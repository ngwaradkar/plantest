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tamotors-my.sharepoint.com/personal/pna430593_tatamotors_com/Documents/Desktop/"/>
    </mc:Choice>
  </mc:AlternateContent>
  <xr:revisionPtr revIDLastSave="0" documentId="8_{7F6F7341-98E2-4804-BA2B-E41FC2CB5CA8}" xr6:coauthVersionLast="47" xr6:coauthVersionMax="47" xr10:uidLastSave="{00000000-0000-0000-0000-000000000000}"/>
  <bookViews>
    <workbookView xWindow="-120" yWindow="-120" windowWidth="24240" windowHeight="13020" tabRatio="790" firstSheet="1" activeTab="7" xr2:uid="{00000000-000D-0000-FFFF-FFFF00000000}"/>
  </bookViews>
  <sheets>
    <sheet name="Sheet2" sheetId="56" state="hidden" r:id="rId1"/>
    <sheet name="Fresh VIN PPC" sheetId="1" r:id="rId2"/>
    <sheet name="Sheet3" sheetId="60" state="hidden" r:id="rId3"/>
    <sheet name="SBR Summary" sheetId="52" state="hidden" r:id="rId4"/>
    <sheet name="As Per Pratik List" sheetId="53" state="hidden" r:id="rId5"/>
    <sheet name="Cockpit" sheetId="47" r:id="rId6"/>
    <sheet name="FRONT" sheetId="57" r:id="rId7"/>
    <sheet name="Summary" sheetId="55" r:id="rId8"/>
    <sheet name="BIW Lifting A Shift" sheetId="8" r:id="rId9"/>
    <sheet name="BIW Lifting B Shift" sheetId="9" r:id="rId10"/>
    <sheet name="Sheet1" sheetId="62" r:id="rId11"/>
    <sheet name="Yazaki Dispatch" sheetId="59" r:id="rId12"/>
    <sheet name="Front Dispatch" sheetId="58" r:id="rId13"/>
    <sheet name="Sap Inwarding" sheetId="61" r:id="rId14"/>
    <sheet name="Sample Parts" sheetId="51" state="hidden" r:id="rId15"/>
    <sheet name="FLOAT" sheetId="18" r:id="rId16"/>
    <sheet name="Consumption MTD" sheetId="2" r:id="rId17"/>
    <sheet name="Aptiv Dispatch" sheetId="7" r:id="rId18"/>
    <sheet name="3 D P" sheetId="3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18" hidden="1">'3 D P'!#REF!</definedName>
    <definedName name="_xlnm._FilterDatabase" localSheetId="17" hidden="1">'Aptiv Dispatch'!$A$4:$GI$186</definedName>
    <definedName name="_xlnm._FilterDatabase" localSheetId="4" hidden="1">'As Per Pratik List'!$A$1:$E$66</definedName>
    <definedName name="_xlnm._FilterDatabase" localSheetId="8" hidden="1">'BIW Lifting A Shift'!#REF!</definedName>
    <definedName name="_xlnm._FilterDatabase" localSheetId="9" hidden="1">'BIW Lifting B Shift'!#REF!</definedName>
    <definedName name="_xlnm._FilterDatabase" localSheetId="5" hidden="1">Cockpit!$D$150:$AR$179</definedName>
    <definedName name="_xlnm._FilterDatabase" localSheetId="16" hidden="1">'Consumption MTD'!$A$1:$E$70</definedName>
    <definedName name="_xlnm._FilterDatabase" localSheetId="15" hidden="1">FLOAT!$A$3:$P$82</definedName>
    <definedName name="_xlnm._FilterDatabase" localSheetId="1" hidden="1">'Fresh VIN PPC'!$A$149:$AQ$149</definedName>
    <definedName name="_xlnm._FilterDatabase" localSheetId="6" hidden="1">FRONT!$A$54:$AI$120</definedName>
    <definedName name="_xlnm._FilterDatabase" localSheetId="12" hidden="1">'Front Dispatch'!$A$4:$PH$47</definedName>
    <definedName name="_xlnm._FilterDatabase" localSheetId="14" hidden="1">'Sample Parts'!$A$1:$D$72</definedName>
    <definedName name="_xlnm._FilterDatabase" localSheetId="13" hidden="1">'Sap Inwarding'!$A$1:$P$1</definedName>
    <definedName name="_xlnm._FilterDatabase" localSheetId="0" hidden="1">Sheet2!$A$1:$J$18</definedName>
    <definedName name="_xlnm._FilterDatabase" localSheetId="11" hidden="1">'Yazaki Dispatch'!$A$4:$LB$37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1" i="47" l="1"/>
  <c r="GV47" i="58"/>
  <c r="DF36" i="59"/>
  <c r="DX47" i="58"/>
  <c r="DA5" i="62" l="1"/>
  <c r="CX47" i="58" l="1"/>
  <c r="I175" i="1" l="1"/>
  <c r="I176" i="47"/>
  <c r="I158" i="1" l="1"/>
  <c r="I159" i="47"/>
  <c r="I154" i="1"/>
  <c r="I155" i="47"/>
  <c r="I156" i="1" l="1"/>
  <c r="I157" i="47"/>
  <c r="I170" i="1"/>
  <c r="I171" i="47"/>
  <c r="I165" i="1"/>
  <c r="I166" i="47"/>
  <c r="I152" i="1"/>
  <c r="I153" i="47"/>
  <c r="I164" i="1"/>
  <c r="I165" i="47"/>
  <c r="F63" i="57" l="1"/>
  <c r="F55" i="57"/>
  <c r="AA176" i="47" l="1"/>
  <c r="AA175" i="47"/>
  <c r="AA174" i="47"/>
  <c r="AA173" i="47"/>
  <c r="AA172" i="47"/>
  <c r="AA171" i="47"/>
  <c r="AA170" i="47"/>
  <c r="AA169" i="47"/>
  <c r="AA168" i="47"/>
  <c r="AA167" i="47"/>
  <c r="AA166" i="47"/>
  <c r="AA165" i="47"/>
  <c r="AA164" i="47"/>
  <c r="AA163" i="47"/>
  <c r="AA162" i="47"/>
  <c r="AA161" i="47"/>
  <c r="AA160" i="47"/>
  <c r="AA159" i="47"/>
  <c r="AA158" i="47"/>
  <c r="AA157" i="47"/>
  <c r="AA156" i="47"/>
  <c r="AA155" i="47"/>
  <c r="AA154" i="47"/>
  <c r="AA153" i="47"/>
  <c r="F59" i="57" l="1"/>
  <c r="OI47" i="58"/>
  <c r="B14" i="59" l="1"/>
  <c r="Q161" i="1" s="1"/>
  <c r="J161" i="1" s="1"/>
  <c r="B20" i="59"/>
  <c r="D20" i="59" s="1"/>
  <c r="B21" i="59"/>
  <c r="B23" i="59"/>
  <c r="B24" i="59"/>
  <c r="D24" i="59" s="1"/>
  <c r="B28" i="59"/>
  <c r="E28" i="59" s="1"/>
  <c r="B31" i="59"/>
  <c r="B32" i="59"/>
  <c r="B33" i="59"/>
  <c r="E33" i="59" s="1"/>
  <c r="S157" i="47"/>
  <c r="S151" i="47"/>
  <c r="KR47" i="58"/>
  <c r="KS47" i="58"/>
  <c r="W120" i="57"/>
  <c r="I70" i="57"/>
  <c r="K70" i="57"/>
  <c r="L70" i="57"/>
  <c r="M70" i="57"/>
  <c r="N70" i="57"/>
  <c r="O70" i="57"/>
  <c r="P70" i="57"/>
  <c r="Q70" i="57"/>
  <c r="U70" i="57"/>
  <c r="X70" i="57"/>
  <c r="Y70" i="57"/>
  <c r="Z70" i="57"/>
  <c r="AA70" i="57"/>
  <c r="AB70" i="57"/>
  <c r="AC70" i="57"/>
  <c r="AD70" i="57"/>
  <c r="AE70" i="57"/>
  <c r="AF70" i="57"/>
  <c r="AG70" i="57"/>
  <c r="I144" i="1"/>
  <c r="I143" i="47"/>
  <c r="I145" i="47" s="1"/>
  <c r="CT36" i="59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1" i="2"/>
  <c r="E1" i="2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K16" i="3"/>
  <c r="J16" i="3"/>
  <c r="I16" i="3"/>
  <c r="O15" i="3"/>
  <c r="O14" i="3"/>
  <c r="K14" i="3"/>
  <c r="J14" i="3"/>
  <c r="I14" i="3"/>
  <c r="O13" i="3"/>
  <c r="K13" i="3"/>
  <c r="J13" i="3"/>
  <c r="I13" i="3"/>
  <c r="O12" i="3"/>
  <c r="K12" i="3"/>
  <c r="J12" i="3"/>
  <c r="I12" i="3"/>
  <c r="O11" i="3"/>
  <c r="K11" i="3"/>
  <c r="J11" i="3"/>
  <c r="I11" i="3"/>
  <c r="O10" i="3"/>
  <c r="K10" i="3"/>
  <c r="J10" i="3"/>
  <c r="I10" i="3"/>
  <c r="O9" i="3"/>
  <c r="K9" i="3"/>
  <c r="J9" i="3"/>
  <c r="I9" i="3"/>
  <c r="O8" i="3"/>
  <c r="K8" i="3"/>
  <c r="J8" i="3"/>
  <c r="I8" i="3"/>
  <c r="O7" i="3"/>
  <c r="K7" i="3"/>
  <c r="J7" i="3"/>
  <c r="I7" i="3"/>
  <c r="O6" i="3"/>
  <c r="K6" i="3"/>
  <c r="K5" i="3"/>
  <c r="J6" i="3"/>
  <c r="I6" i="3"/>
  <c r="O5" i="3"/>
  <c r="J5" i="3"/>
  <c r="I5" i="3"/>
  <c r="N2" i="3"/>
  <c r="P4" i="1" s="1"/>
  <c r="P143" i="1" s="1"/>
  <c r="M2" i="3"/>
  <c r="O4" i="1" s="1"/>
  <c r="O143" i="1" s="1"/>
  <c r="L2" i="3"/>
  <c r="N4" i="1" s="1"/>
  <c r="N143" i="1" s="1"/>
  <c r="H2" i="3"/>
  <c r="Q1" i="3"/>
  <c r="B72" i="51"/>
  <c r="B71" i="51"/>
  <c r="B70" i="51"/>
  <c r="B69" i="51"/>
  <c r="B68" i="51"/>
  <c r="B67" i="51"/>
  <c r="B66" i="51"/>
  <c r="B65" i="51"/>
  <c r="B64" i="51"/>
  <c r="B63" i="51"/>
  <c r="B62" i="51"/>
  <c r="B61" i="51"/>
  <c r="B60" i="51"/>
  <c r="B59" i="51"/>
  <c r="B58" i="51"/>
  <c r="B57" i="51"/>
  <c r="B56" i="51"/>
  <c r="B55" i="51"/>
  <c r="B54" i="51"/>
  <c r="B53" i="51"/>
  <c r="B52" i="51"/>
  <c r="B51" i="51"/>
  <c r="B50" i="51"/>
  <c r="B49" i="51"/>
  <c r="B48" i="51"/>
  <c r="B47" i="51"/>
  <c r="B46" i="51"/>
  <c r="B45" i="51"/>
  <c r="B44" i="51"/>
  <c r="B43" i="51"/>
  <c r="B42" i="51"/>
  <c r="B41" i="51"/>
  <c r="B40" i="51"/>
  <c r="B39" i="51"/>
  <c r="B38" i="51"/>
  <c r="B37" i="51"/>
  <c r="B36" i="51"/>
  <c r="B35" i="51"/>
  <c r="B34" i="51"/>
  <c r="B33" i="51"/>
  <c r="B32" i="51"/>
  <c r="B31" i="51"/>
  <c r="B30" i="51"/>
  <c r="B29" i="51"/>
  <c r="B28" i="51"/>
  <c r="B27" i="51"/>
  <c r="B26" i="51"/>
  <c r="B25" i="51"/>
  <c r="B24" i="51"/>
  <c r="B23" i="51"/>
  <c r="B22" i="51"/>
  <c r="B21" i="51"/>
  <c r="B20" i="51"/>
  <c r="B19" i="51"/>
  <c r="B18" i="51"/>
  <c r="B17" i="51"/>
  <c r="B16" i="51"/>
  <c r="B15" i="51"/>
  <c r="B14" i="51"/>
  <c r="B13" i="51"/>
  <c r="B12" i="51"/>
  <c r="B11" i="51"/>
  <c r="B10" i="51"/>
  <c r="B9" i="51"/>
  <c r="B8" i="51"/>
  <c r="B7" i="51"/>
  <c r="B6" i="51"/>
  <c r="B5" i="51"/>
  <c r="B4" i="51"/>
  <c r="B3" i="51"/>
  <c r="B2" i="51"/>
  <c r="PG47" i="58"/>
  <c r="PF47" i="58"/>
  <c r="PE47" i="58"/>
  <c r="PD47" i="58"/>
  <c r="PC47" i="58"/>
  <c r="PB47" i="58"/>
  <c r="PA47" i="58"/>
  <c r="OZ47" i="58"/>
  <c r="OY47" i="58"/>
  <c r="OX47" i="58"/>
  <c r="OW47" i="58"/>
  <c r="OV47" i="58"/>
  <c r="OU47" i="58"/>
  <c r="OT47" i="58"/>
  <c r="OS47" i="58"/>
  <c r="OR47" i="58"/>
  <c r="OQ47" i="58"/>
  <c r="OP47" i="58"/>
  <c r="OO47" i="58"/>
  <c r="ON47" i="58"/>
  <c r="OM47" i="58"/>
  <c r="OL47" i="58"/>
  <c r="OK47" i="58"/>
  <c r="OJ47" i="58"/>
  <c r="OH47" i="58"/>
  <c r="OG47" i="58"/>
  <c r="OF47" i="58"/>
  <c r="OE47" i="58"/>
  <c r="OD47" i="58"/>
  <c r="OC47" i="58"/>
  <c r="OB47" i="58"/>
  <c r="OA47" i="58"/>
  <c r="NZ47" i="58"/>
  <c r="NY47" i="58"/>
  <c r="NX47" i="58"/>
  <c r="NW47" i="58"/>
  <c r="NV47" i="58"/>
  <c r="NU47" i="58"/>
  <c r="NT47" i="58"/>
  <c r="NS47" i="58"/>
  <c r="NR47" i="58"/>
  <c r="NQ47" i="58"/>
  <c r="NP47" i="58"/>
  <c r="NO47" i="58"/>
  <c r="NN47" i="58"/>
  <c r="NM47" i="58"/>
  <c r="NL47" i="58"/>
  <c r="NK47" i="58"/>
  <c r="NJ47" i="58"/>
  <c r="NI47" i="58"/>
  <c r="NH47" i="58"/>
  <c r="NG47" i="58"/>
  <c r="NF47" i="58"/>
  <c r="NE47" i="58"/>
  <c r="ND47" i="58"/>
  <c r="NC47" i="58"/>
  <c r="NB47" i="58"/>
  <c r="NA47" i="58"/>
  <c r="MZ47" i="58"/>
  <c r="MY47" i="58"/>
  <c r="MX47" i="58"/>
  <c r="MW47" i="58"/>
  <c r="MV47" i="58"/>
  <c r="MU47" i="58"/>
  <c r="MT47" i="58"/>
  <c r="MS47" i="58"/>
  <c r="MR47" i="58"/>
  <c r="MQ47" i="58"/>
  <c r="MP47" i="58"/>
  <c r="MO47" i="58"/>
  <c r="MN47" i="58"/>
  <c r="MM47" i="58"/>
  <c r="ML47" i="58"/>
  <c r="MK47" i="58"/>
  <c r="MJ47" i="58"/>
  <c r="MI47" i="58"/>
  <c r="MH47" i="58"/>
  <c r="MG47" i="58"/>
  <c r="MF47" i="58"/>
  <c r="ME47" i="58"/>
  <c r="MD47" i="58"/>
  <c r="MC47" i="58"/>
  <c r="MB47" i="58"/>
  <c r="MA47" i="58"/>
  <c r="LZ47" i="58"/>
  <c r="LY47" i="58"/>
  <c r="LX47" i="58"/>
  <c r="LW47" i="58"/>
  <c r="LV47" i="58"/>
  <c r="LU47" i="58"/>
  <c r="LT47" i="58"/>
  <c r="LS47" i="58"/>
  <c r="LR47" i="58"/>
  <c r="LQ47" i="58"/>
  <c r="LP47" i="58"/>
  <c r="LO47" i="58"/>
  <c r="LN47" i="58"/>
  <c r="LM47" i="58"/>
  <c r="LL47" i="58"/>
  <c r="LK47" i="58"/>
  <c r="LJ47" i="58"/>
  <c r="LI47" i="58"/>
  <c r="LH47" i="58"/>
  <c r="LG47" i="58"/>
  <c r="LF47" i="58"/>
  <c r="LE47" i="58"/>
  <c r="LD47" i="58"/>
  <c r="LC47" i="58"/>
  <c r="LB47" i="58"/>
  <c r="LA47" i="58"/>
  <c r="KZ47" i="58"/>
  <c r="KY47" i="58"/>
  <c r="KX47" i="58"/>
  <c r="KW47" i="58"/>
  <c r="KV47" i="58"/>
  <c r="KU47" i="58"/>
  <c r="KT47" i="58"/>
  <c r="KQ47" i="58"/>
  <c r="KP47" i="58"/>
  <c r="KO47" i="58"/>
  <c r="KN47" i="58"/>
  <c r="KM47" i="58"/>
  <c r="KL47" i="58"/>
  <c r="KK47" i="58"/>
  <c r="KJ47" i="58"/>
  <c r="KI47" i="58"/>
  <c r="KH47" i="58"/>
  <c r="KF47" i="58"/>
  <c r="KE47" i="58"/>
  <c r="KD47" i="58"/>
  <c r="KC47" i="58"/>
  <c r="KB47" i="58"/>
  <c r="KA47" i="58"/>
  <c r="JZ47" i="58"/>
  <c r="JY47" i="58"/>
  <c r="JX47" i="58"/>
  <c r="JW47" i="58"/>
  <c r="JV47" i="58"/>
  <c r="JU47" i="58"/>
  <c r="JT47" i="58"/>
  <c r="JS47" i="58"/>
  <c r="JR47" i="58"/>
  <c r="JQ47" i="58"/>
  <c r="JP47" i="58"/>
  <c r="JO47" i="58"/>
  <c r="JN47" i="58"/>
  <c r="JM47" i="58"/>
  <c r="JL47" i="58"/>
  <c r="JK47" i="58"/>
  <c r="JJ47" i="58"/>
  <c r="JI47" i="58"/>
  <c r="JH47" i="58"/>
  <c r="JG47" i="58"/>
  <c r="JF47" i="58"/>
  <c r="JE47" i="58"/>
  <c r="JD47" i="58"/>
  <c r="JC47" i="58"/>
  <c r="JB47" i="58"/>
  <c r="JA47" i="58"/>
  <c r="IZ47" i="58"/>
  <c r="IY47" i="58"/>
  <c r="IX47" i="58"/>
  <c r="IW47" i="58"/>
  <c r="IV47" i="58"/>
  <c r="IU47" i="58"/>
  <c r="IT47" i="58"/>
  <c r="IS47" i="58"/>
  <c r="IR47" i="58"/>
  <c r="IQ47" i="58"/>
  <c r="IP47" i="58"/>
  <c r="IO47" i="58"/>
  <c r="IN47" i="58"/>
  <c r="IM47" i="58"/>
  <c r="IL47" i="58"/>
  <c r="IK47" i="58"/>
  <c r="IJ47" i="58"/>
  <c r="II47" i="58"/>
  <c r="IH47" i="58"/>
  <c r="IG47" i="58"/>
  <c r="IF47" i="58"/>
  <c r="IE47" i="58"/>
  <c r="ID47" i="58"/>
  <c r="IC47" i="58"/>
  <c r="IB47" i="58"/>
  <c r="IA47" i="58"/>
  <c r="HZ47" i="58"/>
  <c r="HY47" i="58"/>
  <c r="HX47" i="58"/>
  <c r="HW47" i="58"/>
  <c r="HV47" i="58"/>
  <c r="HU47" i="58"/>
  <c r="HT47" i="58"/>
  <c r="HS47" i="58"/>
  <c r="HR47" i="58"/>
  <c r="HQ47" i="58"/>
  <c r="HP47" i="58"/>
  <c r="HO47" i="58"/>
  <c r="HN47" i="58"/>
  <c r="HM47" i="58"/>
  <c r="HL47" i="58"/>
  <c r="HK47" i="58"/>
  <c r="HJ47" i="58"/>
  <c r="HI47" i="58"/>
  <c r="HH47" i="58"/>
  <c r="HG47" i="58"/>
  <c r="HF47" i="58"/>
  <c r="HE47" i="58"/>
  <c r="HD47" i="58"/>
  <c r="HC47" i="58"/>
  <c r="HB47" i="58"/>
  <c r="HA47" i="58"/>
  <c r="GZ47" i="58"/>
  <c r="GY47" i="58"/>
  <c r="GX47" i="58"/>
  <c r="GW47" i="58"/>
  <c r="GU47" i="58"/>
  <c r="GT47" i="58"/>
  <c r="GS47" i="58"/>
  <c r="GR47" i="58"/>
  <c r="GQ47" i="58"/>
  <c r="GP47" i="58"/>
  <c r="GO47" i="58"/>
  <c r="GN47" i="58"/>
  <c r="GM47" i="58"/>
  <c r="GL47" i="58"/>
  <c r="GK47" i="58"/>
  <c r="GJ47" i="58"/>
  <c r="GI47" i="58"/>
  <c r="GH47" i="58"/>
  <c r="GG47" i="58"/>
  <c r="GF47" i="58"/>
  <c r="GE47" i="58"/>
  <c r="GD47" i="58"/>
  <c r="GC47" i="58"/>
  <c r="GB47" i="58"/>
  <c r="GA47" i="58"/>
  <c r="FZ47" i="58"/>
  <c r="FY47" i="58"/>
  <c r="FX47" i="58"/>
  <c r="FW47" i="58"/>
  <c r="FV47" i="58"/>
  <c r="FU47" i="58"/>
  <c r="FT47" i="58"/>
  <c r="FS47" i="58"/>
  <c r="FR47" i="58"/>
  <c r="FQ47" i="58"/>
  <c r="FP47" i="58"/>
  <c r="FO47" i="58"/>
  <c r="FN47" i="58"/>
  <c r="FM47" i="58"/>
  <c r="FL47" i="58"/>
  <c r="FK47" i="58"/>
  <c r="FJ47" i="58"/>
  <c r="FI47" i="58"/>
  <c r="FH47" i="58"/>
  <c r="FG47" i="58"/>
  <c r="FF47" i="58"/>
  <c r="FE47" i="58"/>
  <c r="FD47" i="58"/>
  <c r="FC47" i="58"/>
  <c r="FB47" i="58"/>
  <c r="FA47" i="58"/>
  <c r="EZ47" i="58"/>
  <c r="EY47" i="58"/>
  <c r="EX47" i="58"/>
  <c r="EW47" i="58"/>
  <c r="EV47" i="58"/>
  <c r="EU47" i="58"/>
  <c r="ET47" i="58"/>
  <c r="ES47" i="58"/>
  <c r="ER47" i="58"/>
  <c r="EQ47" i="58"/>
  <c r="EO47" i="58"/>
  <c r="EN47" i="58"/>
  <c r="EM47" i="58"/>
  <c r="EL47" i="58"/>
  <c r="EK47" i="58"/>
  <c r="EJ47" i="58"/>
  <c r="EI47" i="58"/>
  <c r="EH47" i="58"/>
  <c r="EG47" i="58"/>
  <c r="EF47" i="58"/>
  <c r="EE47" i="58"/>
  <c r="ED47" i="58"/>
  <c r="EC47" i="58"/>
  <c r="EB47" i="58"/>
  <c r="EA47" i="58"/>
  <c r="DZ47" i="58"/>
  <c r="DY47" i="58"/>
  <c r="DW47" i="58"/>
  <c r="DV47" i="58"/>
  <c r="DU47" i="58"/>
  <c r="DT47" i="58"/>
  <c r="DS47" i="58"/>
  <c r="DR47" i="58"/>
  <c r="DQ47" i="58"/>
  <c r="DP47" i="58"/>
  <c r="DO47" i="58"/>
  <c r="DN47" i="58"/>
  <c r="DM47" i="58"/>
  <c r="DK47" i="58"/>
  <c r="DJ47" i="58"/>
  <c r="DI47" i="58"/>
  <c r="DH47" i="58"/>
  <c r="DG47" i="58"/>
  <c r="DF47" i="58"/>
  <c r="DE47" i="58"/>
  <c r="DD47" i="58"/>
  <c r="DC47" i="58"/>
  <c r="DB47" i="58"/>
  <c r="DA47" i="58"/>
  <c r="CZ47" i="58"/>
  <c r="CY47" i="58"/>
  <c r="CW47" i="58"/>
  <c r="CV47" i="58"/>
  <c r="CU47" i="58"/>
  <c r="CT47" i="58"/>
  <c r="CS47" i="58"/>
  <c r="CR47" i="58"/>
  <c r="CQ47" i="58"/>
  <c r="CP47" i="58"/>
  <c r="CO47" i="58"/>
  <c r="CN47" i="58"/>
  <c r="CM47" i="58"/>
  <c r="CL47" i="58"/>
  <c r="CK47" i="58"/>
  <c r="CJ47" i="58"/>
  <c r="CI47" i="58"/>
  <c r="CH47" i="58"/>
  <c r="CG47" i="58"/>
  <c r="CF47" i="58"/>
  <c r="CE47" i="58"/>
  <c r="CD47" i="58"/>
  <c r="CC47" i="58"/>
  <c r="CB47" i="58"/>
  <c r="CA47" i="58"/>
  <c r="BZ47" i="58"/>
  <c r="BY47" i="58"/>
  <c r="BX47" i="58"/>
  <c r="BW47" i="58"/>
  <c r="BV47" i="58"/>
  <c r="BU47" i="58"/>
  <c r="BT47" i="58"/>
  <c r="BS47" i="58"/>
  <c r="BR47" i="58"/>
  <c r="BQ47" i="58"/>
  <c r="BP47" i="58"/>
  <c r="BO47" i="58"/>
  <c r="BN47" i="58"/>
  <c r="BM47" i="58"/>
  <c r="BL47" i="58"/>
  <c r="BK47" i="58"/>
  <c r="BJ47" i="58"/>
  <c r="BI47" i="58"/>
  <c r="BH47" i="58"/>
  <c r="BG47" i="58"/>
  <c r="BF47" i="58"/>
  <c r="BE47" i="58"/>
  <c r="BD47" i="58"/>
  <c r="BC47" i="58"/>
  <c r="BB47" i="58"/>
  <c r="BA47" i="58"/>
  <c r="AZ47" i="58"/>
  <c r="AY47" i="58"/>
  <c r="AX47" i="58"/>
  <c r="AW47" i="58"/>
  <c r="AV47" i="58"/>
  <c r="AU47" i="58"/>
  <c r="AT47" i="58"/>
  <c r="AS47" i="58"/>
  <c r="AR47" i="58"/>
  <c r="AQ47" i="58"/>
  <c r="AP47" i="58"/>
  <c r="AO47" i="58"/>
  <c r="AN47" i="58"/>
  <c r="AM47" i="58"/>
  <c r="AL47" i="58"/>
  <c r="AK47" i="58"/>
  <c r="AJ47" i="58"/>
  <c r="AI47" i="58"/>
  <c r="AH47" i="58"/>
  <c r="AG47" i="58"/>
  <c r="AF47" i="58"/>
  <c r="AE47" i="58"/>
  <c r="AD47" i="58"/>
  <c r="AC47" i="58"/>
  <c r="AB47" i="58"/>
  <c r="AA47" i="58"/>
  <c r="Z47" i="58"/>
  <c r="Y47" i="58"/>
  <c r="X47" i="58"/>
  <c r="W47" i="58"/>
  <c r="T47" i="58"/>
  <c r="S47" i="58"/>
  <c r="R47" i="58"/>
  <c r="Q47" i="58"/>
  <c r="P47" i="58"/>
  <c r="O47" i="58"/>
  <c r="N47" i="58"/>
  <c r="M47" i="58"/>
  <c r="L47" i="58"/>
  <c r="K47" i="58"/>
  <c r="J47" i="58"/>
  <c r="I47" i="58"/>
  <c r="H47" i="58"/>
  <c r="G47" i="58"/>
  <c r="F47" i="58"/>
  <c r="C47" i="58"/>
  <c r="B46" i="58"/>
  <c r="E46" i="58" s="1"/>
  <c r="D45" i="58"/>
  <c r="B45" i="58"/>
  <c r="E45" i="58" s="1"/>
  <c r="D44" i="58"/>
  <c r="B44" i="58"/>
  <c r="E44" i="58" s="1"/>
  <c r="D43" i="58"/>
  <c r="B43" i="58"/>
  <c r="E43" i="58" s="1"/>
  <c r="D42" i="58"/>
  <c r="B42" i="58"/>
  <c r="E42" i="58" s="1"/>
  <c r="D41" i="58"/>
  <c r="B41" i="58"/>
  <c r="N97" i="57" s="1"/>
  <c r="G97" i="57" s="1"/>
  <c r="D40" i="58"/>
  <c r="B40" i="58"/>
  <c r="E40" i="58" s="1"/>
  <c r="D39" i="58"/>
  <c r="B39" i="58"/>
  <c r="N91" i="57" s="1"/>
  <c r="G91" i="57" s="1"/>
  <c r="D38" i="58"/>
  <c r="B38" i="58"/>
  <c r="E38" i="58" s="1"/>
  <c r="D37" i="58"/>
  <c r="B37" i="58"/>
  <c r="N95" i="57" s="1"/>
  <c r="G95" i="57" s="1"/>
  <c r="D36" i="58"/>
  <c r="B36" i="58"/>
  <c r="E36" i="58" s="1"/>
  <c r="D35" i="58"/>
  <c r="B35" i="58"/>
  <c r="E35" i="58" s="1"/>
  <c r="D34" i="58"/>
  <c r="B34" i="58"/>
  <c r="E34" i="58" s="1"/>
  <c r="D33" i="58"/>
  <c r="B33" i="58"/>
  <c r="N83" i="57" s="1"/>
  <c r="G83" i="57" s="1"/>
  <c r="D32" i="58"/>
  <c r="B32" i="58"/>
  <c r="E32" i="58" s="1"/>
  <c r="D31" i="58"/>
  <c r="B31" i="58"/>
  <c r="E31" i="58" s="1"/>
  <c r="D30" i="58"/>
  <c r="B30" i="58"/>
  <c r="E30" i="58" s="1"/>
  <c r="D29" i="58"/>
  <c r="B29" i="58"/>
  <c r="E29" i="58" s="1"/>
  <c r="D28" i="58"/>
  <c r="B28" i="58"/>
  <c r="E28" i="58" s="1"/>
  <c r="D27" i="58"/>
  <c r="B27" i="58"/>
  <c r="E27" i="58" s="1"/>
  <c r="D26" i="58"/>
  <c r="B26" i="58"/>
  <c r="E26" i="58" s="1"/>
  <c r="D25" i="58"/>
  <c r="B25" i="58"/>
  <c r="E25" i="58" s="1"/>
  <c r="D24" i="58"/>
  <c r="B24" i="58"/>
  <c r="E24" i="58" s="1"/>
  <c r="D23" i="58"/>
  <c r="B23" i="58"/>
  <c r="D22" i="58"/>
  <c r="B22" i="58"/>
  <c r="E22" i="58" s="1"/>
  <c r="D21" i="58"/>
  <c r="B21" i="58"/>
  <c r="E21" i="58" s="1"/>
  <c r="D20" i="58"/>
  <c r="B20" i="58"/>
  <c r="N63" i="57" s="1"/>
  <c r="G63" i="57" s="1"/>
  <c r="D19" i="58"/>
  <c r="B19" i="58"/>
  <c r="E19" i="58" s="1"/>
  <c r="D18" i="58"/>
  <c r="B18" i="58"/>
  <c r="E18" i="58" s="1"/>
  <c r="D17" i="58"/>
  <c r="B17" i="58"/>
  <c r="N57" i="57" s="1"/>
  <c r="G57" i="57" s="1"/>
  <c r="D16" i="58"/>
  <c r="B16" i="58"/>
  <c r="E16" i="58" s="1"/>
  <c r="D15" i="58"/>
  <c r="B15" i="58"/>
  <c r="E15" i="58" s="1"/>
  <c r="D14" i="58"/>
  <c r="B14" i="58"/>
  <c r="E14" i="58" s="1"/>
  <c r="D13" i="58"/>
  <c r="B13" i="58"/>
  <c r="E13" i="58" s="1"/>
  <c r="D12" i="58"/>
  <c r="B12" i="58"/>
  <c r="E12" i="58" s="1"/>
  <c r="D11" i="58"/>
  <c r="B11" i="58"/>
  <c r="E11" i="58" s="1"/>
  <c r="D10" i="58"/>
  <c r="B10" i="58"/>
  <c r="E10" i="58" s="1"/>
  <c r="D9" i="58"/>
  <c r="B9" i="58"/>
  <c r="N14" i="57" s="1"/>
  <c r="G14" i="57" s="1"/>
  <c r="D8" i="58"/>
  <c r="B8" i="58"/>
  <c r="N8" i="57" s="1"/>
  <c r="G8" i="57" s="1"/>
  <c r="D7" i="58"/>
  <c r="B7" i="58"/>
  <c r="E7" i="58" s="1"/>
  <c r="D6" i="58"/>
  <c r="B6" i="58"/>
  <c r="E6" i="58" s="1"/>
  <c r="D5" i="58"/>
  <c r="B5" i="58"/>
  <c r="E5" i="58" s="1"/>
  <c r="LB36" i="59"/>
  <c r="LA36" i="59"/>
  <c r="KZ36" i="59"/>
  <c r="KY36" i="59"/>
  <c r="KX36" i="59"/>
  <c r="KW36" i="59"/>
  <c r="KV36" i="59"/>
  <c r="KU36" i="59"/>
  <c r="KT36" i="59"/>
  <c r="KS36" i="59"/>
  <c r="KR36" i="59"/>
  <c r="KQ36" i="59"/>
  <c r="KP36" i="59"/>
  <c r="KO36" i="59"/>
  <c r="KN36" i="59"/>
  <c r="KM36" i="59"/>
  <c r="KL36" i="59"/>
  <c r="KK36" i="59"/>
  <c r="KJ36" i="59"/>
  <c r="KI36" i="59"/>
  <c r="KH36" i="59"/>
  <c r="KG36" i="59"/>
  <c r="KF36" i="59"/>
  <c r="KE36" i="59"/>
  <c r="KD36" i="59"/>
  <c r="KC36" i="59"/>
  <c r="KB36" i="59"/>
  <c r="KA36" i="59"/>
  <c r="JZ36" i="59"/>
  <c r="JX36" i="59"/>
  <c r="JW36" i="59"/>
  <c r="JV36" i="59"/>
  <c r="JU36" i="59"/>
  <c r="JT36" i="59"/>
  <c r="JS36" i="59"/>
  <c r="JR36" i="59"/>
  <c r="JQ36" i="59"/>
  <c r="JP36" i="59"/>
  <c r="JO36" i="59"/>
  <c r="JN36" i="59"/>
  <c r="JM36" i="59"/>
  <c r="JL36" i="59"/>
  <c r="JK36" i="59"/>
  <c r="JJ36" i="59"/>
  <c r="JI36" i="59"/>
  <c r="JH36" i="59"/>
  <c r="JG36" i="59"/>
  <c r="JF36" i="59"/>
  <c r="JE36" i="59"/>
  <c r="JD36" i="59"/>
  <c r="JC36" i="59"/>
  <c r="JB36" i="59"/>
  <c r="JA36" i="59"/>
  <c r="IZ36" i="59"/>
  <c r="IY36" i="59"/>
  <c r="IX36" i="59"/>
  <c r="IW36" i="59"/>
  <c r="IV36" i="59"/>
  <c r="IU36" i="59"/>
  <c r="IT36" i="59"/>
  <c r="IS36" i="59"/>
  <c r="IR36" i="59"/>
  <c r="IQ36" i="59"/>
  <c r="IP36" i="59"/>
  <c r="IO36" i="59"/>
  <c r="IN36" i="59"/>
  <c r="IM36" i="59"/>
  <c r="IL36" i="59"/>
  <c r="IK36" i="59"/>
  <c r="IJ36" i="59"/>
  <c r="II36" i="59"/>
  <c r="IH36" i="59"/>
  <c r="IG36" i="59"/>
  <c r="IF36" i="59"/>
  <c r="IE36" i="59"/>
  <c r="ID36" i="59"/>
  <c r="IC36" i="59"/>
  <c r="IB36" i="59"/>
  <c r="IA36" i="59"/>
  <c r="HZ36" i="59"/>
  <c r="HY36" i="59"/>
  <c r="HX36" i="59"/>
  <c r="HW36" i="59"/>
  <c r="HV36" i="59"/>
  <c r="HU36" i="59"/>
  <c r="HT36" i="59"/>
  <c r="HS36" i="59"/>
  <c r="HR36" i="59"/>
  <c r="HQ36" i="59"/>
  <c r="HM36" i="59"/>
  <c r="HL36" i="59"/>
  <c r="HK36" i="59"/>
  <c r="HJ36" i="59"/>
  <c r="HI36" i="59"/>
  <c r="HH36" i="59"/>
  <c r="HG36" i="59"/>
  <c r="HF36" i="59"/>
  <c r="HE36" i="59"/>
  <c r="HD36" i="59"/>
  <c r="HC36" i="59"/>
  <c r="HB36" i="59"/>
  <c r="HA36" i="59"/>
  <c r="GZ36" i="59"/>
  <c r="GY36" i="59"/>
  <c r="GX36" i="59"/>
  <c r="GW36" i="59"/>
  <c r="GV36" i="59"/>
  <c r="GU36" i="59"/>
  <c r="GT36" i="59"/>
  <c r="GS36" i="59"/>
  <c r="GR36" i="59"/>
  <c r="GQ36" i="59"/>
  <c r="GP36" i="59"/>
  <c r="GO36" i="59"/>
  <c r="GN36" i="59"/>
  <c r="GM36" i="59"/>
  <c r="GL36" i="59"/>
  <c r="GK36" i="59"/>
  <c r="GJ36" i="59"/>
  <c r="GI36" i="59"/>
  <c r="GH36" i="59"/>
  <c r="GG36" i="59"/>
  <c r="GF36" i="59"/>
  <c r="GE36" i="59"/>
  <c r="GD36" i="59"/>
  <c r="GC36" i="59"/>
  <c r="GB36" i="59"/>
  <c r="GA36" i="59"/>
  <c r="FZ36" i="59"/>
  <c r="FY36" i="59"/>
  <c r="FX36" i="59"/>
  <c r="FW36" i="59"/>
  <c r="FV36" i="59"/>
  <c r="FU36" i="59"/>
  <c r="FT36" i="59"/>
  <c r="FS36" i="59"/>
  <c r="FR36" i="59"/>
  <c r="FQ36" i="59"/>
  <c r="FP36" i="59"/>
  <c r="FO36" i="59"/>
  <c r="FN36" i="59"/>
  <c r="FM36" i="59"/>
  <c r="FL36" i="59"/>
  <c r="FK36" i="59"/>
  <c r="FJ36" i="59"/>
  <c r="FI36" i="59"/>
  <c r="FH36" i="59"/>
  <c r="FG36" i="59"/>
  <c r="FF36" i="59"/>
  <c r="FE36" i="59"/>
  <c r="FD36" i="59"/>
  <c r="FC36" i="59"/>
  <c r="FB36" i="59"/>
  <c r="FA36" i="59"/>
  <c r="EZ36" i="59"/>
  <c r="EY36" i="59"/>
  <c r="EX36" i="59"/>
  <c r="EW36" i="59"/>
  <c r="EV36" i="59"/>
  <c r="EU36" i="59"/>
  <c r="ET36" i="59"/>
  <c r="ES36" i="59"/>
  <c r="ER36" i="59"/>
  <c r="EQ36" i="59"/>
  <c r="EP36" i="59"/>
  <c r="EO36" i="59"/>
  <c r="EN36" i="59"/>
  <c r="EM36" i="59"/>
  <c r="EL36" i="59"/>
  <c r="EK36" i="59"/>
  <c r="EJ36" i="59"/>
  <c r="EI36" i="59"/>
  <c r="EH36" i="59"/>
  <c r="EG36" i="59"/>
  <c r="EF36" i="59"/>
  <c r="EE36" i="59"/>
  <c r="ED36" i="59"/>
  <c r="EC36" i="59"/>
  <c r="EB36" i="59"/>
  <c r="EA36" i="59"/>
  <c r="DZ36" i="59"/>
  <c r="DY36" i="59"/>
  <c r="DX36" i="59"/>
  <c r="DW36" i="59"/>
  <c r="DV36" i="59"/>
  <c r="DU36" i="59"/>
  <c r="DT36" i="59"/>
  <c r="DS36" i="59"/>
  <c r="DR36" i="59"/>
  <c r="DQ36" i="59"/>
  <c r="DP36" i="59"/>
  <c r="DO36" i="59"/>
  <c r="DN36" i="59"/>
  <c r="DM36" i="59"/>
  <c r="DL36" i="59"/>
  <c r="DK36" i="59"/>
  <c r="DJ36" i="59"/>
  <c r="DI36" i="59"/>
  <c r="DH36" i="59"/>
  <c r="DG36" i="59"/>
  <c r="DE36" i="59"/>
  <c r="DD36" i="59"/>
  <c r="DC36" i="59"/>
  <c r="DB36" i="59"/>
  <c r="DA36" i="59"/>
  <c r="CZ36" i="59"/>
  <c r="CY36" i="59"/>
  <c r="CX36" i="59"/>
  <c r="CW36" i="59"/>
  <c r="CV36" i="59"/>
  <c r="CU36" i="59"/>
  <c r="CS36" i="59"/>
  <c r="CR36" i="59"/>
  <c r="CQ36" i="59"/>
  <c r="CP36" i="59"/>
  <c r="CO36" i="59"/>
  <c r="CN36" i="59"/>
  <c r="CM36" i="59"/>
  <c r="CL36" i="59"/>
  <c r="CK36" i="59"/>
  <c r="CJ36" i="59"/>
  <c r="CI36" i="59"/>
  <c r="CH36" i="59"/>
  <c r="CG36" i="59"/>
  <c r="CF36" i="59"/>
  <c r="CE36" i="59"/>
  <c r="CC36" i="59"/>
  <c r="CB36" i="59"/>
  <c r="CA36" i="59"/>
  <c r="BZ36" i="59"/>
  <c r="BY36" i="59"/>
  <c r="BX36" i="59"/>
  <c r="BW36" i="59"/>
  <c r="BV36" i="59"/>
  <c r="BU36" i="59"/>
  <c r="BS36" i="59"/>
  <c r="BR36" i="59"/>
  <c r="BQ36" i="59"/>
  <c r="BP36" i="59"/>
  <c r="BO36" i="59"/>
  <c r="BN36" i="59"/>
  <c r="BM36" i="59"/>
  <c r="BL36" i="59"/>
  <c r="BK36" i="59"/>
  <c r="BJ36" i="59"/>
  <c r="BI36" i="59"/>
  <c r="BG36" i="59"/>
  <c r="BF36" i="59"/>
  <c r="BE36" i="59"/>
  <c r="BD36" i="59"/>
  <c r="BC36" i="59"/>
  <c r="BB36" i="59"/>
  <c r="BA36" i="59"/>
  <c r="AZ36" i="59"/>
  <c r="AY36" i="59"/>
  <c r="AX36" i="59"/>
  <c r="AW36" i="59"/>
  <c r="AV36" i="59"/>
  <c r="AU36" i="59"/>
  <c r="AT36" i="59"/>
  <c r="AS36" i="59"/>
  <c r="AR36" i="59"/>
  <c r="AQ36" i="59"/>
  <c r="AP36" i="59"/>
  <c r="AO36" i="59"/>
  <c r="AN36" i="59"/>
  <c r="AM36" i="59"/>
  <c r="AL36" i="59"/>
  <c r="AK36" i="59"/>
  <c r="AJ36" i="59"/>
  <c r="AI36" i="59"/>
  <c r="AH36" i="59"/>
  <c r="AG36" i="59"/>
  <c r="AF36" i="59"/>
  <c r="AE36" i="59"/>
  <c r="AD36" i="59"/>
  <c r="AC36" i="59"/>
  <c r="AA36" i="59"/>
  <c r="Z36" i="59"/>
  <c r="Y36" i="59"/>
  <c r="X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G36" i="59"/>
  <c r="F36" i="59"/>
  <c r="C36" i="59"/>
  <c r="B35" i="59"/>
  <c r="E35" i="59" s="1"/>
  <c r="B34" i="59"/>
  <c r="E34" i="59" s="1"/>
  <c r="B30" i="59"/>
  <c r="Q175" i="1" s="1"/>
  <c r="J175" i="1" s="1"/>
  <c r="B29" i="59"/>
  <c r="Q175" i="47" s="1"/>
  <c r="J175" i="47" s="1"/>
  <c r="B27" i="59"/>
  <c r="E27" i="59" s="1"/>
  <c r="B26" i="59"/>
  <c r="D26" i="59" s="1"/>
  <c r="B25" i="59"/>
  <c r="D25" i="59" s="1"/>
  <c r="B22" i="59"/>
  <c r="Q169" i="1" s="1"/>
  <c r="J169" i="1" s="1"/>
  <c r="B19" i="59"/>
  <c r="E19" i="59" s="1"/>
  <c r="B18" i="59"/>
  <c r="D18" i="59" s="1"/>
  <c r="B17" i="59"/>
  <c r="E17" i="59" s="1"/>
  <c r="B16" i="59"/>
  <c r="D16" i="59" s="1"/>
  <c r="B15" i="59"/>
  <c r="Q163" i="47" s="1"/>
  <c r="J163" i="47" s="1"/>
  <c r="B13" i="59"/>
  <c r="D13" i="59" s="1"/>
  <c r="B12" i="59"/>
  <c r="Q160" i="47" s="1"/>
  <c r="J160" i="47" s="1"/>
  <c r="B11" i="59"/>
  <c r="E11" i="59" s="1"/>
  <c r="B10" i="59"/>
  <c r="E10" i="59" s="1"/>
  <c r="B9" i="59"/>
  <c r="D9" i="59" s="1"/>
  <c r="B8" i="59"/>
  <c r="E8" i="59" s="1"/>
  <c r="B7" i="59"/>
  <c r="E7" i="59" s="1"/>
  <c r="B6" i="59"/>
  <c r="E6" i="59" s="1"/>
  <c r="B5" i="59"/>
  <c r="GI185" i="7"/>
  <c r="GH185" i="7"/>
  <c r="GG185" i="7"/>
  <c r="GF185" i="7"/>
  <c r="GE185" i="7"/>
  <c r="GD185" i="7"/>
  <c r="GC185" i="7"/>
  <c r="GB185" i="7"/>
  <c r="GA185" i="7"/>
  <c r="FZ185" i="7"/>
  <c r="FY185" i="7"/>
  <c r="FX185" i="7"/>
  <c r="FW185" i="7"/>
  <c r="FV185" i="7"/>
  <c r="FU185" i="7"/>
  <c r="FT185" i="7"/>
  <c r="FS185" i="7"/>
  <c r="FR185" i="7"/>
  <c r="FQ185" i="7"/>
  <c r="FP185" i="7"/>
  <c r="FO185" i="7"/>
  <c r="FN185" i="7"/>
  <c r="FM185" i="7"/>
  <c r="FL185" i="7"/>
  <c r="FK185" i="7"/>
  <c r="FJ185" i="7"/>
  <c r="FI185" i="7"/>
  <c r="FH185" i="7"/>
  <c r="FG185" i="7"/>
  <c r="FF185" i="7"/>
  <c r="FE185" i="7"/>
  <c r="FD185" i="7"/>
  <c r="FC185" i="7"/>
  <c r="FB185" i="7"/>
  <c r="FA185" i="7"/>
  <c r="EZ185" i="7"/>
  <c r="EY185" i="7"/>
  <c r="EX185" i="7"/>
  <c r="EW185" i="7"/>
  <c r="EV185" i="7"/>
  <c r="EU185" i="7"/>
  <c r="ET185" i="7"/>
  <c r="ES185" i="7"/>
  <c r="ER185" i="7"/>
  <c r="EQ185" i="7"/>
  <c r="EP185" i="7"/>
  <c r="EO185" i="7"/>
  <c r="EN185" i="7"/>
  <c r="EM185" i="7"/>
  <c r="EL185" i="7"/>
  <c r="EK185" i="7"/>
  <c r="EJ185" i="7"/>
  <c r="EI185" i="7"/>
  <c r="EH185" i="7"/>
  <c r="EG185" i="7"/>
  <c r="EF185" i="7"/>
  <c r="EE185" i="7"/>
  <c r="ED185" i="7"/>
  <c r="EC185" i="7"/>
  <c r="EB185" i="7"/>
  <c r="EA185" i="7"/>
  <c r="DZ185" i="7"/>
  <c r="DY185" i="7"/>
  <c r="DX185" i="7"/>
  <c r="DW185" i="7"/>
  <c r="DV185" i="7"/>
  <c r="DU185" i="7"/>
  <c r="DT185" i="7"/>
  <c r="DS185" i="7"/>
  <c r="DR185" i="7"/>
  <c r="DQ185" i="7"/>
  <c r="DP185" i="7"/>
  <c r="DO185" i="7"/>
  <c r="DN185" i="7"/>
  <c r="DM185" i="7"/>
  <c r="DL185" i="7"/>
  <c r="DK185" i="7"/>
  <c r="DJ185" i="7"/>
  <c r="DI185" i="7"/>
  <c r="DH185" i="7"/>
  <c r="DG185" i="7"/>
  <c r="DF185" i="7"/>
  <c r="DE185" i="7"/>
  <c r="DD185" i="7"/>
  <c r="DC185" i="7"/>
  <c r="DB185" i="7"/>
  <c r="DA185" i="7"/>
  <c r="CZ185" i="7"/>
  <c r="CY185" i="7"/>
  <c r="CX185" i="7"/>
  <c r="CW185" i="7"/>
  <c r="CV185" i="7"/>
  <c r="CU185" i="7"/>
  <c r="CT185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CF185" i="7"/>
  <c r="CE185" i="7"/>
  <c r="CD185" i="7"/>
  <c r="CB185" i="7"/>
  <c r="CA185" i="7"/>
  <c r="BZ185" i="7"/>
  <c r="BY185" i="7"/>
  <c r="BX185" i="7"/>
  <c r="BW185" i="7"/>
  <c r="BV185" i="7"/>
  <c r="BU185" i="7"/>
  <c r="BT185" i="7"/>
  <c r="BS185" i="7"/>
  <c r="BR185" i="7"/>
  <c r="BQ185" i="7"/>
  <c r="BP185" i="7"/>
  <c r="BO185" i="7"/>
  <c r="BN185" i="7"/>
  <c r="BM185" i="7"/>
  <c r="BL185" i="7"/>
  <c r="BK185" i="7"/>
  <c r="BJ185" i="7"/>
  <c r="BI185" i="7"/>
  <c r="BH185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C185" i="7"/>
  <c r="B184" i="7"/>
  <c r="E184" i="7" s="1"/>
  <c r="B183" i="7"/>
  <c r="E183" i="7" s="1"/>
  <c r="B182" i="7"/>
  <c r="E182" i="7" s="1"/>
  <c r="B181" i="7"/>
  <c r="E181" i="7" s="1"/>
  <c r="B180" i="7"/>
  <c r="E180" i="7" s="1"/>
  <c r="B179" i="7"/>
  <c r="E179" i="7" s="1"/>
  <c r="B178" i="7"/>
  <c r="E178" i="7" s="1"/>
  <c r="B177" i="7"/>
  <c r="B176" i="7"/>
  <c r="E176" i="7" s="1"/>
  <c r="B175" i="7"/>
  <c r="E175" i="7" s="1"/>
  <c r="B174" i="7"/>
  <c r="E174" i="7" s="1"/>
  <c r="B173" i="7"/>
  <c r="Q112" i="1" s="1"/>
  <c r="J112" i="1" s="1"/>
  <c r="B172" i="7"/>
  <c r="E172" i="7" s="1"/>
  <c r="B171" i="7"/>
  <c r="E171" i="7" s="1"/>
  <c r="B170" i="7"/>
  <c r="E170" i="7" s="1"/>
  <c r="B169" i="7"/>
  <c r="E169" i="7" s="1"/>
  <c r="B168" i="7"/>
  <c r="E168" i="7" s="1"/>
  <c r="B167" i="7"/>
  <c r="E167" i="7" s="1"/>
  <c r="B166" i="7"/>
  <c r="E166" i="7" s="1"/>
  <c r="B165" i="7"/>
  <c r="E165" i="7" s="1"/>
  <c r="B164" i="7"/>
  <c r="E164" i="7" s="1"/>
  <c r="B163" i="7"/>
  <c r="E163" i="7" s="1"/>
  <c r="B162" i="7"/>
  <c r="Q99" i="47" s="1"/>
  <c r="J99" i="47" s="1"/>
  <c r="B161" i="7"/>
  <c r="E161" i="7" s="1"/>
  <c r="B160" i="7"/>
  <c r="E160" i="7" s="1"/>
  <c r="B159" i="7"/>
  <c r="E159" i="7" s="1"/>
  <c r="B158" i="7"/>
  <c r="E158" i="7" s="1"/>
  <c r="B157" i="7"/>
  <c r="E157" i="7" s="1"/>
  <c r="B156" i="7"/>
  <c r="E156" i="7" s="1"/>
  <c r="B155" i="7"/>
  <c r="E155" i="7" s="1"/>
  <c r="B154" i="7"/>
  <c r="E154" i="7" s="1"/>
  <c r="B153" i="7"/>
  <c r="E153" i="7" s="1"/>
  <c r="B152" i="7"/>
  <c r="E152" i="7" s="1"/>
  <c r="B151" i="7"/>
  <c r="E151" i="7" s="1"/>
  <c r="B150" i="7"/>
  <c r="E150" i="7" s="1"/>
  <c r="B149" i="7"/>
  <c r="E149" i="7" s="1"/>
  <c r="B148" i="7"/>
  <c r="E148" i="7" s="1"/>
  <c r="B147" i="7"/>
  <c r="E147" i="7" s="1"/>
  <c r="B146" i="7"/>
  <c r="E146" i="7" s="1"/>
  <c r="B145" i="7"/>
  <c r="E145" i="7" s="1"/>
  <c r="B144" i="7"/>
  <c r="E144" i="7" s="1"/>
  <c r="B143" i="7"/>
  <c r="E143" i="7" s="1"/>
  <c r="B142" i="7"/>
  <c r="E142" i="7" s="1"/>
  <c r="B141" i="7"/>
  <c r="E141" i="7" s="1"/>
  <c r="B140" i="7"/>
  <c r="E140" i="7" s="1"/>
  <c r="B139" i="7"/>
  <c r="E139" i="7" s="1"/>
  <c r="B138" i="7"/>
  <c r="E138" i="7" s="1"/>
  <c r="B137" i="7"/>
  <c r="E137" i="7" s="1"/>
  <c r="B136" i="7"/>
  <c r="E136" i="7" s="1"/>
  <c r="B135" i="7"/>
  <c r="E135" i="7" s="1"/>
  <c r="B134" i="7"/>
  <c r="E134" i="7" s="1"/>
  <c r="B133" i="7"/>
  <c r="E133" i="7" s="1"/>
  <c r="B132" i="7"/>
  <c r="E132" i="7" s="1"/>
  <c r="B131" i="7"/>
  <c r="E131" i="7" s="1"/>
  <c r="B130" i="7"/>
  <c r="E130" i="7" s="1"/>
  <c r="B129" i="7"/>
  <c r="E129" i="7" s="1"/>
  <c r="B128" i="7"/>
  <c r="E128" i="7" s="1"/>
  <c r="B127" i="7"/>
  <c r="E127" i="7" s="1"/>
  <c r="B126" i="7"/>
  <c r="E126" i="7" s="1"/>
  <c r="B125" i="7"/>
  <c r="E125" i="7" s="1"/>
  <c r="B124" i="7"/>
  <c r="E124" i="7" s="1"/>
  <c r="B123" i="7"/>
  <c r="E123" i="7" s="1"/>
  <c r="B122" i="7"/>
  <c r="E122" i="7" s="1"/>
  <c r="B121" i="7"/>
  <c r="E121" i="7" s="1"/>
  <c r="B120" i="7"/>
  <c r="E120" i="7" s="1"/>
  <c r="B119" i="7"/>
  <c r="E119" i="7" s="1"/>
  <c r="B118" i="7"/>
  <c r="E118" i="7" s="1"/>
  <c r="B117" i="7"/>
  <c r="E117" i="7" s="1"/>
  <c r="B116" i="7"/>
  <c r="D116" i="7" s="1"/>
  <c r="B115" i="7"/>
  <c r="E115" i="7" s="1"/>
  <c r="B114" i="7"/>
  <c r="E114" i="7" s="1"/>
  <c r="B113" i="7"/>
  <c r="E113" i="7" s="1"/>
  <c r="B112" i="7"/>
  <c r="E112" i="7" s="1"/>
  <c r="B111" i="7"/>
  <c r="E111" i="7" s="1"/>
  <c r="B110" i="7"/>
  <c r="E110" i="7" s="1"/>
  <c r="B109" i="7"/>
  <c r="E109" i="7" s="1"/>
  <c r="B108" i="7"/>
  <c r="E108" i="7" s="1"/>
  <c r="B107" i="7"/>
  <c r="E107" i="7" s="1"/>
  <c r="B106" i="7"/>
  <c r="E106" i="7" s="1"/>
  <c r="B105" i="7"/>
  <c r="E105" i="7" s="1"/>
  <c r="B104" i="7"/>
  <c r="E104" i="7" s="1"/>
  <c r="B103" i="7"/>
  <c r="E103" i="7" s="1"/>
  <c r="B102" i="7"/>
  <c r="E102" i="7" s="1"/>
  <c r="B101" i="7"/>
  <c r="E101" i="7" s="1"/>
  <c r="B100" i="7"/>
  <c r="E100" i="7" s="1"/>
  <c r="B99" i="7"/>
  <c r="E99" i="7" s="1"/>
  <c r="B98" i="7"/>
  <c r="E98" i="7" s="1"/>
  <c r="B97" i="7"/>
  <c r="E97" i="7" s="1"/>
  <c r="B96" i="7"/>
  <c r="E96" i="7" s="1"/>
  <c r="B95" i="7"/>
  <c r="E95" i="7" s="1"/>
  <c r="B94" i="7"/>
  <c r="E94" i="7" s="1"/>
  <c r="B93" i="7"/>
  <c r="E93" i="7" s="1"/>
  <c r="B92" i="7"/>
  <c r="E92" i="7" s="1"/>
  <c r="B91" i="7"/>
  <c r="E91" i="7" s="1"/>
  <c r="B90" i="7"/>
  <c r="E90" i="7" s="1"/>
  <c r="B89" i="7"/>
  <c r="E89" i="7" s="1"/>
  <c r="B88" i="7"/>
  <c r="E88" i="7" s="1"/>
  <c r="B87" i="7"/>
  <c r="E87" i="7" s="1"/>
  <c r="B86" i="7"/>
  <c r="E86" i="7" s="1"/>
  <c r="B85" i="7"/>
  <c r="E85" i="7" s="1"/>
  <c r="B84" i="7"/>
  <c r="E84" i="7" s="1"/>
  <c r="B83" i="7"/>
  <c r="E83" i="7" s="1"/>
  <c r="B82" i="7"/>
  <c r="E82" i="7" s="1"/>
  <c r="B81" i="7"/>
  <c r="E81" i="7" s="1"/>
  <c r="B80" i="7"/>
  <c r="E80" i="7" s="1"/>
  <c r="B79" i="7"/>
  <c r="E79" i="7" s="1"/>
  <c r="B78" i="7"/>
  <c r="E78" i="7" s="1"/>
  <c r="B77" i="7"/>
  <c r="E77" i="7" s="1"/>
  <c r="B76" i="7"/>
  <c r="E76" i="7" s="1"/>
  <c r="B75" i="7"/>
  <c r="E75" i="7" s="1"/>
  <c r="B74" i="7"/>
  <c r="E74" i="7" s="1"/>
  <c r="B73" i="7"/>
  <c r="E73" i="7" s="1"/>
  <c r="B72" i="7"/>
  <c r="E72" i="7" s="1"/>
  <c r="B71" i="7"/>
  <c r="E71" i="7" s="1"/>
  <c r="B70" i="7"/>
  <c r="E70" i="7" s="1"/>
  <c r="B69" i="7"/>
  <c r="E69" i="7" s="1"/>
  <c r="B68" i="7"/>
  <c r="E68" i="7" s="1"/>
  <c r="B67" i="7"/>
  <c r="E67" i="7" s="1"/>
  <c r="B66" i="7"/>
  <c r="E66" i="7" s="1"/>
  <c r="B65" i="7"/>
  <c r="E65" i="7" s="1"/>
  <c r="B64" i="7"/>
  <c r="E64" i="7" s="1"/>
  <c r="B63" i="7"/>
  <c r="E63" i="7" s="1"/>
  <c r="B62" i="7"/>
  <c r="E62" i="7" s="1"/>
  <c r="B61" i="7"/>
  <c r="E61" i="7" s="1"/>
  <c r="B60" i="7"/>
  <c r="E60" i="7" s="1"/>
  <c r="B59" i="7"/>
  <c r="E59" i="7" s="1"/>
  <c r="B58" i="7"/>
  <c r="E58" i="7" s="1"/>
  <c r="B57" i="7"/>
  <c r="E57" i="7" s="1"/>
  <c r="B56" i="7"/>
  <c r="E56" i="7" s="1"/>
  <c r="B55" i="7"/>
  <c r="E55" i="7" s="1"/>
  <c r="B54" i="7"/>
  <c r="E54" i="7" s="1"/>
  <c r="B53" i="7"/>
  <c r="E53" i="7" s="1"/>
  <c r="B52" i="7"/>
  <c r="E52" i="7" s="1"/>
  <c r="B51" i="7"/>
  <c r="E51" i="7" s="1"/>
  <c r="B50" i="7"/>
  <c r="E50" i="7" s="1"/>
  <c r="B49" i="7"/>
  <c r="E49" i="7" s="1"/>
  <c r="B48" i="7"/>
  <c r="E48" i="7" s="1"/>
  <c r="B47" i="7"/>
  <c r="E47" i="7" s="1"/>
  <c r="B46" i="7"/>
  <c r="E46" i="7" s="1"/>
  <c r="B45" i="7"/>
  <c r="E45" i="7" s="1"/>
  <c r="B44" i="7"/>
  <c r="E44" i="7" s="1"/>
  <c r="B43" i="7"/>
  <c r="E43" i="7" s="1"/>
  <c r="B42" i="7"/>
  <c r="E42" i="7" s="1"/>
  <c r="B41" i="7"/>
  <c r="E41" i="7" s="1"/>
  <c r="B40" i="7"/>
  <c r="E40" i="7" s="1"/>
  <c r="B39" i="7"/>
  <c r="E39" i="7" s="1"/>
  <c r="B38" i="7"/>
  <c r="E38" i="7" s="1"/>
  <c r="B37" i="7"/>
  <c r="E37" i="7" s="1"/>
  <c r="B36" i="7"/>
  <c r="E36" i="7" s="1"/>
  <c r="B35" i="7"/>
  <c r="E35" i="7" s="1"/>
  <c r="B34" i="7"/>
  <c r="E34" i="7" s="1"/>
  <c r="B33" i="7"/>
  <c r="E33" i="7" s="1"/>
  <c r="B32" i="7"/>
  <c r="E32" i="7" s="1"/>
  <c r="B31" i="7"/>
  <c r="E31" i="7" s="1"/>
  <c r="B30" i="7"/>
  <c r="E30" i="7" s="1"/>
  <c r="B29" i="7"/>
  <c r="E29" i="7" s="1"/>
  <c r="B28" i="7"/>
  <c r="E28" i="7" s="1"/>
  <c r="B27" i="7"/>
  <c r="E27" i="7" s="1"/>
  <c r="B26" i="7"/>
  <c r="E26" i="7" s="1"/>
  <c r="B25" i="7"/>
  <c r="E25" i="7" s="1"/>
  <c r="B24" i="7"/>
  <c r="E24" i="7" s="1"/>
  <c r="B23" i="7"/>
  <c r="E23" i="7" s="1"/>
  <c r="B22" i="7"/>
  <c r="E22" i="7" s="1"/>
  <c r="B21" i="7"/>
  <c r="E21" i="7" s="1"/>
  <c r="B20" i="7"/>
  <c r="E20" i="7" s="1"/>
  <c r="B19" i="7"/>
  <c r="E19" i="7" s="1"/>
  <c r="B18" i="7"/>
  <c r="E18" i="7" s="1"/>
  <c r="B17" i="7"/>
  <c r="E17" i="7" s="1"/>
  <c r="B16" i="7"/>
  <c r="E16" i="7" s="1"/>
  <c r="B15" i="7"/>
  <c r="E15" i="7" s="1"/>
  <c r="B14" i="7"/>
  <c r="E14" i="7" s="1"/>
  <c r="B13" i="7"/>
  <c r="E13" i="7" s="1"/>
  <c r="B12" i="7"/>
  <c r="E12" i="7" s="1"/>
  <c r="B11" i="7"/>
  <c r="E11" i="7" s="1"/>
  <c r="B10" i="7"/>
  <c r="E10" i="7" s="1"/>
  <c r="B9" i="7"/>
  <c r="E9" i="7" s="1"/>
  <c r="B8" i="7"/>
  <c r="E8" i="7" s="1"/>
  <c r="B7" i="7"/>
  <c r="E7" i="7" s="1"/>
  <c r="B6" i="7"/>
  <c r="E6" i="7" s="1"/>
  <c r="B5" i="7"/>
  <c r="E5" i="7" s="1"/>
  <c r="F120" i="57"/>
  <c r="D120" i="57"/>
  <c r="AG119" i="57"/>
  <c r="AF119" i="57"/>
  <c r="AE119" i="57"/>
  <c r="AD119" i="57"/>
  <c r="AC119" i="57"/>
  <c r="AB119" i="57"/>
  <c r="AA119" i="57"/>
  <c r="Z119" i="57"/>
  <c r="Y119" i="57"/>
  <c r="X119" i="57"/>
  <c r="U119" i="57"/>
  <c r="Q119" i="57"/>
  <c r="P119" i="57"/>
  <c r="O119" i="57"/>
  <c r="H119" i="57" s="1"/>
  <c r="N119" i="57"/>
  <c r="G119" i="57" s="1"/>
  <c r="M119" i="57"/>
  <c r="L119" i="57"/>
  <c r="K119" i="57"/>
  <c r="E119" i="57"/>
  <c r="AG118" i="57"/>
  <c r="AF118" i="57"/>
  <c r="AE118" i="57"/>
  <c r="AD118" i="57"/>
  <c r="AC118" i="57"/>
  <c r="AB118" i="57"/>
  <c r="AA118" i="57"/>
  <c r="Z118" i="57"/>
  <c r="Y118" i="57"/>
  <c r="X118" i="57"/>
  <c r="U118" i="57"/>
  <c r="Q118" i="57"/>
  <c r="P118" i="57"/>
  <c r="O118" i="57"/>
  <c r="H118" i="57" s="1"/>
  <c r="N118" i="57"/>
  <c r="G118" i="57" s="1"/>
  <c r="M118" i="57"/>
  <c r="L118" i="57"/>
  <c r="K118" i="57"/>
  <c r="E118" i="57"/>
  <c r="AG117" i="57"/>
  <c r="AF117" i="57"/>
  <c r="AE117" i="57"/>
  <c r="AD117" i="57"/>
  <c r="AC117" i="57"/>
  <c r="AB117" i="57"/>
  <c r="AA117" i="57"/>
  <c r="Z117" i="57"/>
  <c r="Y117" i="57"/>
  <c r="X117" i="57"/>
  <c r="U117" i="57"/>
  <c r="Q117" i="57"/>
  <c r="P117" i="57"/>
  <c r="O117" i="57"/>
  <c r="H117" i="57" s="1"/>
  <c r="N117" i="57"/>
  <c r="G117" i="57" s="1"/>
  <c r="M117" i="57"/>
  <c r="L117" i="57"/>
  <c r="K117" i="57"/>
  <c r="E117" i="57"/>
  <c r="AG116" i="57"/>
  <c r="AF116" i="57"/>
  <c r="AE116" i="57"/>
  <c r="AD116" i="57"/>
  <c r="AC116" i="57"/>
  <c r="AB116" i="57"/>
  <c r="AA116" i="57"/>
  <c r="Z116" i="57"/>
  <c r="Y116" i="57"/>
  <c r="X116" i="57"/>
  <c r="U116" i="57"/>
  <c r="Q116" i="57"/>
  <c r="P116" i="57"/>
  <c r="O116" i="57"/>
  <c r="H116" i="57" s="1"/>
  <c r="N116" i="57"/>
  <c r="G116" i="57" s="1"/>
  <c r="M116" i="57"/>
  <c r="L116" i="57"/>
  <c r="K116" i="57"/>
  <c r="E116" i="57"/>
  <c r="AG115" i="57"/>
  <c r="AF115" i="57"/>
  <c r="AE115" i="57"/>
  <c r="AD115" i="57"/>
  <c r="AC115" i="57"/>
  <c r="AB115" i="57"/>
  <c r="AA115" i="57"/>
  <c r="Z115" i="57"/>
  <c r="Y115" i="57"/>
  <c r="X115" i="57"/>
  <c r="U115" i="57"/>
  <c r="Q115" i="57"/>
  <c r="P115" i="57"/>
  <c r="O115" i="57"/>
  <c r="H115" i="57" s="1"/>
  <c r="N115" i="57"/>
  <c r="G115" i="57" s="1"/>
  <c r="M115" i="57"/>
  <c r="L115" i="57"/>
  <c r="K115" i="57"/>
  <c r="E115" i="57"/>
  <c r="AG114" i="57"/>
  <c r="AF114" i="57"/>
  <c r="AE114" i="57"/>
  <c r="AD114" i="57"/>
  <c r="AC114" i="57"/>
  <c r="AB114" i="57"/>
  <c r="AA114" i="57"/>
  <c r="Z114" i="57"/>
  <c r="Y114" i="57"/>
  <c r="X114" i="57"/>
  <c r="U114" i="57"/>
  <c r="Q114" i="57"/>
  <c r="P114" i="57"/>
  <c r="O114" i="57"/>
  <c r="V114" i="57" s="1"/>
  <c r="N114" i="57"/>
  <c r="G114" i="57" s="1"/>
  <c r="M114" i="57"/>
  <c r="L114" i="57"/>
  <c r="K114" i="57"/>
  <c r="E114" i="57"/>
  <c r="AG113" i="57"/>
  <c r="AF113" i="57"/>
  <c r="AE113" i="57"/>
  <c r="AD113" i="57"/>
  <c r="AC113" i="57"/>
  <c r="AB113" i="57"/>
  <c r="AA113" i="57"/>
  <c r="Z113" i="57"/>
  <c r="Y113" i="57"/>
  <c r="X113" i="57"/>
  <c r="U113" i="57"/>
  <c r="Q113" i="57"/>
  <c r="P113" i="57"/>
  <c r="O113" i="57"/>
  <c r="H113" i="57" s="1"/>
  <c r="N113" i="57"/>
  <c r="G113" i="57" s="1"/>
  <c r="M113" i="57"/>
  <c r="L113" i="57"/>
  <c r="K113" i="57"/>
  <c r="E113" i="57"/>
  <c r="AG112" i="57"/>
  <c r="AF112" i="57"/>
  <c r="AE112" i="57"/>
  <c r="AD112" i="57"/>
  <c r="AC112" i="57"/>
  <c r="AB112" i="57"/>
  <c r="AA112" i="57"/>
  <c r="Z112" i="57"/>
  <c r="Y112" i="57"/>
  <c r="X112" i="57"/>
  <c r="U112" i="57"/>
  <c r="Q112" i="57"/>
  <c r="P112" i="57"/>
  <c r="O112" i="57"/>
  <c r="H112" i="57" s="1"/>
  <c r="N112" i="57"/>
  <c r="G112" i="57" s="1"/>
  <c r="M112" i="57"/>
  <c r="L112" i="57"/>
  <c r="K112" i="57"/>
  <c r="E112" i="57"/>
  <c r="AG111" i="57"/>
  <c r="AF111" i="57"/>
  <c r="AE111" i="57"/>
  <c r="AD111" i="57"/>
  <c r="AC111" i="57"/>
  <c r="AB111" i="57"/>
  <c r="AA111" i="57"/>
  <c r="Z111" i="57"/>
  <c r="Y111" i="57"/>
  <c r="X111" i="57"/>
  <c r="U111" i="57"/>
  <c r="Q111" i="57"/>
  <c r="P111" i="57"/>
  <c r="O111" i="57"/>
  <c r="H111" i="57" s="1"/>
  <c r="N111" i="57"/>
  <c r="G111" i="57" s="1"/>
  <c r="M111" i="57"/>
  <c r="L111" i="57"/>
  <c r="K111" i="57"/>
  <c r="E111" i="57"/>
  <c r="AG110" i="57"/>
  <c r="AF110" i="57"/>
  <c r="AE110" i="57"/>
  <c r="AD110" i="57"/>
  <c r="AC110" i="57"/>
  <c r="AB110" i="57"/>
  <c r="AA110" i="57"/>
  <c r="Z110" i="57"/>
  <c r="Y110" i="57"/>
  <c r="X110" i="57"/>
  <c r="U110" i="57"/>
  <c r="Q110" i="57"/>
  <c r="P110" i="57"/>
  <c r="O110" i="57"/>
  <c r="V110" i="57" s="1"/>
  <c r="N110" i="57"/>
  <c r="M110" i="57"/>
  <c r="L110" i="57"/>
  <c r="K110" i="57"/>
  <c r="I110" i="57"/>
  <c r="AG109" i="57"/>
  <c r="AF109" i="57"/>
  <c r="AE109" i="57"/>
  <c r="AD109" i="57"/>
  <c r="AC109" i="57"/>
  <c r="AB109" i="57"/>
  <c r="AA109" i="57"/>
  <c r="Z109" i="57"/>
  <c r="Y109" i="57"/>
  <c r="X109" i="57"/>
  <c r="U109" i="57"/>
  <c r="Q109" i="57"/>
  <c r="P109" i="57"/>
  <c r="O109" i="57"/>
  <c r="V109" i="57" s="1"/>
  <c r="N109" i="57"/>
  <c r="G109" i="57" s="1"/>
  <c r="M109" i="57"/>
  <c r="L109" i="57"/>
  <c r="K109" i="57"/>
  <c r="E109" i="57"/>
  <c r="AG108" i="57"/>
  <c r="AF108" i="57"/>
  <c r="AE108" i="57"/>
  <c r="AD108" i="57"/>
  <c r="AC108" i="57"/>
  <c r="AB108" i="57"/>
  <c r="AA108" i="57"/>
  <c r="Z108" i="57"/>
  <c r="Y108" i="57"/>
  <c r="X108" i="57"/>
  <c r="U108" i="57"/>
  <c r="Q108" i="57"/>
  <c r="P108" i="57"/>
  <c r="O108" i="57"/>
  <c r="V108" i="57" s="1"/>
  <c r="N108" i="57"/>
  <c r="M108" i="57"/>
  <c r="L108" i="57"/>
  <c r="K108" i="57"/>
  <c r="I108" i="57"/>
  <c r="AG107" i="57"/>
  <c r="AF107" i="57"/>
  <c r="AE107" i="57"/>
  <c r="AD107" i="57"/>
  <c r="AC107" i="57"/>
  <c r="AB107" i="57"/>
  <c r="AA107" i="57"/>
  <c r="Z107" i="57"/>
  <c r="Y107" i="57"/>
  <c r="X107" i="57"/>
  <c r="U107" i="57"/>
  <c r="Q107" i="57"/>
  <c r="P107" i="57"/>
  <c r="O107" i="57"/>
  <c r="V107" i="57" s="1"/>
  <c r="N107" i="57"/>
  <c r="G107" i="57" s="1"/>
  <c r="M107" i="57"/>
  <c r="L107" i="57"/>
  <c r="K107" i="57"/>
  <c r="E107" i="57"/>
  <c r="AG106" i="57"/>
  <c r="AF106" i="57"/>
  <c r="AE106" i="57"/>
  <c r="AD106" i="57"/>
  <c r="AC106" i="57"/>
  <c r="AB106" i="57"/>
  <c r="AA106" i="57"/>
  <c r="Z106" i="57"/>
  <c r="Y106" i="57"/>
  <c r="X106" i="57"/>
  <c r="U106" i="57"/>
  <c r="Q106" i="57"/>
  <c r="P106" i="57"/>
  <c r="O106" i="57"/>
  <c r="V106" i="57" s="1"/>
  <c r="N106" i="57"/>
  <c r="M106" i="57"/>
  <c r="L106" i="57"/>
  <c r="K106" i="57"/>
  <c r="I106" i="57"/>
  <c r="AG105" i="57"/>
  <c r="AF105" i="57"/>
  <c r="AE105" i="57"/>
  <c r="AD105" i="57"/>
  <c r="AC105" i="57"/>
  <c r="AB105" i="57"/>
  <c r="AA105" i="57"/>
  <c r="Z105" i="57"/>
  <c r="Y105" i="57"/>
  <c r="X105" i="57"/>
  <c r="U105" i="57"/>
  <c r="Q105" i="57"/>
  <c r="P105" i="57"/>
  <c r="O105" i="57"/>
  <c r="V105" i="57" s="1"/>
  <c r="M105" i="57"/>
  <c r="L105" i="57"/>
  <c r="K105" i="57"/>
  <c r="E105" i="57"/>
  <c r="AG104" i="57"/>
  <c r="AF104" i="57"/>
  <c r="AE104" i="57"/>
  <c r="AD104" i="57"/>
  <c r="AC104" i="57"/>
  <c r="AB104" i="57"/>
  <c r="AA104" i="57"/>
  <c r="Z104" i="57"/>
  <c r="Y104" i="57"/>
  <c r="X104" i="57"/>
  <c r="U104" i="57"/>
  <c r="Q104" i="57"/>
  <c r="P104" i="57"/>
  <c r="O104" i="57"/>
  <c r="V104" i="57" s="1"/>
  <c r="N104" i="57"/>
  <c r="M104" i="57"/>
  <c r="L104" i="57"/>
  <c r="K104" i="57"/>
  <c r="I104" i="57"/>
  <c r="AG103" i="57"/>
  <c r="AF103" i="57"/>
  <c r="AE103" i="57"/>
  <c r="AD103" i="57"/>
  <c r="AC103" i="57"/>
  <c r="AB103" i="57"/>
  <c r="AA103" i="57"/>
  <c r="Z103" i="57"/>
  <c r="Y103" i="57"/>
  <c r="X103" i="57"/>
  <c r="U103" i="57"/>
  <c r="Q103" i="57"/>
  <c r="P103" i="57"/>
  <c r="O103" i="57"/>
  <c r="V103" i="57" s="1"/>
  <c r="M103" i="57"/>
  <c r="L103" i="57"/>
  <c r="K103" i="57"/>
  <c r="E103" i="57"/>
  <c r="AG102" i="57"/>
  <c r="AF102" i="57"/>
  <c r="AE102" i="57"/>
  <c r="AD102" i="57"/>
  <c r="AC102" i="57"/>
  <c r="AB102" i="57"/>
  <c r="AA102" i="57"/>
  <c r="Z102" i="57"/>
  <c r="Y102" i="57"/>
  <c r="X102" i="57"/>
  <c r="U102" i="57"/>
  <c r="Q102" i="57"/>
  <c r="P102" i="57"/>
  <c r="O102" i="57"/>
  <c r="V102" i="57" s="1"/>
  <c r="N102" i="57"/>
  <c r="M102" i="57"/>
  <c r="L102" i="57"/>
  <c r="K102" i="57"/>
  <c r="I102" i="57"/>
  <c r="AG101" i="57"/>
  <c r="AF101" i="57"/>
  <c r="AE101" i="57"/>
  <c r="AD101" i="57"/>
  <c r="AC101" i="57"/>
  <c r="AB101" i="57"/>
  <c r="AA101" i="57"/>
  <c r="Z101" i="57"/>
  <c r="Y101" i="57"/>
  <c r="X101" i="57"/>
  <c r="U101" i="57"/>
  <c r="Q101" i="57"/>
  <c r="P101" i="57"/>
  <c r="O101" i="57"/>
  <c r="V101" i="57" s="1"/>
  <c r="M101" i="57"/>
  <c r="L101" i="57"/>
  <c r="K101" i="57"/>
  <c r="E101" i="57"/>
  <c r="AG100" i="57"/>
  <c r="AF100" i="57"/>
  <c r="AE100" i="57"/>
  <c r="AD100" i="57"/>
  <c r="AC100" i="57"/>
  <c r="AB100" i="57"/>
  <c r="AA100" i="57"/>
  <c r="Z100" i="57"/>
  <c r="Y100" i="57"/>
  <c r="X100" i="57"/>
  <c r="U100" i="57"/>
  <c r="Q100" i="57"/>
  <c r="P100" i="57"/>
  <c r="O100" i="57"/>
  <c r="V100" i="57" s="1"/>
  <c r="N100" i="57"/>
  <c r="M100" i="57"/>
  <c r="L100" i="57"/>
  <c r="K100" i="57"/>
  <c r="I100" i="57"/>
  <c r="AG99" i="57"/>
  <c r="AF99" i="57"/>
  <c r="AE99" i="57"/>
  <c r="AD99" i="57"/>
  <c r="AC99" i="57"/>
  <c r="AB99" i="57"/>
  <c r="AA99" i="57"/>
  <c r="Z99" i="57"/>
  <c r="Y99" i="57"/>
  <c r="X99" i="57"/>
  <c r="U99" i="57"/>
  <c r="Q99" i="57"/>
  <c r="P99" i="57"/>
  <c r="O99" i="57"/>
  <c r="V99" i="57" s="1"/>
  <c r="N99" i="57"/>
  <c r="G99" i="57" s="1"/>
  <c r="M99" i="57"/>
  <c r="L99" i="57"/>
  <c r="K99" i="57"/>
  <c r="E99" i="57"/>
  <c r="AG98" i="57"/>
  <c r="AF98" i="57"/>
  <c r="AE98" i="57"/>
  <c r="AD98" i="57"/>
  <c r="AC98" i="57"/>
  <c r="AB98" i="57"/>
  <c r="AA98" i="57"/>
  <c r="Z98" i="57"/>
  <c r="Y98" i="57"/>
  <c r="X98" i="57"/>
  <c r="U98" i="57"/>
  <c r="Q98" i="57"/>
  <c r="P98" i="57"/>
  <c r="O98" i="57"/>
  <c r="N98" i="57"/>
  <c r="M98" i="57"/>
  <c r="L98" i="57"/>
  <c r="K98" i="57"/>
  <c r="I98" i="57"/>
  <c r="AG97" i="57"/>
  <c r="AF97" i="57"/>
  <c r="AE97" i="57"/>
  <c r="AD97" i="57"/>
  <c r="AC97" i="57"/>
  <c r="AB97" i="57"/>
  <c r="AA97" i="57"/>
  <c r="Z97" i="57"/>
  <c r="Y97" i="57"/>
  <c r="X97" i="57"/>
  <c r="U97" i="57"/>
  <c r="Q97" i="57"/>
  <c r="P97" i="57"/>
  <c r="O97" i="57"/>
  <c r="V97" i="57" s="1"/>
  <c r="M97" i="57"/>
  <c r="L97" i="57"/>
  <c r="K97" i="57"/>
  <c r="E97" i="57"/>
  <c r="AG96" i="57"/>
  <c r="AF96" i="57"/>
  <c r="AE96" i="57"/>
  <c r="AD96" i="57"/>
  <c r="AC96" i="57"/>
  <c r="AB96" i="57"/>
  <c r="AA96" i="57"/>
  <c r="Z96" i="57"/>
  <c r="Y96" i="57"/>
  <c r="X96" i="57"/>
  <c r="U96" i="57"/>
  <c r="Q96" i="57"/>
  <c r="P96" i="57"/>
  <c r="O96" i="57"/>
  <c r="V96" i="57" s="1"/>
  <c r="N96" i="57"/>
  <c r="M96" i="57"/>
  <c r="L96" i="57"/>
  <c r="K96" i="57"/>
  <c r="I96" i="57"/>
  <c r="AG95" i="57"/>
  <c r="AF95" i="57"/>
  <c r="AE95" i="57"/>
  <c r="AD95" i="57"/>
  <c r="AC95" i="57"/>
  <c r="AB95" i="57"/>
  <c r="AA95" i="57"/>
  <c r="Z95" i="57"/>
  <c r="Y95" i="57"/>
  <c r="X95" i="57"/>
  <c r="U95" i="57"/>
  <c r="Q95" i="57"/>
  <c r="P95" i="57"/>
  <c r="O95" i="57"/>
  <c r="V95" i="57" s="1"/>
  <c r="M95" i="57"/>
  <c r="L95" i="57"/>
  <c r="K95" i="57"/>
  <c r="E95" i="57"/>
  <c r="AG94" i="57"/>
  <c r="AF94" i="57"/>
  <c r="AE94" i="57"/>
  <c r="AD94" i="57"/>
  <c r="AC94" i="57"/>
  <c r="AB94" i="57"/>
  <c r="AA94" i="57"/>
  <c r="Z94" i="57"/>
  <c r="Y94" i="57"/>
  <c r="X94" i="57"/>
  <c r="U94" i="57"/>
  <c r="Q94" i="57"/>
  <c r="P94" i="57"/>
  <c r="O94" i="57"/>
  <c r="V94" i="57" s="1"/>
  <c r="N94" i="57"/>
  <c r="M94" i="57"/>
  <c r="L94" i="57"/>
  <c r="K94" i="57"/>
  <c r="I94" i="57"/>
  <c r="AG93" i="57"/>
  <c r="AF93" i="57"/>
  <c r="AE93" i="57"/>
  <c r="AD93" i="57"/>
  <c r="AC93" i="57"/>
  <c r="AB93" i="57"/>
  <c r="AA93" i="57"/>
  <c r="Z93" i="57"/>
  <c r="Y93" i="57"/>
  <c r="X93" i="57"/>
  <c r="U93" i="57"/>
  <c r="Q93" i="57"/>
  <c r="P93" i="57"/>
  <c r="O93" i="57"/>
  <c r="V93" i="57" s="1"/>
  <c r="M93" i="57"/>
  <c r="L93" i="57"/>
  <c r="K93" i="57"/>
  <c r="E93" i="57"/>
  <c r="AG92" i="57"/>
  <c r="AF92" i="57"/>
  <c r="AE92" i="57"/>
  <c r="AD92" i="57"/>
  <c r="AC92" i="57"/>
  <c r="AB92" i="57"/>
  <c r="AA92" i="57"/>
  <c r="Z92" i="57"/>
  <c r="Y92" i="57"/>
  <c r="X92" i="57"/>
  <c r="U92" i="57"/>
  <c r="Q92" i="57"/>
  <c r="P92" i="57"/>
  <c r="O92" i="57"/>
  <c r="V92" i="57" s="1"/>
  <c r="N92" i="57"/>
  <c r="M92" i="57"/>
  <c r="L92" i="57"/>
  <c r="K92" i="57"/>
  <c r="I92" i="57"/>
  <c r="AG91" i="57"/>
  <c r="AF91" i="57"/>
  <c r="AE91" i="57"/>
  <c r="AD91" i="57"/>
  <c r="AC91" i="57"/>
  <c r="AB91" i="57"/>
  <c r="AA91" i="57"/>
  <c r="Z91" i="57"/>
  <c r="Y91" i="57"/>
  <c r="X91" i="57"/>
  <c r="U91" i="57"/>
  <c r="Q91" i="57"/>
  <c r="P91" i="57"/>
  <c r="O91" i="57"/>
  <c r="M91" i="57"/>
  <c r="L91" i="57"/>
  <c r="K91" i="57"/>
  <c r="E91" i="57"/>
  <c r="AG90" i="57"/>
  <c r="AF90" i="57"/>
  <c r="AE90" i="57"/>
  <c r="AD90" i="57"/>
  <c r="AC90" i="57"/>
  <c r="AB90" i="57"/>
  <c r="AA90" i="57"/>
  <c r="Z90" i="57"/>
  <c r="Y90" i="57"/>
  <c r="X90" i="57"/>
  <c r="U90" i="57"/>
  <c r="Q90" i="57"/>
  <c r="P90" i="57"/>
  <c r="O90" i="57"/>
  <c r="N90" i="57"/>
  <c r="M90" i="57"/>
  <c r="L90" i="57"/>
  <c r="K90" i="57"/>
  <c r="AG89" i="57"/>
  <c r="AF89" i="57"/>
  <c r="AE89" i="57"/>
  <c r="AD89" i="57"/>
  <c r="AC89" i="57"/>
  <c r="AB89" i="57"/>
  <c r="AA89" i="57"/>
  <c r="Z89" i="57"/>
  <c r="Y89" i="57"/>
  <c r="X89" i="57"/>
  <c r="U89" i="57"/>
  <c r="Q89" i="57"/>
  <c r="P89" i="57"/>
  <c r="O89" i="57"/>
  <c r="V89" i="57" s="1"/>
  <c r="M89" i="57"/>
  <c r="L89" i="57"/>
  <c r="K89" i="57"/>
  <c r="E89" i="57"/>
  <c r="M88" i="57"/>
  <c r="L88" i="57"/>
  <c r="W86" i="57"/>
  <c r="AG85" i="57"/>
  <c r="AF85" i="57"/>
  <c r="AE85" i="57"/>
  <c r="AD85" i="57"/>
  <c r="AC85" i="57"/>
  <c r="AB85" i="57"/>
  <c r="AA85" i="57"/>
  <c r="Z85" i="57"/>
  <c r="Y85" i="57"/>
  <c r="X85" i="57"/>
  <c r="U85" i="57"/>
  <c r="Q85" i="57"/>
  <c r="P85" i="57"/>
  <c r="O85" i="57"/>
  <c r="H85" i="57" s="1"/>
  <c r="M85" i="57"/>
  <c r="L85" i="57"/>
  <c r="K85" i="57"/>
  <c r="AG84" i="57"/>
  <c r="AF84" i="57"/>
  <c r="AE84" i="57"/>
  <c r="AD84" i="57"/>
  <c r="AC84" i="57"/>
  <c r="AB84" i="57"/>
  <c r="AA84" i="57"/>
  <c r="Z84" i="57"/>
  <c r="Y84" i="57"/>
  <c r="X84" i="57"/>
  <c r="U84" i="57"/>
  <c r="Q84" i="57"/>
  <c r="P84" i="57"/>
  <c r="O84" i="57"/>
  <c r="H84" i="57" s="1"/>
  <c r="M84" i="57"/>
  <c r="L84" i="57"/>
  <c r="K84" i="57"/>
  <c r="AG83" i="57"/>
  <c r="AF83" i="57"/>
  <c r="AE83" i="57"/>
  <c r="AD83" i="57"/>
  <c r="AC83" i="57"/>
  <c r="AB83" i="57"/>
  <c r="AA83" i="57"/>
  <c r="Z83" i="57"/>
  <c r="Y83" i="57"/>
  <c r="X83" i="57"/>
  <c r="U83" i="57"/>
  <c r="Q83" i="57"/>
  <c r="P83" i="57"/>
  <c r="O83" i="57"/>
  <c r="H83" i="57" s="1"/>
  <c r="M83" i="57"/>
  <c r="L83" i="57"/>
  <c r="K83" i="57"/>
  <c r="AG82" i="57"/>
  <c r="AF82" i="57"/>
  <c r="AE82" i="57"/>
  <c r="AD82" i="57"/>
  <c r="AC82" i="57"/>
  <c r="AB82" i="57"/>
  <c r="AA82" i="57"/>
  <c r="Z82" i="57"/>
  <c r="Y82" i="57"/>
  <c r="X82" i="57"/>
  <c r="U82" i="57"/>
  <c r="Q82" i="57"/>
  <c r="P82" i="57"/>
  <c r="O82" i="57"/>
  <c r="H82" i="57" s="1"/>
  <c r="M82" i="57"/>
  <c r="L82" i="57"/>
  <c r="K82" i="57"/>
  <c r="F86" i="57"/>
  <c r="AG81" i="57"/>
  <c r="AF81" i="57"/>
  <c r="AE81" i="57"/>
  <c r="AD81" i="57"/>
  <c r="AC81" i="57"/>
  <c r="AB81" i="57"/>
  <c r="AA81" i="57"/>
  <c r="Z81" i="57"/>
  <c r="Y81" i="57"/>
  <c r="X81" i="57"/>
  <c r="U81" i="57"/>
  <c r="Q81" i="57"/>
  <c r="P81" i="57"/>
  <c r="O81" i="57"/>
  <c r="H81" i="57" s="1"/>
  <c r="M81" i="57"/>
  <c r="L81" i="57"/>
  <c r="K81" i="57"/>
  <c r="AG80" i="57"/>
  <c r="AF80" i="57"/>
  <c r="AE80" i="57"/>
  <c r="AD80" i="57"/>
  <c r="AC80" i="57"/>
  <c r="AB80" i="57"/>
  <c r="AA80" i="57"/>
  <c r="Z80" i="57"/>
  <c r="Y80" i="57"/>
  <c r="X80" i="57"/>
  <c r="U80" i="57"/>
  <c r="Q80" i="57"/>
  <c r="P80" i="57"/>
  <c r="O80" i="57"/>
  <c r="H80" i="57" s="1"/>
  <c r="M80" i="57"/>
  <c r="L80" i="57"/>
  <c r="K80" i="57"/>
  <c r="AG79" i="57"/>
  <c r="AF79" i="57"/>
  <c r="AE79" i="57"/>
  <c r="AD79" i="57"/>
  <c r="AC79" i="57"/>
  <c r="AB79" i="57"/>
  <c r="AA79" i="57"/>
  <c r="Z79" i="57"/>
  <c r="Y79" i="57"/>
  <c r="X79" i="57"/>
  <c r="U79" i="57"/>
  <c r="Q79" i="57"/>
  <c r="P79" i="57"/>
  <c r="O79" i="57"/>
  <c r="H79" i="57" s="1"/>
  <c r="M79" i="57"/>
  <c r="L79" i="57"/>
  <c r="K79" i="57"/>
  <c r="AG78" i="57"/>
  <c r="AF78" i="57"/>
  <c r="AE78" i="57"/>
  <c r="AD78" i="57"/>
  <c r="AC78" i="57"/>
  <c r="AB78" i="57"/>
  <c r="AA78" i="57"/>
  <c r="Z78" i="57"/>
  <c r="Y78" i="57"/>
  <c r="X78" i="57"/>
  <c r="U78" i="57"/>
  <c r="Q78" i="57"/>
  <c r="P78" i="57"/>
  <c r="O78" i="57"/>
  <c r="M78" i="57"/>
  <c r="L78" i="57"/>
  <c r="K78" i="57"/>
  <c r="AG77" i="57"/>
  <c r="AF77" i="57"/>
  <c r="AE77" i="57"/>
  <c r="AD77" i="57"/>
  <c r="AC77" i="57"/>
  <c r="AB77" i="57"/>
  <c r="AA77" i="57"/>
  <c r="Z77" i="57"/>
  <c r="Y77" i="57"/>
  <c r="X77" i="57"/>
  <c r="U77" i="57"/>
  <c r="Q77" i="57"/>
  <c r="P77" i="57"/>
  <c r="O77" i="57"/>
  <c r="H77" i="57" s="1"/>
  <c r="M77" i="57"/>
  <c r="L77" i="57"/>
  <c r="K77" i="57"/>
  <c r="AG76" i="57"/>
  <c r="AF76" i="57"/>
  <c r="AE76" i="57"/>
  <c r="AD76" i="57"/>
  <c r="AC76" i="57"/>
  <c r="AB76" i="57"/>
  <c r="AA76" i="57"/>
  <c r="Z76" i="57"/>
  <c r="Y76" i="57"/>
  <c r="X76" i="57"/>
  <c r="U76" i="57"/>
  <c r="Q76" i="57"/>
  <c r="P76" i="57"/>
  <c r="O76" i="57"/>
  <c r="N76" i="57"/>
  <c r="M76" i="57"/>
  <c r="L76" i="57"/>
  <c r="K76" i="57"/>
  <c r="I76" i="57"/>
  <c r="AG75" i="57"/>
  <c r="AF75" i="57"/>
  <c r="AE75" i="57"/>
  <c r="AD75" i="57"/>
  <c r="AC75" i="57"/>
  <c r="AB75" i="57"/>
  <c r="AA75" i="57"/>
  <c r="Z75" i="57"/>
  <c r="Y75" i="57"/>
  <c r="X75" i="57"/>
  <c r="U75" i="57"/>
  <c r="Q75" i="57"/>
  <c r="P75" i="57"/>
  <c r="O75" i="57"/>
  <c r="M75" i="57"/>
  <c r="L75" i="57"/>
  <c r="K75" i="57"/>
  <c r="AG74" i="57"/>
  <c r="AF74" i="57"/>
  <c r="AE74" i="57"/>
  <c r="AD74" i="57"/>
  <c r="AC74" i="57"/>
  <c r="AB74" i="57"/>
  <c r="AA74" i="57"/>
  <c r="Z74" i="57"/>
  <c r="Y74" i="57"/>
  <c r="X74" i="57"/>
  <c r="U74" i="57"/>
  <c r="Q74" i="57"/>
  <c r="P74" i="57"/>
  <c r="O74" i="57"/>
  <c r="N74" i="57"/>
  <c r="M74" i="57"/>
  <c r="L74" i="57"/>
  <c r="K74" i="57"/>
  <c r="I74" i="57"/>
  <c r="AG73" i="57"/>
  <c r="AF73" i="57"/>
  <c r="AE73" i="57"/>
  <c r="AD73" i="57"/>
  <c r="AC73" i="57"/>
  <c r="AB73" i="57"/>
  <c r="AA73" i="57"/>
  <c r="Z73" i="57"/>
  <c r="Y73" i="57"/>
  <c r="X73" i="57"/>
  <c r="U73" i="57"/>
  <c r="Q73" i="57"/>
  <c r="P73" i="57"/>
  <c r="O73" i="57"/>
  <c r="M73" i="57"/>
  <c r="L73" i="57"/>
  <c r="K73" i="57"/>
  <c r="AG72" i="57"/>
  <c r="AF72" i="57"/>
  <c r="AE72" i="57"/>
  <c r="AD72" i="57"/>
  <c r="AC72" i="57"/>
  <c r="AB72" i="57"/>
  <c r="AA72" i="57"/>
  <c r="Z72" i="57"/>
  <c r="Y72" i="57"/>
  <c r="X72" i="57"/>
  <c r="U72" i="57"/>
  <c r="Q72" i="57"/>
  <c r="P72" i="57"/>
  <c r="O72" i="57"/>
  <c r="N72" i="57"/>
  <c r="M72" i="57"/>
  <c r="L72" i="57"/>
  <c r="K72" i="57"/>
  <c r="I72" i="57"/>
  <c r="AG71" i="57"/>
  <c r="AF71" i="57"/>
  <c r="AE71" i="57"/>
  <c r="AD71" i="57"/>
  <c r="AC71" i="57"/>
  <c r="AB71" i="57"/>
  <c r="AA71" i="57"/>
  <c r="Z71" i="57"/>
  <c r="Y71" i="57"/>
  <c r="X71" i="57"/>
  <c r="U71" i="57"/>
  <c r="Q71" i="57"/>
  <c r="P71" i="57"/>
  <c r="O71" i="57"/>
  <c r="M71" i="57"/>
  <c r="L71" i="57"/>
  <c r="K71" i="57"/>
  <c r="AG69" i="57"/>
  <c r="AF69" i="57"/>
  <c r="AE69" i="57"/>
  <c r="AD69" i="57"/>
  <c r="AC69" i="57"/>
  <c r="AB69" i="57"/>
  <c r="AA69" i="57"/>
  <c r="Z69" i="57"/>
  <c r="Y69" i="57"/>
  <c r="X69" i="57"/>
  <c r="U69" i="57"/>
  <c r="Q69" i="57"/>
  <c r="P69" i="57"/>
  <c r="O69" i="57"/>
  <c r="H69" i="57" s="1"/>
  <c r="M69" i="57"/>
  <c r="L69" i="57"/>
  <c r="K69" i="57"/>
  <c r="AG68" i="57"/>
  <c r="AF68" i="57"/>
  <c r="AE68" i="57"/>
  <c r="AD68" i="57"/>
  <c r="AC68" i="57"/>
  <c r="AB68" i="57"/>
  <c r="AA68" i="57"/>
  <c r="Z68" i="57"/>
  <c r="Y68" i="57"/>
  <c r="X68" i="57"/>
  <c r="U68" i="57"/>
  <c r="Q68" i="57"/>
  <c r="P68" i="57"/>
  <c r="O68" i="57"/>
  <c r="N68" i="57"/>
  <c r="M68" i="57"/>
  <c r="L68" i="57"/>
  <c r="K68" i="57"/>
  <c r="I68" i="57"/>
  <c r="AG67" i="57"/>
  <c r="AF67" i="57"/>
  <c r="AE67" i="57"/>
  <c r="AD67" i="57"/>
  <c r="AC67" i="57"/>
  <c r="AB67" i="57"/>
  <c r="AA67" i="57"/>
  <c r="Z67" i="57"/>
  <c r="Y67" i="57"/>
  <c r="X67" i="57"/>
  <c r="U67" i="57"/>
  <c r="Q67" i="57"/>
  <c r="P67" i="57"/>
  <c r="O67" i="57"/>
  <c r="M67" i="57"/>
  <c r="L67" i="57"/>
  <c r="K67" i="57"/>
  <c r="AG66" i="57"/>
  <c r="AF66" i="57"/>
  <c r="AE66" i="57"/>
  <c r="AD66" i="57"/>
  <c r="AC66" i="57"/>
  <c r="AB66" i="57"/>
  <c r="AA66" i="57"/>
  <c r="Z66" i="57"/>
  <c r="Y66" i="57"/>
  <c r="X66" i="57"/>
  <c r="U66" i="57"/>
  <c r="Q66" i="57"/>
  <c r="P66" i="57"/>
  <c r="O66" i="57"/>
  <c r="N66" i="57"/>
  <c r="M66" i="57"/>
  <c r="L66" i="57"/>
  <c r="K66" i="57"/>
  <c r="I66" i="57"/>
  <c r="AG65" i="57"/>
  <c r="AF65" i="57"/>
  <c r="AE65" i="57"/>
  <c r="AD65" i="57"/>
  <c r="AC65" i="57"/>
  <c r="AB65" i="57"/>
  <c r="AA65" i="57"/>
  <c r="Z65" i="57"/>
  <c r="Y65" i="57"/>
  <c r="X65" i="57"/>
  <c r="U65" i="57"/>
  <c r="Q65" i="57"/>
  <c r="P65" i="57"/>
  <c r="O65" i="57"/>
  <c r="M65" i="57"/>
  <c r="L65" i="57"/>
  <c r="K65" i="57"/>
  <c r="AG64" i="57"/>
  <c r="AF64" i="57"/>
  <c r="AE64" i="57"/>
  <c r="AD64" i="57"/>
  <c r="AC64" i="57"/>
  <c r="AB64" i="57"/>
  <c r="AA64" i="57"/>
  <c r="Z64" i="57"/>
  <c r="Y64" i="57"/>
  <c r="X64" i="57"/>
  <c r="U64" i="57"/>
  <c r="Q64" i="57"/>
  <c r="P64" i="57"/>
  <c r="O64" i="57"/>
  <c r="N64" i="57"/>
  <c r="M64" i="57"/>
  <c r="L64" i="57"/>
  <c r="K64" i="57"/>
  <c r="I64" i="57"/>
  <c r="AG63" i="57"/>
  <c r="AF63" i="57"/>
  <c r="AE63" i="57"/>
  <c r="AD63" i="57"/>
  <c r="AC63" i="57"/>
  <c r="AB63" i="57"/>
  <c r="AA63" i="57"/>
  <c r="Z63" i="57"/>
  <c r="Y63" i="57"/>
  <c r="X63" i="57"/>
  <c r="U63" i="57"/>
  <c r="Q63" i="57"/>
  <c r="P63" i="57"/>
  <c r="O63" i="57"/>
  <c r="M63" i="57"/>
  <c r="L63" i="57"/>
  <c r="K63" i="57"/>
  <c r="AG62" i="57"/>
  <c r="AF62" i="57"/>
  <c r="AE62" i="57"/>
  <c r="AD62" i="57"/>
  <c r="AC62" i="57"/>
  <c r="AB62" i="57"/>
  <c r="AA62" i="57"/>
  <c r="Z62" i="57"/>
  <c r="Y62" i="57"/>
  <c r="X62" i="57"/>
  <c r="U62" i="57"/>
  <c r="Q62" i="57"/>
  <c r="P62" i="57"/>
  <c r="O62" i="57"/>
  <c r="N62" i="57"/>
  <c r="M62" i="57"/>
  <c r="L62" i="57"/>
  <c r="K62" i="57"/>
  <c r="I62" i="57"/>
  <c r="AG61" i="57"/>
  <c r="AF61" i="57"/>
  <c r="AE61" i="57"/>
  <c r="AD61" i="57"/>
  <c r="AC61" i="57"/>
  <c r="AB61" i="57"/>
  <c r="AA61" i="57"/>
  <c r="Z61" i="57"/>
  <c r="Y61" i="57"/>
  <c r="X61" i="57"/>
  <c r="U61" i="57"/>
  <c r="Q61" i="57"/>
  <c r="P61" i="57"/>
  <c r="O61" i="57"/>
  <c r="M61" i="57"/>
  <c r="L61" i="57"/>
  <c r="K61" i="57"/>
  <c r="AG60" i="57"/>
  <c r="AF60" i="57"/>
  <c r="AE60" i="57"/>
  <c r="AD60" i="57"/>
  <c r="AC60" i="57"/>
  <c r="AB60" i="57"/>
  <c r="AA60" i="57"/>
  <c r="Z60" i="57"/>
  <c r="Y60" i="57"/>
  <c r="X60" i="57"/>
  <c r="U60" i="57"/>
  <c r="Q60" i="57"/>
  <c r="P60" i="57"/>
  <c r="O60" i="57"/>
  <c r="N60" i="57"/>
  <c r="M60" i="57"/>
  <c r="L60" i="57"/>
  <c r="K60" i="57"/>
  <c r="I60" i="57"/>
  <c r="AG59" i="57"/>
  <c r="AF59" i="57"/>
  <c r="AE59" i="57"/>
  <c r="AD59" i="57"/>
  <c r="AC59" i="57"/>
  <c r="AB59" i="57"/>
  <c r="AA59" i="57"/>
  <c r="Z59" i="57"/>
  <c r="Y59" i="57"/>
  <c r="X59" i="57"/>
  <c r="U59" i="57"/>
  <c r="Q59" i="57"/>
  <c r="P59" i="57"/>
  <c r="O59" i="57"/>
  <c r="M59" i="57"/>
  <c r="L59" i="57"/>
  <c r="K59" i="57"/>
  <c r="AG58" i="57"/>
  <c r="AF58" i="57"/>
  <c r="AE58" i="57"/>
  <c r="AD58" i="57"/>
  <c r="AC58" i="57"/>
  <c r="AB58" i="57"/>
  <c r="AA58" i="57"/>
  <c r="Z58" i="57"/>
  <c r="Y58" i="57"/>
  <c r="X58" i="57"/>
  <c r="U58" i="57"/>
  <c r="Q58" i="57"/>
  <c r="P58" i="57"/>
  <c r="O58" i="57"/>
  <c r="N58" i="57"/>
  <c r="M58" i="57"/>
  <c r="L58" i="57"/>
  <c r="K58" i="57"/>
  <c r="I58" i="57"/>
  <c r="AG57" i="57"/>
  <c r="AF57" i="57"/>
  <c r="AE57" i="57"/>
  <c r="AD57" i="57"/>
  <c r="AC57" i="57"/>
  <c r="AB57" i="57"/>
  <c r="AA57" i="57"/>
  <c r="Z57" i="57"/>
  <c r="Y57" i="57"/>
  <c r="X57" i="57"/>
  <c r="U57" i="57"/>
  <c r="Q57" i="57"/>
  <c r="P57" i="57"/>
  <c r="O57" i="57"/>
  <c r="M57" i="57"/>
  <c r="L57" i="57"/>
  <c r="K57" i="57"/>
  <c r="AG56" i="57"/>
  <c r="AF56" i="57"/>
  <c r="AE56" i="57"/>
  <c r="AD56" i="57"/>
  <c r="AC56" i="57"/>
  <c r="AB56" i="57"/>
  <c r="AA56" i="57"/>
  <c r="Z56" i="57"/>
  <c r="Y56" i="57"/>
  <c r="X56" i="57"/>
  <c r="U56" i="57"/>
  <c r="Q56" i="57"/>
  <c r="P56" i="57"/>
  <c r="O56" i="57"/>
  <c r="N56" i="57"/>
  <c r="M56" i="57"/>
  <c r="L56" i="57"/>
  <c r="K56" i="57"/>
  <c r="AG55" i="57"/>
  <c r="AF55" i="57"/>
  <c r="AE55" i="57"/>
  <c r="AD55" i="57"/>
  <c r="AC55" i="57"/>
  <c r="AB55" i="57"/>
  <c r="AA55" i="57"/>
  <c r="Z55" i="57"/>
  <c r="Y55" i="57"/>
  <c r="X55" i="57"/>
  <c r="U55" i="57"/>
  <c r="Q55" i="57"/>
  <c r="P55" i="57"/>
  <c r="O55" i="57"/>
  <c r="M55" i="57"/>
  <c r="L55" i="57"/>
  <c r="K55" i="57"/>
  <c r="M54" i="57"/>
  <c r="L54" i="57"/>
  <c r="K54" i="57"/>
  <c r="F50" i="57"/>
  <c r="AG49" i="57"/>
  <c r="AF49" i="57"/>
  <c r="AE49" i="57"/>
  <c r="AD49" i="57"/>
  <c r="AC49" i="57"/>
  <c r="AB49" i="57"/>
  <c r="AA49" i="57"/>
  <c r="Z49" i="57"/>
  <c r="Y49" i="57"/>
  <c r="X49" i="57"/>
  <c r="U49" i="57"/>
  <c r="Q49" i="57"/>
  <c r="P49" i="57"/>
  <c r="O49" i="57"/>
  <c r="H49" i="57" s="1"/>
  <c r="N49" i="57"/>
  <c r="M49" i="57"/>
  <c r="L49" i="57"/>
  <c r="K49" i="57"/>
  <c r="AG48" i="57"/>
  <c r="AF48" i="57"/>
  <c r="AE48" i="57"/>
  <c r="AD48" i="57"/>
  <c r="AC48" i="57"/>
  <c r="AB48" i="57"/>
  <c r="AA48" i="57"/>
  <c r="Z48" i="57"/>
  <c r="Y48" i="57"/>
  <c r="X48" i="57"/>
  <c r="U48" i="57"/>
  <c r="Q48" i="57"/>
  <c r="P48" i="57"/>
  <c r="O48" i="57"/>
  <c r="H48" i="57" s="1"/>
  <c r="N48" i="57"/>
  <c r="M48" i="57"/>
  <c r="L48" i="57"/>
  <c r="K48" i="57"/>
  <c r="AG47" i="57"/>
  <c r="AF47" i="57"/>
  <c r="AE47" i="57"/>
  <c r="AD47" i="57"/>
  <c r="AC47" i="57"/>
  <c r="AB47" i="57"/>
  <c r="AA47" i="57"/>
  <c r="Z47" i="57"/>
  <c r="Y47" i="57"/>
  <c r="X47" i="57"/>
  <c r="U47" i="57"/>
  <c r="Q47" i="57"/>
  <c r="P47" i="57"/>
  <c r="O47" i="57"/>
  <c r="H47" i="57" s="1"/>
  <c r="N47" i="57"/>
  <c r="M47" i="57"/>
  <c r="L47" i="57"/>
  <c r="K47" i="57"/>
  <c r="AG46" i="57"/>
  <c r="AF46" i="57"/>
  <c r="AE46" i="57"/>
  <c r="AD46" i="57"/>
  <c r="AC46" i="57"/>
  <c r="AB46" i="57"/>
  <c r="AA46" i="57"/>
  <c r="Z46" i="57"/>
  <c r="Y46" i="57"/>
  <c r="X46" i="57"/>
  <c r="U46" i="57"/>
  <c r="Q46" i="57"/>
  <c r="P46" i="57"/>
  <c r="O46" i="57"/>
  <c r="H46" i="57" s="1"/>
  <c r="E46" i="57"/>
  <c r="M46" i="57"/>
  <c r="L46" i="57"/>
  <c r="K46" i="57"/>
  <c r="AG45" i="57"/>
  <c r="AF45" i="57"/>
  <c r="AE45" i="57"/>
  <c r="AD45" i="57"/>
  <c r="AC45" i="57"/>
  <c r="AB45" i="57"/>
  <c r="AA45" i="57"/>
  <c r="Z45" i="57"/>
  <c r="Y45" i="57"/>
  <c r="X45" i="57"/>
  <c r="U45" i="57"/>
  <c r="Q45" i="57"/>
  <c r="P45" i="57"/>
  <c r="O45" i="57"/>
  <c r="H45" i="57" s="1"/>
  <c r="I45" i="57" s="1"/>
  <c r="N45" i="57"/>
  <c r="M45" i="57"/>
  <c r="L45" i="57"/>
  <c r="K45" i="57"/>
  <c r="AG44" i="57"/>
  <c r="AF44" i="57"/>
  <c r="AE44" i="57"/>
  <c r="AD44" i="57"/>
  <c r="AC44" i="57"/>
  <c r="AB44" i="57"/>
  <c r="AA44" i="57"/>
  <c r="Z44" i="57"/>
  <c r="Y44" i="57"/>
  <c r="X44" i="57"/>
  <c r="U44" i="57"/>
  <c r="Q44" i="57"/>
  <c r="P44" i="57"/>
  <c r="O44" i="57"/>
  <c r="H44" i="57" s="1"/>
  <c r="E44" i="57"/>
  <c r="M44" i="57"/>
  <c r="L44" i="57"/>
  <c r="K44" i="57"/>
  <c r="AG43" i="57"/>
  <c r="AF43" i="57"/>
  <c r="AE43" i="57"/>
  <c r="AD43" i="57"/>
  <c r="AC43" i="57"/>
  <c r="AB43" i="57"/>
  <c r="AA43" i="57"/>
  <c r="Z43" i="57"/>
  <c r="Y43" i="57"/>
  <c r="X43" i="57"/>
  <c r="U43" i="57"/>
  <c r="Q43" i="57"/>
  <c r="P43" i="57"/>
  <c r="O43" i="57"/>
  <c r="H43" i="57" s="1"/>
  <c r="I43" i="57" s="1"/>
  <c r="N43" i="57"/>
  <c r="M43" i="57"/>
  <c r="L43" i="57"/>
  <c r="K43" i="57"/>
  <c r="AG42" i="57"/>
  <c r="AF42" i="57"/>
  <c r="AE42" i="57"/>
  <c r="AD42" i="57"/>
  <c r="AC42" i="57"/>
  <c r="AB42" i="57"/>
  <c r="AA42" i="57"/>
  <c r="Z42" i="57"/>
  <c r="Y42" i="57"/>
  <c r="X42" i="57"/>
  <c r="U42" i="57"/>
  <c r="Q42" i="57"/>
  <c r="P42" i="57"/>
  <c r="O42" i="57"/>
  <c r="H42" i="57" s="1"/>
  <c r="I42" i="57" s="1"/>
  <c r="N42" i="57"/>
  <c r="M42" i="57"/>
  <c r="L42" i="57"/>
  <c r="K42" i="57"/>
  <c r="AG41" i="57"/>
  <c r="AF41" i="57"/>
  <c r="AE41" i="57"/>
  <c r="AD41" i="57"/>
  <c r="AC41" i="57"/>
  <c r="AB41" i="57"/>
  <c r="AA41" i="57"/>
  <c r="Z41" i="57"/>
  <c r="Y41" i="57"/>
  <c r="X41" i="57"/>
  <c r="U41" i="57"/>
  <c r="Q41" i="57"/>
  <c r="P41" i="57"/>
  <c r="O41" i="57"/>
  <c r="H41" i="57" s="1"/>
  <c r="I41" i="57" s="1"/>
  <c r="N41" i="57"/>
  <c r="M41" i="57"/>
  <c r="L41" i="57"/>
  <c r="K41" i="57"/>
  <c r="AG40" i="57"/>
  <c r="AF40" i="57"/>
  <c r="AE40" i="57"/>
  <c r="AD40" i="57"/>
  <c r="AC40" i="57"/>
  <c r="AB40" i="57"/>
  <c r="AA40" i="57"/>
  <c r="Z40" i="57"/>
  <c r="Y40" i="57"/>
  <c r="X40" i="57"/>
  <c r="U40" i="57"/>
  <c r="Q40" i="57"/>
  <c r="P40" i="57"/>
  <c r="O40" i="57"/>
  <c r="H40" i="57" s="1"/>
  <c r="I40" i="57" s="1"/>
  <c r="N40" i="57"/>
  <c r="M40" i="57"/>
  <c r="L40" i="57"/>
  <c r="K40" i="57"/>
  <c r="AG39" i="57"/>
  <c r="AF39" i="57"/>
  <c r="AE39" i="57"/>
  <c r="AD39" i="57"/>
  <c r="AC39" i="57"/>
  <c r="AB39" i="57"/>
  <c r="AA39" i="57"/>
  <c r="Z39" i="57"/>
  <c r="Y39" i="57"/>
  <c r="X39" i="57"/>
  <c r="U39" i="57"/>
  <c r="Q39" i="57"/>
  <c r="P39" i="57"/>
  <c r="O39" i="57"/>
  <c r="H39" i="57" s="1"/>
  <c r="E39" i="57"/>
  <c r="M39" i="57"/>
  <c r="L39" i="57"/>
  <c r="K39" i="57"/>
  <c r="AG38" i="57"/>
  <c r="AF38" i="57"/>
  <c r="AE38" i="57"/>
  <c r="AD38" i="57"/>
  <c r="AC38" i="57"/>
  <c r="AB38" i="57"/>
  <c r="AA38" i="57"/>
  <c r="Z38" i="57"/>
  <c r="Y38" i="57"/>
  <c r="X38" i="57"/>
  <c r="U38" i="57"/>
  <c r="Q38" i="57"/>
  <c r="P38" i="57"/>
  <c r="O38" i="57"/>
  <c r="H38" i="57" s="1"/>
  <c r="N38" i="57"/>
  <c r="M38" i="57"/>
  <c r="L38" i="57"/>
  <c r="K38" i="57"/>
  <c r="AG37" i="57"/>
  <c r="AF37" i="57"/>
  <c r="AE37" i="57"/>
  <c r="AD37" i="57"/>
  <c r="AC37" i="57"/>
  <c r="AB37" i="57"/>
  <c r="AA37" i="57"/>
  <c r="Z37" i="57"/>
  <c r="Y37" i="57"/>
  <c r="X37" i="57"/>
  <c r="U37" i="57"/>
  <c r="Q37" i="57"/>
  <c r="P37" i="57"/>
  <c r="O37" i="57"/>
  <c r="H37" i="57" s="1"/>
  <c r="N37" i="57"/>
  <c r="M37" i="57"/>
  <c r="L37" i="57"/>
  <c r="K37" i="57"/>
  <c r="AG36" i="57"/>
  <c r="AF36" i="57"/>
  <c r="AE36" i="57"/>
  <c r="AD36" i="57"/>
  <c r="AC36" i="57"/>
  <c r="AB36" i="57"/>
  <c r="AA36" i="57"/>
  <c r="Z36" i="57"/>
  <c r="Y36" i="57"/>
  <c r="X36" i="57"/>
  <c r="U36" i="57"/>
  <c r="Q36" i="57"/>
  <c r="P36" i="57"/>
  <c r="O36" i="57"/>
  <c r="H36" i="57" s="1"/>
  <c r="N36" i="57"/>
  <c r="M36" i="57"/>
  <c r="L36" i="57"/>
  <c r="K36" i="57"/>
  <c r="AG35" i="57"/>
  <c r="AF35" i="57"/>
  <c r="AE35" i="57"/>
  <c r="AD35" i="57"/>
  <c r="AC35" i="57"/>
  <c r="AB35" i="57"/>
  <c r="AA35" i="57"/>
  <c r="Z35" i="57"/>
  <c r="Y35" i="57"/>
  <c r="X35" i="57"/>
  <c r="U35" i="57"/>
  <c r="Q35" i="57"/>
  <c r="P35" i="57"/>
  <c r="O35" i="57"/>
  <c r="H35" i="57" s="1"/>
  <c r="N35" i="57"/>
  <c r="M35" i="57"/>
  <c r="L35" i="57"/>
  <c r="K35" i="57"/>
  <c r="AG34" i="57"/>
  <c r="AF34" i="57"/>
  <c r="AE34" i="57"/>
  <c r="AD34" i="57"/>
  <c r="AC34" i="57"/>
  <c r="AB34" i="57"/>
  <c r="AA34" i="57"/>
  <c r="Z34" i="57"/>
  <c r="Y34" i="57"/>
  <c r="X34" i="57"/>
  <c r="U34" i="57"/>
  <c r="Q34" i="57"/>
  <c r="P34" i="57"/>
  <c r="O34" i="57"/>
  <c r="H34" i="57" s="1"/>
  <c r="N34" i="57"/>
  <c r="M34" i="57"/>
  <c r="L34" i="57"/>
  <c r="K34" i="57"/>
  <c r="AG33" i="57"/>
  <c r="AF33" i="57"/>
  <c r="AE33" i="57"/>
  <c r="AD33" i="57"/>
  <c r="AC33" i="57"/>
  <c r="AB33" i="57"/>
  <c r="AA33" i="57"/>
  <c r="Z33" i="57"/>
  <c r="Y33" i="57"/>
  <c r="X33" i="57"/>
  <c r="U33" i="57"/>
  <c r="Q33" i="57"/>
  <c r="P33" i="57"/>
  <c r="O33" i="57"/>
  <c r="H33" i="57" s="1"/>
  <c r="N33" i="57"/>
  <c r="M33" i="57"/>
  <c r="L33" i="57"/>
  <c r="K33" i="57"/>
  <c r="AG32" i="57"/>
  <c r="AF32" i="57"/>
  <c r="AE32" i="57"/>
  <c r="AD32" i="57"/>
  <c r="AC32" i="57"/>
  <c r="AB32" i="57"/>
  <c r="AA32" i="57"/>
  <c r="Z32" i="57"/>
  <c r="Y32" i="57"/>
  <c r="X32" i="57"/>
  <c r="U32" i="57"/>
  <c r="Q32" i="57"/>
  <c r="P32" i="57"/>
  <c r="O32" i="57"/>
  <c r="H32" i="57" s="1"/>
  <c r="N32" i="57"/>
  <c r="M32" i="57"/>
  <c r="L32" i="57"/>
  <c r="K32" i="57"/>
  <c r="AG31" i="57"/>
  <c r="AF31" i="57"/>
  <c r="AE31" i="57"/>
  <c r="AD31" i="57"/>
  <c r="AC31" i="57"/>
  <c r="AB31" i="57"/>
  <c r="AA31" i="57"/>
  <c r="Z31" i="57"/>
  <c r="Y31" i="57"/>
  <c r="X31" i="57"/>
  <c r="U31" i="57"/>
  <c r="Q31" i="57"/>
  <c r="P31" i="57"/>
  <c r="O31" i="57"/>
  <c r="H31" i="57" s="1"/>
  <c r="N31" i="57"/>
  <c r="M31" i="57"/>
  <c r="L31" i="57"/>
  <c r="K31" i="57"/>
  <c r="AG30" i="57"/>
  <c r="AF30" i="57"/>
  <c r="AE30" i="57"/>
  <c r="AD30" i="57"/>
  <c r="AC30" i="57"/>
  <c r="AB30" i="57"/>
  <c r="AA30" i="57"/>
  <c r="Z30" i="57"/>
  <c r="Y30" i="57"/>
  <c r="X30" i="57"/>
  <c r="U30" i="57"/>
  <c r="Q30" i="57"/>
  <c r="P30" i="57"/>
  <c r="O30" i="57"/>
  <c r="H30" i="57" s="1"/>
  <c r="N30" i="57"/>
  <c r="M30" i="57"/>
  <c r="L30" i="57"/>
  <c r="K30" i="57"/>
  <c r="AG29" i="57"/>
  <c r="AF29" i="57"/>
  <c r="AE29" i="57"/>
  <c r="AD29" i="57"/>
  <c r="AC29" i="57"/>
  <c r="AB29" i="57"/>
  <c r="AA29" i="57"/>
  <c r="Z29" i="57"/>
  <c r="Y29" i="57"/>
  <c r="X29" i="57"/>
  <c r="U29" i="57"/>
  <c r="Q29" i="57"/>
  <c r="P29" i="57"/>
  <c r="O29" i="57"/>
  <c r="H29" i="57" s="1"/>
  <c r="E29" i="57"/>
  <c r="M29" i="57"/>
  <c r="L29" i="57"/>
  <c r="K29" i="57"/>
  <c r="AG28" i="57"/>
  <c r="AF28" i="57"/>
  <c r="AE28" i="57"/>
  <c r="AD28" i="57"/>
  <c r="AC28" i="57"/>
  <c r="AB28" i="57"/>
  <c r="AA28" i="57"/>
  <c r="Z28" i="57"/>
  <c r="Y28" i="57"/>
  <c r="X28" i="57"/>
  <c r="U28" i="57"/>
  <c r="Q28" i="57"/>
  <c r="P28" i="57"/>
  <c r="O28" i="57"/>
  <c r="H28" i="57" s="1"/>
  <c r="I28" i="57" s="1"/>
  <c r="N28" i="57"/>
  <c r="M28" i="57"/>
  <c r="L28" i="57"/>
  <c r="K28" i="57"/>
  <c r="AG27" i="57"/>
  <c r="AF27" i="57"/>
  <c r="AE27" i="57"/>
  <c r="AD27" i="57"/>
  <c r="AC27" i="57"/>
  <c r="AB27" i="57"/>
  <c r="AA27" i="57"/>
  <c r="Z27" i="57"/>
  <c r="Y27" i="57"/>
  <c r="X27" i="57"/>
  <c r="U27" i="57"/>
  <c r="Q27" i="57"/>
  <c r="P27" i="57"/>
  <c r="O27" i="57"/>
  <c r="H27" i="57" s="1"/>
  <c r="I27" i="57" s="1"/>
  <c r="N27" i="57"/>
  <c r="M27" i="57"/>
  <c r="L27" i="57"/>
  <c r="K27" i="57"/>
  <c r="AG26" i="57"/>
  <c r="AF26" i="57"/>
  <c r="AE26" i="57"/>
  <c r="AD26" i="57"/>
  <c r="AC26" i="57"/>
  <c r="AB26" i="57"/>
  <c r="AA26" i="57"/>
  <c r="Z26" i="57"/>
  <c r="Y26" i="57"/>
  <c r="X26" i="57"/>
  <c r="U26" i="57"/>
  <c r="Q26" i="57"/>
  <c r="P26" i="57"/>
  <c r="O26" i="57"/>
  <c r="H26" i="57" s="1"/>
  <c r="I26" i="57" s="1"/>
  <c r="N26" i="57"/>
  <c r="M26" i="57"/>
  <c r="L26" i="57"/>
  <c r="K26" i="57"/>
  <c r="AG25" i="57"/>
  <c r="AF25" i="57"/>
  <c r="AE25" i="57"/>
  <c r="AD25" i="57"/>
  <c r="AC25" i="57"/>
  <c r="AB25" i="57"/>
  <c r="AA25" i="57"/>
  <c r="Z25" i="57"/>
  <c r="Y25" i="57"/>
  <c r="X25" i="57"/>
  <c r="U25" i="57"/>
  <c r="Q25" i="57"/>
  <c r="P25" i="57"/>
  <c r="O25" i="57"/>
  <c r="H25" i="57" s="1"/>
  <c r="I25" i="57" s="1"/>
  <c r="N25" i="57"/>
  <c r="M25" i="57"/>
  <c r="L25" i="57"/>
  <c r="K25" i="57"/>
  <c r="AG24" i="57"/>
  <c r="AF24" i="57"/>
  <c r="AE24" i="57"/>
  <c r="AD24" i="57"/>
  <c r="AC24" i="57"/>
  <c r="AB24" i="57"/>
  <c r="AA24" i="57"/>
  <c r="Z24" i="57"/>
  <c r="Y24" i="57"/>
  <c r="X24" i="57"/>
  <c r="U24" i="57"/>
  <c r="Q24" i="57"/>
  <c r="P24" i="57"/>
  <c r="O24" i="57"/>
  <c r="H24" i="57" s="1"/>
  <c r="I24" i="57" s="1"/>
  <c r="N24" i="57"/>
  <c r="M24" i="57"/>
  <c r="L24" i="57"/>
  <c r="K24" i="57"/>
  <c r="AG23" i="57"/>
  <c r="AF23" i="57"/>
  <c r="AE23" i="57"/>
  <c r="AD23" i="57"/>
  <c r="AC23" i="57"/>
  <c r="AB23" i="57"/>
  <c r="AA23" i="57"/>
  <c r="Z23" i="57"/>
  <c r="Y23" i="57"/>
  <c r="X23" i="57"/>
  <c r="U23" i="57"/>
  <c r="Q23" i="57"/>
  <c r="P23" i="57"/>
  <c r="O23" i="57"/>
  <c r="H23" i="57" s="1"/>
  <c r="I23" i="57" s="1"/>
  <c r="N23" i="57"/>
  <c r="M23" i="57"/>
  <c r="L23" i="57"/>
  <c r="K23" i="57"/>
  <c r="AG22" i="57"/>
  <c r="AF22" i="57"/>
  <c r="AE22" i="57"/>
  <c r="AD22" i="57"/>
  <c r="AC22" i="57"/>
  <c r="AB22" i="57"/>
  <c r="AA22" i="57"/>
  <c r="Z22" i="57"/>
  <c r="Y22" i="57"/>
  <c r="X22" i="57"/>
  <c r="U22" i="57"/>
  <c r="Q22" i="57"/>
  <c r="P22" i="57"/>
  <c r="O22" i="57"/>
  <c r="H22" i="57" s="1"/>
  <c r="I22" i="57" s="1"/>
  <c r="N22" i="57"/>
  <c r="M22" i="57"/>
  <c r="L22" i="57"/>
  <c r="K22" i="57"/>
  <c r="AG21" i="57"/>
  <c r="AF21" i="57"/>
  <c r="AE21" i="57"/>
  <c r="AD21" i="57"/>
  <c r="AC21" i="57"/>
  <c r="AB21" i="57"/>
  <c r="AA21" i="57"/>
  <c r="Z21" i="57"/>
  <c r="Y21" i="57"/>
  <c r="X21" i="57"/>
  <c r="U21" i="57"/>
  <c r="Q21" i="57"/>
  <c r="P21" i="57"/>
  <c r="O21" i="57"/>
  <c r="H21" i="57" s="1"/>
  <c r="E21" i="57"/>
  <c r="M21" i="57"/>
  <c r="L21" i="57"/>
  <c r="K21" i="57"/>
  <c r="AG20" i="57"/>
  <c r="AF20" i="57"/>
  <c r="AE20" i="57"/>
  <c r="AD20" i="57"/>
  <c r="AC20" i="57"/>
  <c r="AB20" i="57"/>
  <c r="AA20" i="57"/>
  <c r="Z20" i="57"/>
  <c r="Y20" i="57"/>
  <c r="X20" i="57"/>
  <c r="U20" i="57"/>
  <c r="Q20" i="57"/>
  <c r="P20" i="57"/>
  <c r="O20" i="57"/>
  <c r="H20" i="57" s="1"/>
  <c r="E20" i="57"/>
  <c r="M20" i="57"/>
  <c r="L20" i="57"/>
  <c r="K20" i="57"/>
  <c r="AG19" i="57"/>
  <c r="AF19" i="57"/>
  <c r="AE19" i="57"/>
  <c r="AD19" i="57"/>
  <c r="AC19" i="57"/>
  <c r="AB19" i="57"/>
  <c r="AA19" i="57"/>
  <c r="Z19" i="57"/>
  <c r="Y19" i="57"/>
  <c r="X19" i="57"/>
  <c r="U19" i="57"/>
  <c r="Q19" i="57"/>
  <c r="P19" i="57"/>
  <c r="O19" i="57"/>
  <c r="H19" i="57" s="1"/>
  <c r="D18" i="57"/>
  <c r="E14" i="57" s="1"/>
  <c r="N19" i="57"/>
  <c r="M19" i="57"/>
  <c r="L19" i="57"/>
  <c r="K19" i="57"/>
  <c r="AG18" i="57"/>
  <c r="AF18" i="57"/>
  <c r="AE18" i="57"/>
  <c r="AD18" i="57"/>
  <c r="AC18" i="57"/>
  <c r="AB18" i="57"/>
  <c r="AA18" i="57"/>
  <c r="Z18" i="57"/>
  <c r="Y18" i="57"/>
  <c r="X18" i="57"/>
  <c r="U18" i="57"/>
  <c r="Q18" i="57"/>
  <c r="P18" i="57"/>
  <c r="O18" i="57"/>
  <c r="H18" i="57" s="1"/>
  <c r="N18" i="57"/>
  <c r="M18" i="57"/>
  <c r="L18" i="57"/>
  <c r="K18" i="57"/>
  <c r="AG17" i="57"/>
  <c r="AF17" i="57"/>
  <c r="AE17" i="57"/>
  <c r="AD17" i="57"/>
  <c r="AC17" i="57"/>
  <c r="AB17" i="57"/>
  <c r="AA17" i="57"/>
  <c r="Z17" i="57"/>
  <c r="Y17" i="57"/>
  <c r="X17" i="57"/>
  <c r="U17" i="57"/>
  <c r="Q17" i="57"/>
  <c r="P17" i="57"/>
  <c r="O17" i="57"/>
  <c r="H17" i="57" s="1"/>
  <c r="N17" i="57"/>
  <c r="M17" i="57"/>
  <c r="L17" i="57"/>
  <c r="K17" i="57"/>
  <c r="AG16" i="57"/>
  <c r="AF16" i="57"/>
  <c r="AE16" i="57"/>
  <c r="AD16" i="57"/>
  <c r="AC16" i="57"/>
  <c r="AB16" i="57"/>
  <c r="AA16" i="57"/>
  <c r="Z16" i="57"/>
  <c r="Y16" i="57"/>
  <c r="X16" i="57"/>
  <c r="U16" i="57"/>
  <c r="Q16" i="57"/>
  <c r="P16" i="57"/>
  <c r="O16" i="57"/>
  <c r="H16" i="57" s="1"/>
  <c r="N16" i="57"/>
  <c r="M16" i="57"/>
  <c r="L16" i="57"/>
  <c r="K16" i="57"/>
  <c r="AG15" i="57"/>
  <c r="AF15" i="57"/>
  <c r="AE15" i="57"/>
  <c r="AD15" i="57"/>
  <c r="AC15" i="57"/>
  <c r="AB15" i="57"/>
  <c r="AA15" i="57"/>
  <c r="Z15" i="57"/>
  <c r="Y15" i="57"/>
  <c r="X15" i="57"/>
  <c r="U15" i="57"/>
  <c r="Q15" i="57"/>
  <c r="P15" i="57"/>
  <c r="O15" i="57"/>
  <c r="H15" i="57" s="1"/>
  <c r="N15" i="57"/>
  <c r="M15" i="57"/>
  <c r="L15" i="57"/>
  <c r="K15" i="57"/>
  <c r="AG14" i="57"/>
  <c r="AF14" i="57"/>
  <c r="AE14" i="57"/>
  <c r="AD14" i="57"/>
  <c r="AC14" i="57"/>
  <c r="AB14" i="57"/>
  <c r="AA14" i="57"/>
  <c r="Z14" i="57"/>
  <c r="Y14" i="57"/>
  <c r="X14" i="57"/>
  <c r="U14" i="57"/>
  <c r="Q14" i="57"/>
  <c r="P14" i="57"/>
  <c r="O14" i="57"/>
  <c r="H14" i="57" s="1"/>
  <c r="M14" i="57"/>
  <c r="L14" i="57"/>
  <c r="K14" i="57"/>
  <c r="AG13" i="57"/>
  <c r="AF13" i="57"/>
  <c r="AE13" i="57"/>
  <c r="AD13" i="57"/>
  <c r="AC13" i="57"/>
  <c r="AB13" i="57"/>
  <c r="AA13" i="57"/>
  <c r="Z13" i="57"/>
  <c r="Y13" i="57"/>
  <c r="X13" i="57"/>
  <c r="U13" i="57"/>
  <c r="Q13" i="57"/>
  <c r="P13" i="57"/>
  <c r="O13" i="57"/>
  <c r="H13" i="57" s="1"/>
  <c r="I13" i="57" s="1"/>
  <c r="N13" i="57"/>
  <c r="M13" i="57"/>
  <c r="L13" i="57"/>
  <c r="K13" i="57"/>
  <c r="AG12" i="57"/>
  <c r="AF12" i="57"/>
  <c r="AE12" i="57"/>
  <c r="AD12" i="57"/>
  <c r="AC12" i="57"/>
  <c r="AB12" i="57"/>
  <c r="AA12" i="57"/>
  <c r="Z12" i="57"/>
  <c r="Y12" i="57"/>
  <c r="X12" i="57"/>
  <c r="U12" i="57"/>
  <c r="Q12" i="57"/>
  <c r="P12" i="57"/>
  <c r="O12" i="57"/>
  <c r="N12" i="57"/>
  <c r="M12" i="57"/>
  <c r="L12" i="57"/>
  <c r="K12" i="57"/>
  <c r="AG11" i="57"/>
  <c r="AF11" i="57"/>
  <c r="AE11" i="57"/>
  <c r="AD11" i="57"/>
  <c r="AC11" i="57"/>
  <c r="AB11" i="57"/>
  <c r="AA11" i="57"/>
  <c r="Z11" i="57"/>
  <c r="Y11" i="57"/>
  <c r="X11" i="57"/>
  <c r="U11" i="57"/>
  <c r="Q11" i="57"/>
  <c r="P11" i="57"/>
  <c r="O11" i="57"/>
  <c r="H11" i="57" s="1"/>
  <c r="I11" i="57" s="1"/>
  <c r="N11" i="57"/>
  <c r="M11" i="57"/>
  <c r="L11" i="57"/>
  <c r="K11" i="57"/>
  <c r="AG10" i="57"/>
  <c r="AF10" i="57"/>
  <c r="AE10" i="57"/>
  <c r="AD10" i="57"/>
  <c r="AC10" i="57"/>
  <c r="AB10" i="57"/>
  <c r="AA10" i="57"/>
  <c r="Z10" i="57"/>
  <c r="Y10" i="57"/>
  <c r="X10" i="57"/>
  <c r="U10" i="57"/>
  <c r="Q10" i="57"/>
  <c r="P10" i="57"/>
  <c r="O10" i="57"/>
  <c r="H10" i="57" s="1"/>
  <c r="I10" i="57" s="1"/>
  <c r="N10" i="57"/>
  <c r="M10" i="57"/>
  <c r="L10" i="57"/>
  <c r="K10" i="57"/>
  <c r="AG9" i="57"/>
  <c r="AF9" i="57"/>
  <c r="AE9" i="57"/>
  <c r="AD9" i="57"/>
  <c r="AC9" i="57"/>
  <c r="AB9" i="57"/>
  <c r="AA9" i="57"/>
  <c r="Z9" i="57"/>
  <c r="Y9" i="57"/>
  <c r="X9" i="57"/>
  <c r="U9" i="57"/>
  <c r="Q9" i="57"/>
  <c r="P9" i="57"/>
  <c r="O9" i="57"/>
  <c r="H9" i="57" s="1"/>
  <c r="I9" i="57" s="1"/>
  <c r="N9" i="57"/>
  <c r="M9" i="57"/>
  <c r="L9" i="57"/>
  <c r="K9" i="57"/>
  <c r="AG8" i="57"/>
  <c r="AF8" i="57"/>
  <c r="AE8" i="57"/>
  <c r="AD8" i="57"/>
  <c r="AC8" i="57"/>
  <c r="AB8" i="57"/>
  <c r="AA8" i="57"/>
  <c r="Z8" i="57"/>
  <c r="Y8" i="57"/>
  <c r="X8" i="57"/>
  <c r="U8" i="57"/>
  <c r="Q8" i="57"/>
  <c r="P8" i="57"/>
  <c r="O8" i="57"/>
  <c r="H8" i="57" s="1"/>
  <c r="E8" i="57"/>
  <c r="M8" i="57"/>
  <c r="L8" i="57"/>
  <c r="K8" i="57"/>
  <c r="AG7" i="57"/>
  <c r="AF7" i="57"/>
  <c r="AE7" i="57"/>
  <c r="AD7" i="57"/>
  <c r="AC7" i="57"/>
  <c r="AB7" i="57"/>
  <c r="AA7" i="57"/>
  <c r="Z7" i="57"/>
  <c r="Y7" i="57"/>
  <c r="X7" i="57"/>
  <c r="U7" i="57"/>
  <c r="Q7" i="57"/>
  <c r="P7" i="57"/>
  <c r="O7" i="57"/>
  <c r="H7" i="57" s="1"/>
  <c r="E7" i="57"/>
  <c r="M7" i="57"/>
  <c r="L7" i="57"/>
  <c r="K7" i="57"/>
  <c r="AG6" i="57"/>
  <c r="AF6" i="57"/>
  <c r="AE6" i="57"/>
  <c r="AD6" i="57"/>
  <c r="AC6" i="57"/>
  <c r="AB6" i="57"/>
  <c r="AA6" i="57"/>
  <c r="Z6" i="57"/>
  <c r="Y6" i="57"/>
  <c r="X6" i="57"/>
  <c r="U6" i="57"/>
  <c r="Q6" i="57"/>
  <c r="P6" i="57"/>
  <c r="N6" i="57"/>
  <c r="M6" i="57"/>
  <c r="L6" i="57"/>
  <c r="K6" i="57"/>
  <c r="H6" i="57"/>
  <c r="E6" i="57"/>
  <c r="AG5" i="57"/>
  <c r="AF5" i="57"/>
  <c r="AE5" i="57"/>
  <c r="AD5" i="57"/>
  <c r="AC5" i="57"/>
  <c r="AB5" i="57"/>
  <c r="AA5" i="57"/>
  <c r="Z5" i="57"/>
  <c r="Y5" i="57"/>
  <c r="X5" i="57"/>
  <c r="U5" i="57"/>
  <c r="Q5" i="57"/>
  <c r="P5" i="57"/>
  <c r="O5" i="57"/>
  <c r="H5" i="57" s="1"/>
  <c r="E5" i="57"/>
  <c r="M5" i="57"/>
  <c r="L5" i="57"/>
  <c r="K5" i="57"/>
  <c r="AG4" i="57"/>
  <c r="AF4" i="57"/>
  <c r="AE4" i="57"/>
  <c r="AD4" i="57"/>
  <c r="AC4" i="57"/>
  <c r="AB4" i="57"/>
  <c r="AA4" i="57"/>
  <c r="Z4" i="57"/>
  <c r="Y4" i="57"/>
  <c r="X4" i="57"/>
  <c r="U4" i="57"/>
  <c r="Q4" i="57"/>
  <c r="P4" i="57"/>
  <c r="O4" i="57"/>
  <c r="H4" i="57" s="1"/>
  <c r="I4" i="57" s="1"/>
  <c r="N4" i="57"/>
  <c r="M4" i="57"/>
  <c r="L4" i="57"/>
  <c r="K4" i="57"/>
  <c r="AG3" i="57"/>
  <c r="AF3" i="57"/>
  <c r="AE3" i="57"/>
  <c r="AD3" i="57"/>
  <c r="AC3" i="57"/>
  <c r="AB3" i="57"/>
  <c r="AA3" i="57"/>
  <c r="Z3" i="57"/>
  <c r="Y3" i="57"/>
  <c r="X3" i="57"/>
  <c r="U3" i="57"/>
  <c r="Q3" i="57"/>
  <c r="P3" i="57"/>
  <c r="O3" i="57"/>
  <c r="H3" i="57" s="1"/>
  <c r="E3" i="57"/>
  <c r="M3" i="57"/>
  <c r="L3" i="57"/>
  <c r="K3" i="57"/>
  <c r="V1" i="57"/>
  <c r="AF179" i="47"/>
  <c r="AE179" i="47"/>
  <c r="AA179" i="47"/>
  <c r="I179" i="47"/>
  <c r="AC179" i="47" s="1"/>
  <c r="G179" i="47"/>
  <c r="AQ178" i="47"/>
  <c r="AP178" i="47"/>
  <c r="AO178" i="47"/>
  <c r="AN178" i="47"/>
  <c r="AM178" i="47"/>
  <c r="AL178" i="47"/>
  <c r="AK178" i="47"/>
  <c r="AJ178" i="47"/>
  <c r="AI178" i="47"/>
  <c r="AH178" i="47"/>
  <c r="AD178" i="47"/>
  <c r="AC178" i="47"/>
  <c r="Z178" i="47"/>
  <c r="X178" i="47"/>
  <c r="T178" i="47"/>
  <c r="S178" i="47"/>
  <c r="R178" i="47"/>
  <c r="Y178" i="47" s="1"/>
  <c r="Q178" i="47"/>
  <c r="P178" i="47"/>
  <c r="O178" i="47"/>
  <c r="N178" i="47"/>
  <c r="AQ177" i="47"/>
  <c r="AP177" i="47"/>
  <c r="AO177" i="47"/>
  <c r="AN177" i="47"/>
  <c r="AM177" i="47"/>
  <c r="AL177" i="47"/>
  <c r="AK177" i="47"/>
  <c r="AJ177" i="47"/>
  <c r="AI177" i="47"/>
  <c r="AH177" i="47"/>
  <c r="AD177" i="47"/>
  <c r="AC177" i="47"/>
  <c r="Z177" i="47"/>
  <c r="X177" i="47"/>
  <c r="T177" i="47"/>
  <c r="S177" i="47"/>
  <c r="R177" i="47"/>
  <c r="Y177" i="47" s="1"/>
  <c r="P177" i="47"/>
  <c r="O177" i="47"/>
  <c r="N177" i="47"/>
  <c r="H177" i="47"/>
  <c r="AQ176" i="47"/>
  <c r="AP176" i="47"/>
  <c r="AO176" i="47"/>
  <c r="AN176" i="47"/>
  <c r="AM176" i="47"/>
  <c r="AL176" i="47"/>
  <c r="AK176" i="47"/>
  <c r="AJ176" i="47"/>
  <c r="AI176" i="47"/>
  <c r="AH176" i="47"/>
  <c r="AD176" i="47"/>
  <c r="AC176" i="47"/>
  <c r="Z176" i="47"/>
  <c r="X176" i="47"/>
  <c r="T176" i="47"/>
  <c r="S176" i="47"/>
  <c r="R176" i="47"/>
  <c r="Y176" i="47" s="1"/>
  <c r="P176" i="47"/>
  <c r="O176" i="47"/>
  <c r="N176" i="47"/>
  <c r="H176" i="47"/>
  <c r="AQ175" i="47"/>
  <c r="AP175" i="47"/>
  <c r="AO175" i="47"/>
  <c r="AN175" i="47"/>
  <c r="AM175" i="47"/>
  <c r="AL175" i="47"/>
  <c r="AK175" i="47"/>
  <c r="AJ175" i="47"/>
  <c r="AI175" i="47"/>
  <c r="AH175" i="47"/>
  <c r="AD175" i="47"/>
  <c r="AC175" i="47"/>
  <c r="Z175" i="47"/>
  <c r="X175" i="47"/>
  <c r="T175" i="47"/>
  <c r="S175" i="47"/>
  <c r="R175" i="47"/>
  <c r="Y175" i="47" s="1"/>
  <c r="P175" i="47"/>
  <c r="O175" i="47"/>
  <c r="N175" i="47"/>
  <c r="H175" i="47"/>
  <c r="AQ174" i="47"/>
  <c r="AP174" i="47"/>
  <c r="AO174" i="47"/>
  <c r="AN174" i="47"/>
  <c r="AM174" i="47"/>
  <c r="AL174" i="47"/>
  <c r="AK174" i="47"/>
  <c r="AJ174" i="47"/>
  <c r="AI174" i="47"/>
  <c r="AH174" i="47"/>
  <c r="AD174" i="47"/>
  <c r="AC174" i="47"/>
  <c r="Z174" i="47"/>
  <c r="X174" i="47"/>
  <c r="T174" i="47"/>
  <c r="S174" i="47"/>
  <c r="R174" i="47"/>
  <c r="K174" i="47" s="1"/>
  <c r="P174" i="47"/>
  <c r="O174" i="47"/>
  <c r="N174" i="47"/>
  <c r="H174" i="47"/>
  <c r="AQ173" i="47"/>
  <c r="AP173" i="47"/>
  <c r="AO173" i="47"/>
  <c r="AN173" i="47"/>
  <c r="AM173" i="47"/>
  <c r="AL173" i="47"/>
  <c r="AK173" i="47"/>
  <c r="AJ173" i="47"/>
  <c r="AI173" i="47"/>
  <c r="AH173" i="47"/>
  <c r="AD173" i="47"/>
  <c r="AC173" i="47"/>
  <c r="Z173" i="47"/>
  <c r="X173" i="47"/>
  <c r="T173" i="47"/>
  <c r="S173" i="47"/>
  <c r="R173" i="47"/>
  <c r="Y173" i="47" s="1"/>
  <c r="P173" i="47"/>
  <c r="O173" i="47"/>
  <c r="N173" i="47"/>
  <c r="H173" i="47"/>
  <c r="AQ172" i="47"/>
  <c r="AP172" i="47"/>
  <c r="AO172" i="47"/>
  <c r="AN172" i="47"/>
  <c r="AM172" i="47"/>
  <c r="AL172" i="47"/>
  <c r="AK172" i="47"/>
  <c r="AJ172" i="47"/>
  <c r="AI172" i="47"/>
  <c r="AH172" i="47"/>
  <c r="AD172" i="47"/>
  <c r="AC172" i="47"/>
  <c r="Z172" i="47"/>
  <c r="X172" i="47"/>
  <c r="T172" i="47"/>
  <c r="S172" i="47"/>
  <c r="R172" i="47"/>
  <c r="Y172" i="47" s="1"/>
  <c r="P172" i="47"/>
  <c r="O172" i="47"/>
  <c r="N172" i="47"/>
  <c r="H172" i="47"/>
  <c r="AQ171" i="47"/>
  <c r="AP171" i="47"/>
  <c r="AO171" i="47"/>
  <c r="AN171" i="47"/>
  <c r="AM171" i="47"/>
  <c r="AL171" i="47"/>
  <c r="AK171" i="47"/>
  <c r="AJ171" i="47"/>
  <c r="AI171" i="47"/>
  <c r="AH171" i="47"/>
  <c r="AD171" i="47"/>
  <c r="AC171" i="47"/>
  <c r="Z171" i="47"/>
  <c r="X171" i="47"/>
  <c r="T171" i="47"/>
  <c r="S171" i="47"/>
  <c r="R171" i="47"/>
  <c r="Y171" i="47" s="1"/>
  <c r="P171" i="47"/>
  <c r="O171" i="47"/>
  <c r="N171" i="47"/>
  <c r="H171" i="47"/>
  <c r="AQ170" i="47"/>
  <c r="AP170" i="47"/>
  <c r="AO170" i="47"/>
  <c r="AN170" i="47"/>
  <c r="AM170" i="47"/>
  <c r="AL170" i="47"/>
  <c r="AK170" i="47"/>
  <c r="AJ170" i="47"/>
  <c r="AI170" i="47"/>
  <c r="AH170" i="47"/>
  <c r="AD170" i="47"/>
  <c r="AC170" i="47"/>
  <c r="Z170" i="47"/>
  <c r="X170" i="47"/>
  <c r="T170" i="47"/>
  <c r="S170" i="47"/>
  <c r="R170" i="47"/>
  <c r="Y170" i="47" s="1"/>
  <c r="P170" i="47"/>
  <c r="O170" i="47"/>
  <c r="N170" i="47"/>
  <c r="H170" i="47"/>
  <c r="AQ169" i="47"/>
  <c r="AP169" i="47"/>
  <c r="AO169" i="47"/>
  <c r="AN169" i="47"/>
  <c r="AM169" i="47"/>
  <c r="AL169" i="47"/>
  <c r="AK169" i="47"/>
  <c r="AJ169" i="47"/>
  <c r="AI169" i="47"/>
  <c r="AH169" i="47"/>
  <c r="AD169" i="47"/>
  <c r="AC169" i="47"/>
  <c r="Z169" i="47"/>
  <c r="X169" i="47"/>
  <c r="T169" i="47"/>
  <c r="S169" i="47"/>
  <c r="R169" i="47"/>
  <c r="Y169" i="47" s="1"/>
  <c r="P169" i="47"/>
  <c r="O169" i="47"/>
  <c r="N169" i="47"/>
  <c r="H169" i="47"/>
  <c r="AQ168" i="47"/>
  <c r="AP168" i="47"/>
  <c r="AO168" i="47"/>
  <c r="AN168" i="47"/>
  <c r="AM168" i="47"/>
  <c r="AL168" i="47"/>
  <c r="AK168" i="47"/>
  <c r="AJ168" i="47"/>
  <c r="AI168" i="47"/>
  <c r="AH168" i="47"/>
  <c r="AD168" i="47"/>
  <c r="AC168" i="47"/>
  <c r="Z168" i="47"/>
  <c r="X168" i="47"/>
  <c r="T168" i="47"/>
  <c r="S168" i="47"/>
  <c r="R168" i="47"/>
  <c r="K168" i="47" s="1"/>
  <c r="P168" i="47"/>
  <c r="O168" i="47"/>
  <c r="N168" i="47"/>
  <c r="H168" i="47"/>
  <c r="AQ167" i="47"/>
  <c r="AP167" i="47"/>
  <c r="AO167" i="47"/>
  <c r="AN167" i="47"/>
  <c r="AM167" i="47"/>
  <c r="AL167" i="47"/>
  <c r="AK167" i="47"/>
  <c r="AJ167" i="47"/>
  <c r="AI167" i="47"/>
  <c r="AH167" i="47"/>
  <c r="AD167" i="47"/>
  <c r="AC167" i="47"/>
  <c r="Z167" i="47"/>
  <c r="X167" i="47"/>
  <c r="T167" i="47"/>
  <c r="S167" i="47"/>
  <c r="R167" i="47"/>
  <c r="Y167" i="47" s="1"/>
  <c r="P167" i="47"/>
  <c r="O167" i="47"/>
  <c r="N167" i="47"/>
  <c r="H167" i="47"/>
  <c r="AQ166" i="47"/>
  <c r="AP166" i="47"/>
  <c r="AO166" i="47"/>
  <c r="AN166" i="47"/>
  <c r="AM166" i="47"/>
  <c r="AL166" i="47"/>
  <c r="AK166" i="47"/>
  <c r="AJ166" i="47"/>
  <c r="AI166" i="47"/>
  <c r="AH166" i="47"/>
  <c r="AD166" i="47"/>
  <c r="AC166" i="47"/>
  <c r="Z166" i="47"/>
  <c r="X166" i="47"/>
  <c r="T166" i="47"/>
  <c r="S166" i="47"/>
  <c r="R166" i="47"/>
  <c r="P166" i="47"/>
  <c r="O166" i="47"/>
  <c r="N166" i="47"/>
  <c r="H166" i="47"/>
  <c r="AQ165" i="47"/>
  <c r="AP165" i="47"/>
  <c r="AO165" i="47"/>
  <c r="AN165" i="47"/>
  <c r="AM165" i="47"/>
  <c r="AL165" i="47"/>
  <c r="AK165" i="47"/>
  <c r="AJ165" i="47"/>
  <c r="AI165" i="47"/>
  <c r="AH165" i="47"/>
  <c r="AD165" i="47"/>
  <c r="AC165" i="47"/>
  <c r="Z165" i="47"/>
  <c r="X165" i="47"/>
  <c r="T165" i="47"/>
  <c r="S165" i="47"/>
  <c r="R165" i="47"/>
  <c r="Y165" i="47" s="1"/>
  <c r="P165" i="47"/>
  <c r="O165" i="47"/>
  <c r="N165" i="47"/>
  <c r="H165" i="47"/>
  <c r="AQ164" i="47"/>
  <c r="AP164" i="47"/>
  <c r="AO164" i="47"/>
  <c r="AN164" i="47"/>
  <c r="AM164" i="47"/>
  <c r="AL164" i="47"/>
  <c r="AK164" i="47"/>
  <c r="AJ164" i="47"/>
  <c r="AI164" i="47"/>
  <c r="AH164" i="47"/>
  <c r="AD164" i="47"/>
  <c r="AC164" i="47"/>
  <c r="Z164" i="47"/>
  <c r="X164" i="47"/>
  <c r="T164" i="47"/>
  <c r="S164" i="47"/>
  <c r="R164" i="47"/>
  <c r="P164" i="47"/>
  <c r="O164" i="47"/>
  <c r="N164" i="47"/>
  <c r="H164" i="47"/>
  <c r="AQ163" i="47"/>
  <c r="AP163" i="47"/>
  <c r="AO163" i="47"/>
  <c r="AN163" i="47"/>
  <c r="AM163" i="47"/>
  <c r="AL163" i="47"/>
  <c r="AK163" i="47"/>
  <c r="AJ163" i="47"/>
  <c r="AI163" i="47"/>
  <c r="AH163" i="47"/>
  <c r="AD163" i="47"/>
  <c r="AC163" i="47"/>
  <c r="Z163" i="47"/>
  <c r="X163" i="47"/>
  <c r="T163" i="47"/>
  <c r="S163" i="47"/>
  <c r="R163" i="47"/>
  <c r="K163" i="47" s="1"/>
  <c r="P163" i="47"/>
  <c r="O163" i="47"/>
  <c r="N163" i="47"/>
  <c r="H163" i="47"/>
  <c r="AQ162" i="47"/>
  <c r="AP162" i="47"/>
  <c r="AO162" i="47"/>
  <c r="AN162" i="47"/>
  <c r="AM162" i="47"/>
  <c r="AL162" i="47"/>
  <c r="AK162" i="47"/>
  <c r="AJ162" i="47"/>
  <c r="AI162" i="47"/>
  <c r="AH162" i="47"/>
  <c r="AD162" i="47"/>
  <c r="AC162" i="47"/>
  <c r="Z162" i="47"/>
  <c r="X162" i="47"/>
  <c r="T162" i="47"/>
  <c r="S162" i="47"/>
  <c r="R162" i="47"/>
  <c r="K162" i="47" s="1"/>
  <c r="P162" i="47"/>
  <c r="O162" i="47"/>
  <c r="N162" i="47"/>
  <c r="H162" i="47"/>
  <c r="AQ161" i="47"/>
  <c r="AP161" i="47"/>
  <c r="AO161" i="47"/>
  <c r="AN161" i="47"/>
  <c r="AM161" i="47"/>
  <c r="AL161" i="47"/>
  <c r="AK161" i="47"/>
  <c r="AJ161" i="47"/>
  <c r="AI161" i="47"/>
  <c r="AH161" i="47"/>
  <c r="AD161" i="47"/>
  <c r="AC161" i="47"/>
  <c r="Z161" i="47"/>
  <c r="X161" i="47"/>
  <c r="T161" i="47"/>
  <c r="S161" i="47"/>
  <c r="R161" i="47"/>
  <c r="K161" i="47" s="1"/>
  <c r="P161" i="47"/>
  <c r="O161" i="47"/>
  <c r="N161" i="47"/>
  <c r="H161" i="47"/>
  <c r="AQ160" i="47"/>
  <c r="AP160" i="47"/>
  <c r="AO160" i="47"/>
  <c r="AN160" i="47"/>
  <c r="AM160" i="47"/>
  <c r="AL160" i="47"/>
  <c r="AK160" i="47"/>
  <c r="AJ160" i="47"/>
  <c r="AI160" i="47"/>
  <c r="AH160" i="47"/>
  <c r="AD160" i="47"/>
  <c r="AC160" i="47"/>
  <c r="Z160" i="47"/>
  <c r="X160" i="47"/>
  <c r="T160" i="47"/>
  <c r="S160" i="47"/>
  <c r="R160" i="47"/>
  <c r="Y160" i="47" s="1"/>
  <c r="P160" i="47"/>
  <c r="O160" i="47"/>
  <c r="N160" i="47"/>
  <c r="H160" i="47"/>
  <c r="AQ159" i="47"/>
  <c r="AP159" i="47"/>
  <c r="AO159" i="47"/>
  <c r="AN159" i="47"/>
  <c r="AM159" i="47"/>
  <c r="AL159" i="47"/>
  <c r="AK159" i="47"/>
  <c r="AJ159" i="47"/>
  <c r="AI159" i="47"/>
  <c r="AH159" i="47"/>
  <c r="AD159" i="47"/>
  <c r="AC159" i="47"/>
  <c r="Z159" i="47"/>
  <c r="X159" i="47"/>
  <c r="T159" i="47"/>
  <c r="S159" i="47"/>
  <c r="R159" i="47"/>
  <c r="H159" i="47"/>
  <c r="P159" i="47"/>
  <c r="O159" i="47"/>
  <c r="N159" i="47"/>
  <c r="AQ158" i="47"/>
  <c r="AP158" i="47"/>
  <c r="AO158" i="47"/>
  <c r="AN158" i="47"/>
  <c r="AM158" i="47"/>
  <c r="AL158" i="47"/>
  <c r="AK158" i="47"/>
  <c r="AJ158" i="47"/>
  <c r="AI158" i="47"/>
  <c r="AH158" i="47"/>
  <c r="AD158" i="47"/>
  <c r="AC158" i="47"/>
  <c r="Z158" i="47"/>
  <c r="X158" i="47"/>
  <c r="T158" i="47"/>
  <c r="S158" i="47"/>
  <c r="R158" i="47"/>
  <c r="K158" i="47" s="1"/>
  <c r="P158" i="47"/>
  <c r="O158" i="47"/>
  <c r="N158" i="47"/>
  <c r="H158" i="47"/>
  <c r="AQ157" i="47"/>
  <c r="AP157" i="47"/>
  <c r="AO157" i="47"/>
  <c r="AN157" i="47"/>
  <c r="AM157" i="47"/>
  <c r="AL157" i="47"/>
  <c r="AK157" i="47"/>
  <c r="AJ157" i="47"/>
  <c r="AI157" i="47"/>
  <c r="AH157" i="47"/>
  <c r="AD157" i="47"/>
  <c r="AC157" i="47"/>
  <c r="Z157" i="47"/>
  <c r="X157" i="47"/>
  <c r="T157" i="47"/>
  <c r="R157" i="47"/>
  <c r="Y157" i="47" s="1"/>
  <c r="P157" i="47"/>
  <c r="O157" i="47"/>
  <c r="N157" i="47"/>
  <c r="H157" i="47"/>
  <c r="AQ156" i="47"/>
  <c r="AP156" i="47"/>
  <c r="AO156" i="47"/>
  <c r="AN156" i="47"/>
  <c r="AM156" i="47"/>
  <c r="AL156" i="47"/>
  <c r="AK156" i="47"/>
  <c r="AJ156" i="47"/>
  <c r="AI156" i="47"/>
  <c r="AH156" i="47"/>
  <c r="AD156" i="47"/>
  <c r="AC156" i="47"/>
  <c r="Z156" i="47"/>
  <c r="X156" i="47"/>
  <c r="T156" i="47"/>
  <c r="S156" i="47"/>
  <c r="R156" i="47"/>
  <c r="Y156" i="47" s="1"/>
  <c r="P156" i="47"/>
  <c r="O156" i="47"/>
  <c r="N156" i="47"/>
  <c r="H156" i="47"/>
  <c r="AQ155" i="47"/>
  <c r="AP155" i="47"/>
  <c r="AO155" i="47"/>
  <c r="AN155" i="47"/>
  <c r="AM155" i="47"/>
  <c r="AL155" i="47"/>
  <c r="AK155" i="47"/>
  <c r="AJ155" i="47"/>
  <c r="AI155" i="47"/>
  <c r="AH155" i="47"/>
  <c r="AD155" i="47"/>
  <c r="AC155" i="47"/>
  <c r="Z155" i="47"/>
  <c r="X155" i="47"/>
  <c r="T155" i="47"/>
  <c r="S155" i="47"/>
  <c r="R155" i="47"/>
  <c r="Y155" i="47" s="1"/>
  <c r="P155" i="47"/>
  <c r="O155" i="47"/>
  <c r="N155" i="47"/>
  <c r="H155" i="47"/>
  <c r="AQ154" i="47"/>
  <c r="AP154" i="47"/>
  <c r="AO154" i="47"/>
  <c r="AN154" i="47"/>
  <c r="AM154" i="47"/>
  <c r="AL154" i="47"/>
  <c r="AK154" i="47"/>
  <c r="AJ154" i="47"/>
  <c r="AI154" i="47"/>
  <c r="AH154" i="47"/>
  <c r="AD154" i="47"/>
  <c r="AC154" i="47"/>
  <c r="Z154" i="47"/>
  <c r="X154" i="47"/>
  <c r="T154" i="47"/>
  <c r="S154" i="47"/>
  <c r="R154" i="47"/>
  <c r="Y154" i="47" s="1"/>
  <c r="P154" i="47"/>
  <c r="O154" i="47"/>
  <c r="N154" i="47"/>
  <c r="H154" i="47"/>
  <c r="AQ153" i="47"/>
  <c r="AP153" i="47"/>
  <c r="AO153" i="47"/>
  <c r="AN153" i="47"/>
  <c r="AM153" i="47"/>
  <c r="AL153" i="47"/>
  <c r="AK153" i="47"/>
  <c r="AJ153" i="47"/>
  <c r="AI153" i="47"/>
  <c r="AH153" i="47"/>
  <c r="AD153" i="47"/>
  <c r="AC153" i="47"/>
  <c r="Z153" i="47"/>
  <c r="X153" i="47"/>
  <c r="T153" i="47"/>
  <c r="S153" i="47"/>
  <c r="R153" i="47"/>
  <c r="Y153" i="47" s="1"/>
  <c r="P153" i="47"/>
  <c r="O153" i="47"/>
  <c r="N153" i="47"/>
  <c r="H153" i="47"/>
  <c r="AQ152" i="47"/>
  <c r="AP152" i="47"/>
  <c r="AO152" i="47"/>
  <c r="AN152" i="47"/>
  <c r="AM152" i="47"/>
  <c r="AL152" i="47"/>
  <c r="AK152" i="47"/>
  <c r="AJ152" i="47"/>
  <c r="AI152" i="47"/>
  <c r="AH152" i="47"/>
  <c r="AD152" i="47"/>
  <c r="AC152" i="47"/>
  <c r="Z152" i="47"/>
  <c r="X152" i="47"/>
  <c r="T152" i="47"/>
  <c r="S152" i="47"/>
  <c r="R152" i="47"/>
  <c r="Q152" i="47"/>
  <c r="P152" i="47"/>
  <c r="O152" i="47"/>
  <c r="N152" i="47"/>
  <c r="AQ151" i="47"/>
  <c r="AP151" i="47"/>
  <c r="AO151" i="47"/>
  <c r="AN151" i="47"/>
  <c r="AM151" i="47"/>
  <c r="AL151" i="47"/>
  <c r="AK151" i="47"/>
  <c r="AJ151" i="47"/>
  <c r="AI151" i="47"/>
  <c r="AH151" i="47"/>
  <c r="AD151" i="47"/>
  <c r="AC151" i="47"/>
  <c r="Z151" i="47"/>
  <c r="X151" i="47"/>
  <c r="R151" i="47"/>
  <c r="Y151" i="47" s="1"/>
  <c r="P151" i="47"/>
  <c r="O151" i="47"/>
  <c r="N151" i="47"/>
  <c r="H151" i="47"/>
  <c r="P150" i="47"/>
  <c r="O150" i="47"/>
  <c r="N150" i="47"/>
  <c r="AE145" i="47"/>
  <c r="AA145" i="47"/>
  <c r="G145" i="47"/>
  <c r="AQ144" i="47"/>
  <c r="AP144" i="47"/>
  <c r="AO144" i="47"/>
  <c r="AN144" i="47"/>
  <c r="AM144" i="47"/>
  <c r="AL144" i="47"/>
  <c r="AK144" i="47"/>
  <c r="AJ144" i="47"/>
  <c r="AI144" i="47"/>
  <c r="AH144" i="47"/>
  <c r="X144" i="47"/>
  <c r="X143" i="47"/>
  <c r="T144" i="47"/>
  <c r="S144" i="47"/>
  <c r="R144" i="47"/>
  <c r="Q144" i="47"/>
  <c r="P144" i="47"/>
  <c r="O144" i="47"/>
  <c r="N144" i="47"/>
  <c r="AQ143" i="47"/>
  <c r="AP143" i="47"/>
  <c r="AO143" i="47"/>
  <c r="AN143" i="47"/>
  <c r="AM143" i="47"/>
  <c r="AL143" i="47"/>
  <c r="AK143" i="47"/>
  <c r="AJ143" i="47"/>
  <c r="AI143" i="47"/>
  <c r="AH143" i="47"/>
  <c r="T143" i="47"/>
  <c r="S143" i="47"/>
  <c r="R143" i="47"/>
  <c r="P143" i="47"/>
  <c r="O143" i="47"/>
  <c r="N143" i="47"/>
  <c r="H143" i="47"/>
  <c r="H145" i="47" s="1"/>
  <c r="I139" i="47"/>
  <c r="AQ138" i="47"/>
  <c r="AP138" i="47"/>
  <c r="AO138" i="47"/>
  <c r="AN138" i="47"/>
  <c r="AM138" i="47"/>
  <c r="AL138" i="47"/>
  <c r="AK138" i="47"/>
  <c r="AJ138" i="47"/>
  <c r="AI138" i="47"/>
  <c r="AH138" i="47"/>
  <c r="X138" i="47"/>
  <c r="T138" i="47"/>
  <c r="S138" i="47"/>
  <c r="R138" i="47"/>
  <c r="K138" i="47" s="1"/>
  <c r="P138" i="47"/>
  <c r="O138" i="47"/>
  <c r="N138" i="47"/>
  <c r="G138" i="47"/>
  <c r="H138" i="47" s="1"/>
  <c r="AQ137" i="47"/>
  <c r="AP137" i="47"/>
  <c r="AO137" i="47"/>
  <c r="AN137" i="47"/>
  <c r="AM137" i="47"/>
  <c r="AL137" i="47"/>
  <c r="AK137" i="47"/>
  <c r="AJ137" i="47"/>
  <c r="AI137" i="47"/>
  <c r="AH137" i="47"/>
  <c r="X137" i="47"/>
  <c r="T137" i="47"/>
  <c r="S137" i="47"/>
  <c r="R137" i="47"/>
  <c r="K137" i="47" s="1"/>
  <c r="P137" i="47"/>
  <c r="O137" i="47"/>
  <c r="N137" i="47"/>
  <c r="G137" i="47"/>
  <c r="H137" i="47" s="1"/>
  <c r="AQ136" i="47"/>
  <c r="AP136" i="47"/>
  <c r="AO136" i="47"/>
  <c r="AN136" i="47"/>
  <c r="AM136" i="47"/>
  <c r="AL136" i="47"/>
  <c r="AK136" i="47"/>
  <c r="AJ136" i="47"/>
  <c r="AI136" i="47"/>
  <c r="AH136" i="47"/>
  <c r="X136" i="47"/>
  <c r="T136" i="47"/>
  <c r="S136" i="47"/>
  <c r="R136" i="47"/>
  <c r="K136" i="47" s="1"/>
  <c r="P136" i="47"/>
  <c r="O136" i="47"/>
  <c r="N136" i="47"/>
  <c r="G136" i="47"/>
  <c r="H136" i="47" s="1"/>
  <c r="AQ135" i="47"/>
  <c r="AP135" i="47"/>
  <c r="AO135" i="47"/>
  <c r="AN135" i="47"/>
  <c r="AM135" i="47"/>
  <c r="AL135" i="47"/>
  <c r="AK135" i="47"/>
  <c r="AJ135" i="47"/>
  <c r="AI135" i="47"/>
  <c r="AH135" i="47"/>
  <c r="X135" i="47"/>
  <c r="T135" i="47"/>
  <c r="S135" i="47"/>
  <c r="R135" i="47"/>
  <c r="K135" i="47" s="1"/>
  <c r="Q135" i="47"/>
  <c r="J135" i="47" s="1"/>
  <c r="P135" i="47"/>
  <c r="O135" i="47"/>
  <c r="N135" i="47"/>
  <c r="G135" i="47"/>
  <c r="H135" i="47" s="1"/>
  <c r="AQ134" i="47"/>
  <c r="AP134" i="47"/>
  <c r="AO134" i="47"/>
  <c r="AN134" i="47"/>
  <c r="AM134" i="47"/>
  <c r="AL134" i="47"/>
  <c r="AK134" i="47"/>
  <c r="AJ134" i="47"/>
  <c r="AI134" i="47"/>
  <c r="AH134" i="47"/>
  <c r="X134" i="47"/>
  <c r="T134" i="47"/>
  <c r="S134" i="47"/>
  <c r="R134" i="47"/>
  <c r="K134" i="47" s="1"/>
  <c r="Q134" i="47"/>
  <c r="J134" i="47" s="1"/>
  <c r="P134" i="47"/>
  <c r="O134" i="47"/>
  <c r="N134" i="47"/>
  <c r="G134" i="47"/>
  <c r="H134" i="47" s="1"/>
  <c r="AQ133" i="47"/>
  <c r="AP133" i="47"/>
  <c r="AO133" i="47"/>
  <c r="AN133" i="47"/>
  <c r="AM133" i="47"/>
  <c r="AL133" i="47"/>
  <c r="AK133" i="47"/>
  <c r="AJ133" i="47"/>
  <c r="AI133" i="47"/>
  <c r="AH133" i="47"/>
  <c r="X133" i="47"/>
  <c r="T133" i="47"/>
  <c r="S133" i="47"/>
  <c r="R133" i="47"/>
  <c r="K133" i="47" s="1"/>
  <c r="Q133" i="47"/>
  <c r="J133" i="47" s="1"/>
  <c r="P133" i="47"/>
  <c r="O133" i="47"/>
  <c r="N133" i="47"/>
  <c r="G133" i="47"/>
  <c r="H133" i="47" s="1"/>
  <c r="AQ132" i="47"/>
  <c r="AP132" i="47"/>
  <c r="AO132" i="47"/>
  <c r="AN132" i="47"/>
  <c r="AM132" i="47"/>
  <c r="AL132" i="47"/>
  <c r="AK132" i="47"/>
  <c r="AJ132" i="47"/>
  <c r="AI132" i="47"/>
  <c r="AH132" i="47"/>
  <c r="X132" i="47"/>
  <c r="T132" i="47"/>
  <c r="S132" i="47"/>
  <c r="R132" i="47"/>
  <c r="K132" i="47" s="1"/>
  <c r="Q132" i="47"/>
  <c r="J132" i="47" s="1"/>
  <c r="P132" i="47"/>
  <c r="O132" i="47"/>
  <c r="N132" i="47"/>
  <c r="G132" i="47"/>
  <c r="H132" i="47" s="1"/>
  <c r="AQ131" i="47"/>
  <c r="AP131" i="47"/>
  <c r="AO131" i="47"/>
  <c r="AN131" i="47"/>
  <c r="AM131" i="47"/>
  <c r="AL131" i="47"/>
  <c r="AK131" i="47"/>
  <c r="AJ131" i="47"/>
  <c r="AI131" i="47"/>
  <c r="AH131" i="47"/>
  <c r="X131" i="47"/>
  <c r="T131" i="47"/>
  <c r="S131" i="47"/>
  <c r="R131" i="47"/>
  <c r="K131" i="47" s="1"/>
  <c r="Q131" i="47"/>
  <c r="J131" i="47" s="1"/>
  <c r="P131" i="47"/>
  <c r="O131" i="47"/>
  <c r="N131" i="47"/>
  <c r="G131" i="47"/>
  <c r="H131" i="47" s="1"/>
  <c r="AQ130" i="47"/>
  <c r="AP130" i="47"/>
  <c r="AO130" i="47"/>
  <c r="AN130" i="47"/>
  <c r="AM130" i="47"/>
  <c r="AL130" i="47"/>
  <c r="AK130" i="47"/>
  <c r="AJ130" i="47"/>
  <c r="AI130" i="47"/>
  <c r="AH130" i="47"/>
  <c r="X130" i="47"/>
  <c r="T130" i="47"/>
  <c r="S130" i="47"/>
  <c r="R130" i="47"/>
  <c r="K130" i="47" s="1"/>
  <c r="Q130" i="47"/>
  <c r="J130" i="47" s="1"/>
  <c r="P130" i="47"/>
  <c r="O130" i="47"/>
  <c r="N130" i="47"/>
  <c r="G130" i="47"/>
  <c r="H130" i="47" s="1"/>
  <c r="AQ129" i="47"/>
  <c r="AP129" i="47"/>
  <c r="AO129" i="47"/>
  <c r="AN129" i="47"/>
  <c r="AM129" i="47"/>
  <c r="AL129" i="47"/>
  <c r="AK129" i="47"/>
  <c r="AJ129" i="47"/>
  <c r="AI129" i="47"/>
  <c r="AH129" i="47"/>
  <c r="X129" i="47"/>
  <c r="T129" i="47"/>
  <c r="S129" i="47"/>
  <c r="R129" i="47"/>
  <c r="K129" i="47" s="1"/>
  <c r="Q129" i="47"/>
  <c r="J129" i="47" s="1"/>
  <c r="P129" i="47"/>
  <c r="O129" i="47"/>
  <c r="N129" i="47"/>
  <c r="G129" i="47"/>
  <c r="H129" i="47" s="1"/>
  <c r="AQ128" i="47"/>
  <c r="AP128" i="47"/>
  <c r="AO128" i="47"/>
  <c r="AN128" i="47"/>
  <c r="AM128" i="47"/>
  <c r="AL128" i="47"/>
  <c r="AK128" i="47"/>
  <c r="AJ128" i="47"/>
  <c r="AI128" i="47"/>
  <c r="AH128" i="47"/>
  <c r="X128" i="47"/>
  <c r="T128" i="47"/>
  <c r="S128" i="47"/>
  <c r="R128" i="47"/>
  <c r="K128" i="47" s="1"/>
  <c r="Q128" i="47"/>
  <c r="J128" i="47" s="1"/>
  <c r="P128" i="47"/>
  <c r="O128" i="47"/>
  <c r="N128" i="47"/>
  <c r="G128" i="47"/>
  <c r="H128" i="47" s="1"/>
  <c r="AQ127" i="47"/>
  <c r="AP127" i="47"/>
  <c r="AO127" i="47"/>
  <c r="AN127" i="47"/>
  <c r="AM127" i="47"/>
  <c r="AL127" i="47"/>
  <c r="AK127" i="47"/>
  <c r="AJ127" i="47"/>
  <c r="AI127" i="47"/>
  <c r="AH127" i="47"/>
  <c r="X127" i="47"/>
  <c r="T127" i="47"/>
  <c r="S127" i="47"/>
  <c r="R127" i="47"/>
  <c r="K127" i="47" s="1"/>
  <c r="Q127" i="47"/>
  <c r="J127" i="47" s="1"/>
  <c r="P127" i="47"/>
  <c r="O127" i="47"/>
  <c r="N127" i="47"/>
  <c r="G127" i="47"/>
  <c r="H127" i="47" s="1"/>
  <c r="AQ126" i="47"/>
  <c r="AP126" i="47"/>
  <c r="AO126" i="47"/>
  <c r="AN126" i="47"/>
  <c r="AM126" i="47"/>
  <c r="AL126" i="47"/>
  <c r="AK126" i="47"/>
  <c r="AJ126" i="47"/>
  <c r="AI126" i="47"/>
  <c r="AH126" i="47"/>
  <c r="X126" i="47"/>
  <c r="T126" i="47"/>
  <c r="S126" i="47"/>
  <c r="R126" i="47"/>
  <c r="K126" i="47" s="1"/>
  <c r="Q126" i="47"/>
  <c r="J126" i="47" s="1"/>
  <c r="P126" i="47"/>
  <c r="O126" i="47"/>
  <c r="N126" i="47"/>
  <c r="G126" i="47"/>
  <c r="H126" i="47" s="1"/>
  <c r="AQ125" i="47"/>
  <c r="AP125" i="47"/>
  <c r="AO125" i="47"/>
  <c r="AN125" i="47"/>
  <c r="AM125" i="47"/>
  <c r="AL125" i="47"/>
  <c r="AK125" i="47"/>
  <c r="AJ125" i="47"/>
  <c r="AI125" i="47"/>
  <c r="AH125" i="47"/>
  <c r="X125" i="47"/>
  <c r="T125" i="47"/>
  <c r="S125" i="47"/>
  <c r="R125" i="47"/>
  <c r="K125" i="47" s="1"/>
  <c r="Q125" i="47"/>
  <c r="J125" i="47" s="1"/>
  <c r="P125" i="47"/>
  <c r="O125" i="47"/>
  <c r="N125" i="47"/>
  <c r="G125" i="47"/>
  <c r="H125" i="47" s="1"/>
  <c r="AQ124" i="47"/>
  <c r="AP124" i="47"/>
  <c r="AO124" i="47"/>
  <c r="AN124" i="47"/>
  <c r="AM124" i="47"/>
  <c r="AL124" i="47"/>
  <c r="AK124" i="47"/>
  <c r="AJ124" i="47"/>
  <c r="AI124" i="47"/>
  <c r="AH124" i="47"/>
  <c r="X124" i="47"/>
  <c r="T124" i="47"/>
  <c r="S124" i="47"/>
  <c r="R124" i="47"/>
  <c r="K124" i="47" s="1"/>
  <c r="Q124" i="47"/>
  <c r="J124" i="47" s="1"/>
  <c r="P124" i="47"/>
  <c r="O124" i="47"/>
  <c r="N124" i="47"/>
  <c r="G124" i="47"/>
  <c r="H124" i="47" s="1"/>
  <c r="AQ123" i="47"/>
  <c r="AP123" i="47"/>
  <c r="AO123" i="47"/>
  <c r="AN123" i="47"/>
  <c r="AM123" i="47"/>
  <c r="AL123" i="47"/>
  <c r="AK123" i="47"/>
  <c r="AJ123" i="47"/>
  <c r="AI123" i="47"/>
  <c r="AH123" i="47"/>
  <c r="X123" i="47"/>
  <c r="T123" i="47"/>
  <c r="S123" i="47"/>
  <c r="R123" i="47"/>
  <c r="K123" i="47" s="1"/>
  <c r="Q123" i="47"/>
  <c r="J123" i="47" s="1"/>
  <c r="P123" i="47"/>
  <c r="O123" i="47"/>
  <c r="N123" i="47"/>
  <c r="G123" i="47"/>
  <c r="H123" i="47" s="1"/>
  <c r="AQ122" i="47"/>
  <c r="AP122" i="47"/>
  <c r="AO122" i="47"/>
  <c r="AN122" i="47"/>
  <c r="AM122" i="47"/>
  <c r="AL122" i="47"/>
  <c r="AK122" i="47"/>
  <c r="AJ122" i="47"/>
  <c r="AI122" i="47"/>
  <c r="AH122" i="47"/>
  <c r="X122" i="47"/>
  <c r="T122" i="47"/>
  <c r="S122" i="47"/>
  <c r="R122" i="47"/>
  <c r="K122" i="47" s="1"/>
  <c r="Q122" i="47"/>
  <c r="J122" i="47" s="1"/>
  <c r="P122" i="47"/>
  <c r="O122" i="47"/>
  <c r="N122" i="47"/>
  <c r="G122" i="47"/>
  <c r="H122" i="47" s="1"/>
  <c r="AQ121" i="47"/>
  <c r="AP121" i="47"/>
  <c r="AO121" i="47"/>
  <c r="AN121" i="47"/>
  <c r="AM121" i="47"/>
  <c r="AL121" i="47"/>
  <c r="AK121" i="47"/>
  <c r="AJ121" i="47"/>
  <c r="AI121" i="47"/>
  <c r="AH121" i="47"/>
  <c r="X121" i="47"/>
  <c r="T121" i="47"/>
  <c r="S121" i="47"/>
  <c r="R121" i="47"/>
  <c r="K121" i="47" s="1"/>
  <c r="Q121" i="47"/>
  <c r="J121" i="47" s="1"/>
  <c r="P121" i="47"/>
  <c r="O121" i="47"/>
  <c r="N121" i="47"/>
  <c r="G121" i="47"/>
  <c r="H121" i="47" s="1"/>
  <c r="AQ120" i="47"/>
  <c r="AP120" i="47"/>
  <c r="AO120" i="47"/>
  <c r="AN120" i="47"/>
  <c r="AM120" i="47"/>
  <c r="AL120" i="47"/>
  <c r="AK120" i="47"/>
  <c r="AJ120" i="47"/>
  <c r="AI120" i="47"/>
  <c r="AH120" i="47"/>
  <c r="X120" i="47"/>
  <c r="T120" i="47"/>
  <c r="S120" i="47"/>
  <c r="R120" i="47"/>
  <c r="K120" i="47" s="1"/>
  <c r="Q120" i="47"/>
  <c r="J120" i="47" s="1"/>
  <c r="P120" i="47"/>
  <c r="O120" i="47"/>
  <c r="N120" i="47"/>
  <c r="G120" i="47"/>
  <c r="H120" i="47" s="1"/>
  <c r="AQ119" i="47"/>
  <c r="AP119" i="47"/>
  <c r="AO119" i="47"/>
  <c r="AN119" i="47"/>
  <c r="AM119" i="47"/>
  <c r="AL119" i="47"/>
  <c r="AK119" i="47"/>
  <c r="AJ119" i="47"/>
  <c r="AI119" i="47"/>
  <c r="AH119" i="47"/>
  <c r="X119" i="47"/>
  <c r="T119" i="47"/>
  <c r="S119" i="47"/>
  <c r="R119" i="47"/>
  <c r="K119" i="47" s="1"/>
  <c r="Q119" i="47"/>
  <c r="J119" i="47" s="1"/>
  <c r="P119" i="47"/>
  <c r="O119" i="47"/>
  <c r="N119" i="47"/>
  <c r="G119" i="47"/>
  <c r="H119" i="47" s="1"/>
  <c r="AQ118" i="47"/>
  <c r="AP118" i="47"/>
  <c r="AO118" i="47"/>
  <c r="AN118" i="47"/>
  <c r="AM118" i="47"/>
  <c r="AL118" i="47"/>
  <c r="AK118" i="47"/>
  <c r="AJ118" i="47"/>
  <c r="AI118" i="47"/>
  <c r="AH118" i="47"/>
  <c r="X118" i="47"/>
  <c r="T118" i="47"/>
  <c r="S118" i="47"/>
  <c r="R118" i="47"/>
  <c r="K118" i="47" s="1"/>
  <c r="Q118" i="47"/>
  <c r="J118" i="47" s="1"/>
  <c r="P118" i="47"/>
  <c r="O118" i="47"/>
  <c r="N118" i="47"/>
  <c r="G118" i="47"/>
  <c r="H118" i="47" s="1"/>
  <c r="AQ117" i="47"/>
  <c r="AP117" i="47"/>
  <c r="AO117" i="47"/>
  <c r="AN117" i="47"/>
  <c r="AM117" i="47"/>
  <c r="AL117" i="47"/>
  <c r="AK117" i="47"/>
  <c r="AJ117" i="47"/>
  <c r="AI117" i="47"/>
  <c r="AH117" i="47"/>
  <c r="X117" i="47"/>
  <c r="T117" i="47"/>
  <c r="S117" i="47"/>
  <c r="R117" i="47"/>
  <c r="K117" i="47" s="1"/>
  <c r="Q117" i="47"/>
  <c r="J117" i="47" s="1"/>
  <c r="P117" i="47"/>
  <c r="O117" i="47"/>
  <c r="N117" i="47"/>
  <c r="G117" i="47"/>
  <c r="H117" i="47" s="1"/>
  <c r="AQ116" i="47"/>
  <c r="AP116" i="47"/>
  <c r="AO116" i="47"/>
  <c r="AN116" i="47"/>
  <c r="AM116" i="47"/>
  <c r="AL116" i="47"/>
  <c r="AK116" i="47"/>
  <c r="AJ116" i="47"/>
  <c r="AI116" i="47"/>
  <c r="AH116" i="47"/>
  <c r="X116" i="47"/>
  <c r="T116" i="47"/>
  <c r="S116" i="47"/>
  <c r="R116" i="47"/>
  <c r="K116" i="47" s="1"/>
  <c r="Q116" i="47"/>
  <c r="J116" i="47" s="1"/>
  <c r="P116" i="47"/>
  <c r="O116" i="47"/>
  <c r="N116" i="47"/>
  <c r="G116" i="47"/>
  <c r="H116" i="47" s="1"/>
  <c r="AQ115" i="47"/>
  <c r="AP115" i="47"/>
  <c r="AO115" i="47"/>
  <c r="AN115" i="47"/>
  <c r="AM115" i="47"/>
  <c r="AL115" i="47"/>
  <c r="AK115" i="47"/>
  <c r="AJ115" i="47"/>
  <c r="AI115" i="47"/>
  <c r="AH115" i="47"/>
  <c r="X115" i="47"/>
  <c r="T115" i="47"/>
  <c r="S115" i="47"/>
  <c r="R115" i="47"/>
  <c r="K115" i="47" s="1"/>
  <c r="Q115" i="47"/>
  <c r="J115" i="47" s="1"/>
  <c r="P115" i="47"/>
  <c r="O115" i="47"/>
  <c r="N115" i="47"/>
  <c r="G115" i="47"/>
  <c r="H115" i="47" s="1"/>
  <c r="AQ114" i="47"/>
  <c r="AP114" i="47"/>
  <c r="AO114" i="47"/>
  <c r="AN114" i="47"/>
  <c r="AM114" i="47"/>
  <c r="AL114" i="47"/>
  <c r="AK114" i="47"/>
  <c r="AJ114" i="47"/>
  <c r="AI114" i="47"/>
  <c r="AH114" i="47"/>
  <c r="X114" i="47"/>
  <c r="T114" i="47"/>
  <c r="S114" i="47"/>
  <c r="R114" i="47"/>
  <c r="K114" i="47" s="1"/>
  <c r="Q114" i="47"/>
  <c r="J114" i="47" s="1"/>
  <c r="P114" i="47"/>
  <c r="O114" i="47"/>
  <c r="N114" i="47"/>
  <c r="G114" i="47"/>
  <c r="H114" i="47" s="1"/>
  <c r="AQ113" i="47"/>
  <c r="AP113" i="47"/>
  <c r="AO113" i="47"/>
  <c r="AN113" i="47"/>
  <c r="AM113" i="47"/>
  <c r="AL113" i="47"/>
  <c r="AK113" i="47"/>
  <c r="AJ113" i="47"/>
  <c r="AI113" i="47"/>
  <c r="AH113" i="47"/>
  <c r="X113" i="47"/>
  <c r="T113" i="47"/>
  <c r="S113" i="47"/>
  <c r="R113" i="47"/>
  <c r="K113" i="47" s="1"/>
  <c r="Q113" i="47"/>
  <c r="J113" i="47" s="1"/>
  <c r="P113" i="47"/>
  <c r="O113" i="47"/>
  <c r="N113" i="47"/>
  <c r="G113" i="47"/>
  <c r="H113" i="47" s="1"/>
  <c r="AQ112" i="47"/>
  <c r="AP112" i="47"/>
  <c r="AO112" i="47"/>
  <c r="AN112" i="47"/>
  <c r="AM112" i="47"/>
  <c r="AL112" i="47"/>
  <c r="AK112" i="47"/>
  <c r="AJ112" i="47"/>
  <c r="AI112" i="47"/>
  <c r="AH112" i="47"/>
  <c r="X112" i="47"/>
  <c r="T112" i="47"/>
  <c r="S112" i="47"/>
  <c r="R112" i="47"/>
  <c r="K112" i="47" s="1"/>
  <c r="P112" i="47"/>
  <c r="O112" i="47"/>
  <c r="N112" i="47"/>
  <c r="G112" i="47"/>
  <c r="H112" i="47" s="1"/>
  <c r="AQ111" i="47"/>
  <c r="AP111" i="47"/>
  <c r="AO111" i="47"/>
  <c r="AN111" i="47"/>
  <c r="AM111" i="47"/>
  <c r="AL111" i="47"/>
  <c r="AK111" i="47"/>
  <c r="AJ111" i="47"/>
  <c r="AI111" i="47"/>
  <c r="AH111" i="47"/>
  <c r="X111" i="47"/>
  <c r="T111" i="47"/>
  <c r="S111" i="47"/>
  <c r="R111" i="47"/>
  <c r="K111" i="47" s="1"/>
  <c r="P111" i="47"/>
  <c r="O111" i="47"/>
  <c r="N111" i="47"/>
  <c r="G111" i="47"/>
  <c r="H111" i="47" s="1"/>
  <c r="AQ110" i="47"/>
  <c r="AP110" i="47"/>
  <c r="AO110" i="47"/>
  <c r="AN110" i="47"/>
  <c r="AM110" i="47"/>
  <c r="AL110" i="47"/>
  <c r="AK110" i="47"/>
  <c r="AJ110" i="47"/>
  <c r="AI110" i="47"/>
  <c r="AH110" i="47"/>
  <c r="X110" i="47"/>
  <c r="T110" i="47"/>
  <c r="S110" i="47"/>
  <c r="R110" i="47"/>
  <c r="K110" i="47" s="1"/>
  <c r="P110" i="47"/>
  <c r="O110" i="47"/>
  <c r="N110" i="47"/>
  <c r="G110" i="47"/>
  <c r="H110" i="47" s="1"/>
  <c r="AQ109" i="47"/>
  <c r="AP109" i="47"/>
  <c r="AO109" i="47"/>
  <c r="AN109" i="47"/>
  <c r="AM109" i="47"/>
  <c r="AL109" i="47"/>
  <c r="AK109" i="47"/>
  <c r="AJ109" i="47"/>
  <c r="AI109" i="47"/>
  <c r="AH109" i="47"/>
  <c r="X109" i="47"/>
  <c r="T109" i="47"/>
  <c r="S109" i="47"/>
  <c r="R109" i="47"/>
  <c r="K109" i="47" s="1"/>
  <c r="P109" i="47"/>
  <c r="O109" i="47"/>
  <c r="N109" i="47"/>
  <c r="G109" i="47"/>
  <c r="H109" i="47" s="1"/>
  <c r="AQ108" i="47"/>
  <c r="AP108" i="47"/>
  <c r="AO108" i="47"/>
  <c r="AN108" i="47"/>
  <c r="AM108" i="47"/>
  <c r="AL108" i="47"/>
  <c r="AK108" i="47"/>
  <c r="AJ108" i="47"/>
  <c r="AI108" i="47"/>
  <c r="AH108" i="47"/>
  <c r="X108" i="47"/>
  <c r="T108" i="47"/>
  <c r="S108" i="47"/>
  <c r="R108" i="47"/>
  <c r="K108" i="47" s="1"/>
  <c r="Q108" i="47"/>
  <c r="J108" i="47" s="1"/>
  <c r="P108" i="47"/>
  <c r="O108" i="47"/>
  <c r="N108" i="47"/>
  <c r="G108" i="47"/>
  <c r="H108" i="47" s="1"/>
  <c r="AQ107" i="47"/>
  <c r="AP107" i="47"/>
  <c r="AO107" i="47"/>
  <c r="AN107" i="47"/>
  <c r="AM107" i="47"/>
  <c r="AL107" i="47"/>
  <c r="AK107" i="47"/>
  <c r="AJ107" i="47"/>
  <c r="AI107" i="47"/>
  <c r="AH107" i="47"/>
  <c r="X107" i="47"/>
  <c r="T107" i="47"/>
  <c r="S107" i="47"/>
  <c r="R107" i="47"/>
  <c r="K107" i="47" s="1"/>
  <c r="Q107" i="47"/>
  <c r="J107" i="47" s="1"/>
  <c r="P107" i="47"/>
  <c r="O107" i="47"/>
  <c r="N107" i="47"/>
  <c r="G107" i="47"/>
  <c r="H107" i="47" s="1"/>
  <c r="AQ106" i="47"/>
  <c r="AP106" i="47"/>
  <c r="AO106" i="47"/>
  <c r="AN106" i="47"/>
  <c r="AM106" i="47"/>
  <c r="AL106" i="47"/>
  <c r="AK106" i="47"/>
  <c r="AJ106" i="47"/>
  <c r="AI106" i="47"/>
  <c r="AH106" i="47"/>
  <c r="X106" i="47"/>
  <c r="T106" i="47"/>
  <c r="S106" i="47"/>
  <c r="R106" i="47"/>
  <c r="K106" i="47" s="1"/>
  <c r="Q106" i="47"/>
  <c r="J106" i="47" s="1"/>
  <c r="P106" i="47"/>
  <c r="O106" i="47"/>
  <c r="N106" i="47"/>
  <c r="G106" i="47"/>
  <c r="H106" i="47" s="1"/>
  <c r="AQ105" i="47"/>
  <c r="AP105" i="47"/>
  <c r="AO105" i="47"/>
  <c r="AN105" i="47"/>
  <c r="AM105" i="47"/>
  <c r="AL105" i="47"/>
  <c r="AK105" i="47"/>
  <c r="AJ105" i="47"/>
  <c r="AI105" i="47"/>
  <c r="AH105" i="47"/>
  <c r="X105" i="47"/>
  <c r="T105" i="47"/>
  <c r="S105" i="47"/>
  <c r="R105" i="47"/>
  <c r="Q105" i="47"/>
  <c r="P105" i="47"/>
  <c r="O105" i="47"/>
  <c r="N105" i="47"/>
  <c r="G105" i="47"/>
  <c r="AQ104" i="47"/>
  <c r="AP104" i="47"/>
  <c r="AO104" i="47"/>
  <c r="AN104" i="47"/>
  <c r="AM104" i="47"/>
  <c r="AL104" i="47"/>
  <c r="AK104" i="47"/>
  <c r="AJ104" i="47"/>
  <c r="AI104" i="47"/>
  <c r="AH104" i="47"/>
  <c r="X104" i="47"/>
  <c r="T104" i="47"/>
  <c r="S104" i="47"/>
  <c r="R104" i="47"/>
  <c r="Q104" i="47"/>
  <c r="J104" i="47" s="1"/>
  <c r="P104" i="47"/>
  <c r="O104" i="47"/>
  <c r="N104" i="47"/>
  <c r="G104" i="47"/>
  <c r="AQ103" i="47"/>
  <c r="AP103" i="47"/>
  <c r="AO103" i="47"/>
  <c r="AN103" i="47"/>
  <c r="AM103" i="47"/>
  <c r="AL103" i="47"/>
  <c r="AK103" i="47"/>
  <c r="AJ103" i="47"/>
  <c r="AI103" i="47"/>
  <c r="AH103" i="47"/>
  <c r="X103" i="47"/>
  <c r="T103" i="47"/>
  <c r="S103" i="47"/>
  <c r="R103" i="47"/>
  <c r="K103" i="47" s="1"/>
  <c r="Q103" i="47"/>
  <c r="J103" i="47" s="1"/>
  <c r="P103" i="47"/>
  <c r="O103" i="47"/>
  <c r="N103" i="47"/>
  <c r="G103" i="47"/>
  <c r="H103" i="47" s="1"/>
  <c r="AQ102" i="47"/>
  <c r="AP102" i="47"/>
  <c r="AO102" i="47"/>
  <c r="AN102" i="47"/>
  <c r="AM102" i="47"/>
  <c r="AL102" i="47"/>
  <c r="AK102" i="47"/>
  <c r="AJ102" i="47"/>
  <c r="AI102" i="47"/>
  <c r="AH102" i="47"/>
  <c r="X102" i="47"/>
  <c r="T102" i="47"/>
  <c r="S102" i="47"/>
  <c r="R102" i="47"/>
  <c r="K102" i="47" s="1"/>
  <c r="P102" i="47"/>
  <c r="O102" i="47"/>
  <c r="N102" i="47"/>
  <c r="G102" i="47"/>
  <c r="H102" i="47" s="1"/>
  <c r="AQ101" i="47"/>
  <c r="AP101" i="47"/>
  <c r="AO101" i="47"/>
  <c r="AN101" i="47"/>
  <c r="AM101" i="47"/>
  <c r="AL101" i="47"/>
  <c r="AK101" i="47"/>
  <c r="AJ101" i="47"/>
  <c r="AI101" i="47"/>
  <c r="AH101" i="47"/>
  <c r="X101" i="47"/>
  <c r="T101" i="47"/>
  <c r="S101" i="47"/>
  <c r="R101" i="47"/>
  <c r="Q101" i="47"/>
  <c r="P101" i="47"/>
  <c r="O101" i="47"/>
  <c r="N101" i="47"/>
  <c r="G101" i="47"/>
  <c r="AQ100" i="47"/>
  <c r="AP100" i="47"/>
  <c r="AO100" i="47"/>
  <c r="AN100" i="47"/>
  <c r="AM100" i="47"/>
  <c r="AL100" i="47"/>
  <c r="AK100" i="47"/>
  <c r="AJ100" i="47"/>
  <c r="AI100" i="47"/>
  <c r="AH100" i="47"/>
  <c r="X100" i="47"/>
  <c r="T100" i="47"/>
  <c r="S100" i="47"/>
  <c r="R100" i="47"/>
  <c r="P100" i="47"/>
  <c r="O100" i="47"/>
  <c r="N100" i="47"/>
  <c r="G100" i="47"/>
  <c r="H100" i="47" s="1"/>
  <c r="AQ99" i="47"/>
  <c r="AP99" i="47"/>
  <c r="AO99" i="47"/>
  <c r="AN99" i="47"/>
  <c r="AM99" i="47"/>
  <c r="AL99" i="47"/>
  <c r="AK99" i="47"/>
  <c r="AJ99" i="47"/>
  <c r="AI99" i="47"/>
  <c r="AH99" i="47"/>
  <c r="X99" i="47"/>
  <c r="T99" i="47"/>
  <c r="S99" i="47"/>
  <c r="R99" i="47"/>
  <c r="K99" i="47" s="1"/>
  <c r="P99" i="47"/>
  <c r="O99" i="47"/>
  <c r="N99" i="47"/>
  <c r="G99" i="47"/>
  <c r="H99" i="47" s="1"/>
  <c r="AQ98" i="47"/>
  <c r="AP98" i="47"/>
  <c r="AO98" i="47"/>
  <c r="AN98" i="47"/>
  <c r="AM98" i="47"/>
  <c r="AL98" i="47"/>
  <c r="AK98" i="47"/>
  <c r="AJ98" i="47"/>
  <c r="AI98" i="47"/>
  <c r="AH98" i="47"/>
  <c r="X98" i="47"/>
  <c r="T98" i="47"/>
  <c r="S98" i="47"/>
  <c r="R98" i="47"/>
  <c r="K98" i="47" s="1"/>
  <c r="P98" i="47"/>
  <c r="O98" i="47"/>
  <c r="N98" i="47"/>
  <c r="G98" i="47"/>
  <c r="H98" i="47" s="1"/>
  <c r="AQ97" i="47"/>
  <c r="AP97" i="47"/>
  <c r="AO97" i="47"/>
  <c r="AN97" i="47"/>
  <c r="AM97" i="47"/>
  <c r="AL97" i="47"/>
  <c r="AK97" i="47"/>
  <c r="AJ97" i="47"/>
  <c r="AI97" i="47"/>
  <c r="AH97" i="47"/>
  <c r="X97" i="47"/>
  <c r="T97" i="47"/>
  <c r="S97" i="47"/>
  <c r="R97" i="47"/>
  <c r="Q97" i="47"/>
  <c r="P97" i="47"/>
  <c r="O97" i="47"/>
  <c r="N97" i="47"/>
  <c r="G97" i="47"/>
  <c r="AQ96" i="47"/>
  <c r="AP96" i="47"/>
  <c r="AO96" i="47"/>
  <c r="AN96" i="47"/>
  <c r="AM96" i="47"/>
  <c r="AL96" i="47"/>
  <c r="AK96" i="47"/>
  <c r="AJ96" i="47"/>
  <c r="AI96" i="47"/>
  <c r="AH96" i="47"/>
  <c r="X96" i="47"/>
  <c r="T96" i="47"/>
  <c r="S96" i="47"/>
  <c r="R96" i="47"/>
  <c r="P96" i="47"/>
  <c r="O96" i="47"/>
  <c r="N96" i="47"/>
  <c r="G96" i="47"/>
  <c r="AQ95" i="47"/>
  <c r="AP95" i="47"/>
  <c r="AO95" i="47"/>
  <c r="AN95" i="47"/>
  <c r="AM95" i="47"/>
  <c r="AL95" i="47"/>
  <c r="AK95" i="47"/>
  <c r="AJ95" i="47"/>
  <c r="AI95" i="47"/>
  <c r="AH95" i="47"/>
  <c r="X95" i="47"/>
  <c r="T95" i="47"/>
  <c r="S95" i="47"/>
  <c r="R95" i="47"/>
  <c r="K95" i="47" s="1"/>
  <c r="P95" i="47"/>
  <c r="O95" i="47"/>
  <c r="N95" i="47"/>
  <c r="G95" i="47"/>
  <c r="H95" i="47" s="1"/>
  <c r="AQ94" i="47"/>
  <c r="AP94" i="47"/>
  <c r="AO94" i="47"/>
  <c r="AN94" i="47"/>
  <c r="AM94" i="47"/>
  <c r="AL94" i="47"/>
  <c r="AK94" i="47"/>
  <c r="AJ94" i="47"/>
  <c r="AI94" i="47"/>
  <c r="AH94" i="47"/>
  <c r="X94" i="47"/>
  <c r="T94" i="47"/>
  <c r="S94" i="47"/>
  <c r="R94" i="47"/>
  <c r="K94" i="47" s="1"/>
  <c r="P94" i="47"/>
  <c r="O94" i="47"/>
  <c r="N94" i="47"/>
  <c r="G94" i="47"/>
  <c r="H94" i="47" s="1"/>
  <c r="AQ93" i="47"/>
  <c r="AP93" i="47"/>
  <c r="AO93" i="47"/>
  <c r="AN93" i="47"/>
  <c r="AM93" i="47"/>
  <c r="AL93" i="47"/>
  <c r="AK93" i="47"/>
  <c r="AJ93" i="47"/>
  <c r="AI93" i="47"/>
  <c r="AH93" i="47"/>
  <c r="X93" i="47"/>
  <c r="T93" i="47"/>
  <c r="S93" i="47"/>
  <c r="R93" i="47"/>
  <c r="K93" i="47" s="1"/>
  <c r="Q93" i="47"/>
  <c r="J93" i="47" s="1"/>
  <c r="P93" i="47"/>
  <c r="O93" i="47"/>
  <c r="N93" i="47"/>
  <c r="G93" i="47"/>
  <c r="H93" i="47" s="1"/>
  <c r="AQ92" i="47"/>
  <c r="AP92" i="47"/>
  <c r="AO92" i="47"/>
  <c r="AN92" i="47"/>
  <c r="AM92" i="47"/>
  <c r="AL92" i="47"/>
  <c r="AK92" i="47"/>
  <c r="AJ92" i="47"/>
  <c r="AI92" i="47"/>
  <c r="AH92" i="47"/>
  <c r="X92" i="47"/>
  <c r="T92" i="47"/>
  <c r="S92" i="47"/>
  <c r="R92" i="47"/>
  <c r="Q92" i="47"/>
  <c r="P92" i="47"/>
  <c r="O92" i="47"/>
  <c r="N92" i="47"/>
  <c r="G92" i="47"/>
  <c r="AQ91" i="47"/>
  <c r="AP91" i="47"/>
  <c r="AO91" i="47"/>
  <c r="AN91" i="47"/>
  <c r="AM91" i="47"/>
  <c r="AL91" i="47"/>
  <c r="AK91" i="47"/>
  <c r="AJ91" i="47"/>
  <c r="AI91" i="47"/>
  <c r="AH91" i="47"/>
  <c r="X91" i="47"/>
  <c r="T91" i="47"/>
  <c r="S91" i="47"/>
  <c r="R91" i="47"/>
  <c r="Q91" i="47"/>
  <c r="J91" i="47" s="1"/>
  <c r="P91" i="47"/>
  <c r="O91" i="47"/>
  <c r="N91" i="47"/>
  <c r="G91" i="47"/>
  <c r="AQ90" i="47"/>
  <c r="AP90" i="47"/>
  <c r="AO90" i="47"/>
  <c r="AN90" i="47"/>
  <c r="AM90" i="47"/>
  <c r="AL90" i="47"/>
  <c r="AK90" i="47"/>
  <c r="AJ90" i="47"/>
  <c r="AI90" i="47"/>
  <c r="AH90" i="47"/>
  <c r="X90" i="47"/>
  <c r="T90" i="47"/>
  <c r="S90" i="47"/>
  <c r="R90" i="47"/>
  <c r="Q90" i="47"/>
  <c r="P90" i="47"/>
  <c r="O90" i="47"/>
  <c r="N90" i="47"/>
  <c r="G90" i="47"/>
  <c r="AQ89" i="47"/>
  <c r="AP89" i="47"/>
  <c r="AO89" i="47"/>
  <c r="AN89" i="47"/>
  <c r="AM89" i="47"/>
  <c r="AL89" i="47"/>
  <c r="AK89" i="47"/>
  <c r="AJ89" i="47"/>
  <c r="AI89" i="47"/>
  <c r="AH89" i="47"/>
  <c r="X89" i="47"/>
  <c r="T89" i="47"/>
  <c r="S89" i="47"/>
  <c r="R89" i="47"/>
  <c r="Q89" i="47"/>
  <c r="J89" i="47" s="1"/>
  <c r="P89" i="47"/>
  <c r="O89" i="47"/>
  <c r="N89" i="47"/>
  <c r="G89" i="47"/>
  <c r="AQ88" i="47"/>
  <c r="AP88" i="47"/>
  <c r="AO88" i="47"/>
  <c r="AN88" i="47"/>
  <c r="AM88" i="47"/>
  <c r="AL88" i="47"/>
  <c r="AK88" i="47"/>
  <c r="AJ88" i="47"/>
  <c r="AI88" i="47"/>
  <c r="AH88" i="47"/>
  <c r="X88" i="47"/>
  <c r="T88" i="47"/>
  <c r="S88" i="47"/>
  <c r="R88" i="47"/>
  <c r="Q88" i="47"/>
  <c r="P88" i="47"/>
  <c r="O88" i="47"/>
  <c r="N88" i="47"/>
  <c r="G88" i="47"/>
  <c r="AQ87" i="47"/>
  <c r="AP87" i="47"/>
  <c r="AO87" i="47"/>
  <c r="AN87" i="47"/>
  <c r="AM87" i="47"/>
  <c r="AL87" i="47"/>
  <c r="AK87" i="47"/>
  <c r="AJ87" i="47"/>
  <c r="AI87" i="47"/>
  <c r="AH87" i="47"/>
  <c r="X87" i="47"/>
  <c r="T87" i="47"/>
  <c r="S87" i="47"/>
  <c r="R87" i="47"/>
  <c r="P87" i="47"/>
  <c r="O87" i="47"/>
  <c r="N87" i="47"/>
  <c r="G87" i="47"/>
  <c r="AQ86" i="47"/>
  <c r="AP86" i="47"/>
  <c r="AO86" i="47"/>
  <c r="AN86" i="47"/>
  <c r="AM86" i="47"/>
  <c r="AL86" i="47"/>
  <c r="AK86" i="47"/>
  <c r="AJ86" i="47"/>
  <c r="AI86" i="47"/>
  <c r="AH86" i="47"/>
  <c r="X86" i="47"/>
  <c r="T86" i="47"/>
  <c r="S86" i="47"/>
  <c r="R86" i="47"/>
  <c r="K86" i="47" s="1"/>
  <c r="P86" i="47"/>
  <c r="O86" i="47"/>
  <c r="N86" i="47"/>
  <c r="G86" i="47"/>
  <c r="H86" i="47" s="1"/>
  <c r="AQ85" i="47"/>
  <c r="AP85" i="47"/>
  <c r="AO85" i="47"/>
  <c r="AN85" i="47"/>
  <c r="AM85" i="47"/>
  <c r="AL85" i="47"/>
  <c r="AK85" i="47"/>
  <c r="AJ85" i="47"/>
  <c r="AI85" i="47"/>
  <c r="AH85" i="47"/>
  <c r="X85" i="47"/>
  <c r="T85" i="47"/>
  <c r="S85" i="47"/>
  <c r="R85" i="47"/>
  <c r="K85" i="47" s="1"/>
  <c r="Q85" i="47"/>
  <c r="J85" i="47" s="1"/>
  <c r="P85" i="47"/>
  <c r="O85" i="47"/>
  <c r="N85" i="47"/>
  <c r="G85" i="47"/>
  <c r="H85" i="47" s="1"/>
  <c r="AQ84" i="47"/>
  <c r="AP84" i="47"/>
  <c r="AO84" i="47"/>
  <c r="AN84" i="47"/>
  <c r="AM84" i="47"/>
  <c r="AL84" i="47"/>
  <c r="AK84" i="47"/>
  <c r="AJ84" i="47"/>
  <c r="AI84" i="47"/>
  <c r="AH84" i="47"/>
  <c r="X84" i="47"/>
  <c r="T84" i="47"/>
  <c r="S84" i="47"/>
  <c r="R84" i="47"/>
  <c r="K84" i="47" s="1"/>
  <c r="P84" i="47"/>
  <c r="O84" i="47"/>
  <c r="N84" i="47"/>
  <c r="G84" i="47"/>
  <c r="H84" i="47" s="1"/>
  <c r="AQ83" i="47"/>
  <c r="AP83" i="47"/>
  <c r="AO83" i="47"/>
  <c r="AN83" i="47"/>
  <c r="AM83" i="47"/>
  <c r="AL83" i="47"/>
  <c r="AK83" i="47"/>
  <c r="AJ83" i="47"/>
  <c r="AI83" i="47"/>
  <c r="AH83" i="47"/>
  <c r="X83" i="47"/>
  <c r="T83" i="47"/>
  <c r="S83" i="47"/>
  <c r="R83" i="47"/>
  <c r="K83" i="47" s="1"/>
  <c r="P83" i="47"/>
  <c r="O83" i="47"/>
  <c r="N83" i="47"/>
  <c r="G83" i="47"/>
  <c r="H83" i="47" s="1"/>
  <c r="AQ82" i="47"/>
  <c r="AP82" i="47"/>
  <c r="AO82" i="47"/>
  <c r="AN82" i="47"/>
  <c r="AM82" i="47"/>
  <c r="AL82" i="47"/>
  <c r="AK82" i="47"/>
  <c r="AJ82" i="47"/>
  <c r="AI82" i="47"/>
  <c r="AH82" i="47"/>
  <c r="X82" i="47"/>
  <c r="T82" i="47"/>
  <c r="S82" i="47"/>
  <c r="R82" i="47"/>
  <c r="Q82" i="47"/>
  <c r="P82" i="47"/>
  <c r="O82" i="47"/>
  <c r="N82" i="47"/>
  <c r="G82" i="47"/>
  <c r="AQ81" i="47"/>
  <c r="AP81" i="47"/>
  <c r="AO81" i="47"/>
  <c r="AN81" i="47"/>
  <c r="AM81" i="47"/>
  <c r="AL81" i="47"/>
  <c r="AK81" i="47"/>
  <c r="AJ81" i="47"/>
  <c r="AI81" i="47"/>
  <c r="AH81" i="47"/>
  <c r="X81" i="47"/>
  <c r="T81" i="47"/>
  <c r="S81" i="47"/>
  <c r="R81" i="47"/>
  <c r="P81" i="47"/>
  <c r="O81" i="47"/>
  <c r="N81" i="47"/>
  <c r="G81" i="47"/>
  <c r="AQ80" i="47"/>
  <c r="AP80" i="47"/>
  <c r="AO80" i="47"/>
  <c r="AN80" i="47"/>
  <c r="AM80" i="47"/>
  <c r="AL80" i="47"/>
  <c r="AK80" i="47"/>
  <c r="AJ80" i="47"/>
  <c r="AI80" i="47"/>
  <c r="AH80" i="47"/>
  <c r="X80" i="47"/>
  <c r="T80" i="47"/>
  <c r="S80" i="47"/>
  <c r="R80" i="47"/>
  <c r="Q80" i="47"/>
  <c r="P80" i="47"/>
  <c r="O80" i="47"/>
  <c r="N80" i="47"/>
  <c r="G80" i="47"/>
  <c r="AQ79" i="47"/>
  <c r="AP79" i="47"/>
  <c r="AO79" i="47"/>
  <c r="AN79" i="47"/>
  <c r="AM79" i="47"/>
  <c r="AL79" i="47"/>
  <c r="AK79" i="47"/>
  <c r="AJ79" i="47"/>
  <c r="AI79" i="47"/>
  <c r="AH79" i="47"/>
  <c r="X79" i="47"/>
  <c r="T79" i="47"/>
  <c r="S79" i="47"/>
  <c r="R79" i="47"/>
  <c r="P79" i="47"/>
  <c r="O79" i="47"/>
  <c r="N79" i="47"/>
  <c r="G79" i="47"/>
  <c r="AQ78" i="47"/>
  <c r="AP78" i="47"/>
  <c r="AO78" i="47"/>
  <c r="AN78" i="47"/>
  <c r="AM78" i="47"/>
  <c r="AL78" i="47"/>
  <c r="AK78" i="47"/>
  <c r="AJ78" i="47"/>
  <c r="AI78" i="47"/>
  <c r="AH78" i="47"/>
  <c r="X78" i="47"/>
  <c r="T78" i="47"/>
  <c r="S78" i="47"/>
  <c r="R78" i="47"/>
  <c r="Q78" i="47"/>
  <c r="P78" i="47"/>
  <c r="O78" i="47"/>
  <c r="N78" i="47"/>
  <c r="G78" i="47"/>
  <c r="AQ77" i="47"/>
  <c r="AP77" i="47"/>
  <c r="AO77" i="47"/>
  <c r="AN77" i="47"/>
  <c r="AM77" i="47"/>
  <c r="AL77" i="47"/>
  <c r="AK77" i="47"/>
  <c r="AJ77" i="47"/>
  <c r="AI77" i="47"/>
  <c r="AH77" i="47"/>
  <c r="X77" i="47"/>
  <c r="T77" i="47"/>
  <c r="S77" i="47"/>
  <c r="R77" i="47"/>
  <c r="P77" i="47"/>
  <c r="O77" i="47"/>
  <c r="N77" i="47"/>
  <c r="G77" i="47"/>
  <c r="AQ76" i="47"/>
  <c r="AP76" i="47"/>
  <c r="AO76" i="47"/>
  <c r="AN76" i="47"/>
  <c r="AM76" i="47"/>
  <c r="AL76" i="47"/>
  <c r="AK76" i="47"/>
  <c r="AJ76" i="47"/>
  <c r="AI76" i="47"/>
  <c r="AH76" i="47"/>
  <c r="X76" i="47"/>
  <c r="T76" i="47"/>
  <c r="S76" i="47"/>
  <c r="R76" i="47"/>
  <c r="K76" i="47" s="1"/>
  <c r="Q76" i="47"/>
  <c r="J76" i="47" s="1"/>
  <c r="P76" i="47"/>
  <c r="O76" i="47"/>
  <c r="N76" i="47"/>
  <c r="G76" i="47"/>
  <c r="H76" i="47" s="1"/>
  <c r="AQ75" i="47"/>
  <c r="AP75" i="47"/>
  <c r="AO75" i="47"/>
  <c r="AN75" i="47"/>
  <c r="AM75" i="47"/>
  <c r="AL75" i="47"/>
  <c r="AK75" i="47"/>
  <c r="AJ75" i="47"/>
  <c r="AI75" i="47"/>
  <c r="AH75" i="47"/>
  <c r="X75" i="47"/>
  <c r="T75" i="47"/>
  <c r="S75" i="47"/>
  <c r="R75" i="47"/>
  <c r="Q75" i="47"/>
  <c r="P75" i="47"/>
  <c r="O75" i="47"/>
  <c r="N75" i="47"/>
  <c r="G75" i="47"/>
  <c r="AQ74" i="47"/>
  <c r="AP74" i="47"/>
  <c r="AO74" i="47"/>
  <c r="AN74" i="47"/>
  <c r="AM74" i="47"/>
  <c r="AL74" i="47"/>
  <c r="AK74" i="47"/>
  <c r="AJ74" i="47"/>
  <c r="AI74" i="47"/>
  <c r="AH74" i="47"/>
  <c r="X74" i="47"/>
  <c r="T74" i="47"/>
  <c r="S74" i="47"/>
  <c r="R74" i="47"/>
  <c r="Q74" i="47"/>
  <c r="J74" i="47" s="1"/>
  <c r="P74" i="47"/>
  <c r="O74" i="47"/>
  <c r="N74" i="47"/>
  <c r="G74" i="47"/>
  <c r="AQ73" i="47"/>
  <c r="AP73" i="47"/>
  <c r="AO73" i="47"/>
  <c r="AN73" i="47"/>
  <c r="AM73" i="47"/>
  <c r="AL73" i="47"/>
  <c r="AK73" i="47"/>
  <c r="AJ73" i="47"/>
  <c r="AI73" i="47"/>
  <c r="AH73" i="47"/>
  <c r="X73" i="47"/>
  <c r="T73" i="47"/>
  <c r="S73" i="47"/>
  <c r="R73" i="47"/>
  <c r="K73" i="47" s="1"/>
  <c r="Q73" i="47"/>
  <c r="J73" i="47" s="1"/>
  <c r="P73" i="47"/>
  <c r="O73" i="47"/>
  <c r="N73" i="47"/>
  <c r="G73" i="47"/>
  <c r="H73" i="47" s="1"/>
  <c r="AU72" i="47"/>
  <c r="AQ72" i="47"/>
  <c r="AP72" i="47"/>
  <c r="AO72" i="47"/>
  <c r="AN72" i="47"/>
  <c r="AM72" i="47"/>
  <c r="AL72" i="47"/>
  <c r="AK72" i="47"/>
  <c r="AJ72" i="47"/>
  <c r="AI72" i="47"/>
  <c r="AH72" i="47"/>
  <c r="X72" i="47"/>
  <c r="T72" i="47"/>
  <c r="S72" i="47"/>
  <c r="R72" i="47"/>
  <c r="K72" i="47" s="1"/>
  <c r="P72" i="47"/>
  <c r="O72" i="47"/>
  <c r="N72" i="47"/>
  <c r="G72" i="47"/>
  <c r="H72" i="47" s="1"/>
  <c r="AU71" i="47"/>
  <c r="AQ71" i="47"/>
  <c r="AP71" i="47"/>
  <c r="AO71" i="47"/>
  <c r="AN71" i="47"/>
  <c r="AM71" i="47"/>
  <c r="AL71" i="47"/>
  <c r="AK71" i="47"/>
  <c r="AJ71" i="47"/>
  <c r="AI71" i="47"/>
  <c r="AH71" i="47"/>
  <c r="X71" i="47"/>
  <c r="T71" i="47"/>
  <c r="S71" i="47"/>
  <c r="R71" i="47"/>
  <c r="K71" i="47" s="1"/>
  <c r="P71" i="47"/>
  <c r="O71" i="47"/>
  <c r="N71" i="47"/>
  <c r="G71" i="47"/>
  <c r="H71" i="47" s="1"/>
  <c r="AU70" i="47"/>
  <c r="AQ70" i="47"/>
  <c r="AP70" i="47"/>
  <c r="AO70" i="47"/>
  <c r="AN70" i="47"/>
  <c r="AM70" i="47"/>
  <c r="AL70" i="47"/>
  <c r="AK70" i="47"/>
  <c r="AJ70" i="47"/>
  <c r="AI70" i="47"/>
  <c r="AH70" i="47"/>
  <c r="X70" i="47"/>
  <c r="T70" i="47"/>
  <c r="S70" i="47"/>
  <c r="R70" i="47"/>
  <c r="Q70" i="47"/>
  <c r="P70" i="47"/>
  <c r="O70" i="47"/>
  <c r="N70" i="47"/>
  <c r="G70" i="47"/>
  <c r="AU69" i="47"/>
  <c r="AQ69" i="47"/>
  <c r="AP69" i="47"/>
  <c r="AO69" i="47"/>
  <c r="AN69" i="47"/>
  <c r="AM69" i="47"/>
  <c r="AL69" i="47"/>
  <c r="AK69" i="47"/>
  <c r="AJ69" i="47"/>
  <c r="AI69" i="47"/>
  <c r="AH69" i="47"/>
  <c r="X69" i="47"/>
  <c r="T69" i="47"/>
  <c r="S69" i="47"/>
  <c r="R69" i="47"/>
  <c r="P69" i="47"/>
  <c r="O69" i="47"/>
  <c r="N69" i="47"/>
  <c r="G69" i="47"/>
  <c r="AU68" i="47"/>
  <c r="AQ68" i="47"/>
  <c r="AP68" i="47"/>
  <c r="AO68" i="47"/>
  <c r="AN68" i="47"/>
  <c r="AM68" i="47"/>
  <c r="AL68" i="47"/>
  <c r="AK68" i="47"/>
  <c r="AJ68" i="47"/>
  <c r="AI68" i="47"/>
  <c r="AH68" i="47"/>
  <c r="X68" i="47"/>
  <c r="T68" i="47"/>
  <c r="S68" i="47"/>
  <c r="R68" i="47"/>
  <c r="K68" i="47" s="1"/>
  <c r="Q68" i="47"/>
  <c r="J68" i="47" s="1"/>
  <c r="P68" i="47"/>
  <c r="O68" i="47"/>
  <c r="N68" i="47"/>
  <c r="G68" i="47"/>
  <c r="H68" i="47" s="1"/>
  <c r="AU67" i="47"/>
  <c r="AQ67" i="47"/>
  <c r="AP67" i="47"/>
  <c r="AO67" i="47"/>
  <c r="AN67" i="47"/>
  <c r="AM67" i="47"/>
  <c r="AL67" i="47"/>
  <c r="AK67" i="47"/>
  <c r="AJ67" i="47"/>
  <c r="AI67" i="47"/>
  <c r="AH67" i="47"/>
  <c r="X67" i="47"/>
  <c r="T67" i="47"/>
  <c r="S67" i="47"/>
  <c r="R67" i="47"/>
  <c r="K67" i="47" s="1"/>
  <c r="P67" i="47"/>
  <c r="O67" i="47"/>
  <c r="N67" i="47"/>
  <c r="G67" i="47"/>
  <c r="H67" i="47" s="1"/>
  <c r="AU66" i="47"/>
  <c r="AQ66" i="47"/>
  <c r="AP66" i="47"/>
  <c r="AO66" i="47"/>
  <c r="AN66" i="47"/>
  <c r="AM66" i="47"/>
  <c r="AL66" i="47"/>
  <c r="AK66" i="47"/>
  <c r="AJ66" i="47"/>
  <c r="AI66" i="47"/>
  <c r="AH66" i="47"/>
  <c r="X66" i="47"/>
  <c r="T66" i="47"/>
  <c r="S66" i="47"/>
  <c r="R66" i="47"/>
  <c r="K66" i="47" s="1"/>
  <c r="P66" i="47"/>
  <c r="O66" i="47"/>
  <c r="N66" i="47"/>
  <c r="G66" i="47"/>
  <c r="H66" i="47" s="1"/>
  <c r="AU65" i="47"/>
  <c r="AQ65" i="47"/>
  <c r="AP65" i="47"/>
  <c r="AO65" i="47"/>
  <c r="AN65" i="47"/>
  <c r="AM65" i="47"/>
  <c r="AL65" i="47"/>
  <c r="AK65" i="47"/>
  <c r="AJ65" i="47"/>
  <c r="AI65" i="47"/>
  <c r="AH65" i="47"/>
  <c r="X65" i="47"/>
  <c r="T65" i="47"/>
  <c r="S65" i="47"/>
  <c r="R65" i="47"/>
  <c r="K65" i="47" s="1"/>
  <c r="P65" i="47"/>
  <c r="O65" i="47"/>
  <c r="N65" i="47"/>
  <c r="G65" i="47"/>
  <c r="H65" i="47" s="1"/>
  <c r="AU64" i="47"/>
  <c r="AQ64" i="47"/>
  <c r="AP64" i="47"/>
  <c r="AO64" i="47"/>
  <c r="AN64" i="47"/>
  <c r="AM64" i="47"/>
  <c r="AL64" i="47"/>
  <c r="AK64" i="47"/>
  <c r="AJ64" i="47"/>
  <c r="AI64" i="47"/>
  <c r="AH64" i="47"/>
  <c r="X64" i="47"/>
  <c r="T64" i="47"/>
  <c r="S64" i="47"/>
  <c r="R64" i="47"/>
  <c r="Q64" i="47"/>
  <c r="P64" i="47"/>
  <c r="O64" i="47"/>
  <c r="N64" i="47"/>
  <c r="G64" i="47"/>
  <c r="AU63" i="47"/>
  <c r="AQ63" i="47"/>
  <c r="AP63" i="47"/>
  <c r="AO63" i="47"/>
  <c r="AN63" i="47"/>
  <c r="AM63" i="47"/>
  <c r="AL63" i="47"/>
  <c r="AK63" i="47"/>
  <c r="AJ63" i="47"/>
  <c r="AI63" i="47"/>
  <c r="AH63" i="47"/>
  <c r="X63" i="47"/>
  <c r="T63" i="47"/>
  <c r="S63" i="47"/>
  <c r="R63" i="47"/>
  <c r="Q63" i="47"/>
  <c r="P63" i="47"/>
  <c r="O63" i="47"/>
  <c r="N63" i="47"/>
  <c r="G63" i="47"/>
  <c r="AU62" i="47"/>
  <c r="AQ62" i="47"/>
  <c r="AP62" i="47"/>
  <c r="AO62" i="47"/>
  <c r="AN62" i="47"/>
  <c r="AM62" i="47"/>
  <c r="AL62" i="47"/>
  <c r="AK62" i="47"/>
  <c r="AJ62" i="47"/>
  <c r="AI62" i="47"/>
  <c r="AH62" i="47"/>
  <c r="X62" i="47"/>
  <c r="T62" i="47"/>
  <c r="S62" i="47"/>
  <c r="R62" i="47"/>
  <c r="Q62" i="47"/>
  <c r="P62" i="47"/>
  <c r="O62" i="47"/>
  <c r="N62" i="47"/>
  <c r="G62" i="47"/>
  <c r="AU61" i="47"/>
  <c r="AQ61" i="47"/>
  <c r="AP61" i="47"/>
  <c r="AO61" i="47"/>
  <c r="AN61" i="47"/>
  <c r="AM61" i="47"/>
  <c r="AL61" i="47"/>
  <c r="AK61" i="47"/>
  <c r="AJ61" i="47"/>
  <c r="AI61" i="47"/>
  <c r="AH61" i="47"/>
  <c r="X61" i="47"/>
  <c r="T61" i="47"/>
  <c r="S61" i="47"/>
  <c r="R61" i="47"/>
  <c r="Q61" i="47"/>
  <c r="J61" i="47" s="1"/>
  <c r="P61" i="47"/>
  <c r="O61" i="47"/>
  <c r="N61" i="47"/>
  <c r="G61" i="47"/>
  <c r="AU60" i="47"/>
  <c r="AQ60" i="47"/>
  <c r="AP60" i="47"/>
  <c r="AO60" i="47"/>
  <c r="AN60" i="47"/>
  <c r="AM60" i="47"/>
  <c r="AL60" i="47"/>
  <c r="AK60" i="47"/>
  <c r="AJ60" i="47"/>
  <c r="AI60" i="47"/>
  <c r="AH60" i="47"/>
  <c r="X60" i="47"/>
  <c r="T60" i="47"/>
  <c r="S60" i="47"/>
  <c r="R60" i="47"/>
  <c r="Q60" i="47"/>
  <c r="P60" i="47"/>
  <c r="O60" i="47"/>
  <c r="N60" i="47"/>
  <c r="G60" i="47"/>
  <c r="AU59" i="47"/>
  <c r="AQ59" i="47"/>
  <c r="AP59" i="47"/>
  <c r="AO59" i="47"/>
  <c r="AN59" i="47"/>
  <c r="AM59" i="47"/>
  <c r="AL59" i="47"/>
  <c r="AK59" i="47"/>
  <c r="AJ59" i="47"/>
  <c r="AI59" i="47"/>
  <c r="AH59" i="47"/>
  <c r="X59" i="47"/>
  <c r="T59" i="47"/>
  <c r="S59" i="47"/>
  <c r="R59" i="47"/>
  <c r="Q59" i="47"/>
  <c r="J59" i="47" s="1"/>
  <c r="P59" i="47"/>
  <c r="O59" i="47"/>
  <c r="N59" i="47"/>
  <c r="G59" i="47"/>
  <c r="AU58" i="47"/>
  <c r="AQ58" i="47"/>
  <c r="AP58" i="47"/>
  <c r="AO58" i="47"/>
  <c r="AN58" i="47"/>
  <c r="AM58" i="47"/>
  <c r="AL58" i="47"/>
  <c r="AK58" i="47"/>
  <c r="AJ58" i="47"/>
  <c r="AI58" i="47"/>
  <c r="AH58" i="47"/>
  <c r="X58" i="47"/>
  <c r="T58" i="47"/>
  <c r="S58" i="47"/>
  <c r="R58" i="47"/>
  <c r="K58" i="47" s="1"/>
  <c r="Q58" i="47"/>
  <c r="J58" i="47" s="1"/>
  <c r="P58" i="47"/>
  <c r="O58" i="47"/>
  <c r="N58" i="47"/>
  <c r="G58" i="47"/>
  <c r="H58" i="47" s="1"/>
  <c r="AU57" i="47"/>
  <c r="AQ57" i="47"/>
  <c r="AP57" i="47"/>
  <c r="AO57" i="47"/>
  <c r="AN57" i="47"/>
  <c r="AM57" i="47"/>
  <c r="AL57" i="47"/>
  <c r="AK57" i="47"/>
  <c r="AJ57" i="47"/>
  <c r="AI57" i="47"/>
  <c r="AH57" i="47"/>
  <c r="X57" i="47"/>
  <c r="T57" i="47"/>
  <c r="S57" i="47"/>
  <c r="R57" i="47"/>
  <c r="K57" i="47" s="1"/>
  <c r="Q57" i="47"/>
  <c r="J57" i="47" s="1"/>
  <c r="P57" i="47"/>
  <c r="O57" i="47"/>
  <c r="N57" i="47"/>
  <c r="G57" i="47"/>
  <c r="H57" i="47" s="1"/>
  <c r="AU56" i="47"/>
  <c r="AQ56" i="47"/>
  <c r="AP56" i="47"/>
  <c r="AO56" i="47"/>
  <c r="AN56" i="47"/>
  <c r="AM56" i="47"/>
  <c r="AL56" i="47"/>
  <c r="AK56" i="47"/>
  <c r="AJ56" i="47"/>
  <c r="AI56" i="47"/>
  <c r="AH56" i="47"/>
  <c r="X56" i="47"/>
  <c r="T56" i="47"/>
  <c r="S56" i="47"/>
  <c r="R56" i="47"/>
  <c r="K56" i="47" s="1"/>
  <c r="P56" i="47"/>
  <c r="O56" i="47"/>
  <c r="N56" i="47"/>
  <c r="G56" i="47"/>
  <c r="H56" i="47" s="1"/>
  <c r="AU55" i="47"/>
  <c r="AQ55" i="47"/>
  <c r="AP55" i="47"/>
  <c r="AO55" i="47"/>
  <c r="AN55" i="47"/>
  <c r="AM55" i="47"/>
  <c r="AL55" i="47"/>
  <c r="AK55" i="47"/>
  <c r="AJ55" i="47"/>
  <c r="AI55" i="47"/>
  <c r="AH55" i="47"/>
  <c r="X55" i="47"/>
  <c r="T55" i="47"/>
  <c r="S55" i="47"/>
  <c r="R55" i="47"/>
  <c r="K55" i="47" s="1"/>
  <c r="Q55" i="47"/>
  <c r="J55" i="47" s="1"/>
  <c r="P55" i="47"/>
  <c r="O55" i="47"/>
  <c r="N55" i="47"/>
  <c r="G55" i="47"/>
  <c r="H55" i="47" s="1"/>
  <c r="AU54" i="47"/>
  <c r="AQ54" i="47"/>
  <c r="AP54" i="47"/>
  <c r="AO54" i="47"/>
  <c r="AN54" i="47"/>
  <c r="AM54" i="47"/>
  <c r="AL54" i="47"/>
  <c r="AK54" i="47"/>
  <c r="AJ54" i="47"/>
  <c r="AI54" i="47"/>
  <c r="AH54" i="47"/>
  <c r="X54" i="47"/>
  <c r="T54" i="47"/>
  <c r="S54" i="47"/>
  <c r="R54" i="47"/>
  <c r="K54" i="47" s="1"/>
  <c r="Q54" i="47"/>
  <c r="J54" i="47" s="1"/>
  <c r="P54" i="47"/>
  <c r="O54" i="47"/>
  <c r="N54" i="47"/>
  <c r="G54" i="47"/>
  <c r="H54" i="47" s="1"/>
  <c r="AU53" i="47"/>
  <c r="AQ53" i="47"/>
  <c r="AP53" i="47"/>
  <c r="AO53" i="47"/>
  <c r="AN53" i="47"/>
  <c r="AM53" i="47"/>
  <c r="AL53" i="47"/>
  <c r="AK53" i="47"/>
  <c r="AJ53" i="47"/>
  <c r="AI53" i="47"/>
  <c r="AH53" i="47"/>
  <c r="X53" i="47"/>
  <c r="T53" i="47"/>
  <c r="S53" i="47"/>
  <c r="R53" i="47"/>
  <c r="K53" i="47" s="1"/>
  <c r="Q53" i="47"/>
  <c r="J53" i="47" s="1"/>
  <c r="P53" i="47"/>
  <c r="O53" i="47"/>
  <c r="N53" i="47"/>
  <c r="G53" i="47"/>
  <c r="H53" i="47" s="1"/>
  <c r="AU52" i="47"/>
  <c r="AQ52" i="47"/>
  <c r="AP52" i="47"/>
  <c r="AO52" i="47"/>
  <c r="AN52" i="47"/>
  <c r="AM52" i="47"/>
  <c r="AL52" i="47"/>
  <c r="AK52" i="47"/>
  <c r="AJ52" i="47"/>
  <c r="AI52" i="47"/>
  <c r="AH52" i="47"/>
  <c r="X52" i="47"/>
  <c r="T52" i="47"/>
  <c r="S52" i="47"/>
  <c r="R52" i="47"/>
  <c r="K52" i="47" s="1"/>
  <c r="P52" i="47"/>
  <c r="O52" i="47"/>
  <c r="N52" i="47"/>
  <c r="G52" i="47"/>
  <c r="H52" i="47" s="1"/>
  <c r="AU51" i="47"/>
  <c r="AQ51" i="47"/>
  <c r="AP51" i="47"/>
  <c r="AO51" i="47"/>
  <c r="AN51" i="47"/>
  <c r="AM51" i="47"/>
  <c r="AL51" i="47"/>
  <c r="AK51" i="47"/>
  <c r="AJ51" i="47"/>
  <c r="AI51" i="47"/>
  <c r="AH51" i="47"/>
  <c r="X51" i="47"/>
  <c r="T51" i="47"/>
  <c r="S51" i="47"/>
  <c r="R51" i="47"/>
  <c r="K51" i="47" s="1"/>
  <c r="P51" i="47"/>
  <c r="O51" i="47"/>
  <c r="N51" i="47"/>
  <c r="G51" i="47"/>
  <c r="H51" i="47" s="1"/>
  <c r="AU50" i="47"/>
  <c r="AQ50" i="47"/>
  <c r="AP50" i="47"/>
  <c r="AO50" i="47"/>
  <c r="AN50" i="47"/>
  <c r="AM50" i="47"/>
  <c r="AL50" i="47"/>
  <c r="AK50" i="47"/>
  <c r="AJ50" i="47"/>
  <c r="AI50" i="47"/>
  <c r="AH50" i="47"/>
  <c r="X50" i="47"/>
  <c r="T50" i="47"/>
  <c r="S50" i="47"/>
  <c r="R50" i="47"/>
  <c r="K50" i="47" s="1"/>
  <c r="P50" i="47"/>
  <c r="O50" i="47"/>
  <c r="N50" i="47"/>
  <c r="G50" i="47"/>
  <c r="H50" i="47" s="1"/>
  <c r="AU49" i="47"/>
  <c r="AQ49" i="47"/>
  <c r="AP49" i="47"/>
  <c r="AO49" i="47"/>
  <c r="AN49" i="47"/>
  <c r="AM49" i="47"/>
  <c r="AL49" i="47"/>
  <c r="AK49" i="47"/>
  <c r="AJ49" i="47"/>
  <c r="AI49" i="47"/>
  <c r="AH49" i="47"/>
  <c r="X49" i="47"/>
  <c r="T49" i="47"/>
  <c r="S49" i="47"/>
  <c r="R49" i="47"/>
  <c r="K49" i="47" s="1"/>
  <c r="P49" i="47"/>
  <c r="O49" i="47"/>
  <c r="N49" i="47"/>
  <c r="G49" i="47"/>
  <c r="H49" i="47" s="1"/>
  <c r="AU48" i="47"/>
  <c r="AQ48" i="47"/>
  <c r="AP48" i="47"/>
  <c r="AO48" i="47"/>
  <c r="AN48" i="47"/>
  <c r="AM48" i="47"/>
  <c r="AL48" i="47"/>
  <c r="AK48" i="47"/>
  <c r="AJ48" i="47"/>
  <c r="AI48" i="47"/>
  <c r="AH48" i="47"/>
  <c r="X48" i="47"/>
  <c r="T48" i="47"/>
  <c r="S48" i="47"/>
  <c r="R48" i="47"/>
  <c r="Q48" i="47"/>
  <c r="P48" i="47"/>
  <c r="O48" i="47"/>
  <c r="N48" i="47"/>
  <c r="G48" i="47"/>
  <c r="AU47" i="47"/>
  <c r="AQ47" i="47"/>
  <c r="AP47" i="47"/>
  <c r="AO47" i="47"/>
  <c r="AN47" i="47"/>
  <c r="AM47" i="47"/>
  <c r="AL47" i="47"/>
  <c r="AK47" i="47"/>
  <c r="AJ47" i="47"/>
  <c r="AI47" i="47"/>
  <c r="AH47" i="47"/>
  <c r="X47" i="47"/>
  <c r="T47" i="47"/>
  <c r="S47" i="47"/>
  <c r="R47" i="47"/>
  <c r="Q47" i="47"/>
  <c r="J47" i="47" s="1"/>
  <c r="P47" i="47"/>
  <c r="O47" i="47"/>
  <c r="N47" i="47"/>
  <c r="G47" i="47"/>
  <c r="AU46" i="47"/>
  <c r="AQ46" i="47"/>
  <c r="AP46" i="47"/>
  <c r="AO46" i="47"/>
  <c r="AN46" i="47"/>
  <c r="AM46" i="47"/>
  <c r="AL46" i="47"/>
  <c r="AK46" i="47"/>
  <c r="AJ46" i="47"/>
  <c r="AI46" i="47"/>
  <c r="AH46" i="47"/>
  <c r="X46" i="47"/>
  <c r="T46" i="47"/>
  <c r="S46" i="47"/>
  <c r="R46" i="47"/>
  <c r="Q46" i="47"/>
  <c r="P46" i="47"/>
  <c r="O46" i="47"/>
  <c r="N46" i="47"/>
  <c r="G46" i="47"/>
  <c r="AU45" i="47"/>
  <c r="AQ45" i="47"/>
  <c r="AP45" i="47"/>
  <c r="AO45" i="47"/>
  <c r="AN45" i="47"/>
  <c r="AM45" i="47"/>
  <c r="AL45" i="47"/>
  <c r="AK45" i="47"/>
  <c r="AJ45" i="47"/>
  <c r="AI45" i="47"/>
  <c r="AH45" i="47"/>
  <c r="X45" i="47"/>
  <c r="T45" i="47"/>
  <c r="S45" i="47"/>
  <c r="R45" i="47"/>
  <c r="P45" i="47"/>
  <c r="O45" i="47"/>
  <c r="N45" i="47"/>
  <c r="G45" i="47"/>
  <c r="AU44" i="47"/>
  <c r="AQ44" i="47"/>
  <c r="AP44" i="47"/>
  <c r="AO44" i="47"/>
  <c r="AN44" i="47"/>
  <c r="AM44" i="47"/>
  <c r="AL44" i="47"/>
  <c r="AK44" i="47"/>
  <c r="AJ44" i="47"/>
  <c r="AI44" i="47"/>
  <c r="AH44" i="47"/>
  <c r="X44" i="47"/>
  <c r="T44" i="47"/>
  <c r="S44" i="47"/>
  <c r="R44" i="47"/>
  <c r="R43" i="47"/>
  <c r="Q44" i="47"/>
  <c r="P44" i="47"/>
  <c r="O44" i="47"/>
  <c r="N44" i="47"/>
  <c r="G44" i="47"/>
  <c r="AU43" i="47"/>
  <c r="AQ43" i="47"/>
  <c r="AP43" i="47"/>
  <c r="AO43" i="47"/>
  <c r="AN43" i="47"/>
  <c r="AM43" i="47"/>
  <c r="AL43" i="47"/>
  <c r="AK43" i="47"/>
  <c r="AJ43" i="47"/>
  <c r="AI43" i="47"/>
  <c r="AH43" i="47"/>
  <c r="X43" i="47"/>
  <c r="T43" i="47"/>
  <c r="S43" i="47"/>
  <c r="P43" i="47"/>
  <c r="O43" i="47"/>
  <c r="N43" i="47"/>
  <c r="G43" i="47"/>
  <c r="AU42" i="47"/>
  <c r="AQ42" i="47"/>
  <c r="AP42" i="47"/>
  <c r="AO42" i="47"/>
  <c r="AN42" i="47"/>
  <c r="AM42" i="47"/>
  <c r="AL42" i="47"/>
  <c r="AK42" i="47"/>
  <c r="AJ42" i="47"/>
  <c r="AI42" i="47"/>
  <c r="AH42" i="47"/>
  <c r="X42" i="47"/>
  <c r="T42" i="47"/>
  <c r="S42" i="47"/>
  <c r="R42" i="47"/>
  <c r="Q42" i="47"/>
  <c r="P42" i="47"/>
  <c r="O42" i="47"/>
  <c r="N42" i="47"/>
  <c r="G42" i="47"/>
  <c r="AU41" i="47"/>
  <c r="AQ41" i="47"/>
  <c r="AP41" i="47"/>
  <c r="AO41" i="47"/>
  <c r="AN41" i="47"/>
  <c r="AM41" i="47"/>
  <c r="AL41" i="47"/>
  <c r="AK41" i="47"/>
  <c r="AJ41" i="47"/>
  <c r="AI41" i="47"/>
  <c r="AH41" i="47"/>
  <c r="X41" i="47"/>
  <c r="T41" i="47"/>
  <c r="S41" i="47"/>
  <c r="R41" i="47"/>
  <c r="Q41" i="47"/>
  <c r="P41" i="47"/>
  <c r="O41" i="47"/>
  <c r="N41" i="47"/>
  <c r="G41" i="47"/>
  <c r="AU40" i="47"/>
  <c r="AQ40" i="47"/>
  <c r="AP40" i="47"/>
  <c r="AO40" i="47"/>
  <c r="AN40" i="47"/>
  <c r="AM40" i="47"/>
  <c r="AL40" i="47"/>
  <c r="AK40" i="47"/>
  <c r="AJ40" i="47"/>
  <c r="AI40" i="47"/>
  <c r="AH40" i="47"/>
  <c r="X40" i="47"/>
  <c r="T40" i="47"/>
  <c r="S40" i="47"/>
  <c r="R40" i="47"/>
  <c r="Q40" i="47"/>
  <c r="P40" i="47"/>
  <c r="O40" i="47"/>
  <c r="N40" i="47"/>
  <c r="G40" i="47"/>
  <c r="AU39" i="47"/>
  <c r="AQ39" i="47"/>
  <c r="AP39" i="47"/>
  <c r="AO39" i="47"/>
  <c r="AN39" i="47"/>
  <c r="AM39" i="47"/>
  <c r="AL39" i="47"/>
  <c r="AK39" i="47"/>
  <c r="AJ39" i="47"/>
  <c r="AI39" i="47"/>
  <c r="AH39" i="47"/>
  <c r="X39" i="47"/>
  <c r="T39" i="47"/>
  <c r="S39" i="47"/>
  <c r="R39" i="47"/>
  <c r="Q39" i="47"/>
  <c r="P39" i="47"/>
  <c r="O39" i="47"/>
  <c r="N39" i="47"/>
  <c r="G39" i="47"/>
  <c r="AU38" i="47"/>
  <c r="AQ38" i="47"/>
  <c r="AP38" i="47"/>
  <c r="AO38" i="47"/>
  <c r="AN38" i="47"/>
  <c r="AM38" i="47"/>
  <c r="AL38" i="47"/>
  <c r="AK38" i="47"/>
  <c r="AJ38" i="47"/>
  <c r="AI38" i="47"/>
  <c r="AH38" i="47"/>
  <c r="X38" i="47"/>
  <c r="T38" i="47"/>
  <c r="S38" i="47"/>
  <c r="R38" i="47"/>
  <c r="Q38" i="47"/>
  <c r="P38" i="47"/>
  <c r="O38" i="47"/>
  <c r="N38" i="47"/>
  <c r="G38" i="47"/>
  <c r="AU37" i="47"/>
  <c r="AQ37" i="47"/>
  <c r="AP37" i="47"/>
  <c r="AO37" i="47"/>
  <c r="AN37" i="47"/>
  <c r="AM37" i="47"/>
  <c r="AL37" i="47"/>
  <c r="AK37" i="47"/>
  <c r="AJ37" i="47"/>
  <c r="AI37" i="47"/>
  <c r="AH37" i="47"/>
  <c r="X37" i="47"/>
  <c r="T37" i="47"/>
  <c r="S37" i="47"/>
  <c r="R37" i="47"/>
  <c r="P37" i="47"/>
  <c r="O37" i="47"/>
  <c r="N37" i="47"/>
  <c r="G37" i="47"/>
  <c r="AU36" i="47"/>
  <c r="AQ36" i="47"/>
  <c r="AP36" i="47"/>
  <c r="AO36" i="47"/>
  <c r="AN36" i="47"/>
  <c r="AM36" i="47"/>
  <c r="AL36" i="47"/>
  <c r="AK36" i="47"/>
  <c r="AJ36" i="47"/>
  <c r="AI36" i="47"/>
  <c r="AH36" i="47"/>
  <c r="X36" i="47"/>
  <c r="T36" i="47"/>
  <c r="S36" i="47"/>
  <c r="R36" i="47"/>
  <c r="Q36" i="47"/>
  <c r="P36" i="47"/>
  <c r="O36" i="47"/>
  <c r="N36" i="47"/>
  <c r="G36" i="47"/>
  <c r="AU35" i="47"/>
  <c r="AQ35" i="47"/>
  <c r="AP35" i="47"/>
  <c r="AO35" i="47"/>
  <c r="AN35" i="47"/>
  <c r="AM35" i="47"/>
  <c r="AL35" i="47"/>
  <c r="AK35" i="47"/>
  <c r="AJ35" i="47"/>
  <c r="AI35" i="47"/>
  <c r="AH35" i="47"/>
  <c r="X35" i="47"/>
  <c r="T35" i="47"/>
  <c r="S35" i="47"/>
  <c r="R35" i="47"/>
  <c r="Q35" i="47"/>
  <c r="P35" i="47"/>
  <c r="O35" i="47"/>
  <c r="N35" i="47"/>
  <c r="G35" i="47"/>
  <c r="AU34" i="47"/>
  <c r="AQ34" i="47"/>
  <c r="AP34" i="47"/>
  <c r="AO34" i="47"/>
  <c r="AN34" i="47"/>
  <c r="AM34" i="47"/>
  <c r="AL34" i="47"/>
  <c r="AK34" i="47"/>
  <c r="AJ34" i="47"/>
  <c r="AI34" i="47"/>
  <c r="AH34" i="47"/>
  <c r="X34" i="47"/>
  <c r="T34" i="47"/>
  <c r="S34" i="47"/>
  <c r="R34" i="47"/>
  <c r="Q34" i="47"/>
  <c r="P34" i="47"/>
  <c r="O34" i="47"/>
  <c r="N34" i="47"/>
  <c r="G34" i="47"/>
  <c r="AU33" i="47"/>
  <c r="AQ33" i="47"/>
  <c r="AP33" i="47"/>
  <c r="AO33" i="47"/>
  <c r="AN33" i="47"/>
  <c r="AM33" i="47"/>
  <c r="AL33" i="47"/>
  <c r="AK33" i="47"/>
  <c r="AJ33" i="47"/>
  <c r="AI33" i="47"/>
  <c r="AH33" i="47"/>
  <c r="X33" i="47"/>
  <c r="T33" i="47"/>
  <c r="S33" i="47"/>
  <c r="R33" i="47"/>
  <c r="Q33" i="47"/>
  <c r="P33" i="47"/>
  <c r="O33" i="47"/>
  <c r="N33" i="47"/>
  <c r="G33" i="47"/>
  <c r="AU32" i="47"/>
  <c r="AQ32" i="47"/>
  <c r="AP32" i="47"/>
  <c r="AO32" i="47"/>
  <c r="AN32" i="47"/>
  <c r="AM32" i="47"/>
  <c r="AL32" i="47"/>
  <c r="AK32" i="47"/>
  <c r="AJ32" i="47"/>
  <c r="AI32" i="47"/>
  <c r="AH32" i="47"/>
  <c r="X32" i="47"/>
  <c r="T32" i="47"/>
  <c r="S32" i="47"/>
  <c r="R32" i="47"/>
  <c r="Q32" i="47"/>
  <c r="P32" i="47"/>
  <c r="O32" i="47"/>
  <c r="N32" i="47"/>
  <c r="G32" i="47"/>
  <c r="AU31" i="47"/>
  <c r="AQ31" i="47"/>
  <c r="AP31" i="47"/>
  <c r="AO31" i="47"/>
  <c r="AN31" i="47"/>
  <c r="AM31" i="47"/>
  <c r="AL31" i="47"/>
  <c r="AK31" i="47"/>
  <c r="AJ31" i="47"/>
  <c r="AI31" i="47"/>
  <c r="AH31" i="47"/>
  <c r="X31" i="47"/>
  <c r="T31" i="47"/>
  <c r="S31" i="47"/>
  <c r="R31" i="47"/>
  <c r="Q31" i="47"/>
  <c r="P31" i="47"/>
  <c r="O31" i="47"/>
  <c r="N31" i="47"/>
  <c r="G31" i="47"/>
  <c r="AU30" i="47"/>
  <c r="AQ30" i="47"/>
  <c r="AP30" i="47"/>
  <c r="AO30" i="47"/>
  <c r="AN30" i="47"/>
  <c r="AM30" i="47"/>
  <c r="AL30" i="47"/>
  <c r="AK30" i="47"/>
  <c r="AJ30" i="47"/>
  <c r="AI30" i="47"/>
  <c r="AH30" i="47"/>
  <c r="X30" i="47"/>
  <c r="T30" i="47"/>
  <c r="S30" i="47"/>
  <c r="R30" i="47"/>
  <c r="P30" i="47"/>
  <c r="O30" i="47"/>
  <c r="N30" i="47"/>
  <c r="G30" i="47"/>
  <c r="AU29" i="47"/>
  <c r="AQ29" i="47"/>
  <c r="AP29" i="47"/>
  <c r="AO29" i="47"/>
  <c r="AN29" i="47"/>
  <c r="AM29" i="47"/>
  <c r="AL29" i="47"/>
  <c r="AK29" i="47"/>
  <c r="AJ29" i="47"/>
  <c r="AI29" i="47"/>
  <c r="AH29" i="47"/>
  <c r="X29" i="47"/>
  <c r="T29" i="47"/>
  <c r="S29" i="47"/>
  <c r="R29" i="47"/>
  <c r="K29" i="47" s="1"/>
  <c r="Q29" i="47"/>
  <c r="J29" i="47" s="1"/>
  <c r="P29" i="47"/>
  <c r="O29" i="47"/>
  <c r="N29" i="47"/>
  <c r="G29" i="47"/>
  <c r="H29" i="47"/>
  <c r="AU28" i="47"/>
  <c r="AQ28" i="47"/>
  <c r="AP28" i="47"/>
  <c r="AO28" i="47"/>
  <c r="AN28" i="47"/>
  <c r="AM28" i="47"/>
  <c r="AL28" i="47"/>
  <c r="AK28" i="47"/>
  <c r="AJ28" i="47"/>
  <c r="AI28" i="47"/>
  <c r="AH28" i="47"/>
  <c r="X28" i="47"/>
  <c r="T28" i="47"/>
  <c r="S28" i="47"/>
  <c r="R28" i="47"/>
  <c r="Q28" i="47"/>
  <c r="P28" i="47"/>
  <c r="O28" i="47"/>
  <c r="N28" i="47"/>
  <c r="G28" i="47"/>
  <c r="AU27" i="47"/>
  <c r="AQ27" i="47"/>
  <c r="AP27" i="47"/>
  <c r="AO27" i="47"/>
  <c r="AN27" i="47"/>
  <c r="AM27" i="47"/>
  <c r="AL27" i="47"/>
  <c r="AK27" i="47"/>
  <c r="AJ27" i="47"/>
  <c r="AI27" i="47"/>
  <c r="AH27" i="47"/>
  <c r="X27" i="47"/>
  <c r="T27" i="47"/>
  <c r="S27" i="47"/>
  <c r="R27" i="47"/>
  <c r="Q27" i="47"/>
  <c r="P27" i="47"/>
  <c r="O27" i="47"/>
  <c r="N27" i="47"/>
  <c r="G27" i="47"/>
  <c r="AU26" i="47"/>
  <c r="AQ26" i="47"/>
  <c r="AP26" i="47"/>
  <c r="AO26" i="47"/>
  <c r="AN26" i="47"/>
  <c r="AM26" i="47"/>
  <c r="AL26" i="47"/>
  <c r="AK26" i="47"/>
  <c r="AJ26" i="47"/>
  <c r="AI26" i="47"/>
  <c r="AH26" i="47"/>
  <c r="X26" i="47"/>
  <c r="T26" i="47"/>
  <c r="S26" i="47"/>
  <c r="R26" i="47"/>
  <c r="P26" i="47"/>
  <c r="O26" i="47"/>
  <c r="N26" i="47"/>
  <c r="G26" i="47"/>
  <c r="AU25" i="47"/>
  <c r="AQ25" i="47"/>
  <c r="AP25" i="47"/>
  <c r="AO25" i="47"/>
  <c r="AN25" i="47"/>
  <c r="AM25" i="47"/>
  <c r="AL25" i="47"/>
  <c r="AK25" i="47"/>
  <c r="AJ25" i="47"/>
  <c r="AI25" i="47"/>
  <c r="AH25" i="47"/>
  <c r="X25" i="47"/>
  <c r="T25" i="47"/>
  <c r="S25" i="47"/>
  <c r="R25" i="47"/>
  <c r="Q25" i="47"/>
  <c r="P25" i="47"/>
  <c r="O25" i="47"/>
  <c r="N25" i="47"/>
  <c r="G25" i="47"/>
  <c r="AU24" i="47"/>
  <c r="AQ24" i="47"/>
  <c r="AP24" i="47"/>
  <c r="AO24" i="47"/>
  <c r="AN24" i="47"/>
  <c r="AM24" i="47"/>
  <c r="AL24" i="47"/>
  <c r="AK24" i="47"/>
  <c r="AJ24" i="47"/>
  <c r="AI24" i="47"/>
  <c r="AH24" i="47"/>
  <c r="X24" i="47"/>
  <c r="T24" i="47"/>
  <c r="S24" i="47"/>
  <c r="R24" i="47"/>
  <c r="P24" i="47"/>
  <c r="O24" i="47"/>
  <c r="N24" i="47"/>
  <c r="G24" i="47"/>
  <c r="AU23" i="47"/>
  <c r="AQ23" i="47"/>
  <c r="AP23" i="47"/>
  <c r="AO23" i="47"/>
  <c r="AN23" i="47"/>
  <c r="AM23" i="47"/>
  <c r="AL23" i="47"/>
  <c r="AK23" i="47"/>
  <c r="AJ23" i="47"/>
  <c r="AI23" i="47"/>
  <c r="AH23" i="47"/>
  <c r="X23" i="47"/>
  <c r="T23" i="47"/>
  <c r="S23" i="47"/>
  <c r="R23" i="47"/>
  <c r="K23" i="47" s="1"/>
  <c r="P23" i="47"/>
  <c r="O23" i="47"/>
  <c r="N23" i="47"/>
  <c r="G23" i="47"/>
  <c r="H23" i="47" s="1"/>
  <c r="AU22" i="47"/>
  <c r="AQ22" i="47"/>
  <c r="AP22" i="47"/>
  <c r="AO22" i="47"/>
  <c r="AN22" i="47"/>
  <c r="AM22" i="47"/>
  <c r="AL22" i="47"/>
  <c r="AK22" i="47"/>
  <c r="AJ22" i="47"/>
  <c r="AI22" i="47"/>
  <c r="AH22" i="47"/>
  <c r="X22" i="47"/>
  <c r="T22" i="47"/>
  <c r="S22" i="47"/>
  <c r="R22" i="47"/>
  <c r="Q22" i="47"/>
  <c r="P22" i="47"/>
  <c r="O22" i="47"/>
  <c r="N22" i="47"/>
  <c r="G22" i="47"/>
  <c r="AU21" i="47"/>
  <c r="AQ21" i="47"/>
  <c r="AP21" i="47"/>
  <c r="AO21" i="47"/>
  <c r="AN21" i="47"/>
  <c r="AM21" i="47"/>
  <c r="AL21" i="47"/>
  <c r="AK21" i="47"/>
  <c r="AJ21" i="47"/>
  <c r="AI21" i="47"/>
  <c r="AH21" i="47"/>
  <c r="X21" i="47"/>
  <c r="T21" i="47"/>
  <c r="S21" i="47"/>
  <c r="R21" i="47"/>
  <c r="Q21" i="47"/>
  <c r="P21" i="47"/>
  <c r="O21" i="47"/>
  <c r="N21" i="47"/>
  <c r="G21" i="47"/>
  <c r="AU20" i="47"/>
  <c r="AQ20" i="47"/>
  <c r="AP20" i="47"/>
  <c r="AO20" i="47"/>
  <c r="AN20" i="47"/>
  <c r="AM20" i="47"/>
  <c r="AL20" i="47"/>
  <c r="AK20" i="47"/>
  <c r="AJ20" i="47"/>
  <c r="AI20" i="47"/>
  <c r="AH20" i="47"/>
  <c r="X20" i="47"/>
  <c r="T20" i="47"/>
  <c r="S20" i="47"/>
  <c r="R20" i="47"/>
  <c r="Q20" i="47"/>
  <c r="P20" i="47"/>
  <c r="O20" i="47"/>
  <c r="N20" i="47"/>
  <c r="G20" i="47"/>
  <c r="AU19" i="47"/>
  <c r="AQ19" i="47"/>
  <c r="AP19" i="47"/>
  <c r="AO19" i="47"/>
  <c r="AN19" i="47"/>
  <c r="AM19" i="47"/>
  <c r="AL19" i="47"/>
  <c r="AK19" i="47"/>
  <c r="AJ19" i="47"/>
  <c r="AI19" i="47"/>
  <c r="AH19" i="47"/>
  <c r="X19" i="47"/>
  <c r="T19" i="47"/>
  <c r="S19" i="47"/>
  <c r="R19" i="47"/>
  <c r="P19" i="47"/>
  <c r="O19" i="47"/>
  <c r="N19" i="47"/>
  <c r="G19" i="47"/>
  <c r="AU18" i="47"/>
  <c r="AQ18" i="47"/>
  <c r="AP18" i="47"/>
  <c r="AO18" i="47"/>
  <c r="AN18" i="47"/>
  <c r="AM18" i="47"/>
  <c r="AL18" i="47"/>
  <c r="AK18" i="47"/>
  <c r="AJ18" i="47"/>
  <c r="AI18" i="47"/>
  <c r="AH18" i="47"/>
  <c r="X18" i="47"/>
  <c r="T18" i="47"/>
  <c r="S18" i="47"/>
  <c r="R18" i="47"/>
  <c r="K18" i="47" s="1"/>
  <c r="Q18" i="47"/>
  <c r="J18" i="47" s="1"/>
  <c r="P18" i="47"/>
  <c r="O18" i="47"/>
  <c r="N18" i="47"/>
  <c r="G18" i="47"/>
  <c r="H18" i="47" s="1"/>
  <c r="AU17" i="47"/>
  <c r="AQ17" i="47"/>
  <c r="AP17" i="47"/>
  <c r="AO17" i="47"/>
  <c r="AN17" i="47"/>
  <c r="AM17" i="47"/>
  <c r="AL17" i="47"/>
  <c r="AK17" i="47"/>
  <c r="AJ17" i="47"/>
  <c r="AI17" i="47"/>
  <c r="AH17" i="47"/>
  <c r="X17" i="47"/>
  <c r="T17" i="47"/>
  <c r="S17" i="47"/>
  <c r="R17" i="47"/>
  <c r="K17" i="47" s="1"/>
  <c r="Q17" i="47"/>
  <c r="J17" i="47" s="1"/>
  <c r="P17" i="47"/>
  <c r="O17" i="47"/>
  <c r="N17" i="47"/>
  <c r="G17" i="47"/>
  <c r="H17" i="47" s="1"/>
  <c r="AU16" i="47"/>
  <c r="AQ16" i="47"/>
  <c r="AP16" i="47"/>
  <c r="AO16" i="47"/>
  <c r="AN16" i="47"/>
  <c r="AM16" i="47"/>
  <c r="AL16" i="47"/>
  <c r="AK16" i="47"/>
  <c r="AJ16" i="47"/>
  <c r="AI16" i="47"/>
  <c r="AH16" i="47"/>
  <c r="X16" i="47"/>
  <c r="T16" i="47"/>
  <c r="S16" i="47"/>
  <c r="R16" i="47"/>
  <c r="Q16" i="47"/>
  <c r="P16" i="47"/>
  <c r="O16" i="47"/>
  <c r="N16" i="47"/>
  <c r="G16" i="47"/>
  <c r="AU15" i="47"/>
  <c r="AQ15" i="47"/>
  <c r="AP15" i="47"/>
  <c r="AO15" i="47"/>
  <c r="AN15" i="47"/>
  <c r="AM15" i="47"/>
  <c r="AL15" i="47"/>
  <c r="AK15" i="47"/>
  <c r="AJ15" i="47"/>
  <c r="AI15" i="47"/>
  <c r="AH15" i="47"/>
  <c r="X15" i="47"/>
  <c r="T15" i="47"/>
  <c r="S15" i="47"/>
  <c r="R15" i="47"/>
  <c r="P15" i="47"/>
  <c r="O15" i="47"/>
  <c r="N15" i="47"/>
  <c r="G15" i="47"/>
  <c r="AU14" i="47"/>
  <c r="AQ14" i="47"/>
  <c r="AP14" i="47"/>
  <c r="AO14" i="47"/>
  <c r="AN14" i="47"/>
  <c r="AM14" i="47"/>
  <c r="AL14" i="47"/>
  <c r="AK14" i="47"/>
  <c r="AJ14" i="47"/>
  <c r="AI14" i="47"/>
  <c r="AH14" i="47"/>
  <c r="X14" i="47"/>
  <c r="T14" i="47"/>
  <c r="S14" i="47"/>
  <c r="R14" i="47"/>
  <c r="K14" i="47" s="1"/>
  <c r="Q14" i="47"/>
  <c r="J14" i="47" s="1"/>
  <c r="P14" i="47"/>
  <c r="O14" i="47"/>
  <c r="N14" i="47"/>
  <c r="G14" i="47"/>
  <c r="H14" i="47" s="1"/>
  <c r="AU13" i="47"/>
  <c r="AQ13" i="47"/>
  <c r="AP13" i="47"/>
  <c r="AO13" i="47"/>
  <c r="AN13" i="47"/>
  <c r="AM13" i="47"/>
  <c r="AL13" i="47"/>
  <c r="AK13" i="47"/>
  <c r="AJ13" i="47"/>
  <c r="AI13" i="47"/>
  <c r="AH13" i="47"/>
  <c r="X13" i="47"/>
  <c r="T13" i="47"/>
  <c r="S13" i="47"/>
  <c r="R13" i="47"/>
  <c r="K13" i="47" s="1"/>
  <c r="Q13" i="47"/>
  <c r="J13" i="47" s="1"/>
  <c r="P13" i="47"/>
  <c r="O13" i="47"/>
  <c r="N13" i="47"/>
  <c r="G13" i="47"/>
  <c r="H13" i="47" s="1"/>
  <c r="AU12" i="47"/>
  <c r="AQ12" i="47"/>
  <c r="AP12" i="47"/>
  <c r="AO12" i="47"/>
  <c r="AN12" i="47"/>
  <c r="AM12" i="47"/>
  <c r="AL12" i="47"/>
  <c r="AK12" i="47"/>
  <c r="AJ12" i="47"/>
  <c r="AI12" i="47"/>
  <c r="AH12" i="47"/>
  <c r="X12" i="47"/>
  <c r="T12" i="47"/>
  <c r="S12" i="47"/>
  <c r="R12" i="47"/>
  <c r="Q12" i="47"/>
  <c r="P12" i="47"/>
  <c r="O12" i="47"/>
  <c r="N12" i="47"/>
  <c r="G12" i="47"/>
  <c r="AU11" i="47"/>
  <c r="AQ11" i="47"/>
  <c r="AP11" i="47"/>
  <c r="AO11" i="47"/>
  <c r="AN11" i="47"/>
  <c r="AM11" i="47"/>
  <c r="AL11" i="47"/>
  <c r="AK11" i="47"/>
  <c r="AJ11" i="47"/>
  <c r="AI11" i="47"/>
  <c r="AH11" i="47"/>
  <c r="X11" i="47"/>
  <c r="T11" i="47"/>
  <c r="S11" i="47"/>
  <c r="R11" i="47"/>
  <c r="P11" i="47"/>
  <c r="O11" i="47"/>
  <c r="N11" i="47"/>
  <c r="G11" i="47"/>
  <c r="AU10" i="47"/>
  <c r="AQ10" i="47"/>
  <c r="AP10" i="47"/>
  <c r="AO10" i="47"/>
  <c r="AN10" i="47"/>
  <c r="AM10" i="47"/>
  <c r="AL10" i="47"/>
  <c r="AK10" i="47"/>
  <c r="AJ10" i="47"/>
  <c r="AI10" i="47"/>
  <c r="AH10" i="47"/>
  <c r="X10" i="47"/>
  <c r="T10" i="47"/>
  <c r="S10" i="47"/>
  <c r="R10" i="47"/>
  <c r="K10" i="47" s="1"/>
  <c r="Q10" i="47"/>
  <c r="J10" i="47" s="1"/>
  <c r="P10" i="47"/>
  <c r="O10" i="47"/>
  <c r="N10" i="47"/>
  <c r="G10" i="47"/>
  <c r="H10" i="47" s="1"/>
  <c r="AU9" i="47"/>
  <c r="AQ9" i="47"/>
  <c r="AP9" i="47"/>
  <c r="AO9" i="47"/>
  <c r="AN9" i="47"/>
  <c r="AM9" i="47"/>
  <c r="AL9" i="47"/>
  <c r="AK9" i="47"/>
  <c r="AJ9" i="47"/>
  <c r="AI9" i="47"/>
  <c r="AH9" i="47"/>
  <c r="X9" i="47"/>
  <c r="T9" i="47"/>
  <c r="S9" i="47"/>
  <c r="R9" i="47"/>
  <c r="K9" i="47" s="1"/>
  <c r="Q9" i="47"/>
  <c r="P9" i="47"/>
  <c r="O9" i="47"/>
  <c r="N9" i="47"/>
  <c r="G9" i="47"/>
  <c r="H9" i="47" s="1"/>
  <c r="AU8" i="47"/>
  <c r="AQ8" i="47"/>
  <c r="AP8" i="47"/>
  <c r="AO8" i="47"/>
  <c r="AN8" i="47"/>
  <c r="AM8" i="47"/>
  <c r="AL8" i="47"/>
  <c r="AK8" i="47"/>
  <c r="AJ8" i="47"/>
  <c r="AI8" i="47"/>
  <c r="AH8" i="47"/>
  <c r="X8" i="47"/>
  <c r="T8" i="47"/>
  <c r="S8" i="47"/>
  <c r="R8" i="47"/>
  <c r="Q8" i="47"/>
  <c r="P8" i="47"/>
  <c r="O8" i="47"/>
  <c r="N8" i="47"/>
  <c r="G8" i="47"/>
  <c r="AU7" i="47"/>
  <c r="AQ7" i="47"/>
  <c r="AP7" i="47"/>
  <c r="AO7" i="47"/>
  <c r="AN7" i="47"/>
  <c r="AM7" i="47"/>
  <c r="AL7" i="47"/>
  <c r="AK7" i="47"/>
  <c r="AJ7" i="47"/>
  <c r="AI7" i="47"/>
  <c r="AH7" i="47"/>
  <c r="X7" i="47"/>
  <c r="T7" i="47"/>
  <c r="S7" i="47"/>
  <c r="R7" i="47"/>
  <c r="Q7" i="47"/>
  <c r="J7" i="47" s="1"/>
  <c r="P7" i="47"/>
  <c r="O7" i="47"/>
  <c r="N7" i="47"/>
  <c r="G7" i="47"/>
  <c r="AU6" i="47"/>
  <c r="AQ6" i="47"/>
  <c r="AP6" i="47"/>
  <c r="AO6" i="47"/>
  <c r="AN6" i="47"/>
  <c r="AM6" i="47"/>
  <c r="AL6" i="47"/>
  <c r="AK6" i="47"/>
  <c r="AJ6" i="47"/>
  <c r="AI6" i="47"/>
  <c r="AH6" i="47"/>
  <c r="X6" i="47"/>
  <c r="T6" i="47"/>
  <c r="S6" i="47"/>
  <c r="R6" i="47"/>
  <c r="K6" i="47" s="1"/>
  <c r="P6" i="47"/>
  <c r="O6" i="47"/>
  <c r="N6" i="47"/>
  <c r="G6" i="47"/>
  <c r="H6" i="47" s="1"/>
  <c r="AU5" i="47"/>
  <c r="AQ5" i="47"/>
  <c r="AP5" i="47"/>
  <c r="AO5" i="47"/>
  <c r="AN5" i="47"/>
  <c r="AM5" i="47"/>
  <c r="AL5" i="47"/>
  <c r="AK5" i="47"/>
  <c r="AJ5" i="47"/>
  <c r="AI5" i="47"/>
  <c r="AH5" i="47"/>
  <c r="X5" i="47"/>
  <c r="T5" i="47"/>
  <c r="S5" i="47"/>
  <c r="R5" i="47"/>
  <c r="K5" i="47" s="1"/>
  <c r="Q5" i="47"/>
  <c r="J5" i="47" s="1"/>
  <c r="P5" i="47"/>
  <c r="O5" i="47"/>
  <c r="N5" i="47"/>
  <c r="G5" i="47"/>
  <c r="P4" i="47"/>
  <c r="P142" i="47" s="1"/>
  <c r="O4" i="47"/>
  <c r="O142" i="47" s="1"/>
  <c r="N4" i="47"/>
  <c r="N142" i="47" s="1"/>
  <c r="AQ2" i="47"/>
  <c r="AP2" i="47"/>
  <c r="AO2" i="47"/>
  <c r="AN2" i="47"/>
  <c r="AM2" i="47"/>
  <c r="AL2" i="47"/>
  <c r="AK2" i="47"/>
  <c r="AJ2" i="47"/>
  <c r="AI2" i="47"/>
  <c r="AH2" i="47"/>
  <c r="C1" i="47"/>
  <c r="I4" i="52"/>
  <c r="I3" i="52"/>
  <c r="E44" i="60"/>
  <c r="E43" i="60"/>
  <c r="E42" i="60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" i="60"/>
  <c r="E2" i="60"/>
  <c r="E1" i="60"/>
  <c r="T186" i="1"/>
  <c r="AD185" i="1"/>
  <c r="AC185" i="1"/>
  <c r="AB185" i="1"/>
  <c r="AA185" i="1"/>
  <c r="Z185" i="1"/>
  <c r="G185" i="1"/>
  <c r="AO184" i="1"/>
  <c r="AN184" i="1"/>
  <c r="AM184" i="1"/>
  <c r="AL184" i="1"/>
  <c r="AK184" i="1"/>
  <c r="AJ184" i="1"/>
  <c r="AI184" i="1"/>
  <c r="AH184" i="1"/>
  <c r="AG184" i="1"/>
  <c r="AF184" i="1"/>
  <c r="X184" i="1"/>
  <c r="T184" i="1"/>
  <c r="S184" i="1"/>
  <c r="R184" i="1"/>
  <c r="K184" i="1" s="1"/>
  <c r="Q184" i="1"/>
  <c r="J184" i="1" s="1"/>
  <c r="P184" i="1"/>
  <c r="O184" i="1"/>
  <c r="N184" i="1"/>
  <c r="H184" i="1"/>
  <c r="AO183" i="1"/>
  <c r="AN183" i="1"/>
  <c r="AM183" i="1"/>
  <c r="AL183" i="1"/>
  <c r="AK183" i="1"/>
  <c r="AJ183" i="1"/>
  <c r="AI183" i="1"/>
  <c r="AH183" i="1"/>
  <c r="AG183" i="1"/>
  <c r="AF183" i="1"/>
  <c r="X183" i="1"/>
  <c r="T183" i="1"/>
  <c r="S183" i="1"/>
  <c r="R183" i="1"/>
  <c r="K183" i="1" s="1"/>
  <c r="H183" i="1"/>
  <c r="Q183" i="1"/>
  <c r="J183" i="1" s="1"/>
  <c r="P183" i="1"/>
  <c r="O183" i="1"/>
  <c r="N183" i="1"/>
  <c r="AO182" i="1"/>
  <c r="AN182" i="1"/>
  <c r="AM182" i="1"/>
  <c r="AL182" i="1"/>
  <c r="AK182" i="1"/>
  <c r="AJ182" i="1"/>
  <c r="AI182" i="1"/>
  <c r="AH182" i="1"/>
  <c r="AG182" i="1"/>
  <c r="AF182" i="1"/>
  <c r="X182" i="1"/>
  <c r="T182" i="1"/>
  <c r="S182" i="1"/>
  <c r="R182" i="1"/>
  <c r="K182" i="1" s="1"/>
  <c r="Q182" i="1"/>
  <c r="J182" i="1" s="1"/>
  <c r="P182" i="1"/>
  <c r="O182" i="1"/>
  <c r="N182" i="1"/>
  <c r="H182" i="1"/>
  <c r="AO181" i="1"/>
  <c r="AN181" i="1"/>
  <c r="AM181" i="1"/>
  <c r="AL181" i="1"/>
  <c r="AK181" i="1"/>
  <c r="AJ181" i="1"/>
  <c r="AI181" i="1"/>
  <c r="AH181" i="1"/>
  <c r="AG181" i="1"/>
  <c r="AF181" i="1"/>
  <c r="X181" i="1"/>
  <c r="T181" i="1"/>
  <c r="S181" i="1"/>
  <c r="R181" i="1"/>
  <c r="K181" i="1" s="1"/>
  <c r="Q181" i="1"/>
  <c r="J181" i="1" s="1"/>
  <c r="P181" i="1"/>
  <c r="O181" i="1"/>
  <c r="N181" i="1"/>
  <c r="H181" i="1"/>
  <c r="AO180" i="1"/>
  <c r="AN180" i="1"/>
  <c r="AM180" i="1"/>
  <c r="AL180" i="1"/>
  <c r="AK180" i="1"/>
  <c r="AJ180" i="1"/>
  <c r="AI180" i="1"/>
  <c r="AH180" i="1"/>
  <c r="AG180" i="1"/>
  <c r="AF180" i="1"/>
  <c r="X180" i="1"/>
  <c r="T180" i="1"/>
  <c r="S180" i="1"/>
  <c r="R180" i="1"/>
  <c r="K180" i="1" s="1"/>
  <c r="Q180" i="1"/>
  <c r="J180" i="1" s="1"/>
  <c r="P180" i="1"/>
  <c r="O180" i="1"/>
  <c r="N180" i="1"/>
  <c r="H180" i="1"/>
  <c r="AO179" i="1"/>
  <c r="AN179" i="1"/>
  <c r="AM179" i="1"/>
  <c r="AL179" i="1"/>
  <c r="AK179" i="1"/>
  <c r="AJ179" i="1"/>
  <c r="AI179" i="1"/>
  <c r="AH179" i="1"/>
  <c r="AG179" i="1"/>
  <c r="AF179" i="1"/>
  <c r="X179" i="1"/>
  <c r="T179" i="1"/>
  <c r="S179" i="1"/>
  <c r="R179" i="1"/>
  <c r="K179" i="1" s="1"/>
  <c r="Q179" i="1"/>
  <c r="J179" i="1" s="1"/>
  <c r="P179" i="1"/>
  <c r="O179" i="1"/>
  <c r="N179" i="1"/>
  <c r="H179" i="1"/>
  <c r="AO178" i="1"/>
  <c r="AN178" i="1"/>
  <c r="AM178" i="1"/>
  <c r="AL178" i="1"/>
  <c r="AK178" i="1"/>
  <c r="AJ178" i="1"/>
  <c r="AI178" i="1"/>
  <c r="AH178" i="1"/>
  <c r="AG178" i="1"/>
  <c r="AF178" i="1"/>
  <c r="X178" i="1"/>
  <c r="T178" i="1"/>
  <c r="S178" i="1"/>
  <c r="R178" i="1"/>
  <c r="K178" i="1" s="1"/>
  <c r="Q178" i="1"/>
  <c r="J178" i="1" s="1"/>
  <c r="P178" i="1"/>
  <c r="O178" i="1"/>
  <c r="N178" i="1"/>
  <c r="H178" i="1"/>
  <c r="AO177" i="1"/>
  <c r="AN177" i="1"/>
  <c r="AM177" i="1"/>
  <c r="AL177" i="1"/>
  <c r="AK177" i="1"/>
  <c r="AJ177" i="1"/>
  <c r="AI177" i="1"/>
  <c r="AH177" i="1"/>
  <c r="AG177" i="1"/>
  <c r="AF177" i="1"/>
  <c r="Y177" i="1"/>
  <c r="X177" i="1"/>
  <c r="T177" i="1"/>
  <c r="S177" i="1"/>
  <c r="R177" i="1"/>
  <c r="Q177" i="1"/>
  <c r="P177" i="1"/>
  <c r="O177" i="1"/>
  <c r="N177" i="1"/>
  <c r="AO176" i="1"/>
  <c r="AN176" i="1"/>
  <c r="AM176" i="1"/>
  <c r="AL176" i="1"/>
  <c r="AK176" i="1"/>
  <c r="AJ176" i="1"/>
  <c r="AI176" i="1"/>
  <c r="AH176" i="1"/>
  <c r="AG176" i="1"/>
  <c r="AF176" i="1"/>
  <c r="X176" i="1"/>
  <c r="T176" i="1"/>
  <c r="S176" i="1"/>
  <c r="R176" i="1"/>
  <c r="P176" i="1"/>
  <c r="O176" i="1"/>
  <c r="N176" i="1"/>
  <c r="H176" i="1"/>
  <c r="AO175" i="1"/>
  <c r="AN175" i="1"/>
  <c r="AM175" i="1"/>
  <c r="AL175" i="1"/>
  <c r="AK175" i="1"/>
  <c r="AJ175" i="1"/>
  <c r="AI175" i="1"/>
  <c r="AH175" i="1"/>
  <c r="AG175" i="1"/>
  <c r="AF175" i="1"/>
  <c r="X175" i="1"/>
  <c r="T175" i="1"/>
  <c r="S175" i="1"/>
  <c r="R175" i="1"/>
  <c r="K175" i="1" s="1"/>
  <c r="P175" i="1"/>
  <c r="O175" i="1"/>
  <c r="N175" i="1"/>
  <c r="H175" i="1"/>
  <c r="AO174" i="1"/>
  <c r="AN174" i="1"/>
  <c r="AM174" i="1"/>
  <c r="AL174" i="1"/>
  <c r="AK174" i="1"/>
  <c r="AJ174" i="1"/>
  <c r="AI174" i="1"/>
  <c r="AH174" i="1"/>
  <c r="AG174" i="1"/>
  <c r="AF174" i="1"/>
  <c r="X174" i="1"/>
  <c r="T174" i="1"/>
  <c r="S174" i="1"/>
  <c r="R174" i="1"/>
  <c r="K174" i="1" s="1"/>
  <c r="P174" i="1"/>
  <c r="O174" i="1"/>
  <c r="N174" i="1"/>
  <c r="H174" i="1"/>
  <c r="AO173" i="1"/>
  <c r="AN173" i="1"/>
  <c r="AM173" i="1"/>
  <c r="AL173" i="1"/>
  <c r="AK173" i="1"/>
  <c r="AJ173" i="1"/>
  <c r="AI173" i="1"/>
  <c r="AH173" i="1"/>
  <c r="AG173" i="1"/>
  <c r="AF173" i="1"/>
  <c r="X173" i="1"/>
  <c r="T173" i="1"/>
  <c r="S173" i="1"/>
  <c r="R173" i="1"/>
  <c r="K173" i="1" s="1"/>
  <c r="H173" i="1"/>
  <c r="P173" i="1"/>
  <c r="O173" i="1"/>
  <c r="N173" i="1"/>
  <c r="AO172" i="1"/>
  <c r="AN172" i="1"/>
  <c r="AM172" i="1"/>
  <c r="AL172" i="1"/>
  <c r="AK172" i="1"/>
  <c r="AJ172" i="1"/>
  <c r="AI172" i="1"/>
  <c r="AH172" i="1"/>
  <c r="AG172" i="1"/>
  <c r="AF172" i="1"/>
  <c r="X172" i="1"/>
  <c r="T172" i="1"/>
  <c r="S172" i="1"/>
  <c r="R172" i="1"/>
  <c r="K172" i="1" s="1"/>
  <c r="P172" i="1"/>
  <c r="O172" i="1"/>
  <c r="N172" i="1"/>
  <c r="H172" i="1"/>
  <c r="AO171" i="1"/>
  <c r="AN171" i="1"/>
  <c r="AM171" i="1"/>
  <c r="AL171" i="1"/>
  <c r="AK171" i="1"/>
  <c r="AJ171" i="1"/>
  <c r="AI171" i="1"/>
  <c r="AH171" i="1"/>
  <c r="AG171" i="1"/>
  <c r="AF171" i="1"/>
  <c r="X171" i="1"/>
  <c r="T171" i="1"/>
  <c r="S171" i="1"/>
  <c r="R171" i="1"/>
  <c r="K171" i="1" s="1"/>
  <c r="P171" i="1"/>
  <c r="O171" i="1"/>
  <c r="N171" i="1"/>
  <c r="H171" i="1"/>
  <c r="AO170" i="1"/>
  <c r="AN170" i="1"/>
  <c r="AM170" i="1"/>
  <c r="AL170" i="1"/>
  <c r="AK170" i="1"/>
  <c r="AJ170" i="1"/>
  <c r="AI170" i="1"/>
  <c r="AH170" i="1"/>
  <c r="AG170" i="1"/>
  <c r="AF170" i="1"/>
  <c r="X170" i="1"/>
  <c r="T170" i="1"/>
  <c r="S170" i="1"/>
  <c r="R170" i="1"/>
  <c r="K170" i="1" s="1"/>
  <c r="P170" i="1"/>
  <c r="O170" i="1"/>
  <c r="N170" i="1"/>
  <c r="H170" i="1"/>
  <c r="AO169" i="1"/>
  <c r="AN169" i="1"/>
  <c r="AM169" i="1"/>
  <c r="AL169" i="1"/>
  <c r="AK169" i="1"/>
  <c r="AJ169" i="1"/>
  <c r="AI169" i="1"/>
  <c r="AH169" i="1"/>
  <c r="AG169" i="1"/>
  <c r="AF169" i="1"/>
  <c r="X169" i="1"/>
  <c r="T169" i="1"/>
  <c r="S169" i="1"/>
  <c r="R169" i="1"/>
  <c r="K169" i="1" s="1"/>
  <c r="P169" i="1"/>
  <c r="O169" i="1"/>
  <c r="N169" i="1"/>
  <c r="H169" i="1"/>
  <c r="AO168" i="1"/>
  <c r="AN168" i="1"/>
  <c r="AM168" i="1"/>
  <c r="AL168" i="1"/>
  <c r="AK168" i="1"/>
  <c r="AJ168" i="1"/>
  <c r="AI168" i="1"/>
  <c r="AH168" i="1"/>
  <c r="AG168" i="1"/>
  <c r="AF168" i="1"/>
  <c r="X168" i="1"/>
  <c r="T168" i="1"/>
  <c r="S168" i="1"/>
  <c r="R168" i="1"/>
  <c r="K168" i="1" s="1"/>
  <c r="P168" i="1"/>
  <c r="O168" i="1"/>
  <c r="N168" i="1"/>
  <c r="H168" i="1"/>
  <c r="AO167" i="1"/>
  <c r="AN167" i="1"/>
  <c r="AM167" i="1"/>
  <c r="AL167" i="1"/>
  <c r="AK167" i="1"/>
  <c r="AJ167" i="1"/>
  <c r="AI167" i="1"/>
  <c r="AH167" i="1"/>
  <c r="AG167" i="1"/>
  <c r="AF167" i="1"/>
  <c r="X167" i="1"/>
  <c r="T167" i="1"/>
  <c r="S167" i="1"/>
  <c r="R167" i="1"/>
  <c r="K167" i="1" s="1"/>
  <c r="H167" i="1"/>
  <c r="P167" i="1"/>
  <c r="O167" i="1"/>
  <c r="N167" i="1"/>
  <c r="AO166" i="1"/>
  <c r="AN166" i="1"/>
  <c r="AM166" i="1"/>
  <c r="AL166" i="1"/>
  <c r="AK166" i="1"/>
  <c r="AJ166" i="1"/>
  <c r="AI166" i="1"/>
  <c r="AH166" i="1"/>
  <c r="AG166" i="1"/>
  <c r="AF166" i="1"/>
  <c r="X166" i="1"/>
  <c r="T166" i="1"/>
  <c r="S166" i="1"/>
  <c r="R166" i="1"/>
  <c r="K166" i="1" s="1"/>
  <c r="H166" i="1"/>
  <c r="P166" i="1"/>
  <c r="O166" i="1"/>
  <c r="N166" i="1"/>
  <c r="AO165" i="1"/>
  <c r="AN165" i="1"/>
  <c r="AM165" i="1"/>
  <c r="AL165" i="1"/>
  <c r="AK165" i="1"/>
  <c r="AJ165" i="1"/>
  <c r="AI165" i="1"/>
  <c r="AH165" i="1"/>
  <c r="AG165" i="1"/>
  <c r="AF165" i="1"/>
  <c r="X165" i="1"/>
  <c r="T165" i="1"/>
  <c r="S165" i="1"/>
  <c r="R165" i="1"/>
  <c r="K165" i="1" s="1"/>
  <c r="P165" i="1"/>
  <c r="O165" i="1"/>
  <c r="N165" i="1"/>
  <c r="H165" i="1"/>
  <c r="AO164" i="1"/>
  <c r="AN164" i="1"/>
  <c r="AM164" i="1"/>
  <c r="AL164" i="1"/>
  <c r="AK164" i="1"/>
  <c r="AJ164" i="1"/>
  <c r="AI164" i="1"/>
  <c r="AH164" i="1"/>
  <c r="AG164" i="1"/>
  <c r="AF164" i="1"/>
  <c r="X164" i="1"/>
  <c r="T164" i="1"/>
  <c r="S164" i="1"/>
  <c r="R164" i="1"/>
  <c r="K164" i="1" s="1"/>
  <c r="P164" i="1"/>
  <c r="O164" i="1"/>
  <c r="N164" i="1"/>
  <c r="H164" i="1"/>
  <c r="AO163" i="1"/>
  <c r="AN163" i="1"/>
  <c r="AM163" i="1"/>
  <c r="AL163" i="1"/>
  <c r="AK163" i="1"/>
  <c r="AJ163" i="1"/>
  <c r="AI163" i="1"/>
  <c r="AH163" i="1"/>
  <c r="AG163" i="1"/>
  <c r="AF163" i="1"/>
  <c r="X163" i="1"/>
  <c r="T163" i="1"/>
  <c r="S163" i="1"/>
  <c r="R163" i="1"/>
  <c r="K163" i="1" s="1"/>
  <c r="P163" i="1"/>
  <c r="O163" i="1"/>
  <c r="N163" i="1"/>
  <c r="H163" i="1"/>
  <c r="AO162" i="1"/>
  <c r="AN162" i="1"/>
  <c r="AM162" i="1"/>
  <c r="AL162" i="1"/>
  <c r="AK162" i="1"/>
  <c r="AJ162" i="1"/>
  <c r="AI162" i="1"/>
  <c r="AH162" i="1"/>
  <c r="AG162" i="1"/>
  <c r="AF162" i="1"/>
  <c r="X162" i="1"/>
  <c r="T162" i="1"/>
  <c r="S162" i="1"/>
  <c r="R162" i="1"/>
  <c r="K162" i="1" s="1"/>
  <c r="P162" i="1"/>
  <c r="O162" i="1"/>
  <c r="N162" i="1"/>
  <c r="H162" i="1"/>
  <c r="AO161" i="1"/>
  <c r="AN161" i="1"/>
  <c r="AM161" i="1"/>
  <c r="AL161" i="1"/>
  <c r="AK161" i="1"/>
  <c r="AJ161" i="1"/>
  <c r="AI161" i="1"/>
  <c r="AH161" i="1"/>
  <c r="AG161" i="1"/>
  <c r="AF161" i="1"/>
  <c r="X161" i="1"/>
  <c r="T161" i="1"/>
  <c r="S161" i="1"/>
  <c r="R161" i="1"/>
  <c r="K161" i="1" s="1"/>
  <c r="P161" i="1"/>
  <c r="O161" i="1"/>
  <c r="N161" i="1"/>
  <c r="H161" i="1"/>
  <c r="AO160" i="1"/>
  <c r="AN160" i="1"/>
  <c r="AM160" i="1"/>
  <c r="AL160" i="1"/>
  <c r="AK160" i="1"/>
  <c r="AJ160" i="1"/>
  <c r="AI160" i="1"/>
  <c r="AH160" i="1"/>
  <c r="AG160" i="1"/>
  <c r="AF160" i="1"/>
  <c r="X160" i="1"/>
  <c r="T160" i="1"/>
  <c r="S160" i="1"/>
  <c r="R160" i="1"/>
  <c r="K160" i="1" s="1"/>
  <c r="P160" i="1"/>
  <c r="O160" i="1"/>
  <c r="N160" i="1"/>
  <c r="H160" i="1"/>
  <c r="AO159" i="1"/>
  <c r="AN159" i="1"/>
  <c r="AM159" i="1"/>
  <c r="AL159" i="1"/>
  <c r="AK159" i="1"/>
  <c r="AJ159" i="1"/>
  <c r="AI159" i="1"/>
  <c r="AH159" i="1"/>
  <c r="AG159" i="1"/>
  <c r="AF159" i="1"/>
  <c r="X159" i="1"/>
  <c r="T159" i="1"/>
  <c r="S159" i="1"/>
  <c r="R159" i="1"/>
  <c r="K159" i="1" s="1"/>
  <c r="H159" i="1"/>
  <c r="P159" i="1"/>
  <c r="O159" i="1"/>
  <c r="N159" i="1"/>
  <c r="I185" i="1"/>
  <c r="AO158" i="1"/>
  <c r="AN158" i="1"/>
  <c r="AM158" i="1"/>
  <c r="AL158" i="1"/>
  <c r="AK158" i="1"/>
  <c r="AJ158" i="1"/>
  <c r="AI158" i="1"/>
  <c r="AH158" i="1"/>
  <c r="AG158" i="1"/>
  <c r="AF158" i="1"/>
  <c r="X158" i="1"/>
  <c r="T158" i="1"/>
  <c r="S158" i="1"/>
  <c r="R158" i="1"/>
  <c r="K158" i="1" s="1"/>
  <c r="H158" i="1"/>
  <c r="P158" i="1"/>
  <c r="O158" i="1"/>
  <c r="N158" i="1"/>
  <c r="AO157" i="1"/>
  <c r="AN157" i="1"/>
  <c r="AM157" i="1"/>
  <c r="AL157" i="1"/>
  <c r="AK157" i="1"/>
  <c r="AJ157" i="1"/>
  <c r="AI157" i="1"/>
  <c r="AH157" i="1"/>
  <c r="AG157" i="1"/>
  <c r="AF157" i="1"/>
  <c r="X157" i="1"/>
  <c r="T157" i="1"/>
  <c r="S157" i="1"/>
  <c r="R157" i="1"/>
  <c r="K157" i="1" s="1"/>
  <c r="P157" i="1"/>
  <c r="O157" i="1"/>
  <c r="N157" i="1"/>
  <c r="H157" i="1"/>
  <c r="AO156" i="1"/>
  <c r="AN156" i="1"/>
  <c r="AM156" i="1"/>
  <c r="AL156" i="1"/>
  <c r="AK156" i="1"/>
  <c r="AJ156" i="1"/>
  <c r="AI156" i="1"/>
  <c r="AH156" i="1"/>
  <c r="AG156" i="1"/>
  <c r="AF156" i="1"/>
  <c r="X156" i="1"/>
  <c r="T156" i="1"/>
  <c r="S156" i="1"/>
  <c r="R156" i="1"/>
  <c r="K156" i="1" s="1"/>
  <c r="H156" i="1"/>
  <c r="P156" i="1"/>
  <c r="O156" i="1"/>
  <c r="N156" i="1"/>
  <c r="AO155" i="1"/>
  <c r="AN155" i="1"/>
  <c r="AM155" i="1"/>
  <c r="AL155" i="1"/>
  <c r="AK155" i="1"/>
  <c r="AJ155" i="1"/>
  <c r="AI155" i="1"/>
  <c r="AH155" i="1"/>
  <c r="AG155" i="1"/>
  <c r="AF155" i="1"/>
  <c r="X155" i="1"/>
  <c r="T155" i="1"/>
  <c r="S155" i="1"/>
  <c r="R155" i="1"/>
  <c r="K155" i="1" s="1"/>
  <c r="P155" i="1"/>
  <c r="O155" i="1"/>
  <c r="N155" i="1"/>
  <c r="H155" i="1"/>
  <c r="AO154" i="1"/>
  <c r="AN154" i="1"/>
  <c r="AM154" i="1"/>
  <c r="AL154" i="1"/>
  <c r="AK154" i="1"/>
  <c r="AJ154" i="1"/>
  <c r="AI154" i="1"/>
  <c r="AH154" i="1"/>
  <c r="AG154" i="1"/>
  <c r="AF154" i="1"/>
  <c r="X154" i="1"/>
  <c r="T154" i="1"/>
  <c r="S154" i="1"/>
  <c r="R154" i="1"/>
  <c r="K154" i="1" s="1"/>
  <c r="P154" i="1"/>
  <c r="O154" i="1"/>
  <c r="N154" i="1"/>
  <c r="H154" i="1"/>
  <c r="AO153" i="1"/>
  <c r="AN153" i="1"/>
  <c r="AM153" i="1"/>
  <c r="AL153" i="1"/>
  <c r="AK153" i="1"/>
  <c r="AJ153" i="1"/>
  <c r="AI153" i="1"/>
  <c r="AH153" i="1"/>
  <c r="AG153" i="1"/>
  <c r="AF153" i="1"/>
  <c r="X153" i="1"/>
  <c r="T153" i="1"/>
  <c r="S153" i="1"/>
  <c r="R153" i="1"/>
  <c r="K153" i="1" s="1"/>
  <c r="P153" i="1"/>
  <c r="O153" i="1"/>
  <c r="N153" i="1"/>
  <c r="H153" i="1"/>
  <c r="AO152" i="1"/>
  <c r="AN152" i="1"/>
  <c r="AM152" i="1"/>
  <c r="AL152" i="1"/>
  <c r="AK152" i="1"/>
  <c r="AJ152" i="1"/>
  <c r="AI152" i="1"/>
  <c r="AH152" i="1"/>
  <c r="AG152" i="1"/>
  <c r="AF152" i="1"/>
  <c r="X152" i="1"/>
  <c r="T152" i="1"/>
  <c r="S152" i="1"/>
  <c r="R152" i="1"/>
  <c r="K152" i="1" s="1"/>
  <c r="H152" i="1"/>
  <c r="P152" i="1"/>
  <c r="O152" i="1"/>
  <c r="N152" i="1"/>
  <c r="AO151" i="1"/>
  <c r="AN151" i="1"/>
  <c r="AM151" i="1"/>
  <c r="AL151" i="1"/>
  <c r="AK151" i="1"/>
  <c r="AJ151" i="1"/>
  <c r="AI151" i="1"/>
  <c r="AH151" i="1"/>
  <c r="AG151" i="1"/>
  <c r="AF151" i="1"/>
  <c r="Y151" i="1"/>
  <c r="X151" i="1"/>
  <c r="T151" i="1"/>
  <c r="S151" i="1"/>
  <c r="R151" i="1"/>
  <c r="R150" i="1"/>
  <c r="H150" i="1"/>
  <c r="Q151" i="1"/>
  <c r="P151" i="1"/>
  <c r="O151" i="1"/>
  <c r="N151" i="1"/>
  <c r="AO150" i="1"/>
  <c r="AN150" i="1"/>
  <c r="AM150" i="1"/>
  <c r="AL150" i="1"/>
  <c r="AK150" i="1"/>
  <c r="AJ150" i="1"/>
  <c r="AI150" i="1"/>
  <c r="AH150" i="1"/>
  <c r="AG150" i="1"/>
  <c r="AF150" i="1"/>
  <c r="X150" i="1"/>
  <c r="T150" i="1"/>
  <c r="S150" i="1"/>
  <c r="P150" i="1"/>
  <c r="O150" i="1"/>
  <c r="N150" i="1"/>
  <c r="P149" i="1"/>
  <c r="O149" i="1"/>
  <c r="N149" i="1"/>
  <c r="T148" i="1"/>
  <c r="S148" i="1"/>
  <c r="R148" i="1"/>
  <c r="T147" i="1"/>
  <c r="S147" i="1"/>
  <c r="R147" i="1"/>
  <c r="AC146" i="1"/>
  <c r="AB146" i="1"/>
  <c r="AA146" i="1"/>
  <c r="I146" i="1"/>
  <c r="G146" i="1"/>
  <c r="AO145" i="1"/>
  <c r="AN145" i="1"/>
  <c r="AM145" i="1"/>
  <c r="AL145" i="1"/>
  <c r="AK145" i="1"/>
  <c r="AJ145" i="1"/>
  <c r="AI145" i="1"/>
  <c r="AH145" i="1"/>
  <c r="AH144" i="1"/>
  <c r="AG145" i="1"/>
  <c r="X145" i="1"/>
  <c r="T145" i="1"/>
  <c r="S145" i="1"/>
  <c r="R145" i="1"/>
  <c r="Q145" i="1"/>
  <c r="P145" i="1"/>
  <c r="O145" i="1"/>
  <c r="N145" i="1"/>
  <c r="AO144" i="1"/>
  <c r="AN144" i="1"/>
  <c r="AM144" i="1"/>
  <c r="AL144" i="1"/>
  <c r="AK144" i="1"/>
  <c r="AJ144" i="1"/>
  <c r="AI144" i="1"/>
  <c r="AG144" i="1"/>
  <c r="AF144" i="1"/>
  <c r="AF146" i="1" s="1"/>
  <c r="X144" i="1"/>
  <c r="T144" i="1"/>
  <c r="S144" i="1"/>
  <c r="R144" i="1"/>
  <c r="P144" i="1"/>
  <c r="O144" i="1"/>
  <c r="N144" i="1"/>
  <c r="H144" i="1"/>
  <c r="H146" i="1" s="1"/>
  <c r="Z143" i="1"/>
  <c r="Z142" i="1"/>
  <c r="Y142" i="1"/>
  <c r="Z141" i="1"/>
  <c r="Y141" i="1"/>
  <c r="Z140" i="1"/>
  <c r="Y140" i="1"/>
  <c r="I140" i="1"/>
  <c r="G140" i="1"/>
  <c r="AO138" i="1"/>
  <c r="AN138" i="1"/>
  <c r="AM138" i="1"/>
  <c r="AL138" i="1"/>
  <c r="AK138" i="1"/>
  <c r="AJ138" i="1"/>
  <c r="AI138" i="1"/>
  <c r="AH138" i="1"/>
  <c r="AG138" i="1"/>
  <c r="AF138" i="1"/>
  <c r="X138" i="1"/>
  <c r="T138" i="1"/>
  <c r="S138" i="1"/>
  <c r="R138" i="1"/>
  <c r="K138" i="1" s="1"/>
  <c r="H138" i="1"/>
  <c r="P138" i="1"/>
  <c r="O138" i="1"/>
  <c r="N138" i="1"/>
  <c r="AO137" i="1"/>
  <c r="AN137" i="1"/>
  <c r="AM137" i="1"/>
  <c r="AL137" i="1"/>
  <c r="AK137" i="1"/>
  <c r="AJ137" i="1"/>
  <c r="AI137" i="1"/>
  <c r="AH137" i="1"/>
  <c r="AG137" i="1"/>
  <c r="X137" i="1"/>
  <c r="T137" i="1"/>
  <c r="S137" i="1"/>
  <c r="R137" i="1"/>
  <c r="K137" i="1" s="1"/>
  <c r="H137" i="1"/>
  <c r="Q137" i="1"/>
  <c r="J137" i="1" s="1"/>
  <c r="P137" i="1"/>
  <c r="O137" i="1"/>
  <c r="N137" i="1"/>
  <c r="AO136" i="1"/>
  <c r="AN136" i="1"/>
  <c r="AM136" i="1"/>
  <c r="AL136" i="1"/>
  <c r="AK136" i="1"/>
  <c r="AJ136" i="1"/>
  <c r="AI136" i="1"/>
  <c r="AH136" i="1"/>
  <c r="AG136" i="1"/>
  <c r="AF136" i="1"/>
  <c r="X136" i="1"/>
  <c r="T136" i="1"/>
  <c r="S136" i="1"/>
  <c r="R136" i="1"/>
  <c r="K136" i="1" s="1"/>
  <c r="H136" i="1"/>
  <c r="Q136" i="1"/>
  <c r="J136" i="1" s="1"/>
  <c r="P136" i="1"/>
  <c r="O136" i="1"/>
  <c r="N136" i="1"/>
  <c r="AO135" i="1"/>
  <c r="AN135" i="1"/>
  <c r="AM135" i="1"/>
  <c r="AL135" i="1"/>
  <c r="AK135" i="1"/>
  <c r="AJ135" i="1"/>
  <c r="AI135" i="1"/>
  <c r="AH135" i="1"/>
  <c r="AG135" i="1"/>
  <c r="AF135" i="1"/>
  <c r="X135" i="1"/>
  <c r="T135" i="1"/>
  <c r="S135" i="1"/>
  <c r="R135" i="1"/>
  <c r="K135" i="1" s="1"/>
  <c r="Q135" i="1"/>
  <c r="J135" i="1" s="1"/>
  <c r="P135" i="1"/>
  <c r="O135" i="1"/>
  <c r="N135" i="1"/>
  <c r="H135" i="1"/>
  <c r="AO134" i="1"/>
  <c r="AN134" i="1"/>
  <c r="AM134" i="1"/>
  <c r="AL134" i="1"/>
  <c r="AK134" i="1"/>
  <c r="AJ134" i="1"/>
  <c r="AI134" i="1"/>
  <c r="AH134" i="1"/>
  <c r="AG134" i="1"/>
  <c r="AF134" i="1"/>
  <c r="X134" i="1"/>
  <c r="T134" i="1"/>
  <c r="S134" i="1"/>
  <c r="R134" i="1"/>
  <c r="K134" i="1" s="1"/>
  <c r="H134" i="1"/>
  <c r="Q134" i="1"/>
  <c r="J134" i="1" s="1"/>
  <c r="P134" i="1"/>
  <c r="O134" i="1"/>
  <c r="N134" i="1"/>
  <c r="AO133" i="1"/>
  <c r="AN133" i="1"/>
  <c r="AM133" i="1"/>
  <c r="AL133" i="1"/>
  <c r="AK133" i="1"/>
  <c r="AJ133" i="1"/>
  <c r="AI133" i="1"/>
  <c r="AH133" i="1"/>
  <c r="AG133" i="1"/>
  <c r="AF133" i="1"/>
  <c r="X133" i="1"/>
  <c r="T133" i="1"/>
  <c r="S133" i="1"/>
  <c r="R133" i="1"/>
  <c r="K133" i="1" s="1"/>
  <c r="H133" i="1"/>
  <c r="Q133" i="1"/>
  <c r="J133" i="1" s="1"/>
  <c r="P133" i="1"/>
  <c r="O133" i="1"/>
  <c r="N133" i="1"/>
  <c r="AO132" i="1"/>
  <c r="AN132" i="1"/>
  <c r="AM132" i="1"/>
  <c r="AL132" i="1"/>
  <c r="AK132" i="1"/>
  <c r="AJ132" i="1"/>
  <c r="AI132" i="1"/>
  <c r="AH132" i="1"/>
  <c r="AG132" i="1"/>
  <c r="AF132" i="1"/>
  <c r="X132" i="1"/>
  <c r="T132" i="1"/>
  <c r="S132" i="1"/>
  <c r="R132" i="1"/>
  <c r="K132" i="1" s="1"/>
  <c r="Q132" i="1"/>
  <c r="J132" i="1" s="1"/>
  <c r="P132" i="1"/>
  <c r="O132" i="1"/>
  <c r="N132" i="1"/>
  <c r="H132" i="1"/>
  <c r="AO131" i="1"/>
  <c r="AN131" i="1"/>
  <c r="AM131" i="1"/>
  <c r="AL131" i="1"/>
  <c r="AK131" i="1"/>
  <c r="AJ131" i="1"/>
  <c r="AI131" i="1"/>
  <c r="AH131" i="1"/>
  <c r="AG131" i="1"/>
  <c r="AF131" i="1"/>
  <c r="X131" i="1"/>
  <c r="T131" i="1"/>
  <c r="S131" i="1"/>
  <c r="R131" i="1"/>
  <c r="K131" i="1" s="1"/>
  <c r="H131" i="1"/>
  <c r="Q131" i="1"/>
  <c r="J131" i="1" s="1"/>
  <c r="P131" i="1"/>
  <c r="O131" i="1"/>
  <c r="N131" i="1"/>
  <c r="AO130" i="1"/>
  <c r="AN130" i="1"/>
  <c r="AM130" i="1"/>
  <c r="AL130" i="1"/>
  <c r="AK130" i="1"/>
  <c r="AJ130" i="1"/>
  <c r="AI130" i="1"/>
  <c r="AH130" i="1"/>
  <c r="AG130" i="1"/>
  <c r="AF130" i="1"/>
  <c r="X130" i="1"/>
  <c r="T130" i="1"/>
  <c r="S130" i="1"/>
  <c r="R130" i="1"/>
  <c r="K130" i="1" s="1"/>
  <c r="H130" i="1"/>
  <c r="Q130" i="1"/>
  <c r="J130" i="1" s="1"/>
  <c r="P130" i="1"/>
  <c r="O130" i="1"/>
  <c r="N130" i="1"/>
  <c r="AO129" i="1"/>
  <c r="AN129" i="1"/>
  <c r="AM129" i="1"/>
  <c r="AL129" i="1"/>
  <c r="AK129" i="1"/>
  <c r="AJ129" i="1"/>
  <c r="AI129" i="1"/>
  <c r="AH129" i="1"/>
  <c r="AG129" i="1"/>
  <c r="AF129" i="1"/>
  <c r="X129" i="1"/>
  <c r="T129" i="1"/>
  <c r="S129" i="1"/>
  <c r="R129" i="1"/>
  <c r="K129" i="1" s="1"/>
  <c r="H129" i="1"/>
  <c r="Q129" i="1"/>
  <c r="J129" i="1" s="1"/>
  <c r="P129" i="1"/>
  <c r="O129" i="1"/>
  <c r="N129" i="1"/>
  <c r="AO128" i="1"/>
  <c r="AN128" i="1"/>
  <c r="AM128" i="1"/>
  <c r="AL128" i="1"/>
  <c r="AK128" i="1"/>
  <c r="AJ128" i="1"/>
  <c r="AI128" i="1"/>
  <c r="AH128" i="1"/>
  <c r="AG128" i="1"/>
  <c r="AF128" i="1"/>
  <c r="X128" i="1"/>
  <c r="T128" i="1"/>
  <c r="S128" i="1"/>
  <c r="R128" i="1"/>
  <c r="K128" i="1" s="1"/>
  <c r="Q128" i="1"/>
  <c r="J128" i="1" s="1"/>
  <c r="P128" i="1"/>
  <c r="O128" i="1"/>
  <c r="N128" i="1"/>
  <c r="H128" i="1"/>
  <c r="AO127" i="1"/>
  <c r="AN127" i="1"/>
  <c r="AM127" i="1"/>
  <c r="AL127" i="1"/>
  <c r="AK127" i="1"/>
  <c r="AJ127" i="1"/>
  <c r="AI127" i="1"/>
  <c r="AH127" i="1"/>
  <c r="AG127" i="1"/>
  <c r="AF127" i="1"/>
  <c r="X127" i="1"/>
  <c r="T127" i="1"/>
  <c r="S127" i="1"/>
  <c r="R127" i="1"/>
  <c r="K127" i="1" s="1"/>
  <c r="H127" i="1"/>
  <c r="Q127" i="1"/>
  <c r="J127" i="1" s="1"/>
  <c r="P127" i="1"/>
  <c r="O127" i="1"/>
  <c r="N127" i="1"/>
  <c r="AO126" i="1"/>
  <c r="AN126" i="1"/>
  <c r="AM126" i="1"/>
  <c r="AL126" i="1"/>
  <c r="AK126" i="1"/>
  <c r="AJ126" i="1"/>
  <c r="AI126" i="1"/>
  <c r="AH126" i="1"/>
  <c r="AG126" i="1"/>
  <c r="AF126" i="1"/>
  <c r="X126" i="1"/>
  <c r="T126" i="1"/>
  <c r="S126" i="1"/>
  <c r="R126" i="1"/>
  <c r="K126" i="1" s="1"/>
  <c r="Q126" i="1"/>
  <c r="J126" i="1" s="1"/>
  <c r="P126" i="1"/>
  <c r="O126" i="1"/>
  <c r="N126" i="1"/>
  <c r="H126" i="1"/>
  <c r="AO125" i="1"/>
  <c r="AN125" i="1"/>
  <c r="AM125" i="1"/>
  <c r="AL125" i="1"/>
  <c r="AK125" i="1"/>
  <c r="AJ125" i="1"/>
  <c r="AI125" i="1"/>
  <c r="AH125" i="1"/>
  <c r="AG125" i="1"/>
  <c r="AF125" i="1"/>
  <c r="X125" i="1"/>
  <c r="T125" i="1"/>
  <c r="S125" i="1"/>
  <c r="R125" i="1"/>
  <c r="K125" i="1" s="1"/>
  <c r="Q125" i="1"/>
  <c r="J125" i="1" s="1"/>
  <c r="P125" i="1"/>
  <c r="O125" i="1"/>
  <c r="N125" i="1"/>
  <c r="H125" i="1"/>
  <c r="AO124" i="1"/>
  <c r="AN124" i="1"/>
  <c r="AM124" i="1"/>
  <c r="AL124" i="1"/>
  <c r="AK124" i="1"/>
  <c r="AJ124" i="1"/>
  <c r="AI124" i="1"/>
  <c r="AH124" i="1"/>
  <c r="AG124" i="1"/>
  <c r="AF124" i="1"/>
  <c r="X124" i="1"/>
  <c r="T124" i="1"/>
  <c r="S124" i="1"/>
  <c r="R124" i="1"/>
  <c r="K124" i="1" s="1"/>
  <c r="Q124" i="1"/>
  <c r="J124" i="1" s="1"/>
  <c r="P124" i="1"/>
  <c r="O124" i="1"/>
  <c r="N124" i="1"/>
  <c r="H124" i="1"/>
  <c r="AO123" i="1"/>
  <c r="AN123" i="1"/>
  <c r="AM123" i="1"/>
  <c r="AL123" i="1"/>
  <c r="AK123" i="1"/>
  <c r="AJ123" i="1"/>
  <c r="AI123" i="1"/>
  <c r="AH123" i="1"/>
  <c r="AG123" i="1"/>
  <c r="AF123" i="1"/>
  <c r="X123" i="1"/>
  <c r="T123" i="1"/>
  <c r="S123" i="1"/>
  <c r="R123" i="1"/>
  <c r="K123" i="1" s="1"/>
  <c r="H123" i="1"/>
  <c r="Q123" i="1"/>
  <c r="J123" i="1" s="1"/>
  <c r="P123" i="1"/>
  <c r="O123" i="1"/>
  <c r="N123" i="1"/>
  <c r="AO122" i="1"/>
  <c r="AN122" i="1"/>
  <c r="AM122" i="1"/>
  <c r="AL122" i="1"/>
  <c r="AK122" i="1"/>
  <c r="AJ122" i="1"/>
  <c r="AI122" i="1"/>
  <c r="AH122" i="1"/>
  <c r="AG122" i="1"/>
  <c r="AF122" i="1"/>
  <c r="X122" i="1"/>
  <c r="T122" i="1"/>
  <c r="S122" i="1"/>
  <c r="R122" i="1"/>
  <c r="K122" i="1" s="1"/>
  <c r="Q122" i="1"/>
  <c r="J122" i="1" s="1"/>
  <c r="P122" i="1"/>
  <c r="O122" i="1"/>
  <c r="N122" i="1"/>
  <c r="H122" i="1"/>
  <c r="AO121" i="1"/>
  <c r="AN121" i="1"/>
  <c r="AM121" i="1"/>
  <c r="AL121" i="1"/>
  <c r="AK121" i="1"/>
  <c r="AJ121" i="1"/>
  <c r="AI121" i="1"/>
  <c r="AH121" i="1"/>
  <c r="AG121" i="1"/>
  <c r="AF121" i="1"/>
  <c r="X121" i="1"/>
  <c r="T121" i="1"/>
  <c r="S121" i="1"/>
  <c r="R121" i="1"/>
  <c r="K121" i="1" s="1"/>
  <c r="H121" i="1"/>
  <c r="Q121" i="1"/>
  <c r="J121" i="1" s="1"/>
  <c r="P121" i="1"/>
  <c r="O121" i="1"/>
  <c r="N121" i="1"/>
  <c r="AO120" i="1"/>
  <c r="AN120" i="1"/>
  <c r="AM120" i="1"/>
  <c r="AL120" i="1"/>
  <c r="AK120" i="1"/>
  <c r="AJ120" i="1"/>
  <c r="AI120" i="1"/>
  <c r="AH120" i="1"/>
  <c r="AG120" i="1"/>
  <c r="AF120" i="1"/>
  <c r="X120" i="1"/>
  <c r="T120" i="1"/>
  <c r="S120" i="1"/>
  <c r="R120" i="1"/>
  <c r="K120" i="1" s="1"/>
  <c r="Q120" i="1"/>
  <c r="J120" i="1" s="1"/>
  <c r="P120" i="1"/>
  <c r="O120" i="1"/>
  <c r="N120" i="1"/>
  <c r="H120" i="1"/>
  <c r="AO119" i="1"/>
  <c r="AN119" i="1"/>
  <c r="AM119" i="1"/>
  <c r="AL119" i="1"/>
  <c r="AK119" i="1"/>
  <c r="AJ119" i="1"/>
  <c r="AI119" i="1"/>
  <c r="AH119" i="1"/>
  <c r="AG119" i="1"/>
  <c r="AF119" i="1"/>
  <c r="X119" i="1"/>
  <c r="T119" i="1"/>
  <c r="S119" i="1"/>
  <c r="R119" i="1"/>
  <c r="K119" i="1" s="1"/>
  <c r="H119" i="1"/>
  <c r="Q119" i="1"/>
  <c r="J119" i="1" s="1"/>
  <c r="P119" i="1"/>
  <c r="O119" i="1"/>
  <c r="N119" i="1"/>
  <c r="AO118" i="1"/>
  <c r="AN118" i="1"/>
  <c r="AM118" i="1"/>
  <c r="AL118" i="1"/>
  <c r="AK118" i="1"/>
  <c r="AJ118" i="1"/>
  <c r="AI118" i="1"/>
  <c r="AH118" i="1"/>
  <c r="AG118" i="1"/>
  <c r="AF118" i="1"/>
  <c r="X118" i="1"/>
  <c r="T118" i="1"/>
  <c r="S118" i="1"/>
  <c r="R118" i="1"/>
  <c r="K118" i="1" s="1"/>
  <c r="Q118" i="1"/>
  <c r="J118" i="1" s="1"/>
  <c r="P118" i="1"/>
  <c r="O118" i="1"/>
  <c r="N118" i="1"/>
  <c r="H118" i="1"/>
  <c r="AO117" i="1"/>
  <c r="AN117" i="1"/>
  <c r="AM117" i="1"/>
  <c r="AL117" i="1"/>
  <c r="AK117" i="1"/>
  <c r="AJ117" i="1"/>
  <c r="AI117" i="1"/>
  <c r="AH117" i="1"/>
  <c r="AG117" i="1"/>
  <c r="AF117" i="1"/>
  <c r="X117" i="1"/>
  <c r="T117" i="1"/>
  <c r="S117" i="1"/>
  <c r="R117" i="1"/>
  <c r="K117" i="1" s="1"/>
  <c r="Q117" i="1"/>
  <c r="J117" i="1" s="1"/>
  <c r="P117" i="1"/>
  <c r="O117" i="1"/>
  <c r="N117" i="1"/>
  <c r="H117" i="1"/>
  <c r="AO116" i="1"/>
  <c r="AN116" i="1"/>
  <c r="AM116" i="1"/>
  <c r="AL116" i="1"/>
  <c r="AK116" i="1"/>
  <c r="AJ116" i="1"/>
  <c r="AI116" i="1"/>
  <c r="AH116" i="1"/>
  <c r="AG116" i="1"/>
  <c r="AF116" i="1"/>
  <c r="X116" i="1"/>
  <c r="T116" i="1"/>
  <c r="S116" i="1"/>
  <c r="R116" i="1"/>
  <c r="K116" i="1" s="1"/>
  <c r="Q116" i="1"/>
  <c r="J116" i="1" s="1"/>
  <c r="P116" i="1"/>
  <c r="O116" i="1"/>
  <c r="N116" i="1"/>
  <c r="H116" i="1"/>
  <c r="AO115" i="1"/>
  <c r="AN115" i="1"/>
  <c r="AM115" i="1"/>
  <c r="AL115" i="1"/>
  <c r="AK115" i="1"/>
  <c r="AJ115" i="1"/>
  <c r="AI115" i="1"/>
  <c r="AH115" i="1"/>
  <c r="AG115" i="1"/>
  <c r="AF115" i="1"/>
  <c r="X115" i="1"/>
  <c r="T115" i="1"/>
  <c r="S115" i="1"/>
  <c r="R115" i="1"/>
  <c r="K115" i="1" s="1"/>
  <c r="H115" i="1"/>
  <c r="Q115" i="1"/>
  <c r="J115" i="1" s="1"/>
  <c r="P115" i="1"/>
  <c r="O115" i="1"/>
  <c r="N115" i="1"/>
  <c r="AO114" i="1"/>
  <c r="AN114" i="1"/>
  <c r="AM114" i="1"/>
  <c r="AL114" i="1"/>
  <c r="AK114" i="1"/>
  <c r="AJ114" i="1"/>
  <c r="AI114" i="1"/>
  <c r="AH114" i="1"/>
  <c r="AG114" i="1"/>
  <c r="AF114" i="1"/>
  <c r="X114" i="1"/>
  <c r="T114" i="1"/>
  <c r="S114" i="1"/>
  <c r="R114" i="1"/>
  <c r="K114" i="1" s="1"/>
  <c r="Q114" i="1"/>
  <c r="J114" i="1" s="1"/>
  <c r="P114" i="1"/>
  <c r="O114" i="1"/>
  <c r="N114" i="1"/>
  <c r="H114" i="1"/>
  <c r="AO113" i="1"/>
  <c r="AN113" i="1"/>
  <c r="AM113" i="1"/>
  <c r="AL113" i="1"/>
  <c r="AK113" i="1"/>
  <c r="AJ113" i="1"/>
  <c r="AI113" i="1"/>
  <c r="AH113" i="1"/>
  <c r="AG113" i="1"/>
  <c r="AF113" i="1"/>
  <c r="X113" i="1"/>
  <c r="T113" i="1"/>
  <c r="S113" i="1"/>
  <c r="R113" i="1"/>
  <c r="K113" i="1" s="1"/>
  <c r="H113" i="1"/>
  <c r="P113" i="1"/>
  <c r="O113" i="1"/>
  <c r="N113" i="1"/>
  <c r="AO112" i="1"/>
  <c r="AN112" i="1"/>
  <c r="AM112" i="1"/>
  <c r="AL112" i="1"/>
  <c r="AK112" i="1"/>
  <c r="AJ112" i="1"/>
  <c r="AI112" i="1"/>
  <c r="AH112" i="1"/>
  <c r="AG112" i="1"/>
  <c r="AF112" i="1"/>
  <c r="X112" i="1"/>
  <c r="T112" i="1"/>
  <c r="S112" i="1"/>
  <c r="R112" i="1"/>
  <c r="K112" i="1" s="1"/>
  <c r="P112" i="1"/>
  <c r="O112" i="1"/>
  <c r="N112" i="1"/>
  <c r="H112" i="1"/>
  <c r="AO111" i="1"/>
  <c r="AN111" i="1"/>
  <c r="AM111" i="1"/>
  <c r="AL111" i="1"/>
  <c r="AK111" i="1"/>
  <c r="AJ111" i="1"/>
  <c r="AI111" i="1"/>
  <c r="AH111" i="1"/>
  <c r="AG111" i="1"/>
  <c r="AF111" i="1"/>
  <c r="X111" i="1"/>
  <c r="T111" i="1"/>
  <c r="S111" i="1"/>
  <c r="R111" i="1"/>
  <c r="K111" i="1" s="1"/>
  <c r="Q111" i="1"/>
  <c r="J111" i="1" s="1"/>
  <c r="P111" i="1"/>
  <c r="O111" i="1"/>
  <c r="N111" i="1"/>
  <c r="H111" i="1"/>
  <c r="AO110" i="1"/>
  <c r="AN110" i="1"/>
  <c r="AM110" i="1"/>
  <c r="AL110" i="1"/>
  <c r="AK110" i="1"/>
  <c r="AJ110" i="1"/>
  <c r="AI110" i="1"/>
  <c r="AH110" i="1"/>
  <c r="AG110" i="1"/>
  <c r="AF110" i="1"/>
  <c r="X110" i="1"/>
  <c r="T110" i="1"/>
  <c r="S110" i="1"/>
  <c r="R110" i="1"/>
  <c r="K110" i="1" s="1"/>
  <c r="H110" i="1"/>
  <c r="P110" i="1"/>
  <c r="O110" i="1"/>
  <c r="N110" i="1"/>
  <c r="AO109" i="1"/>
  <c r="AN109" i="1"/>
  <c r="AM109" i="1"/>
  <c r="AL109" i="1"/>
  <c r="AK109" i="1"/>
  <c r="AJ109" i="1"/>
  <c r="AI109" i="1"/>
  <c r="AH109" i="1"/>
  <c r="AG109" i="1"/>
  <c r="AF109" i="1"/>
  <c r="X109" i="1"/>
  <c r="T109" i="1"/>
  <c r="S109" i="1"/>
  <c r="R109" i="1"/>
  <c r="K109" i="1" s="1"/>
  <c r="Q109" i="1"/>
  <c r="J109" i="1" s="1"/>
  <c r="P109" i="1"/>
  <c r="O109" i="1"/>
  <c r="N109" i="1"/>
  <c r="H109" i="1"/>
  <c r="AO108" i="1"/>
  <c r="AN108" i="1"/>
  <c r="AM108" i="1"/>
  <c r="AL108" i="1"/>
  <c r="AK108" i="1"/>
  <c r="AJ108" i="1"/>
  <c r="AI108" i="1"/>
  <c r="AH108" i="1"/>
  <c r="AG108" i="1"/>
  <c r="AF108" i="1"/>
  <c r="X108" i="1"/>
  <c r="T108" i="1"/>
  <c r="S108" i="1"/>
  <c r="R108" i="1"/>
  <c r="K108" i="1" s="1"/>
  <c r="H108" i="1"/>
  <c r="Q108" i="1"/>
  <c r="J108" i="1" s="1"/>
  <c r="P108" i="1"/>
  <c r="O108" i="1"/>
  <c r="N108" i="1"/>
  <c r="AO107" i="1"/>
  <c r="AN107" i="1"/>
  <c r="AM107" i="1"/>
  <c r="AL107" i="1"/>
  <c r="AK107" i="1"/>
  <c r="AJ107" i="1"/>
  <c r="AI107" i="1"/>
  <c r="AH107" i="1"/>
  <c r="AG107" i="1"/>
  <c r="AF107" i="1"/>
  <c r="X107" i="1"/>
  <c r="T107" i="1"/>
  <c r="S107" i="1"/>
  <c r="R107" i="1"/>
  <c r="K107" i="1" s="1"/>
  <c r="H107" i="1"/>
  <c r="Q107" i="1"/>
  <c r="J107" i="1" s="1"/>
  <c r="P107" i="1"/>
  <c r="O107" i="1"/>
  <c r="N107" i="1"/>
  <c r="AO106" i="1"/>
  <c r="AN106" i="1"/>
  <c r="AM106" i="1"/>
  <c r="AL106" i="1"/>
  <c r="AK106" i="1"/>
  <c r="AJ106" i="1"/>
  <c r="AI106" i="1"/>
  <c r="AH106" i="1"/>
  <c r="AG106" i="1"/>
  <c r="AF106" i="1"/>
  <c r="X106" i="1"/>
  <c r="T106" i="1"/>
  <c r="S106" i="1"/>
  <c r="R106" i="1"/>
  <c r="K106" i="1" s="1"/>
  <c r="H106" i="1"/>
  <c r="Q106" i="1"/>
  <c r="J106" i="1" s="1"/>
  <c r="P106" i="1"/>
  <c r="O106" i="1"/>
  <c r="N106" i="1"/>
  <c r="AO105" i="1"/>
  <c r="AN105" i="1"/>
  <c r="AM105" i="1"/>
  <c r="AL105" i="1"/>
  <c r="AK105" i="1"/>
  <c r="AJ105" i="1"/>
  <c r="AI105" i="1"/>
  <c r="AH105" i="1"/>
  <c r="AG105" i="1"/>
  <c r="AF105" i="1"/>
  <c r="X105" i="1"/>
  <c r="T105" i="1"/>
  <c r="S105" i="1"/>
  <c r="R105" i="1"/>
  <c r="Q105" i="1"/>
  <c r="P105" i="1"/>
  <c r="O105" i="1"/>
  <c r="N105" i="1"/>
  <c r="AO104" i="1"/>
  <c r="AN104" i="1"/>
  <c r="AM104" i="1"/>
  <c r="AL104" i="1"/>
  <c r="AK104" i="1"/>
  <c r="AJ104" i="1"/>
  <c r="AI104" i="1"/>
  <c r="AH104" i="1"/>
  <c r="AG104" i="1"/>
  <c r="AF104" i="1"/>
  <c r="X104" i="1"/>
  <c r="T104" i="1"/>
  <c r="S104" i="1"/>
  <c r="R104" i="1"/>
  <c r="Q104" i="1"/>
  <c r="J104" i="1" s="1"/>
  <c r="P104" i="1"/>
  <c r="O104" i="1"/>
  <c r="N104" i="1"/>
  <c r="H104" i="1"/>
  <c r="AO103" i="1"/>
  <c r="AN103" i="1"/>
  <c r="AM103" i="1"/>
  <c r="AL103" i="1"/>
  <c r="AK103" i="1"/>
  <c r="AJ103" i="1"/>
  <c r="AI103" i="1"/>
  <c r="AH103" i="1"/>
  <c r="AG103" i="1"/>
  <c r="AF103" i="1"/>
  <c r="X103" i="1"/>
  <c r="T103" i="1"/>
  <c r="S103" i="1"/>
  <c r="R103" i="1"/>
  <c r="K103" i="1" s="1"/>
  <c r="Q103" i="1"/>
  <c r="J103" i="1" s="1"/>
  <c r="P103" i="1"/>
  <c r="O103" i="1"/>
  <c r="N103" i="1"/>
  <c r="H103" i="1"/>
  <c r="AO102" i="1"/>
  <c r="AN102" i="1"/>
  <c r="AM102" i="1"/>
  <c r="AL102" i="1"/>
  <c r="AK102" i="1"/>
  <c r="AJ102" i="1"/>
  <c r="AI102" i="1"/>
  <c r="AH102" i="1"/>
  <c r="AG102" i="1"/>
  <c r="AF102" i="1"/>
  <c r="X102" i="1"/>
  <c r="T102" i="1"/>
  <c r="S102" i="1"/>
  <c r="R102" i="1"/>
  <c r="K102" i="1" s="1"/>
  <c r="P102" i="1"/>
  <c r="O102" i="1"/>
  <c r="N102" i="1"/>
  <c r="H102" i="1"/>
  <c r="AO101" i="1"/>
  <c r="AN101" i="1"/>
  <c r="AM101" i="1"/>
  <c r="AL101" i="1"/>
  <c r="AK101" i="1"/>
  <c r="AJ101" i="1"/>
  <c r="AI101" i="1"/>
  <c r="AH101" i="1"/>
  <c r="AG101" i="1"/>
  <c r="AF101" i="1"/>
  <c r="X101" i="1"/>
  <c r="T101" i="1"/>
  <c r="S101" i="1"/>
  <c r="R101" i="1"/>
  <c r="Q101" i="1"/>
  <c r="P101" i="1"/>
  <c r="O101" i="1"/>
  <c r="N101" i="1"/>
  <c r="AO100" i="1"/>
  <c r="AN100" i="1"/>
  <c r="AM100" i="1"/>
  <c r="AL100" i="1"/>
  <c r="AK100" i="1"/>
  <c r="AJ100" i="1"/>
  <c r="AI100" i="1"/>
  <c r="AH100" i="1"/>
  <c r="AG100" i="1"/>
  <c r="AF100" i="1"/>
  <c r="X100" i="1"/>
  <c r="T100" i="1"/>
  <c r="S100" i="1"/>
  <c r="R100" i="1"/>
  <c r="P100" i="1"/>
  <c r="O100" i="1"/>
  <c r="N100" i="1"/>
  <c r="H100" i="1"/>
  <c r="AO99" i="1"/>
  <c r="AN99" i="1"/>
  <c r="AM99" i="1"/>
  <c r="AL99" i="1"/>
  <c r="AK99" i="1"/>
  <c r="AJ99" i="1"/>
  <c r="AI99" i="1"/>
  <c r="AH99" i="1"/>
  <c r="AG99" i="1"/>
  <c r="AF99" i="1"/>
  <c r="X99" i="1"/>
  <c r="T99" i="1"/>
  <c r="S99" i="1"/>
  <c r="R99" i="1"/>
  <c r="K99" i="1" s="1"/>
  <c r="Q99" i="1"/>
  <c r="J99" i="1" s="1"/>
  <c r="P99" i="1"/>
  <c r="O99" i="1"/>
  <c r="N99" i="1"/>
  <c r="H99" i="1"/>
  <c r="AO98" i="1"/>
  <c r="AN98" i="1"/>
  <c r="AM98" i="1"/>
  <c r="AL98" i="1"/>
  <c r="AK98" i="1"/>
  <c r="AJ98" i="1"/>
  <c r="AI98" i="1"/>
  <c r="AH98" i="1"/>
  <c r="AG98" i="1"/>
  <c r="AF98" i="1"/>
  <c r="X98" i="1"/>
  <c r="T98" i="1"/>
  <c r="S98" i="1"/>
  <c r="R98" i="1"/>
  <c r="K98" i="1" s="1"/>
  <c r="H98" i="1"/>
  <c r="P98" i="1"/>
  <c r="O98" i="1"/>
  <c r="N98" i="1"/>
  <c r="AO97" i="1"/>
  <c r="AN97" i="1"/>
  <c r="AM97" i="1"/>
  <c r="AL97" i="1"/>
  <c r="AK97" i="1"/>
  <c r="AJ97" i="1"/>
  <c r="AI97" i="1"/>
  <c r="AH97" i="1"/>
  <c r="AG97" i="1"/>
  <c r="AF97" i="1"/>
  <c r="X97" i="1"/>
  <c r="T97" i="1"/>
  <c r="S97" i="1"/>
  <c r="R97" i="1"/>
  <c r="Q97" i="1"/>
  <c r="P97" i="1"/>
  <c r="O97" i="1"/>
  <c r="N97" i="1"/>
  <c r="AO96" i="1"/>
  <c r="AN96" i="1"/>
  <c r="AM96" i="1"/>
  <c r="AL96" i="1"/>
  <c r="AK96" i="1"/>
  <c r="AJ96" i="1"/>
  <c r="AI96" i="1"/>
  <c r="AH96" i="1"/>
  <c r="AG96" i="1"/>
  <c r="AF96" i="1"/>
  <c r="X96" i="1"/>
  <c r="T96" i="1"/>
  <c r="S96" i="1"/>
  <c r="R96" i="1"/>
  <c r="P96" i="1"/>
  <c r="O96" i="1"/>
  <c r="N96" i="1"/>
  <c r="H96" i="1"/>
  <c r="AO95" i="1"/>
  <c r="AN95" i="1"/>
  <c r="AM95" i="1"/>
  <c r="AL95" i="1"/>
  <c r="AK95" i="1"/>
  <c r="AJ95" i="1"/>
  <c r="AI95" i="1"/>
  <c r="AH95" i="1"/>
  <c r="AG95" i="1"/>
  <c r="AF95" i="1"/>
  <c r="X95" i="1"/>
  <c r="T95" i="1"/>
  <c r="S95" i="1"/>
  <c r="R95" i="1"/>
  <c r="K95" i="1" s="1"/>
  <c r="P95" i="1"/>
  <c r="O95" i="1"/>
  <c r="N95" i="1"/>
  <c r="H95" i="1"/>
  <c r="AO94" i="1"/>
  <c r="AN94" i="1"/>
  <c r="AM94" i="1"/>
  <c r="AL94" i="1"/>
  <c r="AK94" i="1"/>
  <c r="AJ94" i="1"/>
  <c r="AI94" i="1"/>
  <c r="AH94" i="1"/>
  <c r="AG94" i="1"/>
  <c r="AF94" i="1"/>
  <c r="X94" i="1"/>
  <c r="T94" i="1"/>
  <c r="S94" i="1"/>
  <c r="R94" i="1"/>
  <c r="K94" i="1" s="1"/>
  <c r="Q94" i="1"/>
  <c r="J94" i="1" s="1"/>
  <c r="P94" i="1"/>
  <c r="O94" i="1"/>
  <c r="N94" i="1"/>
  <c r="H94" i="1"/>
  <c r="AO93" i="1"/>
  <c r="AN93" i="1"/>
  <c r="AM93" i="1"/>
  <c r="AL93" i="1"/>
  <c r="AK93" i="1"/>
  <c r="AJ93" i="1"/>
  <c r="AI93" i="1"/>
  <c r="AH93" i="1"/>
  <c r="AG93" i="1"/>
  <c r="AF93" i="1"/>
  <c r="X93" i="1"/>
  <c r="T93" i="1"/>
  <c r="S93" i="1"/>
  <c r="R93" i="1"/>
  <c r="K93" i="1" s="1"/>
  <c r="H93" i="1"/>
  <c r="Q93" i="1"/>
  <c r="J93" i="1" s="1"/>
  <c r="P93" i="1"/>
  <c r="O93" i="1"/>
  <c r="N93" i="1"/>
  <c r="AO92" i="1"/>
  <c r="AN92" i="1"/>
  <c r="AM92" i="1"/>
  <c r="AL92" i="1"/>
  <c r="AK92" i="1"/>
  <c r="AJ92" i="1"/>
  <c r="AI92" i="1"/>
  <c r="AH92" i="1"/>
  <c r="AG92" i="1"/>
  <c r="AF92" i="1"/>
  <c r="X92" i="1"/>
  <c r="T92" i="1"/>
  <c r="S92" i="1"/>
  <c r="R92" i="1"/>
  <c r="Q92" i="1"/>
  <c r="P92" i="1"/>
  <c r="O92" i="1"/>
  <c r="N92" i="1"/>
  <c r="AO91" i="1"/>
  <c r="AN91" i="1"/>
  <c r="AM91" i="1"/>
  <c r="AL91" i="1"/>
  <c r="AK91" i="1"/>
  <c r="AJ91" i="1"/>
  <c r="AI91" i="1"/>
  <c r="AH91" i="1"/>
  <c r="AG91" i="1"/>
  <c r="AF91" i="1"/>
  <c r="X91" i="1"/>
  <c r="T91" i="1"/>
  <c r="S91" i="1"/>
  <c r="R91" i="1"/>
  <c r="Q91" i="1"/>
  <c r="J91" i="1" s="1"/>
  <c r="P91" i="1"/>
  <c r="O91" i="1"/>
  <c r="N91" i="1"/>
  <c r="H91" i="1"/>
  <c r="AO90" i="1"/>
  <c r="AN90" i="1"/>
  <c r="AM90" i="1"/>
  <c r="AL90" i="1"/>
  <c r="AK90" i="1"/>
  <c r="AJ90" i="1"/>
  <c r="AI90" i="1"/>
  <c r="AH90" i="1"/>
  <c r="AG90" i="1"/>
  <c r="AF90" i="1"/>
  <c r="X90" i="1"/>
  <c r="T90" i="1"/>
  <c r="S90" i="1"/>
  <c r="R90" i="1"/>
  <c r="Q90" i="1"/>
  <c r="P90" i="1"/>
  <c r="O90" i="1"/>
  <c r="N90" i="1"/>
  <c r="AO89" i="1"/>
  <c r="AN89" i="1"/>
  <c r="AM89" i="1"/>
  <c r="AL89" i="1"/>
  <c r="AK89" i="1"/>
  <c r="AJ89" i="1"/>
  <c r="AI89" i="1"/>
  <c r="AH89" i="1"/>
  <c r="AG89" i="1"/>
  <c r="AF89" i="1"/>
  <c r="X89" i="1"/>
  <c r="T89" i="1"/>
  <c r="S89" i="1"/>
  <c r="R89" i="1"/>
  <c r="Q89" i="1"/>
  <c r="J89" i="1" s="1"/>
  <c r="P89" i="1"/>
  <c r="O89" i="1"/>
  <c r="N89" i="1"/>
  <c r="H89" i="1"/>
  <c r="AO88" i="1"/>
  <c r="AN88" i="1"/>
  <c r="AM88" i="1"/>
  <c r="AL88" i="1"/>
  <c r="AK88" i="1"/>
  <c r="AJ88" i="1"/>
  <c r="AI88" i="1"/>
  <c r="AH88" i="1"/>
  <c r="AG88" i="1"/>
  <c r="AF88" i="1"/>
  <c r="X88" i="1"/>
  <c r="T88" i="1"/>
  <c r="S88" i="1"/>
  <c r="R88" i="1"/>
  <c r="Q88" i="1"/>
  <c r="P88" i="1"/>
  <c r="O88" i="1"/>
  <c r="N88" i="1"/>
  <c r="AO87" i="1"/>
  <c r="AN87" i="1"/>
  <c r="AM87" i="1"/>
  <c r="AL87" i="1"/>
  <c r="AK87" i="1"/>
  <c r="AJ87" i="1"/>
  <c r="AI87" i="1"/>
  <c r="AH87" i="1"/>
  <c r="AG87" i="1"/>
  <c r="AF87" i="1"/>
  <c r="X87" i="1"/>
  <c r="T87" i="1"/>
  <c r="S87" i="1"/>
  <c r="R87" i="1"/>
  <c r="P87" i="1"/>
  <c r="O87" i="1"/>
  <c r="N87" i="1"/>
  <c r="H87" i="1"/>
  <c r="AO86" i="1"/>
  <c r="AN86" i="1"/>
  <c r="AM86" i="1"/>
  <c r="AL86" i="1"/>
  <c r="AK86" i="1"/>
  <c r="AJ86" i="1"/>
  <c r="AI86" i="1"/>
  <c r="AH86" i="1"/>
  <c r="AG86" i="1"/>
  <c r="AF86" i="1"/>
  <c r="X86" i="1"/>
  <c r="T86" i="1"/>
  <c r="S86" i="1"/>
  <c r="R86" i="1"/>
  <c r="K86" i="1" s="1"/>
  <c r="H86" i="1"/>
  <c r="P86" i="1"/>
  <c r="O86" i="1"/>
  <c r="N86" i="1"/>
  <c r="AO85" i="1"/>
  <c r="AN85" i="1"/>
  <c r="AM85" i="1"/>
  <c r="AL85" i="1"/>
  <c r="AK85" i="1"/>
  <c r="AJ85" i="1"/>
  <c r="AI85" i="1"/>
  <c r="AH85" i="1"/>
  <c r="AG85" i="1"/>
  <c r="AF85" i="1"/>
  <c r="X85" i="1"/>
  <c r="T85" i="1"/>
  <c r="S85" i="1"/>
  <c r="R85" i="1"/>
  <c r="K85" i="1" s="1"/>
  <c r="H85" i="1"/>
  <c r="Q85" i="1"/>
  <c r="J85" i="1" s="1"/>
  <c r="P85" i="1"/>
  <c r="O85" i="1"/>
  <c r="N85" i="1"/>
  <c r="AO84" i="1"/>
  <c r="AN84" i="1"/>
  <c r="AM84" i="1"/>
  <c r="AL84" i="1"/>
  <c r="AK84" i="1"/>
  <c r="AJ84" i="1"/>
  <c r="AI84" i="1"/>
  <c r="AH84" i="1"/>
  <c r="AG84" i="1"/>
  <c r="AF84" i="1"/>
  <c r="X84" i="1"/>
  <c r="T84" i="1"/>
  <c r="S84" i="1"/>
  <c r="R84" i="1"/>
  <c r="K84" i="1" s="1"/>
  <c r="P84" i="1"/>
  <c r="O84" i="1"/>
  <c r="N84" i="1"/>
  <c r="H84" i="1"/>
  <c r="AO83" i="1"/>
  <c r="AN83" i="1"/>
  <c r="AM83" i="1"/>
  <c r="AL83" i="1"/>
  <c r="AK83" i="1"/>
  <c r="AJ83" i="1"/>
  <c r="AI83" i="1"/>
  <c r="AH83" i="1"/>
  <c r="AG83" i="1"/>
  <c r="AF83" i="1"/>
  <c r="X83" i="1"/>
  <c r="T83" i="1"/>
  <c r="S83" i="1"/>
  <c r="R83" i="1"/>
  <c r="K83" i="1" s="1"/>
  <c r="H83" i="1"/>
  <c r="P83" i="1"/>
  <c r="O83" i="1"/>
  <c r="N83" i="1"/>
  <c r="AO82" i="1"/>
  <c r="AN82" i="1"/>
  <c r="AM82" i="1"/>
  <c r="AL82" i="1"/>
  <c r="AK82" i="1"/>
  <c r="AJ82" i="1"/>
  <c r="AI82" i="1"/>
  <c r="AH82" i="1"/>
  <c r="AG82" i="1"/>
  <c r="AF82" i="1"/>
  <c r="X82" i="1"/>
  <c r="T82" i="1"/>
  <c r="S82" i="1"/>
  <c r="R82" i="1"/>
  <c r="Q82" i="1"/>
  <c r="P82" i="1"/>
  <c r="O82" i="1"/>
  <c r="N82" i="1"/>
  <c r="AO81" i="1"/>
  <c r="AN81" i="1"/>
  <c r="AM81" i="1"/>
  <c r="AL81" i="1"/>
  <c r="AK81" i="1"/>
  <c r="AJ81" i="1"/>
  <c r="AI81" i="1"/>
  <c r="AH81" i="1"/>
  <c r="AG81" i="1"/>
  <c r="AF81" i="1"/>
  <c r="X81" i="1"/>
  <c r="T81" i="1"/>
  <c r="S81" i="1"/>
  <c r="R81" i="1"/>
  <c r="P81" i="1"/>
  <c r="O81" i="1"/>
  <c r="N81" i="1"/>
  <c r="H81" i="1"/>
  <c r="AO80" i="1"/>
  <c r="AN80" i="1"/>
  <c r="AM80" i="1"/>
  <c r="AL80" i="1"/>
  <c r="AK80" i="1"/>
  <c r="AJ80" i="1"/>
  <c r="AI80" i="1"/>
  <c r="AH80" i="1"/>
  <c r="AG80" i="1"/>
  <c r="AF80" i="1"/>
  <c r="X80" i="1"/>
  <c r="T80" i="1"/>
  <c r="S80" i="1"/>
  <c r="R80" i="1"/>
  <c r="Q80" i="1"/>
  <c r="P80" i="1"/>
  <c r="O80" i="1"/>
  <c r="N80" i="1"/>
  <c r="AO79" i="1"/>
  <c r="AN79" i="1"/>
  <c r="AM79" i="1"/>
  <c r="AL79" i="1"/>
  <c r="AK79" i="1"/>
  <c r="AJ79" i="1"/>
  <c r="AI79" i="1"/>
  <c r="AH79" i="1"/>
  <c r="AG79" i="1"/>
  <c r="AF79" i="1"/>
  <c r="X79" i="1"/>
  <c r="T79" i="1"/>
  <c r="S79" i="1"/>
  <c r="R79" i="1"/>
  <c r="P79" i="1"/>
  <c r="O79" i="1"/>
  <c r="N79" i="1"/>
  <c r="H79" i="1"/>
  <c r="AO78" i="1"/>
  <c r="AN78" i="1"/>
  <c r="AM78" i="1"/>
  <c r="AL78" i="1"/>
  <c r="AK78" i="1"/>
  <c r="AJ78" i="1"/>
  <c r="AI78" i="1"/>
  <c r="AH78" i="1"/>
  <c r="AG78" i="1"/>
  <c r="AF78" i="1"/>
  <c r="X78" i="1"/>
  <c r="T78" i="1"/>
  <c r="S78" i="1"/>
  <c r="R78" i="1"/>
  <c r="Q78" i="1"/>
  <c r="P78" i="1"/>
  <c r="O78" i="1"/>
  <c r="N78" i="1"/>
  <c r="AO77" i="1"/>
  <c r="AN77" i="1"/>
  <c r="AM77" i="1"/>
  <c r="AL77" i="1"/>
  <c r="AK77" i="1"/>
  <c r="AJ77" i="1"/>
  <c r="AI77" i="1"/>
  <c r="AH77" i="1"/>
  <c r="AG77" i="1"/>
  <c r="AF77" i="1"/>
  <c r="X77" i="1"/>
  <c r="T77" i="1"/>
  <c r="S77" i="1"/>
  <c r="R77" i="1"/>
  <c r="Q77" i="1"/>
  <c r="J77" i="1" s="1"/>
  <c r="P77" i="1"/>
  <c r="O77" i="1"/>
  <c r="N77" i="1"/>
  <c r="H77" i="1"/>
  <c r="AO76" i="1"/>
  <c r="AN76" i="1"/>
  <c r="AM76" i="1"/>
  <c r="AL76" i="1"/>
  <c r="AK76" i="1"/>
  <c r="AJ76" i="1"/>
  <c r="AI76" i="1"/>
  <c r="AH76" i="1"/>
  <c r="AG76" i="1"/>
  <c r="AF76" i="1"/>
  <c r="X76" i="1"/>
  <c r="T76" i="1"/>
  <c r="S76" i="1"/>
  <c r="R76" i="1"/>
  <c r="K76" i="1" s="1"/>
  <c r="H76" i="1"/>
  <c r="P76" i="1"/>
  <c r="O76" i="1"/>
  <c r="N76" i="1"/>
  <c r="AO75" i="1"/>
  <c r="AN75" i="1"/>
  <c r="AM75" i="1"/>
  <c r="AL75" i="1"/>
  <c r="AK75" i="1"/>
  <c r="AJ75" i="1"/>
  <c r="AI75" i="1"/>
  <c r="AH75" i="1"/>
  <c r="AG75" i="1"/>
  <c r="AF75" i="1"/>
  <c r="X75" i="1"/>
  <c r="T75" i="1"/>
  <c r="S75" i="1"/>
  <c r="R75" i="1"/>
  <c r="Q75" i="1"/>
  <c r="P75" i="1"/>
  <c r="O75" i="1"/>
  <c r="N75" i="1"/>
  <c r="AO74" i="1"/>
  <c r="AN74" i="1"/>
  <c r="AM74" i="1"/>
  <c r="AL74" i="1"/>
  <c r="AK74" i="1"/>
  <c r="AJ74" i="1"/>
  <c r="AI74" i="1"/>
  <c r="AH74" i="1"/>
  <c r="AG74" i="1"/>
  <c r="AF74" i="1"/>
  <c r="X74" i="1"/>
  <c r="T74" i="1"/>
  <c r="S74" i="1"/>
  <c r="R74" i="1"/>
  <c r="Q74" i="1"/>
  <c r="J74" i="1"/>
  <c r="P74" i="1"/>
  <c r="O74" i="1"/>
  <c r="N74" i="1"/>
  <c r="H74" i="1"/>
  <c r="AO73" i="1"/>
  <c r="AN73" i="1"/>
  <c r="AM73" i="1"/>
  <c r="AL73" i="1"/>
  <c r="AK73" i="1"/>
  <c r="AJ73" i="1"/>
  <c r="AI73" i="1"/>
  <c r="AH73" i="1"/>
  <c r="AG73" i="1"/>
  <c r="AF73" i="1"/>
  <c r="X73" i="1"/>
  <c r="T73" i="1"/>
  <c r="S73" i="1"/>
  <c r="R73" i="1"/>
  <c r="K73" i="1" s="1"/>
  <c r="H73" i="1"/>
  <c r="Q73" i="1"/>
  <c r="J73" i="1" s="1"/>
  <c r="P73" i="1"/>
  <c r="O73" i="1"/>
  <c r="N73" i="1"/>
  <c r="AO72" i="1"/>
  <c r="AN72" i="1"/>
  <c r="AM72" i="1"/>
  <c r="AL72" i="1"/>
  <c r="AK72" i="1"/>
  <c r="AJ72" i="1"/>
  <c r="AI72" i="1"/>
  <c r="AH72" i="1"/>
  <c r="AG72" i="1"/>
  <c r="AF72" i="1"/>
  <c r="X72" i="1"/>
  <c r="T72" i="1"/>
  <c r="S72" i="1"/>
  <c r="R72" i="1"/>
  <c r="K72" i="1" s="1"/>
  <c r="H72" i="1"/>
  <c r="P72" i="1"/>
  <c r="O72" i="1"/>
  <c r="N72" i="1"/>
  <c r="AO71" i="1"/>
  <c r="AN71" i="1"/>
  <c r="AM71" i="1"/>
  <c r="AL71" i="1"/>
  <c r="AK71" i="1"/>
  <c r="AJ71" i="1"/>
  <c r="AI71" i="1"/>
  <c r="AH71" i="1"/>
  <c r="AG71" i="1"/>
  <c r="AF71" i="1"/>
  <c r="X71" i="1"/>
  <c r="T71" i="1"/>
  <c r="S71" i="1"/>
  <c r="R71" i="1"/>
  <c r="K71" i="1" s="1"/>
  <c r="Q71" i="1"/>
  <c r="J71" i="1" s="1"/>
  <c r="P71" i="1"/>
  <c r="O71" i="1"/>
  <c r="N71" i="1"/>
  <c r="H71" i="1"/>
  <c r="AO70" i="1"/>
  <c r="AN70" i="1"/>
  <c r="AM70" i="1"/>
  <c r="AL70" i="1"/>
  <c r="AK70" i="1"/>
  <c r="AJ70" i="1"/>
  <c r="AI70" i="1"/>
  <c r="AH70" i="1"/>
  <c r="AG70" i="1"/>
  <c r="AF70" i="1"/>
  <c r="X70" i="1"/>
  <c r="T70" i="1"/>
  <c r="S70" i="1"/>
  <c r="R70" i="1"/>
  <c r="Q70" i="1"/>
  <c r="P70" i="1"/>
  <c r="O70" i="1"/>
  <c r="N70" i="1"/>
  <c r="AO69" i="1"/>
  <c r="AN69" i="1"/>
  <c r="AM69" i="1"/>
  <c r="AL69" i="1"/>
  <c r="AK69" i="1"/>
  <c r="AJ69" i="1"/>
  <c r="AI69" i="1"/>
  <c r="AH69" i="1"/>
  <c r="AG69" i="1"/>
  <c r="AF69" i="1"/>
  <c r="X69" i="1"/>
  <c r="T69" i="1"/>
  <c r="S69" i="1"/>
  <c r="R69" i="1"/>
  <c r="P69" i="1"/>
  <c r="O69" i="1"/>
  <c r="N69" i="1"/>
  <c r="H69" i="1"/>
  <c r="AO68" i="1"/>
  <c r="AN68" i="1"/>
  <c r="AM68" i="1"/>
  <c r="AL68" i="1"/>
  <c r="AK68" i="1"/>
  <c r="AJ68" i="1"/>
  <c r="AI68" i="1"/>
  <c r="AH68" i="1"/>
  <c r="AG68" i="1"/>
  <c r="AF68" i="1"/>
  <c r="X68" i="1"/>
  <c r="T68" i="1"/>
  <c r="S68" i="1"/>
  <c r="R68" i="1"/>
  <c r="K68" i="1" s="1"/>
  <c r="H68" i="1"/>
  <c r="Q68" i="1"/>
  <c r="J68" i="1" s="1"/>
  <c r="P68" i="1"/>
  <c r="O68" i="1"/>
  <c r="N68" i="1"/>
  <c r="AO67" i="1"/>
  <c r="AN67" i="1"/>
  <c r="AM67" i="1"/>
  <c r="AL67" i="1"/>
  <c r="AK67" i="1"/>
  <c r="AJ67" i="1"/>
  <c r="AI67" i="1"/>
  <c r="AH67" i="1"/>
  <c r="AG67" i="1"/>
  <c r="AF67" i="1"/>
  <c r="X67" i="1"/>
  <c r="T67" i="1"/>
  <c r="S67" i="1"/>
  <c r="R67" i="1"/>
  <c r="K67" i="1" s="1"/>
  <c r="H67" i="1"/>
  <c r="P67" i="1"/>
  <c r="O67" i="1"/>
  <c r="N67" i="1"/>
  <c r="AO66" i="1"/>
  <c r="AN66" i="1"/>
  <c r="AM66" i="1"/>
  <c r="AL66" i="1"/>
  <c r="AK66" i="1"/>
  <c r="AJ66" i="1"/>
  <c r="AI66" i="1"/>
  <c r="AH66" i="1"/>
  <c r="AG66" i="1"/>
  <c r="AF66" i="1"/>
  <c r="X66" i="1"/>
  <c r="T66" i="1"/>
  <c r="S66" i="1"/>
  <c r="R66" i="1"/>
  <c r="K66" i="1" s="1"/>
  <c r="H66" i="1"/>
  <c r="P66" i="1"/>
  <c r="O66" i="1"/>
  <c r="N66" i="1"/>
  <c r="AO65" i="1"/>
  <c r="AN65" i="1"/>
  <c r="AM65" i="1"/>
  <c r="AL65" i="1"/>
  <c r="AK65" i="1"/>
  <c r="AJ65" i="1"/>
  <c r="AI65" i="1"/>
  <c r="AH65" i="1"/>
  <c r="AG65" i="1"/>
  <c r="AF65" i="1"/>
  <c r="X65" i="1"/>
  <c r="T65" i="1"/>
  <c r="S65" i="1"/>
  <c r="R65" i="1"/>
  <c r="K65" i="1" s="1"/>
  <c r="H65" i="1"/>
  <c r="P65" i="1"/>
  <c r="O65" i="1"/>
  <c r="N65" i="1"/>
  <c r="AO64" i="1"/>
  <c r="AN64" i="1"/>
  <c r="AM64" i="1"/>
  <c r="AL64" i="1"/>
  <c r="AK64" i="1"/>
  <c r="AJ64" i="1"/>
  <c r="AI64" i="1"/>
  <c r="AH64" i="1"/>
  <c r="AG64" i="1"/>
  <c r="AF64" i="1"/>
  <c r="X64" i="1"/>
  <c r="T64" i="1"/>
  <c r="S64" i="1"/>
  <c r="R64" i="1"/>
  <c r="Q64" i="1"/>
  <c r="P64" i="1"/>
  <c r="O64" i="1"/>
  <c r="N64" i="1"/>
  <c r="AO63" i="1"/>
  <c r="AN63" i="1"/>
  <c r="AM63" i="1"/>
  <c r="AL63" i="1"/>
  <c r="AK63" i="1"/>
  <c r="AJ63" i="1"/>
  <c r="AI63" i="1"/>
  <c r="AH63" i="1"/>
  <c r="AG63" i="1"/>
  <c r="AF63" i="1"/>
  <c r="X63" i="1"/>
  <c r="T63" i="1"/>
  <c r="S63" i="1"/>
  <c r="R63" i="1"/>
  <c r="Q63" i="1"/>
  <c r="P63" i="1"/>
  <c r="O63" i="1"/>
  <c r="N63" i="1"/>
  <c r="AO62" i="1"/>
  <c r="AN62" i="1"/>
  <c r="AM62" i="1"/>
  <c r="AL62" i="1"/>
  <c r="AK62" i="1"/>
  <c r="AJ62" i="1"/>
  <c r="AI62" i="1"/>
  <c r="AH62" i="1"/>
  <c r="AG62" i="1"/>
  <c r="AF62" i="1"/>
  <c r="X62" i="1"/>
  <c r="T62" i="1"/>
  <c r="S62" i="1"/>
  <c r="R62" i="1"/>
  <c r="Q62" i="1"/>
  <c r="P62" i="1"/>
  <c r="O62" i="1"/>
  <c r="N62" i="1"/>
  <c r="AO61" i="1"/>
  <c r="AN61" i="1"/>
  <c r="AM61" i="1"/>
  <c r="AL61" i="1"/>
  <c r="AK61" i="1"/>
  <c r="AJ61" i="1"/>
  <c r="AI61" i="1"/>
  <c r="AH61" i="1"/>
  <c r="AG61" i="1"/>
  <c r="AF61" i="1"/>
  <c r="X61" i="1"/>
  <c r="T61" i="1"/>
  <c r="S61" i="1"/>
  <c r="R61" i="1"/>
  <c r="Q61" i="1"/>
  <c r="J61" i="1" s="1"/>
  <c r="P61" i="1"/>
  <c r="O61" i="1"/>
  <c r="N61" i="1"/>
  <c r="H61" i="1"/>
  <c r="AO60" i="1"/>
  <c r="AN60" i="1"/>
  <c r="AM60" i="1"/>
  <c r="AL60" i="1"/>
  <c r="AK60" i="1"/>
  <c r="AJ60" i="1"/>
  <c r="AI60" i="1"/>
  <c r="AH60" i="1"/>
  <c r="AG60" i="1"/>
  <c r="AF60" i="1"/>
  <c r="X60" i="1"/>
  <c r="T60" i="1"/>
  <c r="S60" i="1"/>
  <c r="R60" i="1"/>
  <c r="Q60" i="1"/>
  <c r="P60" i="1"/>
  <c r="O60" i="1"/>
  <c r="N60" i="1"/>
  <c r="AO59" i="1"/>
  <c r="AN59" i="1"/>
  <c r="AM59" i="1"/>
  <c r="AL59" i="1"/>
  <c r="AK59" i="1"/>
  <c r="AJ59" i="1"/>
  <c r="AI59" i="1"/>
  <c r="AH59" i="1"/>
  <c r="AG59" i="1"/>
  <c r="AF59" i="1"/>
  <c r="X59" i="1"/>
  <c r="T59" i="1"/>
  <c r="S59" i="1"/>
  <c r="R59" i="1"/>
  <c r="Q59" i="1"/>
  <c r="J59" i="1"/>
  <c r="P59" i="1"/>
  <c r="O59" i="1"/>
  <c r="N59" i="1"/>
  <c r="H59" i="1"/>
  <c r="AO58" i="1"/>
  <c r="AN58" i="1"/>
  <c r="AM58" i="1"/>
  <c r="AL58" i="1"/>
  <c r="AK58" i="1"/>
  <c r="AJ58" i="1"/>
  <c r="AI58" i="1"/>
  <c r="AH58" i="1"/>
  <c r="AG58" i="1"/>
  <c r="AF58" i="1"/>
  <c r="X58" i="1"/>
  <c r="T58" i="1"/>
  <c r="S58" i="1"/>
  <c r="R58" i="1"/>
  <c r="K58" i="1" s="1"/>
  <c r="Q58" i="1"/>
  <c r="J58" i="1" s="1"/>
  <c r="P58" i="1"/>
  <c r="O58" i="1"/>
  <c r="N58" i="1"/>
  <c r="H58" i="1"/>
  <c r="AO57" i="1"/>
  <c r="AN57" i="1"/>
  <c r="AM57" i="1"/>
  <c r="AL57" i="1"/>
  <c r="AK57" i="1"/>
  <c r="AJ57" i="1"/>
  <c r="AI57" i="1"/>
  <c r="AH57" i="1"/>
  <c r="AG57" i="1"/>
  <c r="AF57" i="1"/>
  <c r="X57" i="1"/>
  <c r="T57" i="1"/>
  <c r="S57" i="1"/>
  <c r="R57" i="1"/>
  <c r="K57" i="1" s="1"/>
  <c r="H57" i="1"/>
  <c r="Q57" i="1"/>
  <c r="J57" i="1" s="1"/>
  <c r="P57" i="1"/>
  <c r="O57" i="1"/>
  <c r="N57" i="1"/>
  <c r="AO56" i="1"/>
  <c r="AN56" i="1"/>
  <c r="AM56" i="1"/>
  <c r="AL56" i="1"/>
  <c r="AK56" i="1"/>
  <c r="AJ56" i="1"/>
  <c r="AI56" i="1"/>
  <c r="AH56" i="1"/>
  <c r="AG56" i="1"/>
  <c r="AF56" i="1"/>
  <c r="X56" i="1"/>
  <c r="T56" i="1"/>
  <c r="S56" i="1"/>
  <c r="R56" i="1"/>
  <c r="K56" i="1" s="1"/>
  <c r="P56" i="1"/>
  <c r="O56" i="1"/>
  <c r="N56" i="1"/>
  <c r="H56" i="1"/>
  <c r="AO55" i="1"/>
  <c r="AN55" i="1"/>
  <c r="AM55" i="1"/>
  <c r="AL55" i="1"/>
  <c r="AK55" i="1"/>
  <c r="AJ55" i="1"/>
  <c r="AI55" i="1"/>
  <c r="AH55" i="1"/>
  <c r="AG55" i="1"/>
  <c r="AF55" i="1"/>
  <c r="Z55" i="1"/>
  <c r="Y55" i="1"/>
  <c r="X55" i="1"/>
  <c r="T55" i="1"/>
  <c r="S55" i="1"/>
  <c r="R55" i="1"/>
  <c r="K55" i="1" s="1"/>
  <c r="H55" i="1"/>
  <c r="Q55" i="1"/>
  <c r="J55" i="1" s="1"/>
  <c r="P55" i="1"/>
  <c r="O55" i="1"/>
  <c r="N55" i="1"/>
  <c r="AO54" i="1"/>
  <c r="AN54" i="1"/>
  <c r="AM54" i="1"/>
  <c r="AL54" i="1"/>
  <c r="AK54" i="1"/>
  <c r="AJ54" i="1"/>
  <c r="AI54" i="1"/>
  <c r="AH54" i="1"/>
  <c r="AG54" i="1"/>
  <c r="AF54" i="1"/>
  <c r="Z54" i="1"/>
  <c r="Y54" i="1"/>
  <c r="X54" i="1"/>
  <c r="T54" i="1"/>
  <c r="S54" i="1"/>
  <c r="R54" i="1"/>
  <c r="K54" i="1" s="1"/>
  <c r="H54" i="1"/>
  <c r="P54" i="1"/>
  <c r="O54" i="1"/>
  <c r="N54" i="1"/>
  <c r="AO53" i="1"/>
  <c r="AN53" i="1"/>
  <c r="AM53" i="1"/>
  <c r="AL53" i="1"/>
  <c r="AK53" i="1"/>
  <c r="AJ53" i="1"/>
  <c r="AI53" i="1"/>
  <c r="AH53" i="1"/>
  <c r="AG53" i="1"/>
  <c r="AF53" i="1"/>
  <c r="Z53" i="1"/>
  <c r="Y53" i="1"/>
  <c r="X53" i="1"/>
  <c r="T53" i="1"/>
  <c r="S53" i="1"/>
  <c r="R53" i="1"/>
  <c r="K53" i="1" s="1"/>
  <c r="Q53" i="1"/>
  <c r="J53" i="1" s="1"/>
  <c r="P53" i="1"/>
  <c r="O53" i="1"/>
  <c r="N53" i="1"/>
  <c r="H53" i="1"/>
  <c r="AO52" i="1"/>
  <c r="AN52" i="1"/>
  <c r="AM52" i="1"/>
  <c r="AL52" i="1"/>
  <c r="AK52" i="1"/>
  <c r="AJ52" i="1"/>
  <c r="AI52" i="1"/>
  <c r="AH52" i="1"/>
  <c r="AG52" i="1"/>
  <c r="AF52" i="1"/>
  <c r="Z52" i="1"/>
  <c r="Y52" i="1"/>
  <c r="X52" i="1"/>
  <c r="T52" i="1"/>
  <c r="S52" i="1"/>
  <c r="R52" i="1"/>
  <c r="K52" i="1" s="1"/>
  <c r="H52" i="1"/>
  <c r="P52" i="1"/>
  <c r="O52" i="1"/>
  <c r="N52" i="1"/>
  <c r="AO51" i="1"/>
  <c r="AN51" i="1"/>
  <c r="AM51" i="1"/>
  <c r="AL51" i="1"/>
  <c r="AK51" i="1"/>
  <c r="AJ51" i="1"/>
  <c r="AI51" i="1"/>
  <c r="AH51" i="1"/>
  <c r="AG51" i="1"/>
  <c r="AF51" i="1"/>
  <c r="Z51" i="1"/>
  <c r="Y51" i="1"/>
  <c r="X51" i="1"/>
  <c r="T51" i="1"/>
  <c r="S51" i="1"/>
  <c r="R51" i="1"/>
  <c r="K51" i="1" s="1"/>
  <c r="P51" i="1"/>
  <c r="O51" i="1"/>
  <c r="N51" i="1"/>
  <c r="H51" i="1"/>
  <c r="AO50" i="1"/>
  <c r="AN50" i="1"/>
  <c r="AM50" i="1"/>
  <c r="AL50" i="1"/>
  <c r="AK50" i="1"/>
  <c r="AJ50" i="1"/>
  <c r="AI50" i="1"/>
  <c r="AH50" i="1"/>
  <c r="AG50" i="1"/>
  <c r="AF50" i="1"/>
  <c r="Z50" i="1"/>
  <c r="Y50" i="1"/>
  <c r="X50" i="1"/>
  <c r="T50" i="1"/>
  <c r="S50" i="1"/>
  <c r="R50" i="1"/>
  <c r="K50" i="1" s="1"/>
  <c r="H50" i="1"/>
  <c r="P50" i="1"/>
  <c r="O50" i="1"/>
  <c r="N50" i="1"/>
  <c r="AO49" i="1"/>
  <c r="AN49" i="1"/>
  <c r="AM49" i="1"/>
  <c r="AL49" i="1"/>
  <c r="AK49" i="1"/>
  <c r="AJ49" i="1"/>
  <c r="AI49" i="1"/>
  <c r="AH49" i="1"/>
  <c r="AG49" i="1"/>
  <c r="AF49" i="1"/>
  <c r="Z49" i="1"/>
  <c r="Y49" i="1"/>
  <c r="X49" i="1"/>
  <c r="T49" i="1"/>
  <c r="S49" i="1"/>
  <c r="R49" i="1"/>
  <c r="K49" i="1" s="1"/>
  <c r="P49" i="1"/>
  <c r="O49" i="1"/>
  <c r="N49" i="1"/>
  <c r="H49" i="1"/>
  <c r="AO48" i="1"/>
  <c r="AN48" i="1"/>
  <c r="AM48" i="1"/>
  <c r="AL48" i="1"/>
  <c r="AK48" i="1"/>
  <c r="AJ48" i="1"/>
  <c r="AI48" i="1"/>
  <c r="AH48" i="1"/>
  <c r="AG48" i="1"/>
  <c r="AF48" i="1"/>
  <c r="Z48" i="1"/>
  <c r="Y48" i="1"/>
  <c r="X48" i="1"/>
  <c r="T48" i="1"/>
  <c r="S48" i="1"/>
  <c r="R48" i="1"/>
  <c r="Q48" i="1"/>
  <c r="P48" i="1"/>
  <c r="O48" i="1"/>
  <c r="N48" i="1"/>
  <c r="AO47" i="1"/>
  <c r="AN47" i="1"/>
  <c r="AM47" i="1"/>
  <c r="AL47" i="1"/>
  <c r="AK47" i="1"/>
  <c r="AJ47" i="1"/>
  <c r="AI47" i="1"/>
  <c r="AH47" i="1"/>
  <c r="AG47" i="1"/>
  <c r="AF47" i="1"/>
  <c r="Z47" i="1"/>
  <c r="Y47" i="1"/>
  <c r="X47" i="1"/>
  <c r="T47" i="1"/>
  <c r="S47" i="1"/>
  <c r="R47" i="1"/>
  <c r="Q47" i="1"/>
  <c r="J47" i="1" s="1"/>
  <c r="P47" i="1"/>
  <c r="O47" i="1"/>
  <c r="N47" i="1"/>
  <c r="H47" i="1"/>
  <c r="AO46" i="1"/>
  <c r="AN46" i="1"/>
  <c r="AM46" i="1"/>
  <c r="AL46" i="1"/>
  <c r="AK46" i="1"/>
  <c r="AJ46" i="1"/>
  <c r="AI46" i="1"/>
  <c r="AH46" i="1"/>
  <c r="AG46" i="1"/>
  <c r="AF46" i="1"/>
  <c r="Z46" i="1"/>
  <c r="Y46" i="1"/>
  <c r="X46" i="1"/>
  <c r="T46" i="1"/>
  <c r="S46" i="1"/>
  <c r="R46" i="1"/>
  <c r="Q46" i="1"/>
  <c r="P46" i="1"/>
  <c r="O46" i="1"/>
  <c r="N46" i="1"/>
  <c r="AO45" i="1"/>
  <c r="AN45" i="1"/>
  <c r="AM45" i="1"/>
  <c r="AL45" i="1"/>
  <c r="AK45" i="1"/>
  <c r="AJ45" i="1"/>
  <c r="AI45" i="1"/>
  <c r="AH45" i="1"/>
  <c r="AG45" i="1"/>
  <c r="AF45" i="1"/>
  <c r="Z45" i="1"/>
  <c r="Y45" i="1"/>
  <c r="X45" i="1"/>
  <c r="T45" i="1"/>
  <c r="S45" i="1"/>
  <c r="R45" i="1"/>
  <c r="Q45" i="1"/>
  <c r="J45" i="1" s="1"/>
  <c r="P45" i="1"/>
  <c r="O45" i="1"/>
  <c r="N45" i="1"/>
  <c r="H45" i="1"/>
  <c r="AO44" i="1"/>
  <c r="AN44" i="1"/>
  <c r="AM44" i="1"/>
  <c r="AL44" i="1"/>
  <c r="AK44" i="1"/>
  <c r="AJ44" i="1"/>
  <c r="AI44" i="1"/>
  <c r="AH44" i="1"/>
  <c r="AG44" i="1"/>
  <c r="AF44" i="1"/>
  <c r="Z44" i="1"/>
  <c r="Y44" i="1"/>
  <c r="X44" i="1"/>
  <c r="T44" i="1"/>
  <c r="S44" i="1"/>
  <c r="R44" i="1"/>
  <c r="Q44" i="1"/>
  <c r="P44" i="1"/>
  <c r="O44" i="1"/>
  <c r="N44" i="1"/>
  <c r="AO43" i="1"/>
  <c r="AN43" i="1"/>
  <c r="AM43" i="1"/>
  <c r="AL43" i="1"/>
  <c r="AK43" i="1"/>
  <c r="AJ43" i="1"/>
  <c r="AI43" i="1"/>
  <c r="AH43" i="1"/>
  <c r="AG43" i="1"/>
  <c r="AF43" i="1"/>
  <c r="Z43" i="1"/>
  <c r="Y43" i="1"/>
  <c r="X43" i="1"/>
  <c r="T43" i="1"/>
  <c r="S43" i="1"/>
  <c r="R43" i="1"/>
  <c r="P43" i="1"/>
  <c r="O43" i="1"/>
  <c r="N43" i="1"/>
  <c r="H43" i="1"/>
  <c r="AO42" i="1"/>
  <c r="AN42" i="1"/>
  <c r="AM42" i="1"/>
  <c r="AL42" i="1"/>
  <c r="AK42" i="1"/>
  <c r="AJ42" i="1"/>
  <c r="AI42" i="1"/>
  <c r="AH42" i="1"/>
  <c r="AG42" i="1"/>
  <c r="AF42" i="1"/>
  <c r="Z42" i="1"/>
  <c r="Y42" i="1"/>
  <c r="X42" i="1"/>
  <c r="T42" i="1"/>
  <c r="S42" i="1"/>
  <c r="R42" i="1"/>
  <c r="Q42" i="1"/>
  <c r="P42" i="1"/>
  <c r="O42" i="1"/>
  <c r="N42" i="1"/>
  <c r="AO41" i="1"/>
  <c r="AN41" i="1"/>
  <c r="AM41" i="1"/>
  <c r="AL41" i="1"/>
  <c r="AK41" i="1"/>
  <c r="AJ41" i="1"/>
  <c r="AI41" i="1"/>
  <c r="AH41" i="1"/>
  <c r="AG41" i="1"/>
  <c r="AF41" i="1"/>
  <c r="Z41" i="1"/>
  <c r="Y41" i="1"/>
  <c r="X41" i="1"/>
  <c r="T41" i="1"/>
  <c r="S41" i="1"/>
  <c r="R41" i="1"/>
  <c r="Q41" i="1"/>
  <c r="P41" i="1"/>
  <c r="O41" i="1"/>
  <c r="N41" i="1"/>
  <c r="AO40" i="1"/>
  <c r="AN40" i="1"/>
  <c r="AM40" i="1"/>
  <c r="AL40" i="1"/>
  <c r="AK40" i="1"/>
  <c r="AJ40" i="1"/>
  <c r="AI40" i="1"/>
  <c r="AH40" i="1"/>
  <c r="AG40" i="1"/>
  <c r="AF40" i="1"/>
  <c r="Z40" i="1"/>
  <c r="Y40" i="1"/>
  <c r="X40" i="1"/>
  <c r="T40" i="1"/>
  <c r="S40" i="1"/>
  <c r="R40" i="1"/>
  <c r="Q40" i="1"/>
  <c r="P40" i="1"/>
  <c r="O40" i="1"/>
  <c r="N40" i="1"/>
  <c r="AO39" i="1"/>
  <c r="AN39" i="1"/>
  <c r="AM39" i="1"/>
  <c r="AL39" i="1"/>
  <c r="AK39" i="1"/>
  <c r="AJ39" i="1"/>
  <c r="AI39" i="1"/>
  <c r="AH39" i="1"/>
  <c r="AG39" i="1"/>
  <c r="AF39" i="1"/>
  <c r="Z39" i="1"/>
  <c r="Y39" i="1"/>
  <c r="X39" i="1"/>
  <c r="T39" i="1"/>
  <c r="S39" i="1"/>
  <c r="R39" i="1"/>
  <c r="Q39" i="1"/>
  <c r="P39" i="1"/>
  <c r="O39" i="1"/>
  <c r="N39" i="1"/>
  <c r="AO38" i="1"/>
  <c r="AN38" i="1"/>
  <c r="AM38" i="1"/>
  <c r="AL38" i="1"/>
  <c r="AK38" i="1"/>
  <c r="AJ38" i="1"/>
  <c r="AI38" i="1"/>
  <c r="AH38" i="1"/>
  <c r="AG38" i="1"/>
  <c r="AF38" i="1"/>
  <c r="Z38" i="1"/>
  <c r="Y38" i="1"/>
  <c r="X38" i="1"/>
  <c r="T38" i="1"/>
  <c r="S38" i="1"/>
  <c r="R38" i="1"/>
  <c r="Q38" i="1"/>
  <c r="P38" i="1"/>
  <c r="O38" i="1"/>
  <c r="N38" i="1"/>
  <c r="AO37" i="1"/>
  <c r="AN37" i="1"/>
  <c r="AM37" i="1"/>
  <c r="AL37" i="1"/>
  <c r="AK37" i="1"/>
  <c r="AJ37" i="1"/>
  <c r="AI37" i="1"/>
  <c r="AH37" i="1"/>
  <c r="AG37" i="1"/>
  <c r="AF37" i="1"/>
  <c r="Z37" i="1"/>
  <c r="Y37" i="1"/>
  <c r="X37" i="1"/>
  <c r="T37" i="1"/>
  <c r="S37" i="1"/>
  <c r="R37" i="1"/>
  <c r="P37" i="1"/>
  <c r="O37" i="1"/>
  <c r="N37" i="1"/>
  <c r="H37" i="1"/>
  <c r="AO36" i="1"/>
  <c r="AN36" i="1"/>
  <c r="AM36" i="1"/>
  <c r="AL36" i="1"/>
  <c r="AK36" i="1"/>
  <c r="AJ36" i="1"/>
  <c r="AI36" i="1"/>
  <c r="AH36" i="1"/>
  <c r="AG36" i="1"/>
  <c r="AF36" i="1"/>
  <c r="Z36" i="1"/>
  <c r="Y36" i="1"/>
  <c r="X36" i="1"/>
  <c r="T36" i="1"/>
  <c r="S36" i="1"/>
  <c r="R36" i="1"/>
  <c r="Q36" i="1"/>
  <c r="P36" i="1"/>
  <c r="O36" i="1"/>
  <c r="N36" i="1"/>
  <c r="AO35" i="1"/>
  <c r="AN35" i="1"/>
  <c r="AM35" i="1"/>
  <c r="AL35" i="1"/>
  <c r="AK35" i="1"/>
  <c r="AJ35" i="1"/>
  <c r="AI35" i="1"/>
  <c r="AH35" i="1"/>
  <c r="AG35" i="1"/>
  <c r="AF35" i="1"/>
  <c r="Z35" i="1"/>
  <c r="Y35" i="1"/>
  <c r="X35" i="1"/>
  <c r="T35" i="1"/>
  <c r="S35" i="1"/>
  <c r="R35" i="1"/>
  <c r="Q35" i="1"/>
  <c r="P35" i="1"/>
  <c r="O35" i="1"/>
  <c r="N35" i="1"/>
  <c r="AO34" i="1"/>
  <c r="AN34" i="1"/>
  <c r="AM34" i="1"/>
  <c r="AL34" i="1"/>
  <c r="AK34" i="1"/>
  <c r="AJ34" i="1"/>
  <c r="AI34" i="1"/>
  <c r="AH34" i="1"/>
  <c r="AG34" i="1"/>
  <c r="AF34" i="1"/>
  <c r="Z34" i="1"/>
  <c r="Y34" i="1"/>
  <c r="X34" i="1"/>
  <c r="T34" i="1"/>
  <c r="S34" i="1"/>
  <c r="R34" i="1"/>
  <c r="Q34" i="1"/>
  <c r="P34" i="1"/>
  <c r="O34" i="1"/>
  <c r="N34" i="1"/>
  <c r="AO33" i="1"/>
  <c r="AN33" i="1"/>
  <c r="AM33" i="1"/>
  <c r="AL33" i="1"/>
  <c r="AK33" i="1"/>
  <c r="AJ33" i="1"/>
  <c r="AI33" i="1"/>
  <c r="AH33" i="1"/>
  <c r="AG33" i="1"/>
  <c r="AF33" i="1"/>
  <c r="Z33" i="1"/>
  <c r="Y33" i="1"/>
  <c r="X33" i="1"/>
  <c r="T33" i="1"/>
  <c r="S33" i="1"/>
  <c r="R33" i="1"/>
  <c r="Q33" i="1"/>
  <c r="P33" i="1"/>
  <c r="O33" i="1"/>
  <c r="N33" i="1"/>
  <c r="AO32" i="1"/>
  <c r="AN32" i="1"/>
  <c r="AM32" i="1"/>
  <c r="AL32" i="1"/>
  <c r="AK32" i="1"/>
  <c r="AJ32" i="1"/>
  <c r="AI32" i="1"/>
  <c r="AH32" i="1"/>
  <c r="AG32" i="1"/>
  <c r="AF32" i="1"/>
  <c r="Z32" i="1"/>
  <c r="Y32" i="1"/>
  <c r="X32" i="1"/>
  <c r="T32" i="1"/>
  <c r="S32" i="1"/>
  <c r="R32" i="1"/>
  <c r="Q32" i="1"/>
  <c r="P32" i="1"/>
  <c r="O32" i="1"/>
  <c r="N32" i="1"/>
  <c r="AO31" i="1"/>
  <c r="AN31" i="1"/>
  <c r="AM31" i="1"/>
  <c r="AL31" i="1"/>
  <c r="AK31" i="1"/>
  <c r="AJ31" i="1"/>
  <c r="AI31" i="1"/>
  <c r="AH31" i="1"/>
  <c r="AG31" i="1"/>
  <c r="AF31" i="1"/>
  <c r="Z31" i="1"/>
  <c r="Y31" i="1"/>
  <c r="X31" i="1"/>
  <c r="T31" i="1"/>
  <c r="S31" i="1"/>
  <c r="R31" i="1"/>
  <c r="Q31" i="1"/>
  <c r="P31" i="1"/>
  <c r="O31" i="1"/>
  <c r="N31" i="1"/>
  <c r="AO30" i="1"/>
  <c r="AN30" i="1"/>
  <c r="AM30" i="1"/>
  <c r="AL30" i="1"/>
  <c r="AK30" i="1"/>
  <c r="AJ30" i="1"/>
  <c r="AI30" i="1"/>
  <c r="AH30" i="1"/>
  <c r="AG30" i="1"/>
  <c r="AF30" i="1"/>
  <c r="Z30" i="1"/>
  <c r="Y30" i="1"/>
  <c r="X30" i="1"/>
  <c r="T30" i="1"/>
  <c r="S30" i="1"/>
  <c r="R30" i="1"/>
  <c r="P30" i="1"/>
  <c r="O30" i="1"/>
  <c r="N30" i="1"/>
  <c r="H30" i="1"/>
  <c r="AO29" i="1"/>
  <c r="AN29" i="1"/>
  <c r="AM29" i="1"/>
  <c r="AL29" i="1"/>
  <c r="AK29" i="1"/>
  <c r="AJ29" i="1"/>
  <c r="AI29" i="1"/>
  <c r="AH29" i="1"/>
  <c r="AG29" i="1"/>
  <c r="AF29" i="1"/>
  <c r="Z29" i="1"/>
  <c r="Y29" i="1"/>
  <c r="X29" i="1"/>
  <c r="T29" i="1"/>
  <c r="S29" i="1"/>
  <c r="R29" i="1"/>
  <c r="K29" i="1" s="1"/>
  <c r="Q29" i="1"/>
  <c r="J29" i="1" s="1"/>
  <c r="P29" i="1"/>
  <c r="O29" i="1"/>
  <c r="N29" i="1"/>
  <c r="H29" i="1"/>
  <c r="AO28" i="1"/>
  <c r="AN28" i="1"/>
  <c r="AM28" i="1"/>
  <c r="AL28" i="1"/>
  <c r="AK28" i="1"/>
  <c r="AJ28" i="1"/>
  <c r="AI28" i="1"/>
  <c r="AH28" i="1"/>
  <c r="AG28" i="1"/>
  <c r="AF28" i="1"/>
  <c r="Z28" i="1"/>
  <c r="Y28" i="1"/>
  <c r="X28" i="1"/>
  <c r="T28" i="1"/>
  <c r="S28" i="1"/>
  <c r="R28" i="1"/>
  <c r="Q28" i="1"/>
  <c r="P28" i="1"/>
  <c r="O28" i="1"/>
  <c r="N28" i="1"/>
  <c r="AO27" i="1"/>
  <c r="AN27" i="1"/>
  <c r="AM27" i="1"/>
  <c r="AL27" i="1"/>
  <c r="AK27" i="1"/>
  <c r="AJ27" i="1"/>
  <c r="AI27" i="1"/>
  <c r="AH27" i="1"/>
  <c r="AG27" i="1"/>
  <c r="AF27" i="1"/>
  <c r="Z27" i="1"/>
  <c r="Y27" i="1"/>
  <c r="X27" i="1"/>
  <c r="T27" i="1"/>
  <c r="S27" i="1"/>
  <c r="R27" i="1"/>
  <c r="Q27" i="1"/>
  <c r="P27" i="1"/>
  <c r="O27" i="1"/>
  <c r="N27" i="1"/>
  <c r="AO26" i="1"/>
  <c r="AN26" i="1"/>
  <c r="AM26" i="1"/>
  <c r="AL26" i="1"/>
  <c r="AK26" i="1"/>
  <c r="AJ26" i="1"/>
  <c r="AI26" i="1"/>
  <c r="AH26" i="1"/>
  <c r="AG26" i="1"/>
  <c r="AF26" i="1"/>
  <c r="Z26" i="1"/>
  <c r="Y26" i="1"/>
  <c r="X26" i="1"/>
  <c r="T26" i="1"/>
  <c r="S26" i="1"/>
  <c r="R26" i="1"/>
  <c r="P26" i="1"/>
  <c r="O26" i="1"/>
  <c r="N26" i="1"/>
  <c r="H26" i="1"/>
  <c r="AO25" i="1"/>
  <c r="AN25" i="1"/>
  <c r="AM25" i="1"/>
  <c r="AL25" i="1"/>
  <c r="AK25" i="1"/>
  <c r="AJ25" i="1"/>
  <c r="AI25" i="1"/>
  <c r="AH25" i="1"/>
  <c r="AG25" i="1"/>
  <c r="AF25" i="1"/>
  <c r="Z25" i="1"/>
  <c r="Y25" i="1"/>
  <c r="X25" i="1"/>
  <c r="T25" i="1"/>
  <c r="S25" i="1"/>
  <c r="R25" i="1"/>
  <c r="Q25" i="1"/>
  <c r="P25" i="1"/>
  <c r="O25" i="1"/>
  <c r="N25" i="1"/>
  <c r="AO24" i="1"/>
  <c r="AN24" i="1"/>
  <c r="AM24" i="1"/>
  <c r="AL24" i="1"/>
  <c r="AK24" i="1"/>
  <c r="AJ24" i="1"/>
  <c r="AI24" i="1"/>
  <c r="AH24" i="1"/>
  <c r="AG24" i="1"/>
  <c r="AF24" i="1"/>
  <c r="Z24" i="1"/>
  <c r="Y24" i="1"/>
  <c r="X24" i="1"/>
  <c r="T24" i="1"/>
  <c r="S24" i="1"/>
  <c r="R24" i="1"/>
  <c r="P24" i="1"/>
  <c r="O24" i="1"/>
  <c r="N24" i="1"/>
  <c r="H24" i="1"/>
  <c r="AO23" i="1"/>
  <c r="AN23" i="1"/>
  <c r="AM23" i="1"/>
  <c r="AL23" i="1"/>
  <c r="AK23" i="1"/>
  <c r="AJ23" i="1"/>
  <c r="AI23" i="1"/>
  <c r="AH23" i="1"/>
  <c r="AG23" i="1"/>
  <c r="AF23" i="1"/>
  <c r="Z23" i="1"/>
  <c r="Y23" i="1"/>
  <c r="X23" i="1"/>
  <c r="T23" i="1"/>
  <c r="S23" i="1"/>
  <c r="R23" i="1"/>
  <c r="K23" i="1" s="1"/>
  <c r="P23" i="1"/>
  <c r="O23" i="1"/>
  <c r="N23" i="1"/>
  <c r="H23" i="1"/>
  <c r="AO22" i="1"/>
  <c r="AN22" i="1"/>
  <c r="AM22" i="1"/>
  <c r="AL22" i="1"/>
  <c r="AK22" i="1"/>
  <c r="AJ22" i="1"/>
  <c r="AI22" i="1"/>
  <c r="AH22" i="1"/>
  <c r="AG22" i="1"/>
  <c r="AF22" i="1"/>
  <c r="Z22" i="1"/>
  <c r="Y22" i="1"/>
  <c r="X22" i="1"/>
  <c r="T22" i="1"/>
  <c r="S22" i="1"/>
  <c r="R22" i="1"/>
  <c r="Q22" i="1"/>
  <c r="P22" i="1"/>
  <c r="O22" i="1"/>
  <c r="N22" i="1"/>
  <c r="AO21" i="1"/>
  <c r="AN21" i="1"/>
  <c r="AM21" i="1"/>
  <c r="AL21" i="1"/>
  <c r="AK21" i="1"/>
  <c r="AJ21" i="1"/>
  <c r="AI21" i="1"/>
  <c r="AH21" i="1"/>
  <c r="AG21" i="1"/>
  <c r="AF21" i="1"/>
  <c r="Z21" i="1"/>
  <c r="Y21" i="1"/>
  <c r="X21" i="1"/>
  <c r="T21" i="1"/>
  <c r="S21" i="1"/>
  <c r="R21" i="1"/>
  <c r="Q21" i="1"/>
  <c r="P21" i="1"/>
  <c r="O21" i="1"/>
  <c r="N21" i="1"/>
  <c r="AO20" i="1"/>
  <c r="AN20" i="1"/>
  <c r="AM20" i="1"/>
  <c r="AL20" i="1"/>
  <c r="AK20" i="1"/>
  <c r="AJ20" i="1"/>
  <c r="AI20" i="1"/>
  <c r="AH20" i="1"/>
  <c r="AG20" i="1"/>
  <c r="AF20" i="1"/>
  <c r="Z20" i="1"/>
  <c r="Y20" i="1"/>
  <c r="X20" i="1"/>
  <c r="T20" i="1"/>
  <c r="S20" i="1"/>
  <c r="R20" i="1"/>
  <c r="Q20" i="1"/>
  <c r="P20" i="1"/>
  <c r="O20" i="1"/>
  <c r="N20" i="1"/>
  <c r="AO19" i="1"/>
  <c r="AN19" i="1"/>
  <c r="AM19" i="1"/>
  <c r="AL19" i="1"/>
  <c r="AK19" i="1"/>
  <c r="AJ19" i="1"/>
  <c r="AI19" i="1"/>
  <c r="AH19" i="1"/>
  <c r="AG19" i="1"/>
  <c r="AF19" i="1"/>
  <c r="Z19" i="1"/>
  <c r="Y19" i="1"/>
  <c r="X19" i="1"/>
  <c r="T19" i="1"/>
  <c r="S19" i="1"/>
  <c r="R19" i="1"/>
  <c r="P19" i="1"/>
  <c r="O19" i="1"/>
  <c r="N19" i="1"/>
  <c r="H19" i="1"/>
  <c r="AO18" i="1"/>
  <c r="AN18" i="1"/>
  <c r="AM18" i="1"/>
  <c r="AL18" i="1"/>
  <c r="AK18" i="1"/>
  <c r="AJ18" i="1"/>
  <c r="AI18" i="1"/>
  <c r="AH18" i="1"/>
  <c r="AG18" i="1"/>
  <c r="AF18" i="1"/>
  <c r="Z18" i="1"/>
  <c r="Y18" i="1"/>
  <c r="X18" i="1"/>
  <c r="T18" i="1"/>
  <c r="S18" i="1"/>
  <c r="R18" i="1"/>
  <c r="K18" i="1" s="1"/>
  <c r="Q18" i="1"/>
  <c r="J18" i="1" s="1"/>
  <c r="P18" i="1"/>
  <c r="O18" i="1"/>
  <c r="N18" i="1"/>
  <c r="H18" i="1"/>
  <c r="AO17" i="1"/>
  <c r="AN17" i="1"/>
  <c r="AM17" i="1"/>
  <c r="AL17" i="1"/>
  <c r="AK17" i="1"/>
  <c r="AJ17" i="1"/>
  <c r="AI17" i="1"/>
  <c r="AH17" i="1"/>
  <c r="AG17" i="1"/>
  <c r="AF17" i="1"/>
  <c r="Z17" i="1"/>
  <c r="Y17" i="1"/>
  <c r="X17" i="1"/>
  <c r="T17" i="1"/>
  <c r="S17" i="1"/>
  <c r="R17" i="1"/>
  <c r="K17" i="1" s="1"/>
  <c r="Q17" i="1"/>
  <c r="J17" i="1" s="1"/>
  <c r="P17" i="1"/>
  <c r="O17" i="1"/>
  <c r="N17" i="1"/>
  <c r="H17" i="1"/>
  <c r="AO16" i="1"/>
  <c r="AN16" i="1"/>
  <c r="AM16" i="1"/>
  <c r="AL16" i="1"/>
  <c r="AK16" i="1"/>
  <c r="AJ16" i="1"/>
  <c r="AI16" i="1"/>
  <c r="AH16" i="1"/>
  <c r="AG16" i="1"/>
  <c r="AF16" i="1"/>
  <c r="Z16" i="1"/>
  <c r="Y16" i="1"/>
  <c r="X16" i="1"/>
  <c r="T16" i="1"/>
  <c r="S16" i="1"/>
  <c r="R16" i="1"/>
  <c r="Q16" i="1"/>
  <c r="P16" i="1"/>
  <c r="O16" i="1"/>
  <c r="N16" i="1"/>
  <c r="AO15" i="1"/>
  <c r="AN15" i="1"/>
  <c r="AM15" i="1"/>
  <c r="AL15" i="1"/>
  <c r="AK15" i="1"/>
  <c r="AJ15" i="1"/>
  <c r="AI15" i="1"/>
  <c r="AH15" i="1"/>
  <c r="AG15" i="1"/>
  <c r="AF15" i="1"/>
  <c r="Z15" i="1"/>
  <c r="Y15" i="1"/>
  <c r="X15" i="1"/>
  <c r="T15" i="1"/>
  <c r="S15" i="1"/>
  <c r="R15" i="1"/>
  <c r="P15" i="1"/>
  <c r="O15" i="1"/>
  <c r="N15" i="1"/>
  <c r="H15" i="1"/>
  <c r="AO14" i="1"/>
  <c r="AN14" i="1"/>
  <c r="AM14" i="1"/>
  <c r="AL14" i="1"/>
  <c r="AK14" i="1"/>
  <c r="AJ14" i="1"/>
  <c r="AI14" i="1"/>
  <c r="AH14" i="1"/>
  <c r="AG14" i="1"/>
  <c r="AF14" i="1"/>
  <c r="Z14" i="1"/>
  <c r="Y14" i="1"/>
  <c r="X14" i="1"/>
  <c r="T14" i="1"/>
  <c r="S14" i="1"/>
  <c r="R14" i="1"/>
  <c r="K14" i="1" s="1"/>
  <c r="H14" i="1"/>
  <c r="Q14" i="1"/>
  <c r="J14" i="1" s="1"/>
  <c r="P14" i="1"/>
  <c r="O14" i="1"/>
  <c r="N14" i="1"/>
  <c r="AO13" i="1"/>
  <c r="AN13" i="1"/>
  <c r="AM13" i="1"/>
  <c r="AL13" i="1"/>
  <c r="AK13" i="1"/>
  <c r="AJ13" i="1"/>
  <c r="AI13" i="1"/>
  <c r="AH13" i="1"/>
  <c r="AG13" i="1"/>
  <c r="AF13" i="1"/>
  <c r="Z13" i="1"/>
  <c r="Y13" i="1"/>
  <c r="X13" i="1"/>
  <c r="T13" i="1"/>
  <c r="S13" i="1"/>
  <c r="R13" i="1"/>
  <c r="K13" i="1" s="1"/>
  <c r="P13" i="1"/>
  <c r="O13" i="1"/>
  <c r="N13" i="1"/>
  <c r="H13" i="1"/>
  <c r="AO12" i="1"/>
  <c r="AN12" i="1"/>
  <c r="AM12" i="1"/>
  <c r="AL12" i="1"/>
  <c r="AK12" i="1"/>
  <c r="AJ12" i="1"/>
  <c r="AI12" i="1"/>
  <c r="AH12" i="1"/>
  <c r="AG12" i="1"/>
  <c r="AF12" i="1"/>
  <c r="Z12" i="1"/>
  <c r="Y12" i="1"/>
  <c r="X12" i="1"/>
  <c r="T12" i="1"/>
  <c r="S12" i="1"/>
  <c r="R12" i="1"/>
  <c r="Q12" i="1"/>
  <c r="P12" i="1"/>
  <c r="O12" i="1"/>
  <c r="N12" i="1"/>
  <c r="AO11" i="1"/>
  <c r="AN11" i="1"/>
  <c r="AM11" i="1"/>
  <c r="AL11" i="1"/>
  <c r="AK11" i="1"/>
  <c r="AJ11" i="1"/>
  <c r="AI11" i="1"/>
  <c r="AH11" i="1"/>
  <c r="AG11" i="1"/>
  <c r="AF11" i="1"/>
  <c r="Z11" i="1"/>
  <c r="Y11" i="1"/>
  <c r="X11" i="1"/>
  <c r="T11" i="1"/>
  <c r="S11" i="1"/>
  <c r="R11" i="1"/>
  <c r="P11" i="1"/>
  <c r="O11" i="1"/>
  <c r="N11" i="1"/>
  <c r="H11" i="1"/>
  <c r="AO10" i="1"/>
  <c r="AN10" i="1"/>
  <c r="AM10" i="1"/>
  <c r="AL10" i="1"/>
  <c r="AK10" i="1"/>
  <c r="AJ10" i="1"/>
  <c r="AI10" i="1"/>
  <c r="AH10" i="1"/>
  <c r="AG10" i="1"/>
  <c r="AF10" i="1"/>
  <c r="Z10" i="1"/>
  <c r="Y10" i="1"/>
  <c r="X10" i="1"/>
  <c r="T10" i="1"/>
  <c r="S10" i="1"/>
  <c r="R10" i="1"/>
  <c r="K10" i="1" s="1"/>
  <c r="H10" i="1"/>
  <c r="P10" i="1"/>
  <c r="O10" i="1"/>
  <c r="N10" i="1"/>
  <c r="AO9" i="1"/>
  <c r="AN9" i="1"/>
  <c r="AM9" i="1"/>
  <c r="AL9" i="1"/>
  <c r="AK9" i="1"/>
  <c r="AJ9" i="1"/>
  <c r="AI9" i="1"/>
  <c r="AH9" i="1"/>
  <c r="AG9" i="1"/>
  <c r="AF9" i="1"/>
  <c r="Z9" i="1"/>
  <c r="Y9" i="1"/>
  <c r="X9" i="1"/>
  <c r="T9" i="1"/>
  <c r="S9" i="1"/>
  <c r="R9" i="1"/>
  <c r="K9" i="1" s="1"/>
  <c r="H9" i="1"/>
  <c r="Q9" i="1"/>
  <c r="J9" i="1" s="1"/>
  <c r="P9" i="1"/>
  <c r="O9" i="1"/>
  <c r="N9" i="1"/>
  <c r="AO8" i="1"/>
  <c r="AN8" i="1"/>
  <c r="AM8" i="1"/>
  <c r="AL8" i="1"/>
  <c r="AK8" i="1"/>
  <c r="AJ8" i="1"/>
  <c r="AI8" i="1"/>
  <c r="AH8" i="1"/>
  <c r="AG8" i="1"/>
  <c r="AF8" i="1"/>
  <c r="Z8" i="1"/>
  <c r="Y8" i="1"/>
  <c r="X8" i="1"/>
  <c r="T8" i="1"/>
  <c r="S8" i="1"/>
  <c r="R8" i="1"/>
  <c r="Q8" i="1"/>
  <c r="P8" i="1"/>
  <c r="O8" i="1"/>
  <c r="N8" i="1"/>
  <c r="AO7" i="1"/>
  <c r="AN7" i="1"/>
  <c r="AM7" i="1"/>
  <c r="AL7" i="1"/>
  <c r="AK7" i="1"/>
  <c r="AJ7" i="1"/>
  <c r="AI7" i="1"/>
  <c r="AH7" i="1"/>
  <c r="AG7" i="1"/>
  <c r="AF7" i="1"/>
  <c r="Z7" i="1"/>
  <c r="Y7" i="1"/>
  <c r="X7" i="1"/>
  <c r="T7" i="1"/>
  <c r="S7" i="1"/>
  <c r="R7" i="1"/>
  <c r="P7" i="1"/>
  <c r="O7" i="1"/>
  <c r="N7" i="1"/>
  <c r="H7" i="1"/>
  <c r="AO6" i="1"/>
  <c r="AN6" i="1"/>
  <c r="AM6" i="1"/>
  <c r="AL6" i="1"/>
  <c r="AK6" i="1"/>
  <c r="AJ6" i="1"/>
  <c r="AI6" i="1"/>
  <c r="AH6" i="1"/>
  <c r="AG6" i="1"/>
  <c r="AF6" i="1"/>
  <c r="Z6" i="1"/>
  <c r="Y6" i="1"/>
  <c r="X6" i="1"/>
  <c r="T6" i="1"/>
  <c r="S6" i="1"/>
  <c r="R6" i="1"/>
  <c r="K6" i="1" s="1"/>
  <c r="P6" i="1"/>
  <c r="O6" i="1"/>
  <c r="N6" i="1"/>
  <c r="H6" i="1"/>
  <c r="AO5" i="1"/>
  <c r="AN5" i="1"/>
  <c r="AM5" i="1"/>
  <c r="AL5" i="1"/>
  <c r="AK5" i="1"/>
  <c r="AJ5" i="1"/>
  <c r="AI5" i="1"/>
  <c r="AH5" i="1"/>
  <c r="AG5" i="1"/>
  <c r="AF5" i="1"/>
  <c r="Z5" i="1"/>
  <c r="Y5" i="1"/>
  <c r="X5" i="1"/>
  <c r="T5" i="1"/>
  <c r="T140" i="1" s="1"/>
  <c r="S5" i="1"/>
  <c r="R5" i="1"/>
  <c r="K5" i="1" s="1"/>
  <c r="P5" i="1"/>
  <c r="O5" i="1"/>
  <c r="N5" i="1"/>
  <c r="H5" i="1"/>
  <c r="C1" i="1"/>
  <c r="F18" i="56"/>
  <c r="I18" i="56"/>
  <c r="F17" i="56"/>
  <c r="I17" i="56" s="1"/>
  <c r="H16" i="56"/>
  <c r="F16" i="56"/>
  <c r="F15" i="56"/>
  <c r="I15" i="56" s="1"/>
  <c r="F14" i="56"/>
  <c r="I14" i="56" s="1"/>
  <c r="F13" i="56"/>
  <c r="I13" i="56" s="1"/>
  <c r="F12" i="56"/>
  <c r="I12" i="56" s="1"/>
  <c r="F11" i="56"/>
  <c r="I11" i="56" s="1"/>
  <c r="F10" i="56"/>
  <c r="I10" i="56" s="1"/>
  <c r="F9" i="56"/>
  <c r="I9" i="56" s="1"/>
  <c r="F8" i="56"/>
  <c r="I8" i="56" s="1"/>
  <c r="F7" i="56"/>
  <c r="I7" i="56" s="1"/>
  <c r="F6" i="56"/>
  <c r="I6" i="56" s="1"/>
  <c r="F5" i="56"/>
  <c r="I5" i="56" s="1"/>
  <c r="F4" i="56"/>
  <c r="I4" i="56" s="1"/>
  <c r="F3" i="56"/>
  <c r="I3" i="56" s="1"/>
  <c r="H2" i="56"/>
  <c r="F2" i="56"/>
  <c r="I6" i="57"/>
  <c r="Q76" i="1"/>
  <c r="J76" i="1" s="1"/>
  <c r="Q109" i="47"/>
  <c r="J109" i="47" s="1"/>
  <c r="Q11" i="47"/>
  <c r="J11" i="47" s="1"/>
  <c r="Q11" i="1"/>
  <c r="J11" i="1" s="1"/>
  <c r="Q66" i="1"/>
  <c r="J66" i="1" s="1"/>
  <c r="Q66" i="47"/>
  <c r="J66" i="47" s="1"/>
  <c r="Q94" i="47"/>
  <c r="J94" i="47" s="1"/>
  <c r="Q65" i="47"/>
  <c r="J65" i="47" s="1"/>
  <c r="Q98" i="1"/>
  <c r="J98" i="1" s="1"/>
  <c r="Q77" i="47"/>
  <c r="J77" i="47" s="1"/>
  <c r="Q95" i="47"/>
  <c r="J95" i="47" s="1"/>
  <c r="Q65" i="1"/>
  <c r="J65" i="1" s="1"/>
  <c r="Q95" i="1"/>
  <c r="J95" i="1" s="1"/>
  <c r="Q81" i="47"/>
  <c r="J81" i="47" s="1"/>
  <c r="Q15" i="47"/>
  <c r="J15" i="47" s="1"/>
  <c r="Q15" i="1"/>
  <c r="J15" i="1" s="1"/>
  <c r="Q5" i="1"/>
  <c r="J5" i="1" s="1"/>
  <c r="Q23" i="47"/>
  <c r="J23" i="47" s="1"/>
  <c r="Q100" i="1"/>
  <c r="J100" i="1" s="1"/>
  <c r="Q113" i="1"/>
  <c r="J113" i="1" s="1"/>
  <c r="Q19" i="47"/>
  <c r="J19" i="47" s="1"/>
  <c r="Q50" i="47"/>
  <c r="J50" i="47" s="1"/>
  <c r="Q6" i="1"/>
  <c r="J6" i="1" s="1"/>
  <c r="Q23" i="1"/>
  <c r="J23" i="1" s="1"/>
  <c r="Q96" i="47"/>
  <c r="J96" i="47" s="1"/>
  <c r="Q67" i="1"/>
  <c r="J67" i="1" s="1"/>
  <c r="Q67" i="47"/>
  <c r="J67" i="47" s="1"/>
  <c r="D95" i="7"/>
  <c r="Q52" i="47"/>
  <c r="J52" i="47" s="1"/>
  <c r="Q84" i="47"/>
  <c r="J84" i="47" s="1"/>
  <c r="Q98" i="47"/>
  <c r="J98" i="47" s="1"/>
  <c r="Q19" i="1"/>
  <c r="J19" i="1" s="1"/>
  <c r="Q54" i="1"/>
  <c r="J54" i="1" s="1"/>
  <c r="Q79" i="1"/>
  <c r="J79" i="1" s="1"/>
  <c r="Q100" i="47"/>
  <c r="J100" i="47" s="1"/>
  <c r="Q52" i="1"/>
  <c r="J52" i="1" s="1"/>
  <c r="Q50" i="1"/>
  <c r="J50" i="1" s="1"/>
  <c r="Q81" i="1"/>
  <c r="J81" i="1" s="1"/>
  <c r="Q79" i="47"/>
  <c r="J79" i="47" s="1"/>
  <c r="Q96" i="1"/>
  <c r="J96" i="1" s="1"/>
  <c r="Q30" i="1"/>
  <c r="J30" i="1" s="1"/>
  <c r="Q49" i="1"/>
  <c r="J49" i="1" s="1"/>
  <c r="Q83" i="1"/>
  <c r="J83" i="1" s="1"/>
  <c r="D13" i="7"/>
  <c r="D117" i="7"/>
  <c r="Q26" i="1"/>
  <c r="J26" i="1" s="1"/>
  <c r="Q56" i="1"/>
  <c r="J56" i="1" s="1"/>
  <c r="Q6" i="47"/>
  <c r="J6" i="47" s="1"/>
  <c r="Q24" i="47"/>
  <c r="J24" i="47" s="1"/>
  <c r="Q30" i="47"/>
  <c r="J30" i="47" s="1"/>
  <c r="Q56" i="47"/>
  <c r="J56" i="47" s="1"/>
  <c r="Q83" i="47"/>
  <c r="J83" i="47" s="1"/>
  <c r="Q111" i="47"/>
  <c r="J111" i="47" s="1"/>
  <c r="Q72" i="1"/>
  <c r="J72" i="1" s="1"/>
  <c r="Q110" i="1"/>
  <c r="J110" i="1" s="1"/>
  <c r="E162" i="7"/>
  <c r="Q26" i="47"/>
  <c r="J26" i="47" s="1"/>
  <c r="Q84" i="1"/>
  <c r="J84" i="1" s="1"/>
  <c r="D53" i="7"/>
  <c r="Q7" i="1"/>
  <c r="J7" i="1" s="1"/>
  <c r="Q49" i="47"/>
  <c r="J49" i="47" s="1"/>
  <c r="Q24" i="1"/>
  <c r="J24" i="1" s="1"/>
  <c r="Q43" i="1"/>
  <c r="J43" i="1" s="1"/>
  <c r="Q43" i="47"/>
  <c r="J43" i="47" s="1"/>
  <c r="Q72" i="47"/>
  <c r="J72" i="47" s="1"/>
  <c r="Q110" i="47"/>
  <c r="J110" i="47" s="1"/>
  <c r="D21" i="7"/>
  <c r="D45" i="7"/>
  <c r="F186" i="7"/>
  <c r="FP186" i="7"/>
  <c r="D61" i="7"/>
  <c r="D99" i="7"/>
  <c r="BM186" i="7"/>
  <c r="FF186" i="7"/>
  <c r="Q86" i="1"/>
  <c r="J86" i="1" s="1"/>
  <c r="Q37" i="47"/>
  <c r="J37" i="47" s="1"/>
  <c r="Q71" i="47"/>
  <c r="J71" i="47" s="1"/>
  <c r="D91" i="7"/>
  <c r="E173" i="7"/>
  <c r="Q112" i="47"/>
  <c r="J112" i="47" s="1"/>
  <c r="D111" i="7"/>
  <c r="Q86" i="47"/>
  <c r="J86" i="47" s="1"/>
  <c r="Q51" i="1"/>
  <c r="J51" i="1" s="1"/>
  <c r="Q69" i="1"/>
  <c r="J69" i="1" s="1"/>
  <c r="Q102" i="47"/>
  <c r="J102" i="47" s="1"/>
  <c r="D103" i="7"/>
  <c r="D69" i="7"/>
  <c r="Q87" i="1"/>
  <c r="J87" i="1" s="1"/>
  <c r="Q45" i="47"/>
  <c r="J45" i="47" s="1"/>
  <c r="AO186" i="7"/>
  <c r="Q37" i="1"/>
  <c r="J37" i="1" s="1"/>
  <c r="Q51" i="47"/>
  <c r="J51" i="47" s="1"/>
  <c r="Q138" i="47"/>
  <c r="J138" i="47" s="1"/>
  <c r="D85" i="7"/>
  <c r="D5" i="7"/>
  <c r="D37" i="7"/>
  <c r="Q10" i="1"/>
  <c r="J10" i="1" s="1"/>
  <c r="Q13" i="1"/>
  <c r="J13" i="1" s="1"/>
  <c r="Q138" i="1"/>
  <c r="J138" i="1" s="1"/>
  <c r="Q87" i="47"/>
  <c r="J87" i="47" s="1"/>
  <c r="D115" i="7"/>
  <c r="Q102" i="1"/>
  <c r="J102" i="1" s="1"/>
  <c r="Q69" i="47"/>
  <c r="J69" i="47" s="1"/>
  <c r="D77" i="7"/>
  <c r="D107" i="7"/>
  <c r="E116" i="7"/>
  <c r="DB186" i="7"/>
  <c r="D17" i="7"/>
  <c r="D49" i="7"/>
  <c r="D81" i="7"/>
  <c r="D93" i="7"/>
  <c r="D109" i="7"/>
  <c r="BR186" i="7"/>
  <c r="FK186" i="7"/>
  <c r="D25" i="7"/>
  <c r="D57" i="7"/>
  <c r="D89" i="7"/>
  <c r="D105" i="7"/>
  <c r="P186" i="7"/>
  <c r="D33" i="7"/>
  <c r="D65" i="7"/>
  <c r="D101" i="7"/>
  <c r="Z186" i="7"/>
  <c r="GE186" i="7"/>
  <c r="K186" i="7"/>
  <c r="AY186" i="7"/>
  <c r="FU186" i="7"/>
  <c r="D9" i="7"/>
  <c r="D41" i="7"/>
  <c r="D73" i="7"/>
  <c r="D97" i="7"/>
  <c r="D113" i="7"/>
  <c r="AJ186" i="7"/>
  <c r="CW186" i="7"/>
  <c r="FA186" i="7"/>
  <c r="U186" i="7"/>
  <c r="ED186" i="7"/>
  <c r="FZ186" i="7"/>
  <c r="Q144" i="1"/>
  <c r="J144" i="1" s="1"/>
  <c r="J146" i="1" s="1"/>
  <c r="Q143" i="47"/>
  <c r="Q145" i="47" s="1"/>
  <c r="AT186" i="7"/>
  <c r="BF186" i="7"/>
  <c r="CE186" i="7"/>
  <c r="DO186" i="7"/>
  <c r="CJ186" i="7"/>
  <c r="Q137" i="47"/>
  <c r="J137" i="47" s="1"/>
  <c r="E177" i="7"/>
  <c r="ET186" i="7"/>
  <c r="B185" i="7"/>
  <c r="AE186" i="7"/>
  <c r="EJ186" i="7"/>
  <c r="DY186" i="7"/>
  <c r="D6" i="7"/>
  <c r="D10" i="7"/>
  <c r="D14" i="7"/>
  <c r="D18" i="7"/>
  <c r="D22" i="7"/>
  <c r="D26" i="7"/>
  <c r="D30" i="7"/>
  <c r="D34" i="7"/>
  <c r="D38" i="7"/>
  <c r="D42" i="7"/>
  <c r="D46" i="7"/>
  <c r="D50" i="7"/>
  <c r="D54" i="7"/>
  <c r="D58" i="7"/>
  <c r="D62" i="7"/>
  <c r="D66" i="7"/>
  <c r="D70" i="7"/>
  <c r="D74" i="7"/>
  <c r="D78" i="7"/>
  <c r="D82" i="7"/>
  <c r="D86" i="7"/>
  <c r="D90" i="7"/>
  <c r="D94" i="7"/>
  <c r="D98" i="7"/>
  <c r="D102" i="7"/>
  <c r="D106" i="7"/>
  <c r="D110" i="7"/>
  <c r="D114" i="7"/>
  <c r="D7" i="7"/>
  <c r="D11" i="7"/>
  <c r="D15" i="7"/>
  <c r="D19" i="7"/>
  <c r="D23" i="7"/>
  <c r="D27" i="7"/>
  <c r="D31" i="7"/>
  <c r="D35" i="7"/>
  <c r="D39" i="7"/>
  <c r="D43" i="7"/>
  <c r="D47" i="7"/>
  <c r="D51" i="7"/>
  <c r="D55" i="7"/>
  <c r="D59" i="7"/>
  <c r="D63" i="7"/>
  <c r="D67" i="7"/>
  <c r="D71" i="7"/>
  <c r="D75" i="7"/>
  <c r="D79" i="7"/>
  <c r="D83" i="7"/>
  <c r="D87" i="7"/>
  <c r="D8" i="7"/>
  <c r="D12" i="7"/>
  <c r="D16" i="7"/>
  <c r="D20" i="7"/>
  <c r="D24" i="7"/>
  <c r="D28" i="7"/>
  <c r="D32" i="7"/>
  <c r="D36" i="7"/>
  <c r="D40" i="7"/>
  <c r="D44" i="7"/>
  <c r="D48" i="7"/>
  <c r="D52" i="7"/>
  <c r="D56" i="7"/>
  <c r="D60" i="7"/>
  <c r="D64" i="7"/>
  <c r="D68" i="7"/>
  <c r="D72" i="7"/>
  <c r="D76" i="7"/>
  <c r="D80" i="7"/>
  <c r="D84" i="7"/>
  <c r="D88" i="7"/>
  <c r="D92" i="7"/>
  <c r="D96" i="7"/>
  <c r="D100" i="7"/>
  <c r="D104" i="7"/>
  <c r="D108" i="7"/>
  <c r="D112" i="7"/>
  <c r="H96" i="47"/>
  <c r="H89" i="47"/>
  <c r="AL145" i="47"/>
  <c r="O145" i="47"/>
  <c r="H91" i="47"/>
  <c r="H104" i="47"/>
  <c r="H81" i="47" l="1"/>
  <c r="H15" i="47"/>
  <c r="H47" i="47"/>
  <c r="H87" i="47"/>
  <c r="AQ145" i="47"/>
  <c r="M121" i="47"/>
  <c r="U121" i="47" s="1"/>
  <c r="AM145" i="47"/>
  <c r="I16" i="56"/>
  <c r="M113" i="47"/>
  <c r="U113" i="47" s="1"/>
  <c r="D50" i="57"/>
  <c r="I39" i="57"/>
  <c r="H24" i="47"/>
  <c r="M128" i="47"/>
  <c r="U128" i="47" s="1"/>
  <c r="Q136" i="47"/>
  <c r="J136" i="47" s="1"/>
  <c r="M136" i="47" s="1"/>
  <c r="U136" i="47" s="1"/>
  <c r="I5" i="57"/>
  <c r="I20" i="57"/>
  <c r="Y181" i="1"/>
  <c r="H11" i="47"/>
  <c r="M120" i="47"/>
  <c r="V120" i="47" s="1"/>
  <c r="W120" i="47" s="1"/>
  <c r="X146" i="1"/>
  <c r="H45" i="47"/>
  <c r="M23" i="47"/>
  <c r="V23" i="47" s="1"/>
  <c r="W23" i="47" s="1"/>
  <c r="H79" i="47"/>
  <c r="I2" i="56"/>
  <c r="D29" i="7"/>
  <c r="M129" i="47"/>
  <c r="L160" i="1"/>
  <c r="Y164" i="1"/>
  <c r="L179" i="1"/>
  <c r="L166" i="1"/>
  <c r="M73" i="47"/>
  <c r="U73" i="47" s="1"/>
  <c r="H19" i="47"/>
  <c r="L14" i="1"/>
  <c r="L115" i="1"/>
  <c r="L123" i="1"/>
  <c r="M125" i="1"/>
  <c r="U125" i="1" s="1"/>
  <c r="L133" i="1"/>
  <c r="L135" i="1"/>
  <c r="L155" i="1"/>
  <c r="L183" i="1"/>
  <c r="N3" i="57"/>
  <c r="G3" i="57" s="1"/>
  <c r="V3" i="57" s="1"/>
  <c r="H185" i="1"/>
  <c r="I7" i="57"/>
  <c r="H43" i="47"/>
  <c r="H61" i="47"/>
  <c r="M29" i="47"/>
  <c r="U29" i="47" s="1"/>
  <c r="L65" i="1"/>
  <c r="M103" i="1"/>
  <c r="U103" i="1" s="1"/>
  <c r="Y184" i="1"/>
  <c r="L111" i="1"/>
  <c r="L116" i="1"/>
  <c r="M118" i="1"/>
  <c r="U118" i="1" s="1"/>
  <c r="L120" i="1"/>
  <c r="L122" i="1"/>
  <c r="L128" i="1"/>
  <c r="Q146" i="1"/>
  <c r="H69" i="47"/>
  <c r="J143" i="47"/>
  <c r="Y143" i="47" s="1"/>
  <c r="Y145" i="47" s="1"/>
  <c r="H140" i="1"/>
  <c r="M133" i="47"/>
  <c r="U133" i="47" s="1"/>
  <c r="L164" i="1"/>
  <c r="N7" i="57"/>
  <c r="G7" i="57" s="1"/>
  <c r="J7" i="57" s="1"/>
  <c r="S7" i="57" s="1"/>
  <c r="T7" i="57" s="1"/>
  <c r="N5" i="57"/>
  <c r="G5" i="57" s="1"/>
  <c r="J5" i="57" s="1"/>
  <c r="S5" i="57" s="1"/>
  <c r="T5" i="57" s="1"/>
  <c r="N39" i="57"/>
  <c r="G39" i="57" s="1"/>
  <c r="V39" i="57" s="1"/>
  <c r="J140" i="1"/>
  <c r="J141" i="1" s="1"/>
  <c r="E185" i="7"/>
  <c r="M138" i="1"/>
  <c r="U138" i="1" s="1"/>
  <c r="I21" i="57"/>
  <c r="I29" i="57"/>
  <c r="I44" i="57"/>
  <c r="H30" i="47"/>
  <c r="M10" i="1"/>
  <c r="V10" i="1" s="1"/>
  <c r="W10" i="1" s="1"/>
  <c r="L17" i="1"/>
  <c r="M51" i="1"/>
  <c r="U51" i="1" s="1"/>
  <c r="L73" i="1"/>
  <c r="L76" i="1"/>
  <c r="L106" i="1"/>
  <c r="N146" i="1"/>
  <c r="Y159" i="1"/>
  <c r="M10" i="47"/>
  <c r="V10" i="47" s="1"/>
  <c r="W10" i="47" s="1"/>
  <c r="O146" i="1"/>
  <c r="M5" i="47"/>
  <c r="U5" i="47" s="1"/>
  <c r="J9" i="47"/>
  <c r="M116" i="47"/>
  <c r="V116" i="47" s="1"/>
  <c r="W116" i="47" s="1"/>
  <c r="M118" i="47"/>
  <c r="V118" i="47" s="1"/>
  <c r="W118" i="47" s="1"/>
  <c r="E50" i="57"/>
  <c r="M54" i="47"/>
  <c r="U54" i="47" s="1"/>
  <c r="H37" i="47"/>
  <c r="M138" i="47"/>
  <c r="I8" i="57"/>
  <c r="N46" i="57"/>
  <c r="G46" i="57" s="1"/>
  <c r="V46" i="57" s="1"/>
  <c r="K15" i="3"/>
  <c r="H7" i="47"/>
  <c r="H59" i="47"/>
  <c r="H77" i="47"/>
  <c r="M103" i="47"/>
  <c r="U103" i="47" s="1"/>
  <c r="M134" i="47"/>
  <c r="AH93" i="57"/>
  <c r="H26" i="47"/>
  <c r="Y144" i="1"/>
  <c r="Y146" i="1" s="1"/>
  <c r="L23" i="1"/>
  <c r="M95" i="1"/>
  <c r="V95" i="1" s="1"/>
  <c r="W95" i="1" s="1"/>
  <c r="P146" i="1"/>
  <c r="G139" i="47"/>
  <c r="M65" i="47"/>
  <c r="V65" i="47" s="1"/>
  <c r="W65" i="47" s="1"/>
  <c r="Q140" i="1"/>
  <c r="M29" i="1"/>
  <c r="U29" i="1" s="1"/>
  <c r="M50" i="1"/>
  <c r="U50" i="1" s="1"/>
  <c r="M57" i="1"/>
  <c r="U57" i="1" s="1"/>
  <c r="M99" i="1"/>
  <c r="V99" i="1" s="1"/>
  <c r="W99" i="1" s="1"/>
  <c r="M109" i="1"/>
  <c r="U109" i="1" s="1"/>
  <c r="AL146" i="1"/>
  <c r="Y161" i="1"/>
  <c r="Y169" i="1"/>
  <c r="L182" i="1"/>
  <c r="L154" i="1"/>
  <c r="M58" i="47"/>
  <c r="U58" i="47" s="1"/>
  <c r="H74" i="47"/>
  <c r="I3" i="57"/>
  <c r="N21" i="57"/>
  <c r="G21" i="57" s="1"/>
  <c r="V21" i="57" s="1"/>
  <c r="N44" i="57"/>
  <c r="G44" i="57" s="1"/>
  <c r="V44" i="57" s="1"/>
  <c r="M54" i="1"/>
  <c r="U54" i="1" s="1"/>
  <c r="Y162" i="1"/>
  <c r="Y174" i="1"/>
  <c r="M52" i="47"/>
  <c r="U52" i="47" s="1"/>
  <c r="M95" i="47"/>
  <c r="U95" i="47" s="1"/>
  <c r="P145" i="47"/>
  <c r="AK145" i="47"/>
  <c r="AK146" i="1"/>
  <c r="AJ146" i="1"/>
  <c r="K87" i="47"/>
  <c r="L87" i="47" s="1"/>
  <c r="L113" i="47"/>
  <c r="AN146" i="1"/>
  <c r="N20" i="57"/>
  <c r="G20" i="57" s="1"/>
  <c r="V20" i="57" s="1"/>
  <c r="N29" i="57"/>
  <c r="G29" i="57" s="1"/>
  <c r="J29" i="57" s="1"/>
  <c r="S29" i="57" s="1"/>
  <c r="T29" i="57" s="1"/>
  <c r="AJ145" i="47"/>
  <c r="AP145" i="47"/>
  <c r="AO145" i="47"/>
  <c r="AH145" i="47"/>
  <c r="AH40" i="57"/>
  <c r="AH42" i="57"/>
  <c r="AH102" i="57"/>
  <c r="AH116" i="57"/>
  <c r="K89" i="47"/>
  <c r="L89" i="47" s="1"/>
  <c r="N145" i="47"/>
  <c r="AR132" i="47"/>
  <c r="AR136" i="47"/>
  <c r="AR70" i="47"/>
  <c r="AR96" i="47"/>
  <c r="AR124" i="47"/>
  <c r="AR86" i="47"/>
  <c r="AR91" i="47"/>
  <c r="AR112" i="47"/>
  <c r="AR116" i="47"/>
  <c r="AR120" i="47"/>
  <c r="AR128" i="47"/>
  <c r="AH9" i="57"/>
  <c r="AH11" i="57"/>
  <c r="AH13" i="57"/>
  <c r="AH35" i="57"/>
  <c r="AH111" i="57"/>
  <c r="L58" i="47"/>
  <c r="L23" i="47"/>
  <c r="I14" i="57"/>
  <c r="H5" i="47"/>
  <c r="L123" i="47"/>
  <c r="L127" i="47"/>
  <c r="L135" i="47"/>
  <c r="L122" i="47"/>
  <c r="L18" i="47"/>
  <c r="L17" i="47"/>
  <c r="L121" i="47"/>
  <c r="L129" i="47"/>
  <c r="L133" i="47"/>
  <c r="L29" i="47"/>
  <c r="L120" i="47"/>
  <c r="L128" i="47"/>
  <c r="AG146" i="1"/>
  <c r="AR16" i="47"/>
  <c r="AR27" i="47"/>
  <c r="AR39" i="47"/>
  <c r="AR42" i="47"/>
  <c r="AR49" i="47"/>
  <c r="AR52" i="47"/>
  <c r="AR57" i="47"/>
  <c r="AR61" i="47"/>
  <c r="AR64" i="47"/>
  <c r="AR67" i="47"/>
  <c r="AR69" i="47"/>
  <c r="AR72" i="47"/>
  <c r="AR78" i="47"/>
  <c r="AR81" i="47"/>
  <c r="AR90" i="47"/>
  <c r="AR93" i="47"/>
  <c r="AR94" i="47"/>
  <c r="AR107" i="47"/>
  <c r="AH21" i="57"/>
  <c r="AH32" i="57"/>
  <c r="AD120" i="57"/>
  <c r="AR5" i="47"/>
  <c r="AR12" i="47"/>
  <c r="AR28" i="47"/>
  <c r="AR37" i="47"/>
  <c r="AR40" i="47"/>
  <c r="L95" i="47"/>
  <c r="K59" i="47"/>
  <c r="M59" i="47" s="1"/>
  <c r="U59" i="47" s="1"/>
  <c r="L52" i="47"/>
  <c r="AH94" i="57"/>
  <c r="AR143" i="47"/>
  <c r="AR7" i="47"/>
  <c r="AR8" i="47"/>
  <c r="AR24" i="47"/>
  <c r="AR25" i="47"/>
  <c r="AR30" i="47"/>
  <c r="AR31" i="47"/>
  <c r="AR33" i="47"/>
  <c r="AR34" i="47"/>
  <c r="AR35" i="47"/>
  <c r="AR36" i="47"/>
  <c r="AR48" i="47"/>
  <c r="AR51" i="47"/>
  <c r="AR53" i="47"/>
  <c r="AR55" i="47"/>
  <c r="AR56" i="47"/>
  <c r="AR75" i="47"/>
  <c r="AR80" i="47"/>
  <c r="AR83" i="47"/>
  <c r="AR84" i="47"/>
  <c r="AR85" i="47"/>
  <c r="AR88" i="47"/>
  <c r="AR102" i="47"/>
  <c r="AR105" i="47"/>
  <c r="AR111" i="47"/>
  <c r="AR119" i="47"/>
  <c r="AI145" i="47"/>
  <c r="AN145" i="47"/>
  <c r="AF50" i="57"/>
  <c r="AH14" i="57"/>
  <c r="AH16" i="57"/>
  <c r="AH18" i="57"/>
  <c r="AH29" i="57"/>
  <c r="AH31" i="57"/>
  <c r="AH33" i="57"/>
  <c r="AH37" i="57"/>
  <c r="AH44" i="57"/>
  <c r="AH45" i="57"/>
  <c r="AH90" i="57"/>
  <c r="AH95" i="57"/>
  <c r="AH101" i="57"/>
  <c r="AH104" i="57"/>
  <c r="AH105" i="57"/>
  <c r="AH112" i="57"/>
  <c r="AH114" i="57"/>
  <c r="AH115" i="57"/>
  <c r="AH6" i="57"/>
  <c r="AH15" i="57"/>
  <c r="AH17" i="57"/>
  <c r="AH23" i="57"/>
  <c r="AH25" i="57"/>
  <c r="AH27" i="57"/>
  <c r="AH30" i="57"/>
  <c r="AH34" i="57"/>
  <c r="AH36" i="57"/>
  <c r="AH38" i="57"/>
  <c r="AH89" i="57"/>
  <c r="AH91" i="57"/>
  <c r="AH99" i="57"/>
  <c r="AH100" i="57"/>
  <c r="AH108" i="57"/>
  <c r="AH109" i="57"/>
  <c r="L103" i="47"/>
  <c r="L73" i="47"/>
  <c r="Y183" i="1"/>
  <c r="L138" i="47"/>
  <c r="AK139" i="47"/>
  <c r="AH139" i="47"/>
  <c r="AO139" i="47"/>
  <c r="AI139" i="47"/>
  <c r="AR14" i="47"/>
  <c r="AR15" i="47"/>
  <c r="AR17" i="47"/>
  <c r="AR18" i="47"/>
  <c r="AR19" i="47"/>
  <c r="AR20" i="47"/>
  <c r="AR21" i="47"/>
  <c r="AR22" i="47"/>
  <c r="AR23" i="47"/>
  <c r="AR26" i="47"/>
  <c r="AR29" i="47"/>
  <c r="AR32" i="47"/>
  <c r="AR38" i="47"/>
  <c r="AR41" i="47"/>
  <c r="AR43" i="47"/>
  <c r="AR44" i="47"/>
  <c r="AR45" i="47"/>
  <c r="AR46" i="47"/>
  <c r="AR47" i="47"/>
  <c r="AR50" i="47"/>
  <c r="AR54" i="47"/>
  <c r="AR58" i="47"/>
  <c r="AN139" i="47"/>
  <c r="AJ139" i="47"/>
  <c r="AM139" i="47"/>
  <c r="AR59" i="47"/>
  <c r="AR60" i="47"/>
  <c r="AR62" i="47"/>
  <c r="AR63" i="47"/>
  <c r="AR65" i="47"/>
  <c r="AR66" i="47"/>
  <c r="AR68" i="47"/>
  <c r="AR71" i="47"/>
  <c r="AR73" i="47"/>
  <c r="AR74" i="47"/>
  <c r="AR76" i="47"/>
  <c r="AR77" i="47"/>
  <c r="AR79" i="47"/>
  <c r="AR82" i="47"/>
  <c r="AR87" i="47"/>
  <c r="AR89" i="47"/>
  <c r="AR92" i="47"/>
  <c r="AR95" i="47"/>
  <c r="AR97" i="47"/>
  <c r="AR98" i="47"/>
  <c r="AR99" i="47"/>
  <c r="AR100" i="47"/>
  <c r="AR101" i="47"/>
  <c r="AR103" i="47"/>
  <c r="AR104" i="47"/>
  <c r="AR106" i="47"/>
  <c r="AR108" i="47"/>
  <c r="AR109" i="47"/>
  <c r="AR110" i="47"/>
  <c r="AR113" i="47"/>
  <c r="AR114" i="47"/>
  <c r="AR115" i="47"/>
  <c r="AR117" i="47"/>
  <c r="AR118" i="47"/>
  <c r="AR121" i="47"/>
  <c r="AR122" i="47"/>
  <c r="AR123" i="47"/>
  <c r="AR125" i="47"/>
  <c r="AR126" i="47"/>
  <c r="AR127" i="47"/>
  <c r="AR129" i="47"/>
  <c r="AR130" i="47"/>
  <c r="AR131" i="47"/>
  <c r="AR133" i="47"/>
  <c r="AR134" i="47"/>
  <c r="AR135" i="47"/>
  <c r="AR137" i="47"/>
  <c r="AR138" i="47"/>
  <c r="AA50" i="57"/>
  <c r="AG50" i="57"/>
  <c r="AH5" i="57"/>
  <c r="X50" i="57"/>
  <c r="AH8" i="57"/>
  <c r="U50" i="57"/>
  <c r="F3" i="55" s="1"/>
  <c r="AH10" i="57"/>
  <c r="AH12" i="57"/>
  <c r="AD50" i="57"/>
  <c r="AH19" i="57"/>
  <c r="AH20" i="57"/>
  <c r="AH22" i="57"/>
  <c r="AH24" i="57"/>
  <c r="AH26" i="57"/>
  <c r="AH28" i="57"/>
  <c r="AH39" i="57"/>
  <c r="AH41" i="57"/>
  <c r="AH43" i="57"/>
  <c r="AB50" i="57"/>
  <c r="AH46" i="57"/>
  <c r="AH47" i="57"/>
  <c r="AH48" i="57"/>
  <c r="AH49" i="57"/>
  <c r="AC120" i="57"/>
  <c r="AB120" i="57"/>
  <c r="AH96" i="57"/>
  <c r="AH97" i="57"/>
  <c r="AH98" i="57"/>
  <c r="AH103" i="57"/>
  <c r="AH106" i="57"/>
  <c r="AH107" i="57"/>
  <c r="AH110" i="57"/>
  <c r="AH113" i="57"/>
  <c r="Y120" i="57"/>
  <c r="AH117" i="57"/>
  <c r="AH118" i="57"/>
  <c r="AH119" i="57"/>
  <c r="AR6" i="47"/>
  <c r="AR10" i="47"/>
  <c r="AH7" i="57"/>
  <c r="AR13" i="47"/>
  <c r="AP139" i="47"/>
  <c r="AR9" i="47"/>
  <c r="AR144" i="47"/>
  <c r="AH3" i="57"/>
  <c r="Z50" i="57"/>
  <c r="AL139" i="47"/>
  <c r="AH4" i="57"/>
  <c r="AH92" i="57"/>
  <c r="Z120" i="57"/>
  <c r="AC50" i="57"/>
  <c r="AE50" i="57"/>
  <c r="AR11" i="47"/>
  <c r="AA120" i="57"/>
  <c r="Y50" i="57"/>
  <c r="X120" i="57"/>
  <c r="AE120" i="57"/>
  <c r="AG120" i="57"/>
  <c r="AF120" i="57"/>
  <c r="K15" i="47"/>
  <c r="L15" i="47" s="1"/>
  <c r="K100" i="47"/>
  <c r="M100" i="47" s="1"/>
  <c r="U100" i="47" s="1"/>
  <c r="K143" i="47"/>
  <c r="L99" i="1"/>
  <c r="L109" i="1"/>
  <c r="R145" i="47"/>
  <c r="M127" i="47"/>
  <c r="U127" i="47" s="1"/>
  <c r="M135" i="47"/>
  <c r="U135" i="47" s="1"/>
  <c r="AI146" i="1"/>
  <c r="K7" i="47"/>
  <c r="L7" i="47" s="1"/>
  <c r="Y166" i="1"/>
  <c r="L162" i="1"/>
  <c r="M106" i="1"/>
  <c r="V106" i="1" s="1"/>
  <c r="W106" i="1" s="1"/>
  <c r="K69" i="47"/>
  <c r="M69" i="47" s="1"/>
  <c r="U69" i="47" s="1"/>
  <c r="V111" i="57"/>
  <c r="V119" i="57"/>
  <c r="K74" i="47"/>
  <c r="M74" i="47" s="1"/>
  <c r="J15" i="3"/>
  <c r="V118" i="57"/>
  <c r="K79" i="47"/>
  <c r="L79" i="47" s="1"/>
  <c r="Y160" i="1"/>
  <c r="K43" i="47"/>
  <c r="L43" i="47" s="1"/>
  <c r="K47" i="47"/>
  <c r="M47" i="47" s="1"/>
  <c r="U47" i="47" s="1"/>
  <c r="L161" i="1"/>
  <c r="M115" i="1"/>
  <c r="U115" i="1" s="1"/>
  <c r="L54" i="47"/>
  <c r="M18" i="47"/>
  <c r="V18" i="47" s="1"/>
  <c r="W18" i="47" s="1"/>
  <c r="Y182" i="1"/>
  <c r="L50" i="57"/>
  <c r="K50" i="57"/>
  <c r="M50" i="57"/>
  <c r="I15" i="3"/>
  <c r="M120" i="57"/>
  <c r="L120" i="57"/>
  <c r="K120" i="57"/>
  <c r="V113" i="57"/>
  <c r="H95" i="57"/>
  <c r="I95" i="57" s="1"/>
  <c r="AO146" i="1"/>
  <c r="K11" i="1"/>
  <c r="L11" i="1" s="1"/>
  <c r="K43" i="1"/>
  <c r="L43" i="1" s="1"/>
  <c r="K45" i="1"/>
  <c r="M45" i="1" s="1"/>
  <c r="U45" i="1" s="1"/>
  <c r="N139" i="47"/>
  <c r="P139" i="47"/>
  <c r="O139" i="47"/>
  <c r="P185" i="1"/>
  <c r="O185" i="1"/>
  <c r="N185" i="1"/>
  <c r="V112" i="57"/>
  <c r="K11" i="47"/>
  <c r="M11" i="47" s="1"/>
  <c r="U11" i="47" s="1"/>
  <c r="K19" i="47"/>
  <c r="M73" i="1"/>
  <c r="V73" i="1" s="1"/>
  <c r="W73" i="1" s="1"/>
  <c r="M128" i="1"/>
  <c r="U128" i="1" s="1"/>
  <c r="L125" i="1"/>
  <c r="K47" i="1"/>
  <c r="M47" i="1" s="1"/>
  <c r="V47" i="1" s="1"/>
  <c r="W47" i="1" s="1"/>
  <c r="L29" i="1"/>
  <c r="L118" i="1"/>
  <c r="K69" i="1"/>
  <c r="L69" i="1" s="1"/>
  <c r="L159" i="1"/>
  <c r="L174" i="1"/>
  <c r="M65" i="1"/>
  <c r="U65" i="1" s="1"/>
  <c r="K144" i="1"/>
  <c r="K146" i="1" s="1"/>
  <c r="Y179" i="1"/>
  <c r="U134" i="47"/>
  <c r="I111" i="57"/>
  <c r="L85" i="47"/>
  <c r="M85" i="47"/>
  <c r="V85" i="47" s="1"/>
  <c r="W85" i="47" s="1"/>
  <c r="H67" i="57"/>
  <c r="K26" i="47"/>
  <c r="M26" i="47" s="1"/>
  <c r="U26" i="47" s="1"/>
  <c r="K37" i="47"/>
  <c r="M37" i="47" s="1"/>
  <c r="U37" i="47" s="1"/>
  <c r="M133" i="1"/>
  <c r="U133" i="1" s="1"/>
  <c r="R146" i="1"/>
  <c r="L116" i="47"/>
  <c r="V70" i="57"/>
  <c r="K169" i="47"/>
  <c r="L169" i="47" s="1"/>
  <c r="H114" i="57"/>
  <c r="I114" i="57" s="1"/>
  <c r="M99" i="47"/>
  <c r="V99" i="47" s="1"/>
  <c r="W99" i="47" s="1"/>
  <c r="L99" i="47"/>
  <c r="L95" i="1"/>
  <c r="K77" i="1"/>
  <c r="M77" i="1" s="1"/>
  <c r="U77" i="1" s="1"/>
  <c r="L134" i="47"/>
  <c r="M122" i="47"/>
  <c r="U122" i="47" s="1"/>
  <c r="L10" i="47"/>
  <c r="M123" i="1"/>
  <c r="U123" i="1" s="1"/>
  <c r="K91" i="47"/>
  <c r="M17" i="47"/>
  <c r="M111" i="1"/>
  <c r="V111" i="1" s="1"/>
  <c r="W111" i="1" s="1"/>
  <c r="M76" i="1"/>
  <c r="U76" i="1" s="1"/>
  <c r="K24" i="1"/>
  <c r="L24" i="1" s="1"/>
  <c r="L118" i="47"/>
  <c r="M135" i="1"/>
  <c r="U135" i="1" s="1"/>
  <c r="M120" i="1"/>
  <c r="U120" i="1" s="1"/>
  <c r="L138" i="1"/>
  <c r="V117" i="57"/>
  <c r="Q151" i="47"/>
  <c r="J151" i="47" s="1"/>
  <c r="M67" i="1"/>
  <c r="V67" i="1" s="1"/>
  <c r="W67" i="1" s="1"/>
  <c r="L67" i="1"/>
  <c r="M115" i="47"/>
  <c r="U115" i="47" s="1"/>
  <c r="L115" i="47"/>
  <c r="K37" i="1"/>
  <c r="M37" i="1" s="1"/>
  <c r="M116" i="1"/>
  <c r="U116" i="1" s="1"/>
  <c r="K172" i="47"/>
  <c r="L172" i="47" s="1"/>
  <c r="K24" i="47"/>
  <c r="K30" i="47"/>
  <c r="M30" i="47" s="1"/>
  <c r="U30" i="47" s="1"/>
  <c r="L10" i="1"/>
  <c r="K19" i="1"/>
  <c r="M19" i="1" s="1"/>
  <c r="U19" i="1" s="1"/>
  <c r="M122" i="1"/>
  <c r="U122" i="1" s="1"/>
  <c r="K89" i="1"/>
  <c r="M89" i="1" s="1"/>
  <c r="AP36" i="1"/>
  <c r="V129" i="47"/>
  <c r="W129" i="47" s="1"/>
  <c r="AH85" i="57"/>
  <c r="H105" i="57"/>
  <c r="I105" i="57" s="1"/>
  <c r="I116" i="57"/>
  <c r="AH79" i="57"/>
  <c r="H93" i="57"/>
  <c r="I93" i="57" s="1"/>
  <c r="L121" i="1"/>
  <c r="M121" i="1"/>
  <c r="L175" i="1"/>
  <c r="Y175" i="1"/>
  <c r="M71" i="47"/>
  <c r="U71" i="47" s="1"/>
  <c r="L71" i="47"/>
  <c r="L85" i="1"/>
  <c r="M85" i="1"/>
  <c r="U85" i="1" s="1"/>
  <c r="L172" i="1"/>
  <c r="Y172" i="1"/>
  <c r="H65" i="57"/>
  <c r="H71" i="57"/>
  <c r="H75" i="57"/>
  <c r="I119" i="57"/>
  <c r="K79" i="1"/>
  <c r="M79" i="1" s="1"/>
  <c r="U79" i="1" s="1"/>
  <c r="H89" i="57"/>
  <c r="I89" i="57" s="1"/>
  <c r="K61" i="1"/>
  <c r="L61" i="1" s="1"/>
  <c r="K100" i="1"/>
  <c r="M100" i="1" s="1"/>
  <c r="K96" i="47"/>
  <c r="M96" i="47" s="1"/>
  <c r="K26" i="1"/>
  <c r="L26" i="1" s="1"/>
  <c r="K176" i="1"/>
  <c r="Y176" i="1" s="1"/>
  <c r="K61" i="47"/>
  <c r="M61" i="47" s="1"/>
  <c r="K30" i="1"/>
  <c r="M30" i="1" s="1"/>
  <c r="K59" i="1"/>
  <c r="M59" i="1" s="1"/>
  <c r="U59" i="1" s="1"/>
  <c r="K81" i="47"/>
  <c r="M81" i="47" s="1"/>
  <c r="O50" i="57"/>
  <c r="K7" i="1"/>
  <c r="L7" i="1" s="1"/>
  <c r="K15" i="1"/>
  <c r="M15" i="1" s="1"/>
  <c r="U15" i="1" s="1"/>
  <c r="AP88" i="1"/>
  <c r="AP130" i="1"/>
  <c r="AG140" i="1"/>
  <c r="AP19" i="1"/>
  <c r="AP26" i="1"/>
  <c r="AP62" i="1"/>
  <c r="AP66" i="1"/>
  <c r="AP84" i="1"/>
  <c r="AM146" i="1"/>
  <c r="AP14" i="1"/>
  <c r="AP126" i="1"/>
  <c r="AP138" i="1"/>
  <c r="Q166" i="47"/>
  <c r="J166" i="47" s="1"/>
  <c r="AH70" i="57"/>
  <c r="H73" i="57"/>
  <c r="V76" i="57"/>
  <c r="V90" i="57"/>
  <c r="H99" i="57"/>
  <c r="I99" i="57" s="1"/>
  <c r="K86" i="57"/>
  <c r="AC86" i="57"/>
  <c r="U86" i="57"/>
  <c r="F24" i="55" s="1"/>
  <c r="N78" i="57"/>
  <c r="G78" i="57" s="1"/>
  <c r="Y166" i="47"/>
  <c r="K166" i="47"/>
  <c r="H59" i="57"/>
  <c r="H63" i="57"/>
  <c r="J63" i="57" s="1"/>
  <c r="R63" i="57" s="1"/>
  <c r="H55" i="57"/>
  <c r="I112" i="57"/>
  <c r="E120" i="57"/>
  <c r="I118" i="57"/>
  <c r="N55" i="57"/>
  <c r="N79" i="57"/>
  <c r="G79" i="57" s="1"/>
  <c r="J79" i="57" s="1"/>
  <c r="R79" i="57" s="1"/>
  <c r="E41" i="58"/>
  <c r="E33" i="58"/>
  <c r="N65" i="57"/>
  <c r="G65" i="57" s="1"/>
  <c r="AP79" i="1"/>
  <c r="AP83" i="1"/>
  <c r="AP136" i="1"/>
  <c r="AQ139" i="47"/>
  <c r="AP100" i="1"/>
  <c r="AP131" i="1"/>
  <c r="AP15" i="1"/>
  <c r="AP24" i="1"/>
  <c r="AP33" i="1"/>
  <c r="AP39" i="1"/>
  <c r="AP55" i="1"/>
  <c r="AP86" i="1"/>
  <c r="AP90" i="1"/>
  <c r="AP144" i="1"/>
  <c r="X185" i="1"/>
  <c r="AP31" i="1"/>
  <c r="AP56" i="1"/>
  <c r="AP64" i="1"/>
  <c r="AP73" i="1"/>
  <c r="AP76" i="1"/>
  <c r="AP108" i="1"/>
  <c r="X139" i="47"/>
  <c r="C14" i="55" s="1"/>
  <c r="U65" i="47"/>
  <c r="AP59" i="1"/>
  <c r="AP68" i="1"/>
  <c r="AP107" i="1"/>
  <c r="AP127" i="1"/>
  <c r="AP129" i="1"/>
  <c r="AP53" i="1"/>
  <c r="AP89" i="1"/>
  <c r="AP120" i="1"/>
  <c r="K175" i="47"/>
  <c r="L175" i="47" s="1"/>
  <c r="K160" i="47"/>
  <c r="L160" i="47" s="1"/>
  <c r="L55" i="1"/>
  <c r="M55" i="1"/>
  <c r="U55" i="1" s="1"/>
  <c r="M132" i="47"/>
  <c r="U132" i="47" s="1"/>
  <c r="L132" i="47"/>
  <c r="M84" i="47"/>
  <c r="U84" i="47" s="1"/>
  <c r="L84" i="47"/>
  <c r="M6" i="47"/>
  <c r="V6" i="47" s="1"/>
  <c r="W6" i="47" s="1"/>
  <c r="L6" i="47"/>
  <c r="L9" i="47"/>
  <c r="M68" i="47"/>
  <c r="V68" i="47" s="1"/>
  <c r="W68" i="47" s="1"/>
  <c r="L68" i="47"/>
  <c r="L76" i="47"/>
  <c r="M76" i="47"/>
  <c r="U76" i="47" s="1"/>
  <c r="M110" i="1"/>
  <c r="U110" i="1" s="1"/>
  <c r="L110" i="1"/>
  <c r="M117" i="1"/>
  <c r="U117" i="1" s="1"/>
  <c r="L117" i="1"/>
  <c r="L55" i="47"/>
  <c r="M55" i="47"/>
  <c r="L86" i="1"/>
  <c r="M86" i="1"/>
  <c r="U86" i="1" s="1"/>
  <c r="M98" i="1"/>
  <c r="U98" i="1" s="1"/>
  <c r="L98" i="1"/>
  <c r="M108" i="1"/>
  <c r="U108" i="1" s="1"/>
  <c r="L108" i="1"/>
  <c r="Y158" i="1"/>
  <c r="L158" i="1"/>
  <c r="M51" i="47"/>
  <c r="U51" i="47" s="1"/>
  <c r="L51" i="47"/>
  <c r="M83" i="47"/>
  <c r="U83" i="47" s="1"/>
  <c r="L83" i="47"/>
  <c r="M71" i="1"/>
  <c r="U71" i="1" s="1"/>
  <c r="L71" i="1"/>
  <c r="U129" i="47"/>
  <c r="H101" i="57"/>
  <c r="I101" i="57" s="1"/>
  <c r="H103" i="57"/>
  <c r="I103" i="57" s="1"/>
  <c r="H12" i="57"/>
  <c r="I12" i="57" s="1"/>
  <c r="L103" i="1"/>
  <c r="L57" i="1"/>
  <c r="H107" i="57"/>
  <c r="I107" i="57" s="1"/>
  <c r="K104" i="47"/>
  <c r="L184" i="1"/>
  <c r="Y155" i="1"/>
  <c r="K74" i="1"/>
  <c r="K173" i="47"/>
  <c r="L173" i="47" s="1"/>
  <c r="K176" i="47"/>
  <c r="L176" i="47" s="1"/>
  <c r="L65" i="47"/>
  <c r="I46" i="57"/>
  <c r="L169" i="1"/>
  <c r="V115" i="57"/>
  <c r="Y161" i="47"/>
  <c r="N77" i="57"/>
  <c r="G77" i="57" s="1"/>
  <c r="J77" i="57" s="1"/>
  <c r="R77" i="57" s="1"/>
  <c r="AP5" i="1"/>
  <c r="AJ140" i="1"/>
  <c r="AP8" i="1"/>
  <c r="AP22" i="1"/>
  <c r="AP23" i="1"/>
  <c r="AP29" i="1"/>
  <c r="AP30" i="1"/>
  <c r="AP35" i="1"/>
  <c r="AP41" i="1"/>
  <c r="AP42" i="1"/>
  <c r="AP48" i="1"/>
  <c r="AP58" i="1"/>
  <c r="AP63" i="1"/>
  <c r="AP67" i="1"/>
  <c r="AP87" i="1"/>
  <c r="AP92" i="1"/>
  <c r="AP114" i="1"/>
  <c r="AP115" i="1"/>
  <c r="AH140" i="1"/>
  <c r="AL140" i="1"/>
  <c r="AP51" i="1"/>
  <c r="AP52" i="1"/>
  <c r="AP74" i="1"/>
  <c r="AP78" i="1"/>
  <c r="AP82" i="1"/>
  <c r="AP124" i="1"/>
  <c r="AP125" i="1"/>
  <c r="AI140" i="1"/>
  <c r="AP11" i="1"/>
  <c r="AP28" i="1"/>
  <c r="AP34" i="1"/>
  <c r="AP40" i="1"/>
  <c r="AP47" i="1"/>
  <c r="AP69" i="1"/>
  <c r="AP94" i="1"/>
  <c r="AP95" i="1"/>
  <c r="AP99" i="1"/>
  <c r="AP103" i="1"/>
  <c r="AP104" i="1"/>
  <c r="AP109" i="1"/>
  <c r="AP110" i="1"/>
  <c r="AP123" i="1"/>
  <c r="AP37" i="1"/>
  <c r="AP38" i="1"/>
  <c r="AP43" i="1"/>
  <c r="AP60" i="1"/>
  <c r="AP85" i="1"/>
  <c r="AP116" i="1"/>
  <c r="AP117" i="1"/>
  <c r="AP118" i="1"/>
  <c r="AP132" i="1"/>
  <c r="AP133" i="1"/>
  <c r="AP134" i="1"/>
  <c r="AP18" i="1"/>
  <c r="AP25" i="1"/>
  <c r="X140" i="1"/>
  <c r="X3" i="1" s="1"/>
  <c r="AP7" i="1"/>
  <c r="AP54" i="1"/>
  <c r="AH76" i="57"/>
  <c r="AF86" i="57"/>
  <c r="AH84" i="57"/>
  <c r="AP10" i="1"/>
  <c r="AP75" i="1"/>
  <c r="AP80" i="1"/>
  <c r="AH58" i="57"/>
  <c r="AP17" i="1"/>
  <c r="AP70" i="1"/>
  <c r="AP71" i="1"/>
  <c r="AP96" i="1"/>
  <c r="AP101" i="1"/>
  <c r="AP105" i="1"/>
  <c r="AP106" i="1"/>
  <c r="AP111" i="1"/>
  <c r="AP119" i="1"/>
  <c r="AP16" i="1"/>
  <c r="AP20" i="1"/>
  <c r="AP46" i="1"/>
  <c r="AP61" i="1"/>
  <c r="AP65" i="1"/>
  <c r="AP91" i="1"/>
  <c r="AP135" i="1"/>
  <c r="AN140" i="1"/>
  <c r="AP21" i="1"/>
  <c r="AO140" i="1"/>
  <c r="AK140" i="1"/>
  <c r="AP57" i="1"/>
  <c r="AP113" i="1"/>
  <c r="AP145" i="1"/>
  <c r="AP150" i="1"/>
  <c r="X145" i="47"/>
  <c r="C3" i="55" s="1"/>
  <c r="AP27" i="1"/>
  <c r="AP13" i="1"/>
  <c r="AP12" i="1"/>
  <c r="AP50" i="1"/>
  <c r="AP72" i="1"/>
  <c r="AP77" i="1"/>
  <c r="AP81" i="1"/>
  <c r="AP112" i="1"/>
  <c r="AP128" i="1"/>
  <c r="AP137" i="1"/>
  <c r="AP6" i="1"/>
  <c r="AM140" i="1"/>
  <c r="AP9" i="1"/>
  <c r="AP32" i="1"/>
  <c r="AP44" i="1"/>
  <c r="AP45" i="1"/>
  <c r="AP49" i="1"/>
  <c r="AP93" i="1"/>
  <c r="AP97" i="1"/>
  <c r="AP98" i="1"/>
  <c r="AP102" i="1"/>
  <c r="AP121" i="1"/>
  <c r="AP122" i="1"/>
  <c r="L13" i="1"/>
  <c r="M13" i="1"/>
  <c r="U13" i="1" s="1"/>
  <c r="M113" i="1"/>
  <c r="U113" i="1" s="1"/>
  <c r="L113" i="1"/>
  <c r="L132" i="1"/>
  <c r="M132" i="1"/>
  <c r="U132" i="1" s="1"/>
  <c r="Y157" i="1"/>
  <c r="L157" i="1"/>
  <c r="L53" i="47"/>
  <c r="M53" i="47"/>
  <c r="U53" i="47" s="1"/>
  <c r="M107" i="47"/>
  <c r="L107" i="47"/>
  <c r="L49" i="1"/>
  <c r="M49" i="1"/>
  <c r="U49" i="1" s="1"/>
  <c r="M119" i="1"/>
  <c r="U119" i="1" s="1"/>
  <c r="L119" i="1"/>
  <c r="M49" i="47"/>
  <c r="V49" i="47" s="1"/>
  <c r="W49" i="47" s="1"/>
  <c r="L49" i="47"/>
  <c r="M112" i="47"/>
  <c r="U112" i="47" s="1"/>
  <c r="L112" i="47"/>
  <c r="M6" i="1"/>
  <c r="U6" i="1" s="1"/>
  <c r="L6" i="1"/>
  <c r="Y163" i="1"/>
  <c r="L163" i="1"/>
  <c r="Y165" i="1"/>
  <c r="L165" i="1"/>
  <c r="M98" i="47"/>
  <c r="U98" i="47" s="1"/>
  <c r="L98" i="47"/>
  <c r="L57" i="47"/>
  <c r="M57" i="47"/>
  <c r="M106" i="47"/>
  <c r="U106" i="47" s="1"/>
  <c r="L106" i="47"/>
  <c r="L9" i="1"/>
  <c r="M9" i="1"/>
  <c r="U9" i="1" s="1"/>
  <c r="M72" i="1"/>
  <c r="U72" i="1" s="1"/>
  <c r="L72" i="1"/>
  <c r="M83" i="1"/>
  <c r="L83" i="1"/>
  <c r="Y173" i="1"/>
  <c r="L173" i="1"/>
  <c r="L67" i="47"/>
  <c r="M67" i="47"/>
  <c r="L109" i="47"/>
  <c r="M109" i="47"/>
  <c r="U109" i="47" s="1"/>
  <c r="L137" i="1"/>
  <c r="M137" i="1"/>
  <c r="U137" i="1" s="1"/>
  <c r="L119" i="47"/>
  <c r="M119" i="47"/>
  <c r="U119" i="47" s="1"/>
  <c r="L58" i="1"/>
  <c r="M58" i="1"/>
  <c r="U58" i="1" s="1"/>
  <c r="M112" i="1"/>
  <c r="V112" i="1" s="1"/>
  <c r="W112" i="1" s="1"/>
  <c r="L112" i="1"/>
  <c r="L124" i="1"/>
  <c r="M124" i="1"/>
  <c r="U124" i="1" s="1"/>
  <c r="L111" i="47"/>
  <c r="M111" i="47"/>
  <c r="U111" i="47" s="1"/>
  <c r="M114" i="47"/>
  <c r="L114" i="47"/>
  <c r="L114" i="1"/>
  <c r="M114" i="1"/>
  <c r="U114" i="1" s="1"/>
  <c r="L130" i="1"/>
  <c r="M130" i="1"/>
  <c r="U130" i="1" s="1"/>
  <c r="M126" i="47"/>
  <c r="L126" i="47"/>
  <c r="M136" i="1"/>
  <c r="L136" i="1"/>
  <c r="L170" i="1"/>
  <c r="Y170" i="1"/>
  <c r="M14" i="47"/>
  <c r="U14" i="47" s="1"/>
  <c r="L14" i="47"/>
  <c r="M108" i="47"/>
  <c r="U108" i="47" s="1"/>
  <c r="L108" i="47"/>
  <c r="L84" i="1"/>
  <c r="M84" i="1"/>
  <c r="U84" i="1" s="1"/>
  <c r="L137" i="47"/>
  <c r="M137" i="47"/>
  <c r="U137" i="47" s="1"/>
  <c r="M53" i="1"/>
  <c r="U53" i="1" s="1"/>
  <c r="L53" i="1"/>
  <c r="Y153" i="1"/>
  <c r="L153" i="1"/>
  <c r="M72" i="47"/>
  <c r="L72" i="47"/>
  <c r="M110" i="47"/>
  <c r="U110" i="47" s="1"/>
  <c r="L110" i="47"/>
  <c r="M23" i="1"/>
  <c r="U23" i="1" s="1"/>
  <c r="K104" i="1"/>
  <c r="L104" i="1" s="1"/>
  <c r="M169" i="1"/>
  <c r="U169" i="1" s="1"/>
  <c r="V121" i="47"/>
  <c r="W121" i="47" s="1"/>
  <c r="K96" i="1"/>
  <c r="K77" i="47"/>
  <c r="K81" i="1"/>
  <c r="K87" i="1"/>
  <c r="H91" i="57"/>
  <c r="I91" i="57" s="1"/>
  <c r="K91" i="1"/>
  <c r="K45" i="47"/>
  <c r="L162" i="47"/>
  <c r="I115" i="57"/>
  <c r="U120" i="57"/>
  <c r="F14" i="55" s="1"/>
  <c r="AH80" i="57"/>
  <c r="AB86" i="57"/>
  <c r="AH82" i="57"/>
  <c r="AH83" i="57"/>
  <c r="L86" i="57"/>
  <c r="AD86" i="57"/>
  <c r="I117" i="57"/>
  <c r="H109" i="57"/>
  <c r="I109" i="57" s="1"/>
  <c r="AH78" i="57"/>
  <c r="AA86" i="57"/>
  <c r="M86" i="57"/>
  <c r="AH55" i="57"/>
  <c r="Y86" i="57"/>
  <c r="O86" i="57"/>
  <c r="AH57" i="57"/>
  <c r="AH59" i="57"/>
  <c r="AH60" i="57"/>
  <c r="AH61" i="57"/>
  <c r="AH62" i="57"/>
  <c r="AH63" i="57"/>
  <c r="AH64" i="57"/>
  <c r="AH65" i="57"/>
  <c r="X86" i="57"/>
  <c r="AH67" i="57"/>
  <c r="AH68" i="57"/>
  <c r="AH69" i="57"/>
  <c r="AH71" i="57"/>
  <c r="AH72" i="57"/>
  <c r="AH73" i="57"/>
  <c r="AH74" i="57"/>
  <c r="AH75" i="57"/>
  <c r="AH77" i="57"/>
  <c r="AH81" i="57"/>
  <c r="H78" i="57"/>
  <c r="V91" i="57"/>
  <c r="H57" i="57"/>
  <c r="J57" i="57" s="1"/>
  <c r="R57" i="57" s="1"/>
  <c r="I113" i="57"/>
  <c r="AH56" i="57"/>
  <c r="Z86" i="57"/>
  <c r="AG86" i="57"/>
  <c r="AE86" i="57"/>
  <c r="V116" i="57"/>
  <c r="AH66" i="57"/>
  <c r="H61" i="57"/>
  <c r="Q165" i="1"/>
  <c r="J165" i="1" s="1"/>
  <c r="M165" i="1" s="1"/>
  <c r="U165" i="1" s="1"/>
  <c r="L158" i="47"/>
  <c r="K171" i="47"/>
  <c r="L171" i="47" s="1"/>
  <c r="K157" i="47"/>
  <c r="L157" i="47" s="1"/>
  <c r="K165" i="47"/>
  <c r="L165" i="47" s="1"/>
  <c r="K167" i="47"/>
  <c r="L167" i="47" s="1"/>
  <c r="Y168" i="47"/>
  <c r="D6" i="59"/>
  <c r="Q153" i="1"/>
  <c r="J153" i="1" s="1"/>
  <c r="M153" i="1" s="1"/>
  <c r="U153" i="1" s="1"/>
  <c r="D22" i="59"/>
  <c r="T146" i="1"/>
  <c r="T2" i="1" s="1"/>
  <c r="S145" i="47"/>
  <c r="V57" i="1"/>
  <c r="W57" i="1" s="1"/>
  <c r="E14" i="59"/>
  <c r="G89" i="57"/>
  <c r="N84" i="57"/>
  <c r="G84" i="57" s="1"/>
  <c r="J84" i="57" s="1"/>
  <c r="S84" i="57" s="1"/>
  <c r="T84" i="57" s="1"/>
  <c r="N67" i="57"/>
  <c r="G67" i="57" s="1"/>
  <c r="AP171" i="1"/>
  <c r="AP174" i="1"/>
  <c r="V58" i="47"/>
  <c r="W58" i="47" s="1"/>
  <c r="AR171" i="47"/>
  <c r="V134" i="47"/>
  <c r="W134" i="47" s="1"/>
  <c r="AF140" i="1"/>
  <c r="U138" i="47"/>
  <c r="AH146" i="1"/>
  <c r="AP166" i="1"/>
  <c r="AR153" i="47"/>
  <c r="M107" i="1"/>
  <c r="L107" i="1"/>
  <c r="M126" i="1"/>
  <c r="U126" i="1" s="1"/>
  <c r="L126" i="1"/>
  <c r="L66" i="1"/>
  <c r="M66" i="1"/>
  <c r="U66" i="1" s="1"/>
  <c r="Y156" i="1"/>
  <c r="L156" i="1"/>
  <c r="Y178" i="1"/>
  <c r="L178" i="1"/>
  <c r="M56" i="1"/>
  <c r="U56" i="1" s="1"/>
  <c r="L56" i="1"/>
  <c r="V98" i="57"/>
  <c r="H97" i="57"/>
  <c r="I97" i="57" s="1"/>
  <c r="L74" i="47"/>
  <c r="L50" i="1"/>
  <c r="M68" i="1"/>
  <c r="U68" i="1" s="1"/>
  <c r="L68" i="1"/>
  <c r="M129" i="1"/>
  <c r="U129" i="1" s="1"/>
  <c r="L129" i="1"/>
  <c r="L167" i="1"/>
  <c r="Y167" i="1"/>
  <c r="O120" i="57"/>
  <c r="M18" i="1"/>
  <c r="U18" i="1" s="1"/>
  <c r="L18" i="1"/>
  <c r="L54" i="1"/>
  <c r="L13" i="47"/>
  <c r="M13" i="47"/>
  <c r="V13" i="47" s="1"/>
  <c r="W13" i="47" s="1"/>
  <c r="M50" i="47"/>
  <c r="U50" i="47" s="1"/>
  <c r="L50" i="47"/>
  <c r="L131" i="47"/>
  <c r="M131" i="47"/>
  <c r="U131" i="47" s="1"/>
  <c r="L94" i="1"/>
  <c r="M94" i="1"/>
  <c r="U94" i="1" s="1"/>
  <c r="K150" i="1"/>
  <c r="R185" i="1"/>
  <c r="Y171" i="1"/>
  <c r="L171" i="1"/>
  <c r="M66" i="47"/>
  <c r="L66" i="47"/>
  <c r="M93" i="47"/>
  <c r="U93" i="47" s="1"/>
  <c r="L93" i="47"/>
  <c r="M123" i="47"/>
  <c r="U123" i="47" s="1"/>
  <c r="M102" i="47"/>
  <c r="L102" i="47"/>
  <c r="L180" i="1"/>
  <c r="Y180" i="1"/>
  <c r="L117" i="47"/>
  <c r="M117" i="47"/>
  <c r="U117" i="47" s="1"/>
  <c r="M130" i="47"/>
  <c r="U130" i="47" s="1"/>
  <c r="L130" i="47"/>
  <c r="Y164" i="47"/>
  <c r="K164" i="47"/>
  <c r="L164" i="47" s="1"/>
  <c r="M5" i="1"/>
  <c r="L5" i="1"/>
  <c r="L93" i="1"/>
  <c r="M93" i="1"/>
  <c r="U93" i="1" s="1"/>
  <c r="M131" i="1"/>
  <c r="U131" i="1" s="1"/>
  <c r="L131" i="1"/>
  <c r="K159" i="47"/>
  <c r="L159" i="47" s="1"/>
  <c r="Y159" i="47"/>
  <c r="R140" i="1"/>
  <c r="M14" i="1"/>
  <c r="L102" i="1"/>
  <c r="M102" i="1"/>
  <c r="L134" i="1"/>
  <c r="M134" i="1"/>
  <c r="U134" i="1" s="1"/>
  <c r="Y168" i="1"/>
  <c r="L168" i="1"/>
  <c r="M94" i="47"/>
  <c r="L94" i="47"/>
  <c r="L125" i="47"/>
  <c r="M125" i="47"/>
  <c r="U125" i="47" s="1"/>
  <c r="L136" i="47"/>
  <c r="L51" i="1"/>
  <c r="L52" i="1"/>
  <c r="M52" i="1"/>
  <c r="M127" i="1"/>
  <c r="U127" i="1" s="1"/>
  <c r="L127" i="1"/>
  <c r="R139" i="47"/>
  <c r="M86" i="47"/>
  <c r="L86" i="47"/>
  <c r="L124" i="47"/>
  <c r="M124" i="47"/>
  <c r="U124" i="47" s="1"/>
  <c r="M17" i="1"/>
  <c r="U17" i="1" s="1"/>
  <c r="L181" i="1"/>
  <c r="Y154" i="1"/>
  <c r="Y152" i="1"/>
  <c r="L152" i="1"/>
  <c r="M56" i="47"/>
  <c r="U56" i="47" s="1"/>
  <c r="L56" i="47"/>
  <c r="V113" i="47"/>
  <c r="W113" i="47" s="1"/>
  <c r="M183" i="1"/>
  <c r="U183" i="1" s="1"/>
  <c r="M180" i="1"/>
  <c r="V180" i="1" s="1"/>
  <c r="W180" i="1" s="1"/>
  <c r="J111" i="57"/>
  <c r="S111" i="57" s="1"/>
  <c r="T111" i="57" s="1"/>
  <c r="J117" i="57"/>
  <c r="R117" i="57" s="1"/>
  <c r="M175" i="1"/>
  <c r="U175" i="1" s="1"/>
  <c r="V66" i="57"/>
  <c r="M179" i="1"/>
  <c r="U179" i="1" s="1"/>
  <c r="M182" i="1"/>
  <c r="V182" i="1" s="1"/>
  <c r="W182" i="1" s="1"/>
  <c r="J113" i="57"/>
  <c r="S113" i="57" s="1"/>
  <c r="T113" i="57" s="1"/>
  <c r="J116" i="57"/>
  <c r="S116" i="57" s="1"/>
  <c r="T116" i="57" s="1"/>
  <c r="J119" i="57"/>
  <c r="S119" i="57" s="1"/>
  <c r="T119" i="57" s="1"/>
  <c r="J83" i="57"/>
  <c r="R83" i="57" s="1"/>
  <c r="V135" i="47"/>
  <c r="W135" i="47" s="1"/>
  <c r="V95" i="47"/>
  <c r="W95" i="47" s="1"/>
  <c r="V128" i="47"/>
  <c r="W128" i="47" s="1"/>
  <c r="V138" i="47"/>
  <c r="W138" i="47" s="1"/>
  <c r="M178" i="1"/>
  <c r="U178" i="1" s="1"/>
  <c r="M181" i="1"/>
  <c r="U181" i="1" s="1"/>
  <c r="M184" i="1"/>
  <c r="U184" i="1" s="1"/>
  <c r="J112" i="57"/>
  <c r="R112" i="57" s="1"/>
  <c r="J115" i="57"/>
  <c r="R115" i="57" s="1"/>
  <c r="J118" i="57"/>
  <c r="S118" i="57" s="1"/>
  <c r="T118" i="57" s="1"/>
  <c r="M161" i="1"/>
  <c r="V161" i="1" s="1"/>
  <c r="W161" i="1" s="1"/>
  <c r="P140" i="1"/>
  <c r="O140" i="1"/>
  <c r="N140" i="1"/>
  <c r="N105" i="57"/>
  <c r="G105" i="57" s="1"/>
  <c r="N93" i="57"/>
  <c r="G93" i="57" s="1"/>
  <c r="Q120" i="57"/>
  <c r="T145" i="47"/>
  <c r="Y163" i="47"/>
  <c r="Q158" i="47"/>
  <c r="J158" i="47" s="1"/>
  <c r="M158" i="47" s="1"/>
  <c r="U158" i="47" s="1"/>
  <c r="Q154" i="47"/>
  <c r="J154" i="47" s="1"/>
  <c r="Q168" i="47"/>
  <c r="J168" i="47" s="1"/>
  <c r="M168" i="47" s="1"/>
  <c r="U168" i="47" s="1"/>
  <c r="Q167" i="1"/>
  <c r="J167" i="1" s="1"/>
  <c r="M167" i="1" s="1"/>
  <c r="V167" i="1" s="1"/>
  <c r="W167" i="1" s="1"/>
  <c r="D10" i="59"/>
  <c r="Q157" i="1"/>
  <c r="J157" i="1" s="1"/>
  <c r="M157" i="1" s="1"/>
  <c r="V157" i="1" s="1"/>
  <c r="W157" i="1" s="1"/>
  <c r="Q171" i="1"/>
  <c r="J171" i="1" s="1"/>
  <c r="M171" i="1" s="1"/>
  <c r="V171" i="1" s="1"/>
  <c r="W171" i="1" s="1"/>
  <c r="Q172" i="47"/>
  <c r="J172" i="47" s="1"/>
  <c r="D14" i="59"/>
  <c r="Q162" i="47"/>
  <c r="J162" i="47" s="1"/>
  <c r="M162" i="47" s="1"/>
  <c r="V162" i="47" s="1"/>
  <c r="W162" i="47" s="1"/>
  <c r="E20" i="59"/>
  <c r="T185" i="1"/>
  <c r="AG185" i="1"/>
  <c r="AI185" i="1"/>
  <c r="AP176" i="1"/>
  <c r="AO179" i="47"/>
  <c r="AP156" i="1"/>
  <c r="AP158" i="1"/>
  <c r="AP163" i="1"/>
  <c r="AP184" i="1"/>
  <c r="AD179" i="47"/>
  <c r="AR164" i="47"/>
  <c r="AR165" i="47"/>
  <c r="AR166" i="47"/>
  <c r="AR174" i="47"/>
  <c r="L161" i="47"/>
  <c r="AP168" i="1"/>
  <c r="AP178" i="1"/>
  <c r="AP183" i="1"/>
  <c r="AR163" i="47"/>
  <c r="R179" i="47"/>
  <c r="AP182" i="1"/>
  <c r="AP159" i="1"/>
  <c r="Y158" i="47"/>
  <c r="AK185" i="1"/>
  <c r="AP155" i="1"/>
  <c r="AP160" i="1"/>
  <c r="AP161" i="1"/>
  <c r="N179" i="47"/>
  <c r="AR158" i="47"/>
  <c r="AR159" i="47"/>
  <c r="AR167" i="47"/>
  <c r="L174" i="47"/>
  <c r="AR178" i="47"/>
  <c r="K153" i="47"/>
  <c r="L153" i="47" s="1"/>
  <c r="AQ179" i="47"/>
  <c r="K177" i="47"/>
  <c r="L177" i="47" s="1"/>
  <c r="AI179" i="47"/>
  <c r="AL179" i="47"/>
  <c r="T139" i="47"/>
  <c r="Q50" i="57"/>
  <c r="Q86" i="57"/>
  <c r="Q1" i="57"/>
  <c r="P50" i="57"/>
  <c r="P86" i="57"/>
  <c r="N81" i="57"/>
  <c r="G81" i="57" s="1"/>
  <c r="J81" i="57" s="1"/>
  <c r="S81" i="57" s="1"/>
  <c r="T81" i="57" s="1"/>
  <c r="N73" i="57"/>
  <c r="G73" i="57" s="1"/>
  <c r="E37" i="58"/>
  <c r="N103" i="57"/>
  <c r="G103" i="57" s="1"/>
  <c r="N101" i="57"/>
  <c r="G101" i="57" s="1"/>
  <c r="N82" i="57"/>
  <c r="G82" i="57" s="1"/>
  <c r="J82" i="57" s="1"/>
  <c r="S82" i="57" s="1"/>
  <c r="T82" i="57" s="1"/>
  <c r="Q174" i="1"/>
  <c r="J174" i="1" s="1"/>
  <c r="M174" i="1" s="1"/>
  <c r="U174" i="1" s="1"/>
  <c r="P1" i="57"/>
  <c r="S140" i="1"/>
  <c r="P120" i="57"/>
  <c r="Q163" i="1"/>
  <c r="J163" i="1" s="1"/>
  <c r="M163" i="1" s="1"/>
  <c r="U163" i="1" s="1"/>
  <c r="AP169" i="1"/>
  <c r="AR151" i="47"/>
  <c r="L163" i="47"/>
  <c r="O179" i="47"/>
  <c r="AR154" i="47"/>
  <c r="AR160" i="47"/>
  <c r="AR161" i="47"/>
  <c r="AR173" i="47"/>
  <c r="AR176" i="47"/>
  <c r="AO185" i="1"/>
  <c r="AP154" i="1"/>
  <c r="AP167" i="1"/>
  <c r="AP177" i="1"/>
  <c r="T179" i="47"/>
  <c r="T2" i="47" s="1"/>
  <c r="AK179" i="47"/>
  <c r="AM179" i="47"/>
  <c r="P179" i="47"/>
  <c r="AR172" i="47"/>
  <c r="K151" i="47"/>
  <c r="L151" i="47" s="1"/>
  <c r="AP151" i="1"/>
  <c r="AM185" i="1"/>
  <c r="AL185" i="1"/>
  <c r="AF185" i="1"/>
  <c r="AP162" i="1"/>
  <c r="AP164" i="1"/>
  <c r="AP165" i="1"/>
  <c r="AP170" i="1"/>
  <c r="AP172" i="1"/>
  <c r="AP175" i="1"/>
  <c r="AP179" i="1"/>
  <c r="AP181" i="1"/>
  <c r="K156" i="47"/>
  <c r="L156" i="47" s="1"/>
  <c r="AR156" i="47"/>
  <c r="AR157" i="47"/>
  <c r="AR170" i="47"/>
  <c r="AP153" i="1"/>
  <c r="AP152" i="1"/>
  <c r="AN185" i="1"/>
  <c r="AP180" i="1"/>
  <c r="Z179" i="47"/>
  <c r="X179" i="47"/>
  <c r="C24" i="55" s="1"/>
  <c r="AR162" i="47"/>
  <c r="AR168" i="47"/>
  <c r="AR169" i="47"/>
  <c r="AR175" i="47"/>
  <c r="AR177" i="47"/>
  <c r="K155" i="47"/>
  <c r="L155" i="47" s="1"/>
  <c r="AJ185" i="1"/>
  <c r="AP173" i="1"/>
  <c r="H179" i="47"/>
  <c r="AN179" i="47"/>
  <c r="Y152" i="47"/>
  <c r="AH179" i="47"/>
  <c r="AP179" i="47"/>
  <c r="AJ179" i="47"/>
  <c r="L168" i="47"/>
  <c r="AR155" i="47"/>
  <c r="AP157" i="1"/>
  <c r="K170" i="47"/>
  <c r="L170" i="47" s="1"/>
  <c r="M163" i="47"/>
  <c r="U163" i="47" s="1"/>
  <c r="AR152" i="47"/>
  <c r="K154" i="47"/>
  <c r="Y174" i="47"/>
  <c r="AH185" i="1"/>
  <c r="Y162" i="47"/>
  <c r="S179" i="47"/>
  <c r="S2" i="47" s="1"/>
  <c r="Q164" i="47"/>
  <c r="J164" i="47" s="1"/>
  <c r="HH37" i="59"/>
  <c r="Q155" i="1"/>
  <c r="J155" i="1" s="1"/>
  <c r="M155" i="1" s="1"/>
  <c r="U155" i="1" s="1"/>
  <c r="F37" i="59"/>
  <c r="Z37" i="59"/>
  <c r="BN37" i="59"/>
  <c r="BX37" i="59"/>
  <c r="CR37" i="59"/>
  <c r="DB37" i="59"/>
  <c r="IL37" i="59"/>
  <c r="IV37" i="59"/>
  <c r="D28" i="59"/>
  <c r="Q173" i="1"/>
  <c r="J173" i="1" s="1"/>
  <c r="M173" i="1" s="1"/>
  <c r="U173" i="1" s="1"/>
  <c r="D29" i="59"/>
  <c r="Q174" i="47"/>
  <c r="J174" i="47" s="1"/>
  <c r="M174" i="47" s="1"/>
  <c r="U174" i="47" s="1"/>
  <c r="D7" i="59"/>
  <c r="Q172" i="1"/>
  <c r="J172" i="1" s="1"/>
  <c r="M172" i="1" s="1"/>
  <c r="U172" i="1" s="1"/>
  <c r="HR37" i="59"/>
  <c r="Q156" i="47"/>
  <c r="J156" i="47" s="1"/>
  <c r="D8" i="59"/>
  <c r="Q157" i="47"/>
  <c r="J157" i="47" s="1"/>
  <c r="Q162" i="1"/>
  <c r="J162" i="1" s="1"/>
  <c r="M162" i="1" s="1"/>
  <c r="V162" i="1" s="1"/>
  <c r="W162" i="1" s="1"/>
  <c r="D15" i="59"/>
  <c r="D21" i="59"/>
  <c r="Q169" i="47"/>
  <c r="J169" i="47" s="1"/>
  <c r="Q168" i="1"/>
  <c r="J168" i="1" s="1"/>
  <c r="M168" i="1" s="1"/>
  <c r="U168" i="1" s="1"/>
  <c r="Q159" i="1"/>
  <c r="J159" i="1" s="1"/>
  <c r="M159" i="1" s="1"/>
  <c r="U159" i="1" s="1"/>
  <c r="E12" i="59"/>
  <c r="Q166" i="1"/>
  <c r="J166" i="1" s="1"/>
  <c r="M166" i="1" s="1"/>
  <c r="V166" i="1" s="1"/>
  <c r="W166" i="1" s="1"/>
  <c r="E29" i="59"/>
  <c r="Q167" i="47"/>
  <c r="J167" i="47" s="1"/>
  <c r="KI37" i="59"/>
  <c r="KS37" i="59"/>
  <c r="D12" i="59"/>
  <c r="P37" i="59"/>
  <c r="AT37" i="59"/>
  <c r="BD37" i="59"/>
  <c r="DL37" i="59"/>
  <c r="DV37" i="59"/>
  <c r="EF37" i="59"/>
  <c r="EP37" i="59"/>
  <c r="EZ37" i="59"/>
  <c r="FJ37" i="59"/>
  <c r="FT37" i="59"/>
  <c r="GD37" i="59"/>
  <c r="GX37" i="59"/>
  <c r="IB37" i="59"/>
  <c r="JO37" i="59"/>
  <c r="CH37" i="59"/>
  <c r="JF37" i="59"/>
  <c r="D19" i="59"/>
  <c r="E18" i="59"/>
  <c r="E16" i="59"/>
  <c r="E31" i="59"/>
  <c r="D31" i="59"/>
  <c r="E23" i="59"/>
  <c r="Q170" i="1"/>
  <c r="J170" i="1" s="1"/>
  <c r="M170" i="1" s="1"/>
  <c r="Q171" i="47"/>
  <c r="J171" i="47" s="1"/>
  <c r="D23" i="59"/>
  <c r="Q159" i="47"/>
  <c r="J159" i="47" s="1"/>
  <c r="D11" i="59"/>
  <c r="Q177" i="47"/>
  <c r="J177" i="47" s="1"/>
  <c r="Q176" i="1"/>
  <c r="J176" i="1" s="1"/>
  <c r="D27" i="59"/>
  <c r="Q154" i="1"/>
  <c r="J154" i="1" s="1"/>
  <c r="M154" i="1" s="1"/>
  <c r="Q155" i="47"/>
  <c r="J155" i="47" s="1"/>
  <c r="Q158" i="1"/>
  <c r="J158" i="1" s="1"/>
  <c r="M158" i="1" s="1"/>
  <c r="Q165" i="47"/>
  <c r="J165" i="47" s="1"/>
  <c r="E13" i="59"/>
  <c r="Q161" i="47"/>
  <c r="J161" i="47" s="1"/>
  <c r="M161" i="47" s="1"/>
  <c r="E9" i="59"/>
  <c r="Q156" i="1"/>
  <c r="J156" i="1" s="1"/>
  <c r="M156" i="1" s="1"/>
  <c r="E25" i="59"/>
  <c r="JY36" i="59"/>
  <c r="JY37" i="59" s="1"/>
  <c r="AJ37" i="59"/>
  <c r="E30" i="59"/>
  <c r="Q176" i="47"/>
  <c r="J176" i="47" s="1"/>
  <c r="D30" i="59"/>
  <c r="Q153" i="47"/>
  <c r="D5" i="59"/>
  <c r="E5" i="59"/>
  <c r="Q152" i="1"/>
  <c r="J152" i="1" s="1"/>
  <c r="M152" i="1" s="1"/>
  <c r="E15" i="59"/>
  <c r="E22" i="59"/>
  <c r="Q170" i="47"/>
  <c r="J170" i="47" s="1"/>
  <c r="E21" i="59"/>
  <c r="Q160" i="1"/>
  <c r="J160" i="1" s="1"/>
  <c r="M160" i="1" s="1"/>
  <c r="D17" i="59"/>
  <c r="Q164" i="1"/>
  <c r="J164" i="1" s="1"/>
  <c r="M164" i="1" s="1"/>
  <c r="E26" i="59"/>
  <c r="Q173" i="47"/>
  <c r="J173" i="47" s="1"/>
  <c r="GN37" i="59"/>
  <c r="D32" i="59"/>
  <c r="E32" i="59"/>
  <c r="Q150" i="1"/>
  <c r="E24" i="59"/>
  <c r="S146" i="1"/>
  <c r="S185" i="1"/>
  <c r="S139" i="47"/>
  <c r="G55" i="57"/>
  <c r="N85" i="57"/>
  <c r="G85" i="57" s="1"/>
  <c r="J85" i="57" s="1"/>
  <c r="R85" i="57" s="1"/>
  <c r="N75" i="57"/>
  <c r="G75" i="57" s="1"/>
  <c r="E39" i="58"/>
  <c r="E20" i="58"/>
  <c r="N80" i="57"/>
  <c r="G80" i="57" s="1"/>
  <c r="J80" i="57" s="1"/>
  <c r="R80" i="57" s="1"/>
  <c r="N59" i="57"/>
  <c r="G59" i="57" s="1"/>
  <c r="E9" i="58"/>
  <c r="E17" i="58"/>
  <c r="N89" i="57"/>
  <c r="V14" i="57"/>
  <c r="J14" i="57"/>
  <c r="R14" i="57" s="1"/>
  <c r="N71" i="57"/>
  <c r="G71" i="57" s="1"/>
  <c r="V8" i="57"/>
  <c r="E23" i="58"/>
  <c r="N69" i="57"/>
  <c r="G69" i="57" s="1"/>
  <c r="J69" i="57" s="1"/>
  <c r="D47" i="58"/>
  <c r="E8" i="58"/>
  <c r="B47" i="58"/>
  <c r="N61" i="57"/>
  <c r="G61" i="57" s="1"/>
  <c r="V29" i="47" l="1"/>
  <c r="W29" i="47" s="1"/>
  <c r="V73" i="47"/>
  <c r="W73" i="47" s="1"/>
  <c r="L19" i="47"/>
  <c r="U10" i="47"/>
  <c r="V50" i="1"/>
  <c r="W50" i="1" s="1"/>
  <c r="U116" i="47"/>
  <c r="M89" i="47"/>
  <c r="U89" i="47" s="1"/>
  <c r="V79" i="1"/>
  <c r="W79" i="1" s="1"/>
  <c r="V125" i="1"/>
  <c r="W125" i="1" s="1"/>
  <c r="V103" i="47"/>
  <c r="W103" i="47" s="1"/>
  <c r="L24" i="47"/>
  <c r="U10" i="1"/>
  <c r="V19" i="1"/>
  <c r="W19" i="1" s="1"/>
  <c r="J139" i="47"/>
  <c r="U118" i="47"/>
  <c r="U23" i="47"/>
  <c r="V52" i="47"/>
  <c r="W52" i="47" s="1"/>
  <c r="Q139" i="47"/>
  <c r="V5" i="47"/>
  <c r="W5" i="47" s="1"/>
  <c r="U120" i="47"/>
  <c r="M143" i="47"/>
  <c r="V143" i="47" s="1"/>
  <c r="C8" i="55" s="1"/>
  <c r="U99" i="1"/>
  <c r="V54" i="1"/>
  <c r="W54" i="1" s="1"/>
  <c r="V51" i="1"/>
  <c r="W51" i="1" s="1"/>
  <c r="V37" i="47"/>
  <c r="W37" i="47" s="1"/>
  <c r="J145" i="47"/>
  <c r="V45" i="1"/>
  <c r="W45" i="1" s="1"/>
  <c r="L45" i="1"/>
  <c r="V59" i="47"/>
  <c r="W59" i="47" s="1"/>
  <c r="H139" i="47"/>
  <c r="J44" i="57"/>
  <c r="S44" i="57" s="1"/>
  <c r="T44" i="57" s="1"/>
  <c r="V103" i="1"/>
  <c r="W103" i="1" s="1"/>
  <c r="V29" i="1"/>
  <c r="W29" i="1" s="1"/>
  <c r="V118" i="1"/>
  <c r="W118" i="1" s="1"/>
  <c r="J3" i="57"/>
  <c r="R3" i="57" s="1"/>
  <c r="M9" i="47"/>
  <c r="U9" i="47" s="1"/>
  <c r="V133" i="47"/>
  <c r="W133" i="47" s="1"/>
  <c r="V54" i="47"/>
  <c r="W54" i="47" s="1"/>
  <c r="M87" i="47"/>
  <c r="U87" i="47" s="1"/>
  <c r="V138" i="1"/>
  <c r="W138" i="1" s="1"/>
  <c r="V55" i="1"/>
  <c r="W55" i="1" s="1"/>
  <c r="V127" i="47"/>
  <c r="W127" i="47" s="1"/>
  <c r="U95" i="1"/>
  <c r="J39" i="57"/>
  <c r="R39" i="57" s="1"/>
  <c r="V7" i="57"/>
  <c r="J46" i="57"/>
  <c r="R46" i="57" s="1"/>
  <c r="V5" i="57"/>
  <c r="V29" i="57"/>
  <c r="J20" i="57"/>
  <c r="S20" i="57" s="1"/>
  <c r="T20" i="57" s="1"/>
  <c r="G50" i="57"/>
  <c r="J21" i="57"/>
  <c r="S21" i="57" s="1"/>
  <c r="T21" i="57" s="1"/>
  <c r="L5" i="47"/>
  <c r="V109" i="1"/>
  <c r="W109" i="1" s="1"/>
  <c r="N50" i="57"/>
  <c r="AR145" i="47"/>
  <c r="M43" i="47"/>
  <c r="U43" i="47" s="1"/>
  <c r="V114" i="1"/>
  <c r="W114" i="1" s="1"/>
  <c r="V53" i="47"/>
  <c r="W53" i="47" s="1"/>
  <c r="L59" i="47"/>
  <c r="V106" i="47"/>
  <c r="W106" i="47" s="1"/>
  <c r="V86" i="1"/>
  <c r="W86" i="1" s="1"/>
  <c r="U18" i="47"/>
  <c r="V83" i="47"/>
  <c r="W83" i="47" s="1"/>
  <c r="V14" i="47"/>
  <c r="W14" i="47" s="1"/>
  <c r="M176" i="1"/>
  <c r="U176" i="1" s="1"/>
  <c r="L30" i="47"/>
  <c r="L143" i="47"/>
  <c r="L145" i="47" s="1"/>
  <c r="U106" i="1"/>
  <c r="V123" i="1"/>
  <c r="W123" i="1" s="1"/>
  <c r="V30" i="47"/>
  <c r="W30" i="47" s="1"/>
  <c r="K145" i="47"/>
  <c r="M15" i="47"/>
  <c r="U15" i="47" s="1"/>
  <c r="V77" i="1"/>
  <c r="W77" i="1" s="1"/>
  <c r="M61" i="1"/>
  <c r="J8" i="57"/>
  <c r="R8" i="57" s="1"/>
  <c r="V133" i="1"/>
  <c r="W133" i="1" s="1"/>
  <c r="AR139" i="47"/>
  <c r="AH50" i="57"/>
  <c r="AH120" i="57"/>
  <c r="L100" i="47"/>
  <c r="V47" i="47"/>
  <c r="W47" i="47" s="1"/>
  <c r="V100" i="47"/>
  <c r="W100" i="47" s="1"/>
  <c r="V85" i="1"/>
  <c r="W85" i="1" s="1"/>
  <c r="V108" i="47"/>
  <c r="W108" i="47" s="1"/>
  <c r="M160" i="47"/>
  <c r="U160" i="47" s="1"/>
  <c r="L77" i="1"/>
  <c r="V53" i="1"/>
  <c r="W53" i="1" s="1"/>
  <c r="M7" i="47"/>
  <c r="U7" i="47" s="1"/>
  <c r="AP146" i="1"/>
  <c r="M79" i="47"/>
  <c r="U79" i="47" s="1"/>
  <c r="M11" i="1"/>
  <c r="U11" i="1" s="1"/>
  <c r="V69" i="47"/>
  <c r="W69" i="47" s="1"/>
  <c r="L47" i="1"/>
  <c r="V122" i="47"/>
  <c r="W122" i="47" s="1"/>
  <c r="V115" i="1"/>
  <c r="W115" i="1" s="1"/>
  <c r="V120" i="1"/>
  <c r="W120" i="1" s="1"/>
  <c r="U47" i="1"/>
  <c r="V71" i="47"/>
  <c r="W71" i="47" s="1"/>
  <c r="V76" i="47"/>
  <c r="W76" i="47" s="1"/>
  <c r="V122" i="1"/>
  <c r="W122" i="1" s="1"/>
  <c r="V112" i="47"/>
  <c r="W112" i="47" s="1"/>
  <c r="V128" i="1"/>
  <c r="W128" i="1" s="1"/>
  <c r="L69" i="47"/>
  <c r="J59" i="57"/>
  <c r="S59" i="57" s="1"/>
  <c r="T59" i="57" s="1"/>
  <c r="V11" i="47"/>
  <c r="W11" i="47" s="1"/>
  <c r="L11" i="47"/>
  <c r="U49" i="47"/>
  <c r="V137" i="47"/>
  <c r="W137" i="47" s="1"/>
  <c r="M24" i="47"/>
  <c r="V72" i="1"/>
  <c r="W72" i="1" s="1"/>
  <c r="U68" i="47"/>
  <c r="V110" i="1"/>
  <c r="W110" i="1" s="1"/>
  <c r="V132" i="47"/>
  <c r="W132" i="47" s="1"/>
  <c r="L47" i="47"/>
  <c r="V108" i="1"/>
  <c r="W108" i="1" s="1"/>
  <c r="U85" i="47"/>
  <c r="V115" i="47"/>
  <c r="W115" i="47" s="1"/>
  <c r="M175" i="47"/>
  <c r="V175" i="47" s="1"/>
  <c r="W175" i="47" s="1"/>
  <c r="V89" i="47"/>
  <c r="W89" i="47" s="1"/>
  <c r="V26" i="47"/>
  <c r="W26" i="47" s="1"/>
  <c r="V58" i="1"/>
  <c r="W58" i="1" s="1"/>
  <c r="V15" i="1"/>
  <c r="W15" i="1" s="1"/>
  <c r="M19" i="47"/>
  <c r="V65" i="1"/>
  <c r="W65" i="1" s="1"/>
  <c r="V119" i="1"/>
  <c r="W119" i="1" s="1"/>
  <c r="U67" i="1"/>
  <c r="U73" i="1"/>
  <c r="U99" i="47"/>
  <c r="U111" i="1"/>
  <c r="L144" i="1"/>
  <c r="L146" i="1" s="1"/>
  <c r="V130" i="1"/>
  <c r="W130" i="1" s="1"/>
  <c r="L15" i="1"/>
  <c r="M43" i="1"/>
  <c r="V76" i="1"/>
  <c r="W76" i="1" s="1"/>
  <c r="M26" i="1"/>
  <c r="U26" i="1" s="1"/>
  <c r="J95" i="57"/>
  <c r="R95" i="57" s="1"/>
  <c r="M144" i="1"/>
  <c r="L37" i="1"/>
  <c r="L30" i="1"/>
  <c r="M69" i="1"/>
  <c r="U112" i="1"/>
  <c r="V98" i="47"/>
  <c r="W98" i="47" s="1"/>
  <c r="V6" i="1"/>
  <c r="W6" i="1" s="1"/>
  <c r="M172" i="47"/>
  <c r="V172" i="47" s="1"/>
  <c r="W172" i="47" s="1"/>
  <c r="J67" i="57"/>
  <c r="R67" i="57" s="1"/>
  <c r="J114" i="57"/>
  <c r="R114" i="57" s="1"/>
  <c r="V98" i="1"/>
  <c r="W98" i="1" s="1"/>
  <c r="K140" i="1"/>
  <c r="K141" i="1" s="1"/>
  <c r="M104" i="1"/>
  <c r="U104" i="1" s="1"/>
  <c r="V109" i="47"/>
  <c r="W109" i="47" s="1"/>
  <c r="V18" i="1"/>
  <c r="W18" i="1" s="1"/>
  <c r="V84" i="47"/>
  <c r="W84" i="47" s="1"/>
  <c r="V124" i="1"/>
  <c r="W124" i="1" s="1"/>
  <c r="V117" i="1"/>
  <c r="W117" i="1" s="1"/>
  <c r="V135" i="1"/>
  <c r="W135" i="1" s="1"/>
  <c r="L19" i="1"/>
  <c r="V68" i="1"/>
  <c r="W68" i="1" s="1"/>
  <c r="V59" i="1"/>
  <c r="W59" i="1" s="1"/>
  <c r="L79" i="1"/>
  <c r="U6" i="47"/>
  <c r="V23" i="1"/>
  <c r="W23" i="1" s="1"/>
  <c r="L176" i="1"/>
  <c r="V71" i="1"/>
  <c r="W71" i="1" s="1"/>
  <c r="L81" i="47"/>
  <c r="M176" i="47"/>
  <c r="V176" i="47" s="1"/>
  <c r="W176" i="47" s="1"/>
  <c r="U81" i="47"/>
  <c r="V81" i="47"/>
  <c r="W81" i="47" s="1"/>
  <c r="V9" i="1"/>
  <c r="W9" i="1" s="1"/>
  <c r="L100" i="1"/>
  <c r="M24" i="1"/>
  <c r="V111" i="47"/>
  <c r="W111" i="47" s="1"/>
  <c r="V119" i="47"/>
  <c r="W119" i="47" s="1"/>
  <c r="L37" i="47"/>
  <c r="L26" i="47"/>
  <c r="M169" i="47"/>
  <c r="V169" i="47" s="1"/>
  <c r="W169" i="47" s="1"/>
  <c r="M157" i="47"/>
  <c r="U157" i="47" s="1"/>
  <c r="M173" i="47"/>
  <c r="V173" i="47" s="1"/>
  <c r="W173" i="47" s="1"/>
  <c r="J75" i="57"/>
  <c r="R75" i="57" s="1"/>
  <c r="J93" i="57"/>
  <c r="S93" i="57" s="1"/>
  <c r="T93" i="57" s="1"/>
  <c r="J55" i="57"/>
  <c r="S55" i="57" s="1"/>
  <c r="T55" i="57" s="1"/>
  <c r="U61" i="47"/>
  <c r="V61" i="47"/>
  <c r="W61" i="47" s="1"/>
  <c r="U89" i="1"/>
  <c r="V89" i="1"/>
  <c r="W89" i="1" s="1"/>
  <c r="M167" i="47"/>
  <c r="U167" i="47" s="1"/>
  <c r="L61" i="47"/>
  <c r="V116" i="1"/>
  <c r="W116" i="1" s="1"/>
  <c r="V51" i="47"/>
  <c r="W51" i="47" s="1"/>
  <c r="V110" i="47"/>
  <c r="W110" i="47" s="1"/>
  <c r="L89" i="1"/>
  <c r="U17" i="47"/>
  <c r="V17" i="47"/>
  <c r="W17" i="47" s="1"/>
  <c r="M91" i="47"/>
  <c r="L91" i="47"/>
  <c r="J73" i="57"/>
  <c r="S73" i="57" s="1"/>
  <c r="T73" i="57" s="1"/>
  <c r="J89" i="57"/>
  <c r="R89" i="57" s="1"/>
  <c r="J71" i="57"/>
  <c r="R71" i="57" s="1"/>
  <c r="J103" i="57"/>
  <c r="R103" i="57" s="1"/>
  <c r="J105" i="57"/>
  <c r="R105" i="57" s="1"/>
  <c r="V30" i="1"/>
  <c r="W30" i="1" s="1"/>
  <c r="U30" i="1"/>
  <c r="V37" i="1"/>
  <c r="W37" i="1" s="1"/>
  <c r="U37" i="1"/>
  <c r="M7" i="1"/>
  <c r="V93" i="1"/>
  <c r="W93" i="1" s="1"/>
  <c r="L96" i="47"/>
  <c r="I50" i="57"/>
  <c r="V137" i="1"/>
  <c r="W137" i="1" s="1"/>
  <c r="V49" i="1"/>
  <c r="W49" i="1" s="1"/>
  <c r="L59" i="1"/>
  <c r="M166" i="47"/>
  <c r="U166" i="47" s="1"/>
  <c r="J99" i="57"/>
  <c r="R99" i="57" s="1"/>
  <c r="J61" i="57"/>
  <c r="S61" i="57" s="1"/>
  <c r="T61" i="57" s="1"/>
  <c r="J65" i="57"/>
  <c r="S65" i="57" s="1"/>
  <c r="T65" i="57" s="1"/>
  <c r="C4" i="55"/>
  <c r="C5" i="55" s="1"/>
  <c r="U96" i="47"/>
  <c r="V96" i="47"/>
  <c r="W96" i="47" s="1"/>
  <c r="V100" i="1"/>
  <c r="W100" i="1" s="1"/>
  <c r="U100" i="1"/>
  <c r="K139" i="47"/>
  <c r="V136" i="47"/>
  <c r="W136" i="47" s="1"/>
  <c r="V130" i="47"/>
  <c r="W130" i="47" s="1"/>
  <c r="V13" i="1"/>
  <c r="W13" i="1" s="1"/>
  <c r="U121" i="1"/>
  <c r="V121" i="1"/>
  <c r="W121" i="1" s="1"/>
  <c r="V117" i="47"/>
  <c r="W117" i="47" s="1"/>
  <c r="V113" i="1"/>
  <c r="W113" i="1" s="1"/>
  <c r="X3" i="47"/>
  <c r="S79" i="57"/>
  <c r="T79" i="57" s="1"/>
  <c r="V169" i="1"/>
  <c r="W169" i="1" s="1"/>
  <c r="S77" i="57"/>
  <c r="T77" i="57" s="1"/>
  <c r="J107" i="57"/>
  <c r="R107" i="57" s="1"/>
  <c r="J101" i="57"/>
  <c r="R101" i="57" s="1"/>
  <c r="J91" i="57"/>
  <c r="R91" i="57" s="1"/>
  <c r="V120" i="57"/>
  <c r="M159" i="47"/>
  <c r="V159" i="47" s="1"/>
  <c r="W159" i="47" s="1"/>
  <c r="M171" i="47"/>
  <c r="V171" i="47" s="1"/>
  <c r="W171" i="47" s="1"/>
  <c r="V55" i="47"/>
  <c r="W55" i="47" s="1"/>
  <c r="U55" i="47"/>
  <c r="V66" i="1"/>
  <c r="W66" i="1" s="1"/>
  <c r="H50" i="57"/>
  <c r="V132" i="1"/>
  <c r="W132" i="1" s="1"/>
  <c r="L74" i="1"/>
  <c r="M74" i="1"/>
  <c r="V124" i="47"/>
  <c r="W124" i="47" s="1"/>
  <c r="V56" i="1"/>
  <c r="W56" i="1" s="1"/>
  <c r="L104" i="47"/>
  <c r="M104" i="47"/>
  <c r="AP140" i="1"/>
  <c r="U107" i="47"/>
  <c r="V107" i="47"/>
  <c r="W107" i="47" s="1"/>
  <c r="V67" i="47"/>
  <c r="W67" i="47" s="1"/>
  <c r="U67" i="47"/>
  <c r="V57" i="47"/>
  <c r="W57" i="47" s="1"/>
  <c r="U57" i="47"/>
  <c r="V131" i="47"/>
  <c r="W131" i="47" s="1"/>
  <c r="U136" i="1"/>
  <c r="V136" i="1"/>
  <c r="W136" i="1" s="1"/>
  <c r="M87" i="1"/>
  <c r="L87" i="1"/>
  <c r="L81" i="1"/>
  <c r="M81" i="1"/>
  <c r="U126" i="47"/>
  <c r="V126" i="47"/>
  <c r="W126" i="47" s="1"/>
  <c r="M45" i="47"/>
  <c r="L45" i="47"/>
  <c r="M91" i="1"/>
  <c r="L91" i="1"/>
  <c r="U83" i="1"/>
  <c r="V83" i="1"/>
  <c r="W83" i="1" s="1"/>
  <c r="V134" i="1"/>
  <c r="W134" i="1" s="1"/>
  <c r="L77" i="47"/>
  <c r="M77" i="47"/>
  <c r="U72" i="47"/>
  <c r="V72" i="47"/>
  <c r="W72" i="47" s="1"/>
  <c r="L96" i="1"/>
  <c r="M96" i="1"/>
  <c r="V126" i="1"/>
  <c r="W126" i="1" s="1"/>
  <c r="V84" i="1"/>
  <c r="W84" i="1" s="1"/>
  <c r="V114" i="47"/>
  <c r="W114" i="47" s="1"/>
  <c r="U114" i="47"/>
  <c r="M164" i="47"/>
  <c r="V164" i="47" s="1"/>
  <c r="W164" i="47" s="1"/>
  <c r="J109" i="57"/>
  <c r="R109" i="57" s="1"/>
  <c r="AH86" i="57"/>
  <c r="H86" i="57"/>
  <c r="J78" i="57"/>
  <c r="I120" i="57"/>
  <c r="V165" i="1"/>
  <c r="W165" i="1" s="1"/>
  <c r="V179" i="1"/>
  <c r="W179" i="1" s="1"/>
  <c r="M165" i="47"/>
  <c r="V165" i="47" s="1"/>
  <c r="W165" i="47" s="1"/>
  <c r="V153" i="1"/>
  <c r="W153" i="1" s="1"/>
  <c r="F15" i="55"/>
  <c r="F16" i="55" s="1"/>
  <c r="V183" i="1"/>
  <c r="W183" i="1" s="1"/>
  <c r="U167" i="1"/>
  <c r="U182" i="1"/>
  <c r="V181" i="1"/>
  <c r="W181" i="1" s="1"/>
  <c r="S112" i="57"/>
  <c r="T112" i="57" s="1"/>
  <c r="R119" i="57"/>
  <c r="V184" i="1"/>
  <c r="W184" i="1" s="1"/>
  <c r="U180" i="1"/>
  <c r="V175" i="1"/>
  <c r="W175" i="1" s="1"/>
  <c r="U161" i="1"/>
  <c r="R116" i="57"/>
  <c r="R5" i="57"/>
  <c r="S115" i="57"/>
  <c r="T115" i="57" s="1"/>
  <c r="S83" i="57"/>
  <c r="T83" i="57" s="1"/>
  <c r="S63" i="57"/>
  <c r="T63" i="57" s="1"/>
  <c r="R118" i="57"/>
  <c r="R84" i="57"/>
  <c r="R113" i="57"/>
  <c r="R111" i="57"/>
  <c r="S57" i="57"/>
  <c r="T57" i="57" s="1"/>
  <c r="R7" i="57"/>
  <c r="R29" i="57"/>
  <c r="V123" i="47"/>
  <c r="W123" i="47" s="1"/>
  <c r="V125" i="47"/>
  <c r="W125" i="47" s="1"/>
  <c r="J97" i="57"/>
  <c r="V93" i="47"/>
  <c r="W93" i="47" s="1"/>
  <c r="U52" i="1"/>
  <c r="V52" i="1"/>
  <c r="W52" i="1" s="1"/>
  <c r="V14" i="1"/>
  <c r="W14" i="1" s="1"/>
  <c r="U14" i="1"/>
  <c r="V127" i="1"/>
  <c r="W127" i="1" s="1"/>
  <c r="V5" i="1"/>
  <c r="W5" i="1" s="1"/>
  <c r="U5" i="1"/>
  <c r="V17" i="1"/>
  <c r="W17" i="1" s="1"/>
  <c r="V178" i="1"/>
  <c r="W178" i="1" s="1"/>
  <c r="H120" i="57"/>
  <c r="V66" i="47"/>
  <c r="W66" i="47" s="1"/>
  <c r="U66" i="47"/>
  <c r="U86" i="47"/>
  <c r="V86" i="47"/>
  <c r="W86" i="47" s="1"/>
  <c r="V102" i="47"/>
  <c r="W102" i="47" s="1"/>
  <c r="U102" i="47"/>
  <c r="V50" i="47"/>
  <c r="W50" i="47" s="1"/>
  <c r="U13" i="47"/>
  <c r="V94" i="47"/>
  <c r="W94" i="47" s="1"/>
  <c r="U94" i="47"/>
  <c r="V131" i="1"/>
  <c r="W131" i="1" s="1"/>
  <c r="U102" i="1"/>
  <c r="V102" i="1"/>
  <c r="W102" i="1" s="1"/>
  <c r="V56" i="47"/>
  <c r="W56" i="47" s="1"/>
  <c r="V129" i="1"/>
  <c r="W129" i="1" s="1"/>
  <c r="V107" i="1"/>
  <c r="W107" i="1" s="1"/>
  <c r="U107" i="1"/>
  <c r="S117" i="57"/>
  <c r="T117" i="57" s="1"/>
  <c r="V94" i="1"/>
  <c r="W94" i="1" s="1"/>
  <c r="Y150" i="1"/>
  <c r="Y185" i="1" s="1"/>
  <c r="L150" i="1"/>
  <c r="K185" i="1"/>
  <c r="U74" i="47"/>
  <c r="V74" i="47"/>
  <c r="W74" i="47" s="1"/>
  <c r="U157" i="1"/>
  <c r="S2" i="1"/>
  <c r="U171" i="1"/>
  <c r="V174" i="1"/>
  <c r="W174" i="1" s="1"/>
  <c r="M155" i="47"/>
  <c r="U155" i="47" s="1"/>
  <c r="M151" i="47"/>
  <c r="V151" i="47" s="1"/>
  <c r="M177" i="47"/>
  <c r="U177" i="47" s="1"/>
  <c r="X2" i="47"/>
  <c r="M170" i="47"/>
  <c r="U170" i="47" s="1"/>
  <c r="M156" i="47"/>
  <c r="V156" i="47" s="1"/>
  <c r="W156" i="47" s="1"/>
  <c r="F25" i="55"/>
  <c r="F26" i="55" s="1"/>
  <c r="C15" i="55"/>
  <c r="C16" i="55" s="1"/>
  <c r="F4" i="55"/>
  <c r="F5" i="55" s="1"/>
  <c r="R81" i="57"/>
  <c r="N120" i="57"/>
  <c r="R82" i="57"/>
  <c r="S85" i="57"/>
  <c r="T85" i="57" s="1"/>
  <c r="V155" i="1"/>
  <c r="W155" i="1" s="1"/>
  <c r="V163" i="1"/>
  <c r="W163" i="1" s="1"/>
  <c r="V158" i="47"/>
  <c r="W158" i="47" s="1"/>
  <c r="V173" i="1"/>
  <c r="W173" i="1" s="1"/>
  <c r="V168" i="47"/>
  <c r="W168" i="47" s="1"/>
  <c r="AR179" i="47"/>
  <c r="Y179" i="47"/>
  <c r="K179" i="47"/>
  <c r="AP185" i="1"/>
  <c r="L166" i="47"/>
  <c r="L154" i="47"/>
  <c r="V163" i="47"/>
  <c r="W163" i="47" s="1"/>
  <c r="C25" i="55"/>
  <c r="C26" i="55" s="1"/>
  <c r="M154" i="47"/>
  <c r="U162" i="47"/>
  <c r="V174" i="47"/>
  <c r="W174" i="47" s="1"/>
  <c r="U166" i="1"/>
  <c r="U162" i="1"/>
  <c r="V172" i="1"/>
  <c r="W172" i="1" s="1"/>
  <c r="V159" i="1"/>
  <c r="W159" i="1" s="1"/>
  <c r="V168" i="1"/>
  <c r="W168" i="1" s="1"/>
  <c r="B36" i="59"/>
  <c r="U164" i="1"/>
  <c r="V164" i="1"/>
  <c r="W164" i="1" s="1"/>
  <c r="U156" i="1"/>
  <c r="V156" i="1"/>
  <c r="W156" i="1" s="1"/>
  <c r="V154" i="1"/>
  <c r="W154" i="1" s="1"/>
  <c r="U154" i="1"/>
  <c r="J153" i="47"/>
  <c r="Q179" i="47"/>
  <c r="Q185" i="1"/>
  <c r="J150" i="1"/>
  <c r="U161" i="47"/>
  <c r="V161" i="47"/>
  <c r="W161" i="47" s="1"/>
  <c r="U170" i="1"/>
  <c r="V170" i="1"/>
  <c r="W170" i="1" s="1"/>
  <c r="U160" i="1"/>
  <c r="V160" i="1"/>
  <c r="W160" i="1" s="1"/>
  <c r="V152" i="1"/>
  <c r="W152" i="1" s="1"/>
  <c r="U152" i="1"/>
  <c r="E36" i="59"/>
  <c r="V158" i="1"/>
  <c r="W158" i="1" s="1"/>
  <c r="U158" i="1"/>
  <c r="S80" i="57"/>
  <c r="T80" i="57" s="1"/>
  <c r="E47" i="58"/>
  <c r="G120" i="57"/>
  <c r="S14" i="57"/>
  <c r="T14" i="57" s="1"/>
  <c r="R69" i="57"/>
  <c r="S69" i="57"/>
  <c r="T69" i="57" s="1"/>
  <c r="G86" i="57"/>
  <c r="N86" i="57"/>
  <c r="W143" i="47" l="1"/>
  <c r="C9" i="55" s="1"/>
  <c r="C6" i="55" s="1"/>
  <c r="M145" i="47"/>
  <c r="U143" i="47"/>
  <c r="C7" i="55" s="1"/>
  <c r="V145" i="47"/>
  <c r="V43" i="47"/>
  <c r="W43" i="47" s="1"/>
  <c r="S3" i="57"/>
  <c r="T3" i="57" s="1"/>
  <c r="R44" i="57"/>
  <c r="V87" i="47"/>
  <c r="W87" i="47" s="1"/>
  <c r="V9" i="47"/>
  <c r="W9" i="47" s="1"/>
  <c r="S39" i="57"/>
  <c r="T39" i="57" s="1"/>
  <c r="R20" i="57"/>
  <c r="S46" i="57"/>
  <c r="T46" i="57" s="1"/>
  <c r="V50" i="57"/>
  <c r="R21" i="57"/>
  <c r="J50" i="57"/>
  <c r="J1" i="57" s="1"/>
  <c r="V11" i="1"/>
  <c r="W11" i="1" s="1"/>
  <c r="V176" i="1"/>
  <c r="W176" i="1" s="1"/>
  <c r="V15" i="47"/>
  <c r="W15" i="47" s="1"/>
  <c r="S8" i="57"/>
  <c r="T8" i="57" s="1"/>
  <c r="L185" i="1"/>
  <c r="U61" i="1"/>
  <c r="V61" i="1"/>
  <c r="W61" i="1" s="1"/>
  <c r="V160" i="47"/>
  <c r="W160" i="47" s="1"/>
  <c r="V7" i="47"/>
  <c r="W7" i="47" s="1"/>
  <c r="V79" i="47"/>
  <c r="W79" i="47" s="1"/>
  <c r="R59" i="57"/>
  <c r="U24" i="47"/>
  <c r="V24" i="47"/>
  <c r="W24" i="47" s="1"/>
  <c r="U175" i="47"/>
  <c r="U43" i="1"/>
  <c r="V43" i="1"/>
  <c r="W43" i="1" s="1"/>
  <c r="U19" i="47"/>
  <c r="V19" i="47"/>
  <c r="W19" i="47" s="1"/>
  <c r="S95" i="57"/>
  <c r="T95" i="57" s="1"/>
  <c r="V26" i="1"/>
  <c r="W26" i="1" s="1"/>
  <c r="U69" i="1"/>
  <c r="V69" i="1"/>
  <c r="W69" i="1" s="1"/>
  <c r="M146" i="1"/>
  <c r="V144" i="1"/>
  <c r="W144" i="1" s="1"/>
  <c r="U144" i="1"/>
  <c r="S67" i="57"/>
  <c r="T67" i="57" s="1"/>
  <c r="U172" i="47"/>
  <c r="U176" i="47"/>
  <c r="S114" i="57"/>
  <c r="T114" i="57" s="1"/>
  <c r="V104" i="1"/>
  <c r="W104" i="1" s="1"/>
  <c r="S75" i="57"/>
  <c r="T75" i="57" s="1"/>
  <c r="R55" i="57"/>
  <c r="U24" i="1"/>
  <c r="V24" i="1"/>
  <c r="W24" i="1" s="1"/>
  <c r="U173" i="47"/>
  <c r="V157" i="47"/>
  <c r="W157" i="47" s="1"/>
  <c r="R93" i="57"/>
  <c r="U169" i="47"/>
  <c r="S71" i="57"/>
  <c r="T71" i="57" s="1"/>
  <c r="S89" i="57"/>
  <c r="T89" i="57" s="1"/>
  <c r="R73" i="57"/>
  <c r="S103" i="57"/>
  <c r="T103" i="57" s="1"/>
  <c r="V167" i="47"/>
  <c r="W167" i="47" s="1"/>
  <c r="U91" i="47"/>
  <c r="V91" i="47"/>
  <c r="W91" i="47" s="1"/>
  <c r="S105" i="57"/>
  <c r="T105" i="57" s="1"/>
  <c r="S99" i="57"/>
  <c r="T99" i="57" s="1"/>
  <c r="R61" i="57"/>
  <c r="J86" i="57"/>
  <c r="V166" i="47"/>
  <c r="W166" i="47" s="1"/>
  <c r="U7" i="1"/>
  <c r="V7" i="1"/>
  <c r="W7" i="1" s="1"/>
  <c r="R65" i="57"/>
  <c r="S107" i="57"/>
  <c r="T107" i="57" s="1"/>
  <c r="L139" i="47"/>
  <c r="M139" i="47"/>
  <c r="U159" i="47"/>
  <c r="S101" i="57"/>
  <c r="T101" i="57" s="1"/>
  <c r="U171" i="47"/>
  <c r="S91" i="57"/>
  <c r="T91" i="57" s="1"/>
  <c r="L140" i="1"/>
  <c r="U74" i="1"/>
  <c r="V74" i="1"/>
  <c r="W74" i="1" s="1"/>
  <c r="U104" i="47"/>
  <c r="V104" i="47"/>
  <c r="W104" i="47" s="1"/>
  <c r="U164" i="47"/>
  <c r="U87" i="1"/>
  <c r="V87" i="1"/>
  <c r="W87" i="1" s="1"/>
  <c r="M140" i="1"/>
  <c r="U91" i="1"/>
  <c r="V91" i="1"/>
  <c r="W91" i="1" s="1"/>
  <c r="U96" i="1"/>
  <c r="V96" i="1"/>
  <c r="W96" i="1" s="1"/>
  <c r="U45" i="47"/>
  <c r="V45" i="47"/>
  <c r="W45" i="47" s="1"/>
  <c r="U81" i="1"/>
  <c r="V81" i="1"/>
  <c r="W81" i="1" s="1"/>
  <c r="U77" i="47"/>
  <c r="V77" i="47"/>
  <c r="W77" i="47" s="1"/>
  <c r="S109" i="57"/>
  <c r="T109" i="57" s="1"/>
  <c r="J120" i="57"/>
  <c r="U165" i="47"/>
  <c r="R78" i="57"/>
  <c r="S78" i="57"/>
  <c r="T78" i="57" s="1"/>
  <c r="L179" i="47"/>
  <c r="R97" i="57"/>
  <c r="S97" i="57"/>
  <c r="T97" i="57" s="1"/>
  <c r="V155" i="47"/>
  <c r="W155" i="47" s="1"/>
  <c r="V177" i="47"/>
  <c r="W177" i="47" s="1"/>
  <c r="U151" i="47"/>
  <c r="U156" i="47"/>
  <c r="V170" i="47"/>
  <c r="W170" i="47" s="1"/>
  <c r="V154" i="47"/>
  <c r="W154" i="47" s="1"/>
  <c r="U154" i="47"/>
  <c r="J185" i="1"/>
  <c r="M150" i="1"/>
  <c r="M153" i="47"/>
  <c r="J179" i="47"/>
  <c r="W151" i="47"/>
  <c r="W145" i="47" l="1"/>
  <c r="U145" i="47"/>
  <c r="M2" i="1"/>
  <c r="F7" i="55"/>
  <c r="F8" i="55"/>
  <c r="F18" i="55"/>
  <c r="F28" i="55"/>
  <c r="C18" i="55"/>
  <c r="F20" i="55"/>
  <c r="F17" i="55" s="1"/>
  <c r="C20" i="55"/>
  <c r="C17" i="55" s="1"/>
  <c r="C19" i="55"/>
  <c r="F29" i="55"/>
  <c r="R86" i="57"/>
  <c r="S86" i="57"/>
  <c r="T86" i="57"/>
  <c r="F19" i="55"/>
  <c r="V153" i="47"/>
  <c r="U153" i="47"/>
  <c r="M179" i="47"/>
  <c r="M2" i="47" s="1"/>
  <c r="U150" i="1"/>
  <c r="U185" i="1" s="1"/>
  <c r="M185" i="1"/>
  <c r="V150" i="1"/>
  <c r="F30" i="55"/>
  <c r="F27" i="55" s="1"/>
  <c r="F9" i="55"/>
  <c r="F6" i="55" s="1"/>
  <c r="W150" i="1" l="1"/>
  <c r="W185" i="1" s="1"/>
  <c r="V185" i="1"/>
  <c r="U179" i="47"/>
  <c r="C28" i="55"/>
  <c r="W153" i="47"/>
  <c r="C29" i="55"/>
  <c r="V179" i="47"/>
  <c r="W179" i="47" l="1"/>
  <c r="C30" i="55"/>
  <c r="C27" i="55" s="1"/>
  <c r="V72" i="57" l="1"/>
  <c r="V58" i="57"/>
  <c r="V74" i="57"/>
  <c r="V60" i="57"/>
  <c r="V64" i="57"/>
  <c r="V68" i="57"/>
  <c r="V56" i="57"/>
  <c r="V62" i="57"/>
  <c r="E67" i="57" l="1"/>
  <c r="I67" i="57" s="1"/>
  <c r="V67" i="57"/>
  <c r="E84" i="57"/>
  <c r="I84" i="57" s="1"/>
  <c r="V84" i="57"/>
  <c r="V55" i="57"/>
  <c r="D86" i="57"/>
  <c r="E55" i="57"/>
  <c r="E71" i="57"/>
  <c r="I71" i="57" s="1"/>
  <c r="V71" i="57"/>
  <c r="E63" i="57"/>
  <c r="I63" i="57" s="1"/>
  <c r="V63" i="57"/>
  <c r="V59" i="57"/>
  <c r="E59" i="57"/>
  <c r="I59" i="57" s="1"/>
  <c r="E83" i="57"/>
  <c r="I83" i="57" s="1"/>
  <c r="V83" i="57"/>
  <c r="V73" i="57"/>
  <c r="E73" i="57"/>
  <c r="I73" i="57" s="1"/>
  <c r="E57" i="57"/>
  <c r="I57" i="57" s="1"/>
  <c r="V57" i="57"/>
  <c r="E77" i="57"/>
  <c r="I77" i="57" s="1"/>
  <c r="V77" i="57"/>
  <c r="E80" i="57"/>
  <c r="I80" i="57" s="1"/>
  <c r="V80" i="57"/>
  <c r="E69" i="57"/>
  <c r="I69" i="57" s="1"/>
  <c r="V69" i="57"/>
  <c r="E85" i="57"/>
  <c r="I85" i="57" s="1"/>
  <c r="V85" i="57"/>
  <c r="E78" i="57"/>
  <c r="I78" i="57" s="1"/>
  <c r="V78" i="57"/>
  <c r="V75" i="57"/>
  <c r="E75" i="57"/>
  <c r="I75" i="57" s="1"/>
  <c r="E65" i="57"/>
  <c r="I65" i="57" s="1"/>
  <c r="V65" i="57"/>
  <c r="E82" i="57"/>
  <c r="I82" i="57" s="1"/>
  <c r="V82" i="57"/>
  <c r="E79" i="57"/>
  <c r="I79" i="57" s="1"/>
  <c r="V79" i="57"/>
  <c r="E81" i="57"/>
  <c r="I81" i="57" s="1"/>
  <c r="V81" i="57"/>
  <c r="E61" i="57"/>
  <c r="I61" i="57" s="1"/>
  <c r="V61" i="57"/>
  <c r="I55" i="57" l="1"/>
  <c r="I86" i="57" s="1"/>
  <c r="E86" i="57"/>
  <c r="V86" i="5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I6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1 Qty reduced as per TACO on 07.02.2025</t>
        </r>
      </text>
    </comment>
    <comment ref="I11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SOURABH JAIN [ TMPV, Operation
as per taco 1 qty reduced 0707.2025 
1 qty reduced to give ERC 18.07.2025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I6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1 Qty reduced as per TACO on 07.02.2025</t>
        </r>
      </text>
    </comment>
    <comment ref="I11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SOURABH JAIN [ TMPV, Operation
as per taco 1 qty reduced 0707.2025 
1 qty reduced to give ERC 18.07.2025</t>
        </r>
      </text>
    </comment>
    <comment ref="D16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36 quntity revord and added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F9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Store team not able to locate as of 12.01.2026</t>
        </r>
      </text>
    </comment>
    <comment ref="F11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Rejection 8 QTYat store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AVNISH PANDEY [ TMPV, Pune ]</author>
  </authors>
  <commentList>
    <comment ref="DZ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match with sahil on 15.07.2026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A57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7 VIN Balance 7 qty old deducted on 11th-If required can make by adding 7 qty</t>
        </r>
      </text>
    </comment>
    <comment ref="EK99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as per taco 1 qty reduce
</t>
        </r>
      </text>
    </comment>
  </commentList>
</comments>
</file>

<file path=xl/sharedStrings.xml><?xml version="1.0" encoding="utf-8"?>
<sst xmlns="http://schemas.openxmlformats.org/spreadsheetml/2006/main" count="7637" uniqueCount="2261">
  <si>
    <t>Date : 09.06.2022</t>
  </si>
  <si>
    <t>Part No</t>
  </si>
  <si>
    <t>AB12 Part No</t>
  </si>
  <si>
    <t>VC No</t>
  </si>
  <si>
    <t>Model</t>
  </si>
  <si>
    <t>PLAN</t>
  </si>
  <si>
    <t>Month O/P</t>
  </si>
  <si>
    <t>Inwards</t>
  </si>
  <si>
    <t>Consumption</t>
  </si>
  <si>
    <t>Today's O/P</t>
  </si>
  <si>
    <t>54425125A</t>
  </si>
  <si>
    <t>ALTROZ XE 1.2P BS6GEN1+</t>
  </si>
  <si>
    <t>54420225A</t>
  </si>
  <si>
    <t>Altroz XE+ Diesel</t>
  </si>
  <si>
    <t>54426225A</t>
  </si>
  <si>
    <t>ALTROZ XE+ 1.2P BS6GEN1+</t>
  </si>
  <si>
    <t>54420425A</t>
  </si>
  <si>
    <t>Altroz XM + Diesel</t>
  </si>
  <si>
    <t>54426325A</t>
  </si>
  <si>
    <t>ALTROZ XM+ 1.2P BS6GEN1+</t>
  </si>
  <si>
    <t>54421625A</t>
  </si>
  <si>
    <t>Altroz XM + DCT</t>
  </si>
  <si>
    <t>Altroz XT with FATC</t>
  </si>
  <si>
    <t>Altroz XT DCT, XT DCT DARK</t>
  </si>
  <si>
    <t>Altroz XZ DCT</t>
  </si>
  <si>
    <t>Altroz XZ+ DCT, XZ+ DCT DARK</t>
  </si>
  <si>
    <t>54429125A</t>
  </si>
  <si>
    <t>Qty</t>
  </si>
  <si>
    <t>New Part No</t>
  </si>
  <si>
    <t>TOTAL</t>
  </si>
  <si>
    <t>54420525A</t>
  </si>
  <si>
    <t>54420925A</t>
  </si>
  <si>
    <t>54425325A</t>
  </si>
  <si>
    <t>54422125A</t>
  </si>
  <si>
    <t>54421725A</t>
  </si>
  <si>
    <t>54425525A</t>
  </si>
  <si>
    <t>54420625A</t>
  </si>
  <si>
    <t>54425425A</t>
  </si>
  <si>
    <t>54425925A</t>
  </si>
  <si>
    <t>54425625A</t>
  </si>
  <si>
    <t>54425725A</t>
  </si>
  <si>
    <t>54421825A</t>
  </si>
  <si>
    <t>54420825A</t>
  </si>
  <si>
    <t>54420725A</t>
  </si>
  <si>
    <t>54427725A</t>
  </si>
  <si>
    <t>54422225A</t>
  </si>
  <si>
    <t>54427625A</t>
  </si>
  <si>
    <t>54426125B</t>
  </si>
  <si>
    <t>54426125A</t>
  </si>
  <si>
    <t>54429025A</t>
  </si>
  <si>
    <t>SALES DESCRIPTION</t>
  </si>
  <si>
    <t>ALTROZ XM+1.5RTQ MT BS6PH2</t>
  </si>
  <si>
    <t>ALTROZ XZ+1.2P TC MT BS6PH2</t>
  </si>
  <si>
    <t>ALTROZ XZ+1.2P TC MT DRK BS6PH2</t>
  </si>
  <si>
    <t xml:space="preserve">Vin Generation _Plan  Altroz &amp; Punch </t>
  </si>
  <si>
    <t>Engine Type</t>
  </si>
  <si>
    <t>VC</t>
  </si>
  <si>
    <t xml:space="preserve">Month Summary </t>
  </si>
  <si>
    <t xml:space="preserve">Plan </t>
  </si>
  <si>
    <t xml:space="preserve">Vin </t>
  </si>
  <si>
    <t xml:space="preserve">Bal </t>
  </si>
  <si>
    <t>Days Plan</t>
  </si>
  <si>
    <t>Actual Vin UPTO 3.00PM</t>
  </si>
  <si>
    <t xml:space="preserve"> B shift Plan </t>
  </si>
  <si>
    <t>Day 1</t>
  </si>
  <si>
    <t>Day 2</t>
  </si>
  <si>
    <t>Day 3</t>
  </si>
  <si>
    <t xml:space="preserve">Month O/P
</t>
  </si>
  <si>
    <t>Balance</t>
  </si>
  <si>
    <t>Cumulative Dispatch</t>
  </si>
  <si>
    <t>Month Plan</t>
  </si>
  <si>
    <t>544554600305/
544554600147</t>
  </si>
  <si>
    <t>544554600307/
544554610122</t>
  </si>
  <si>
    <t>544554600308/
544554600104</t>
  </si>
  <si>
    <t>544554600309/
544554600145</t>
  </si>
  <si>
    <t>544554600311/
544554600105</t>
  </si>
  <si>
    <t>544554600312/
544554600146</t>
  </si>
  <si>
    <t>544554600299/
544554600165</t>
  </si>
  <si>
    <t>544554600300/
544554600170</t>
  </si>
  <si>
    <t>54426226A</t>
  </si>
  <si>
    <t>54427425A</t>
  </si>
  <si>
    <t>ALTROZ XZ 1.2 CNG BS6PH2</t>
  </si>
  <si>
    <t>54427825A</t>
  </si>
  <si>
    <t>ALTROZ XE 1.2 CNG BS6PH2</t>
  </si>
  <si>
    <t>54425926A</t>
  </si>
  <si>
    <t>ALTROZ XZ+OS 1.2 CNG BS6PH2</t>
  </si>
  <si>
    <t>ALTROZ XM+ 1.2 CNG BS6PH2</t>
  </si>
  <si>
    <t>54426126A</t>
  </si>
  <si>
    <t>54423125A</t>
  </si>
  <si>
    <t>54425126A</t>
  </si>
  <si>
    <t>54426026A</t>
  </si>
  <si>
    <t>54423325A</t>
  </si>
  <si>
    <t>54420226A</t>
  </si>
  <si>
    <t>Altroz XM + Diesel Sun-roof</t>
  </si>
  <si>
    <t>ALTROZ XM+S1.2 CNG</t>
  </si>
  <si>
    <t>ALTROZ XZ+S1.2 CNG</t>
  </si>
  <si>
    <t>54423425A</t>
  </si>
  <si>
    <t>54420126A</t>
  </si>
  <si>
    <t>ALTROZ XZ+(S) 1.5 RTQ BS6</t>
  </si>
  <si>
    <t>ALTROZ XZ+(S) 1.5 RTQ BS6 DARK</t>
  </si>
  <si>
    <t>ALTROZ XM+(S) 1.2P MT BS6</t>
  </si>
  <si>
    <t>54426326A</t>
  </si>
  <si>
    <t>ALTROZ XZ+(S) 1.2P MT BS6</t>
  </si>
  <si>
    <t>ALTROZ XZ+(S) 1.2P MT BS6 DARK</t>
  </si>
  <si>
    <t>54426526A</t>
  </si>
  <si>
    <t>ALTROZ DCA XM+(S)1.2P BS6PH2</t>
  </si>
  <si>
    <t>54425326A</t>
  </si>
  <si>
    <t>ALTROZ DCA XZ+ (S) 1.2P BS6PH2</t>
  </si>
  <si>
    <t>ALTROZ DCA XZ+ (S) 1.2P DRK BS6PH2</t>
  </si>
  <si>
    <t>ALTROZ DCA XZ+(O) (S)1.2P BS6PH2</t>
  </si>
  <si>
    <t>54428925A</t>
  </si>
  <si>
    <t>54423225A</t>
  </si>
  <si>
    <t>54425226A</t>
  </si>
  <si>
    <t>ALTROZ XZ+(O) (S) 1.2P TC MT BS6PH2</t>
  </si>
  <si>
    <t>ALTROZ XZ+O(S) 1.2 P MT BS6</t>
  </si>
  <si>
    <t>Pre</t>
  </si>
  <si>
    <t>ALTROZ XZ+S 1.5RTQ BS6PH2</t>
  </si>
  <si>
    <t>W/H Requirement</t>
  </si>
  <si>
    <t>54853224A</t>
  </si>
  <si>
    <t>54853624A</t>
  </si>
  <si>
    <t>Opening at 3 PM</t>
  </si>
  <si>
    <t>A SHIFT BIW LIFTING</t>
  </si>
  <si>
    <t>B SHIFT BIW LIFTING</t>
  </si>
  <si>
    <t>54421826A</t>
  </si>
  <si>
    <t>ALTROZ XE 1.2 P BS6 PH2 (REVARIANT)</t>
  </si>
  <si>
    <t>54422126A</t>
  </si>
  <si>
    <t>ALTROZ XM 1.2P BS6 PH2(REVARIANT)</t>
  </si>
  <si>
    <t>54422026A</t>
  </si>
  <si>
    <t>ALTROZ XM (S)1.2P  BS6 PH2(REVARIANT)</t>
  </si>
  <si>
    <t>54422326A</t>
  </si>
  <si>
    <t>54422226A</t>
  </si>
  <si>
    <t>ALTROZ XM+ 1.2P BS6 PH2(REVARIANT)</t>
  </si>
  <si>
    <t>ALTROZ XM + (S)1.2P  BS6 PH2(REVARIANT)</t>
  </si>
  <si>
    <t>54421926A</t>
  </si>
  <si>
    <t>ALTROZ XT 1.2 P BS6 PH2 (REVARIANT)</t>
  </si>
  <si>
    <t>Balance Production</t>
  </si>
  <si>
    <t>Balance Prdn</t>
  </si>
  <si>
    <t>54453924A</t>
  </si>
  <si>
    <t>54454024A</t>
  </si>
  <si>
    <t>54454124A</t>
  </si>
  <si>
    <t>54454224A</t>
  </si>
  <si>
    <t>54420000PTD003</t>
  </si>
  <si>
    <t xml:space="preserve"> GAP at 630 AM</t>
  </si>
  <si>
    <t>Gap at 1130 PM</t>
  </si>
  <si>
    <t>Paint float 06:30am</t>
  </si>
  <si>
    <t>Dispatch Qty</t>
  </si>
  <si>
    <t>Float Coverage at 6:30am</t>
  </si>
  <si>
    <t>Float Coverage at 11:30 pm</t>
  </si>
  <si>
    <t>Float Coverage at 3 pm</t>
  </si>
  <si>
    <t xml:space="preserve"> </t>
  </si>
  <si>
    <t>Date</t>
  </si>
  <si>
    <t>Paint Float 06.30Am</t>
  </si>
  <si>
    <t>ALTROZ XZ+1.5RTQ MT BS6PH2</t>
  </si>
  <si>
    <t>ALTROZ XZ+1.5RTQ MT DARK BS6PH2</t>
  </si>
  <si>
    <t>ALTROZ XT1.5 RTQ MT DRK BS6PH2</t>
  </si>
  <si>
    <t>Safety Stock</t>
  </si>
  <si>
    <t>:</t>
  </si>
  <si>
    <t>opening 31otc</t>
  </si>
  <si>
    <t>54682224A</t>
  </si>
  <si>
    <t>ALTROZ XZ1.5RTQ MT BS6PH2</t>
  </si>
  <si>
    <t>PUNCH ADV 1.2P MT RT BS6PH2</t>
  </si>
  <si>
    <t>54682424A</t>
  </si>
  <si>
    <t>Total</t>
  </si>
  <si>
    <t>54682524A</t>
  </si>
  <si>
    <t>54682624A</t>
  </si>
  <si>
    <t>54682724A</t>
  </si>
  <si>
    <t>54682824A</t>
  </si>
  <si>
    <t>MARKET</t>
  </si>
  <si>
    <t>SHORT VC</t>
  </si>
  <si>
    <t>PACK</t>
  </si>
  <si>
    <t>TOTAL FLOAT</t>
  </si>
  <si>
    <t>PBS FLOAT</t>
  </si>
  <si>
    <t>PBS TO POLISHING</t>
  </si>
  <si>
    <t>POLISHING TO TOPCOAT</t>
  </si>
  <si>
    <t>TOPCOAT TO WETSANDING ROOFBLACK</t>
  </si>
  <si>
    <t>TOPCOAT TO WETSANDING FRESH</t>
  </si>
  <si>
    <t>WETSANDING TO SEALANT</t>
  </si>
  <si>
    <t>TOTAL UPTO SEALANT</t>
  </si>
  <si>
    <t>PT ENTRY TO SEALENT</t>
  </si>
  <si>
    <t>BIW LIFTING TO PT</t>
  </si>
  <si>
    <t>PT BYPASS</t>
  </si>
  <si>
    <t>Domestic</t>
  </si>
  <si>
    <t>-</t>
  </si>
  <si>
    <t>Total GRAVITAS</t>
  </si>
  <si>
    <t>Total HORNBILL</t>
  </si>
  <si>
    <t>Total Q5</t>
  </si>
  <si>
    <t>Grand Total</t>
  </si>
  <si>
    <t>ENGINE TYPE</t>
  </si>
  <si>
    <t>1.2 NGNA</t>
  </si>
  <si>
    <t>MODEL TYPE</t>
  </si>
  <si>
    <t>ABS MODEL</t>
  </si>
  <si>
    <t>TOTAL ABS FLOAT</t>
  </si>
  <si>
    <t>54681824A</t>
  </si>
  <si>
    <t>54681724A</t>
  </si>
  <si>
    <t>54681624A</t>
  </si>
  <si>
    <t>54681524A</t>
  </si>
  <si>
    <t>54681224A</t>
  </si>
  <si>
    <t>54681324A</t>
  </si>
  <si>
    <t>54427026A</t>
  </si>
  <si>
    <t>FAMB 170PS AT</t>
  </si>
  <si>
    <t>FAMB 170PS MT</t>
  </si>
  <si>
    <t>1.2 NGNA CNG</t>
  </si>
  <si>
    <t>54429226A</t>
  </si>
  <si>
    <t>54429126A</t>
  </si>
  <si>
    <t>54422426A</t>
  </si>
  <si>
    <t>54422526A</t>
  </si>
  <si>
    <t>XZ+OS-Petrol</t>
  </si>
  <si>
    <t>XZ+OS-DCA</t>
  </si>
  <si>
    <t>ZX+OS+CNG</t>
  </si>
  <si>
    <t>54428726A</t>
  </si>
  <si>
    <t>XZ+S LUX DARK+Petrol</t>
  </si>
  <si>
    <t>54429026A</t>
  </si>
  <si>
    <t>XZ+S LUX-DCA</t>
  </si>
  <si>
    <t>54428626A</t>
  </si>
  <si>
    <t>XZ+S LUX DARK+Diesel</t>
  </si>
  <si>
    <t>54428826A</t>
  </si>
  <si>
    <t>XZ+S LUX-Petrol</t>
  </si>
  <si>
    <t>54428926A</t>
  </si>
  <si>
    <t>XZ+S LUX-Diesel</t>
  </si>
  <si>
    <t>54421426A</t>
  </si>
  <si>
    <t>Racer2-TC</t>
  </si>
  <si>
    <t>54428526A</t>
  </si>
  <si>
    <t>COSMO_DARK-ALTROZ XZ+S LUX D 1.2P 6AB</t>
  </si>
  <si>
    <t>XZ+S LUX-CNG</t>
  </si>
  <si>
    <t>54421526A</t>
  </si>
  <si>
    <t>Racer1-TC</t>
  </si>
  <si>
    <t>Racer3-TC</t>
  </si>
  <si>
    <t>ALTROZ XZ+S LUX 1.5 RTQ 6AB</t>
  </si>
  <si>
    <t>ALTROZ XZ+S LUX D 1.5RTQ6AB</t>
  </si>
  <si>
    <t>Engine Part No</t>
  </si>
  <si>
    <t>54422227A</t>
  </si>
  <si>
    <t>54421927A</t>
  </si>
  <si>
    <t>ALTROZ XZ LUX 1.2 CNG</t>
  </si>
  <si>
    <t>ALTROZ XZ LUX 1.2P</t>
  </si>
  <si>
    <t>54422027A</t>
  </si>
  <si>
    <t>ALTROZ XZ LUX 1.5 RTQ</t>
  </si>
  <si>
    <t>54422127A</t>
  </si>
  <si>
    <t>ALTROZ XZ LUX DCA 1.2P</t>
  </si>
  <si>
    <t>PUNCH ADV1.2P AMT RT BS6PH2</t>
  </si>
  <si>
    <t>54683124A</t>
  </si>
  <si>
    <t>54854224A</t>
  </si>
  <si>
    <t>54854324A</t>
  </si>
  <si>
    <t>54855024A</t>
  </si>
  <si>
    <t>54856024A</t>
  </si>
  <si>
    <t>54856424A</t>
  </si>
  <si>
    <t>54856324A</t>
  </si>
  <si>
    <t>54855224A</t>
  </si>
  <si>
    <t>54855524A</t>
  </si>
  <si>
    <t>54855424A</t>
  </si>
  <si>
    <t>54855624A</t>
  </si>
  <si>
    <t>54855324A</t>
  </si>
  <si>
    <t>54855924A</t>
  </si>
  <si>
    <t>54855824A</t>
  </si>
  <si>
    <t>54856524A</t>
  </si>
  <si>
    <t>54855724A</t>
  </si>
  <si>
    <t>54855124A</t>
  </si>
  <si>
    <t>54856624A</t>
  </si>
  <si>
    <t>54854924A</t>
  </si>
  <si>
    <t>54856924A</t>
  </si>
  <si>
    <t>54857424A</t>
  </si>
  <si>
    <t>54857324A</t>
  </si>
  <si>
    <t>54856724A</t>
  </si>
  <si>
    <t>54854424A</t>
  </si>
  <si>
    <t>54854524A</t>
  </si>
  <si>
    <t>54854624A</t>
  </si>
  <si>
    <t>54854724A</t>
  </si>
  <si>
    <t>54856824A</t>
  </si>
  <si>
    <t>54857024A</t>
  </si>
  <si>
    <t>54854824A</t>
  </si>
  <si>
    <t>54857124A</t>
  </si>
  <si>
    <t>54857224A</t>
  </si>
  <si>
    <t>54856124A</t>
  </si>
  <si>
    <t>54856224A</t>
  </si>
  <si>
    <t>54857524A</t>
  </si>
  <si>
    <t>Remark</t>
  </si>
  <si>
    <t>54857624A</t>
  </si>
  <si>
    <t>True False</t>
  </si>
  <si>
    <t>PUNCH ADV 1.2P AMT BS6PH2</t>
  </si>
  <si>
    <t>PUNCH ADV 1.2P MT BS6PH2</t>
  </si>
  <si>
    <t>PUNCH CRE + S 1.2P MT</t>
  </si>
  <si>
    <t>PUNCH ACC + S 1.2P MT</t>
  </si>
  <si>
    <t>ALTROZ XM+1.2 CNG BS6PH2</t>
  </si>
  <si>
    <t>ALTROZ XM+S1.2 CNG BS6PH2</t>
  </si>
  <si>
    <t>PUNCH PUR 1.2P MT</t>
  </si>
  <si>
    <t>ALTROZ XM + 1.2P BS6 PH2</t>
  </si>
  <si>
    <t>PUNCH ACC + 1.2P MT</t>
  </si>
  <si>
    <t>PUNCH PUR O 1.2P MT</t>
  </si>
  <si>
    <t>ALTROZ XZ1.2P MT BS6PH2</t>
  </si>
  <si>
    <t>ALTROZ XM+S 1.5RTQ BS6PH2</t>
  </si>
  <si>
    <t>ALTROZ DCA XZ+OS 1.2P 6AB</t>
  </si>
  <si>
    <t>ALTROZ XM+S 1.2P BS6PH2</t>
  </si>
  <si>
    <t>ALTROZ XT1.5RTQ MT BS6PH2</t>
  </si>
  <si>
    <t>ALTROZ XZ+ S1.2 CNG BS6PH2</t>
  </si>
  <si>
    <t>ALTROZ XZ+S LUX 1.2 CNG 6AB</t>
  </si>
  <si>
    <t>ALTROZ XZ+S LUX DCA1.2P 6AB</t>
  </si>
  <si>
    <t>ALTROZ XE+1.5RTQ MT BS6PH2</t>
  </si>
  <si>
    <t>DIESEL</t>
  </si>
  <si>
    <t>ALTROZ XZ+S DRK1.5RTQ BS6PH2</t>
  </si>
  <si>
    <t>Altroz Diesel</t>
  </si>
  <si>
    <t>ALTROZ XE 1.2P BS6PH2</t>
  </si>
  <si>
    <t>PETROL</t>
  </si>
  <si>
    <t>54420000PTP020</t>
  </si>
  <si>
    <t>ALTROZ XT1.2P MT BS6PH2</t>
  </si>
  <si>
    <t>ALTROZ XZ1.2P TC MT BS6PH2</t>
  </si>
  <si>
    <t>54420000PTP024</t>
  </si>
  <si>
    <t>ALTROZ XZ+OS 1.2P BS6PH2</t>
  </si>
  <si>
    <t>ALTROZ XM+1.2P MT BS6PH2</t>
  </si>
  <si>
    <t>ALTROZ DCA XZ1.2P BS6PH2</t>
  </si>
  <si>
    <t>54420000PTP025</t>
  </si>
  <si>
    <t>ALTROZ XE1.2P MT BS6PH2</t>
  </si>
  <si>
    <t>ALTROZ XE+1.2P MT BS6PH2</t>
  </si>
  <si>
    <t>ALTROZ XZ+S 1.2P BS6PH2</t>
  </si>
  <si>
    <t>ALTROZ DCA XZ+S DRK1.2PBS6PH2</t>
  </si>
  <si>
    <t>ALTROZ DCA XZ+OS 1.2PBS6PH2</t>
  </si>
  <si>
    <t>ALTROZ XZ+S DRK 1.2P TCBS6PH2</t>
  </si>
  <si>
    <t>ALTROZ DCA XZ+S 1.2P BS6PH2</t>
  </si>
  <si>
    <t>ALTROZ XZ+S LUX 1.2P 6AB</t>
  </si>
  <si>
    <t>ALTROZ XZ+SLUXD DCA1.2P6AB</t>
  </si>
  <si>
    <t>ALTROZ XZ+S DRK 1.2P BS6PH2</t>
  </si>
  <si>
    <t>ALTROZ DCA XM+S 1.2P BS6PH2</t>
  </si>
  <si>
    <t>ALTROZ XM 1.2P BS6 PH2</t>
  </si>
  <si>
    <t>ALTROZ XZ+S LUX D 1.2P 6AB</t>
  </si>
  <si>
    <t>ALTROZ XM S 1.2P BS6 PH2</t>
  </si>
  <si>
    <t>ALTROZ XT 1.2P BS6PH2</t>
  </si>
  <si>
    <t>ALTROZ DCA XM+1.2P BS6PH2</t>
  </si>
  <si>
    <t>ALTROZ XZ+S 1.2P TC BS6PH2</t>
  </si>
  <si>
    <t>ALTROZ RACER R3 1.2P TC 6AB</t>
  </si>
  <si>
    <t>54420000PTP021</t>
  </si>
  <si>
    <t>ALTROZ RACER R2 1.2P TC 6AB</t>
  </si>
  <si>
    <t>ALTROZ RACER R1 1.2P TC 6AB</t>
  </si>
  <si>
    <t>ALTROZ XZ+OS 1.2P 6AB</t>
  </si>
  <si>
    <t>ALTROZ DCA XT1.2P BS6PH2</t>
  </si>
  <si>
    <t>ALTROZ DCA XT1.2P DRK BS6PH2</t>
  </si>
  <si>
    <t>ALTROZ DCA XZ+1.2P DRK BS6PH2</t>
  </si>
  <si>
    <t>ALTROZ XT1.2P MT DRK BS6PH2</t>
  </si>
  <si>
    <t>ALTROZ XT1.2P TC MT DRK BS6PH2</t>
  </si>
  <si>
    <t>ALTROZ XM+S 1.2P TC BS6PH2</t>
  </si>
  <si>
    <t>Petrol</t>
  </si>
  <si>
    <t>ALTROZ DCA XZ+1.2P BS6PH2</t>
  </si>
  <si>
    <t>ALTROZ XT1.2P TC MT BS6PH2</t>
  </si>
  <si>
    <t>ALTROZ XZ+OS 1.2P TC BS6PH2</t>
  </si>
  <si>
    <t>Altroz Petrol</t>
  </si>
  <si>
    <t>CNG</t>
  </si>
  <si>
    <t>54420000PTP028</t>
  </si>
  <si>
    <t>ALTROZ XZ+OS 1.2 CNG 6AB</t>
  </si>
  <si>
    <t>Altroz  CNG</t>
  </si>
  <si>
    <t>PUNCH ACC1.2P AMT DZ BS6PH2</t>
  </si>
  <si>
    <t>54450000PTP026</t>
  </si>
  <si>
    <t>54450000PTP021</t>
  </si>
  <si>
    <t>PUNCH CRE1.2P AMT NS BS6PH2</t>
  </si>
  <si>
    <t>PUNCH CRE 1.2P MT NS BS6PH2</t>
  </si>
  <si>
    <t>PUNCH PUR 1.2P MT BS6PH2</t>
  </si>
  <si>
    <t>PUNCH ACC + S 1.2P AMT</t>
  </si>
  <si>
    <t>PUNCH ADV S 1.2P AMT</t>
  </si>
  <si>
    <t>PUNCH ACC + 1.2P AMT</t>
  </si>
  <si>
    <t>PUNCH CRE + 1.2P MT</t>
  </si>
  <si>
    <t>PUNCH CRE + 1.2P AMT</t>
  </si>
  <si>
    <t>PUNCH ADV + S 1.2P MT</t>
  </si>
  <si>
    <t>PUNCH ADV 1.2P MT</t>
  </si>
  <si>
    <t>Total NOVA</t>
  </si>
  <si>
    <t>Inward Till</t>
  </si>
  <si>
    <t>Total ETURNA</t>
  </si>
  <si>
    <t>ALTROZ ACCOMP+ 1.2L CNG MT</t>
  </si>
  <si>
    <t>54420227A</t>
  </si>
  <si>
    <t>ALTROZ ACCOMP+ 1.2L DCT</t>
  </si>
  <si>
    <t>54428126A</t>
  </si>
  <si>
    <t>ALTROZ ACCOMP+ 1.2L NA MT</t>
  </si>
  <si>
    <t>54429826A</t>
  </si>
  <si>
    <t>54422327A</t>
  </si>
  <si>
    <t>ALTROZ ACC+LUX(O)1.2LDCA6AB</t>
  </si>
  <si>
    <t>54424827A</t>
  </si>
  <si>
    <t>PRODUCT FAMILY</t>
  </si>
  <si>
    <t>ETURNA</t>
  </si>
  <si>
    <t>GRAVITAS</t>
  </si>
  <si>
    <t>HORNBILL</t>
  </si>
  <si>
    <t>NOVA</t>
  </si>
  <si>
    <t>Q5</t>
  </si>
  <si>
    <t>54424826A</t>
  </si>
  <si>
    <t>54420627A</t>
  </si>
  <si>
    <t>54420528A</t>
  </si>
  <si>
    <t>ALTROZ FEARLS+ S 1.2L NA MT</t>
  </si>
  <si>
    <t>ALTROZ FEARLS S 1.2L NA MT</t>
  </si>
  <si>
    <t>ALTROZ FEARLS+ 1.2L CNG MT</t>
  </si>
  <si>
    <t>N/A</t>
  </si>
  <si>
    <t>Already Implemented</t>
  </si>
  <si>
    <t>Total VC</t>
  </si>
  <si>
    <t>Total Part</t>
  </si>
  <si>
    <t>New Part</t>
  </si>
  <si>
    <t>ECN</t>
  </si>
  <si>
    <t>Altroz-SBR</t>
  </si>
  <si>
    <t>Family</t>
  </si>
  <si>
    <t>TML P/N</t>
  </si>
  <si>
    <t>D_P_N</t>
  </si>
  <si>
    <t>SBR New Part</t>
  </si>
  <si>
    <t xml:space="preserve">Status SBR </t>
  </si>
  <si>
    <t>Main</t>
  </si>
  <si>
    <t>SBR implemented</t>
  </si>
  <si>
    <t xml:space="preserve">Part no change </t>
  </si>
  <si>
    <t>Main(CNG)</t>
  </si>
  <si>
    <t xml:space="preserve">Carryover in SBR </t>
  </si>
  <si>
    <t>Roof</t>
  </si>
  <si>
    <t>Tweeter</t>
  </si>
  <si>
    <t>Fuel pump</t>
  </si>
  <si>
    <t>Bumper</t>
  </si>
  <si>
    <t>Battery+ve</t>
  </si>
  <si>
    <t>Battery -ve</t>
  </si>
  <si>
    <t>Body Earth</t>
  </si>
  <si>
    <t>No WH Change</t>
  </si>
  <si>
    <t>Stock as per Taco</t>
  </si>
  <si>
    <t>Rev</t>
  </si>
  <si>
    <t>C</t>
  </si>
  <si>
    <t>D-2 C-9 A-2</t>
  </si>
  <si>
    <t>A</t>
  </si>
  <si>
    <t>D1</t>
  </si>
  <si>
    <t>D</t>
  </si>
  <si>
    <t>F</t>
  </si>
  <si>
    <t>E</t>
  </si>
  <si>
    <t>NR1-8  E-1</t>
  </si>
  <si>
    <t>NR1</t>
  </si>
  <si>
    <t>NR1-6 E-1</t>
  </si>
  <si>
    <t>54424527A</t>
  </si>
  <si>
    <t>Punch Cockpit Status</t>
  </si>
  <si>
    <t>Morning Float</t>
  </si>
  <si>
    <t>Fresh Lifting</t>
  </si>
  <si>
    <t>Total Plan</t>
  </si>
  <si>
    <t>Coverage</t>
  </si>
  <si>
    <t>Shortfall Against Morning Float</t>
  </si>
  <si>
    <t>Shortfall Against 1st Shift Lifting</t>
  </si>
  <si>
    <t>Shortfall Against 2nd Shift Lifting</t>
  </si>
  <si>
    <t>Transit in Dispatch</t>
  </si>
  <si>
    <t>ALTROZ ACCOMP S DMT</t>
  </si>
  <si>
    <t>54424327A</t>
  </si>
  <si>
    <t>54428127A</t>
  </si>
  <si>
    <t>54429027A</t>
  </si>
  <si>
    <t>54426727A</t>
  </si>
  <si>
    <t>ALTROZ CRTV PAMT</t>
  </si>
  <si>
    <t>54424927A</t>
  </si>
  <si>
    <t>54425027A</t>
  </si>
  <si>
    <t>ALTROZ PURE PMT</t>
  </si>
  <si>
    <t>54425127A</t>
  </si>
  <si>
    <t xml:space="preserve">ALTROZ ACC S 1.5L RTQ </t>
  </si>
  <si>
    <t>54424926A</t>
  </si>
  <si>
    <t>ALTROZ ACC S 1.2L  MT</t>
  </si>
  <si>
    <t>ALTROZ FRL(O)1.5L RTQ 6AB</t>
  </si>
  <si>
    <t>54425827A</t>
  </si>
  <si>
    <t>ALTROZ FRL+(O)1.5L RTQ 6AB</t>
  </si>
  <si>
    <t>54425927A</t>
  </si>
  <si>
    <t>ALTROZ FRL+(O)1.2L  MT 6AB</t>
  </si>
  <si>
    <t>54424726A</t>
  </si>
  <si>
    <t>ALTROZ ACC 1.2L CNG MT</t>
  </si>
  <si>
    <t>54423127A</t>
  </si>
  <si>
    <t>ALTROZ FRLS+ S 1.5L RTQ</t>
  </si>
  <si>
    <t>ALTROZ FRL+ 1.2L CNG MT</t>
  </si>
  <si>
    <t>54422927A</t>
  </si>
  <si>
    <t xml:space="preserve">ALTROZ FRL+ 1.5L RTQ </t>
  </si>
  <si>
    <t>54425826A</t>
  </si>
  <si>
    <t>ALTROZ ACC 1.2L  MT</t>
  </si>
  <si>
    <t>54423227A</t>
  </si>
  <si>
    <t xml:space="preserve">ALTROZ ACC 1.5L RTQ </t>
  </si>
  <si>
    <t>54421427A</t>
  </si>
  <si>
    <t>ALTROZ FRL 1.2L MT</t>
  </si>
  <si>
    <t>54422627A</t>
  </si>
  <si>
    <t>ALTROZ FRL 1.5L RTQ</t>
  </si>
  <si>
    <t>54422827A</t>
  </si>
  <si>
    <t xml:space="preserve">ALTROZ FRL S 1.5L RTQ </t>
  </si>
  <si>
    <t>54428326A</t>
  </si>
  <si>
    <t>ALTROZ PURE 1.2L  MT</t>
  </si>
  <si>
    <t>54421827A</t>
  </si>
  <si>
    <t>ALTROZ SMART 1.2L MT</t>
  </si>
  <si>
    <t>54422527A</t>
  </si>
  <si>
    <t>ALTROZ PURE 1.2L CNG</t>
  </si>
  <si>
    <t>54424727A</t>
  </si>
  <si>
    <t>ALTROZ ACC S (O)1.2L MT 6AB</t>
  </si>
  <si>
    <t>54424627A</t>
  </si>
  <si>
    <t>ALTROZ ACC S(O)1.5LRTQ 6AB</t>
  </si>
  <si>
    <t>54424427A</t>
  </si>
  <si>
    <t>ALTROZ ACC S(O)1.2CNG MT6AB</t>
  </si>
  <si>
    <t>54424127A</t>
  </si>
  <si>
    <t>ALTROZ ACC(O)1.2L DCA 6AB</t>
  </si>
  <si>
    <t>ALTROZ ACC(O)1.2L  MT 6AB</t>
  </si>
  <si>
    <t>54424227A</t>
  </si>
  <si>
    <t>ALTROZ ACC(O)1.5L RTQ 6AB</t>
  </si>
  <si>
    <t>54426327A</t>
  </si>
  <si>
    <t>ALTROZ FRL+S(O)1.2L  MT 6AB</t>
  </si>
  <si>
    <t>54425627A</t>
  </si>
  <si>
    <t>ALTROZ FRL+(O)1.2L CNGMT6AB</t>
  </si>
  <si>
    <t>54425527A</t>
  </si>
  <si>
    <t>ALTROZ FRL S(O)1.2L MT 6AB</t>
  </si>
  <si>
    <t>54425427A</t>
  </si>
  <si>
    <t>ALTROZ FRL S(O)1.5L RTQ 6AB</t>
  </si>
  <si>
    <t>ALTROZ FRL(O)1.2L CNG MT6AB</t>
  </si>
  <si>
    <t>54425227A</t>
  </si>
  <si>
    <t>ALTROZ FRL S(O)1.2LCNGMT6AB</t>
  </si>
  <si>
    <t>54426627A</t>
  </si>
  <si>
    <t>ALTROZ PURE(O) 1.2L  MT 6AB</t>
  </si>
  <si>
    <t>ALTROZ SMART(O) 1.2L MT 6AB</t>
  </si>
  <si>
    <t>54426427A</t>
  </si>
  <si>
    <t>ALTROZ PURE(O) 1.2L CNG 6AB</t>
  </si>
  <si>
    <t>54428227A</t>
  </si>
  <si>
    <t>ALTROZ ACC S(O)1.2L DCA 6AB</t>
  </si>
  <si>
    <t>54420328A</t>
  </si>
  <si>
    <t>ALTROZ SMART CNG MT</t>
  </si>
  <si>
    <t>ALTROZ FRLS S 1.2L NA MT</t>
  </si>
  <si>
    <t>ALTROZ CRTV S P AMT</t>
  </si>
  <si>
    <t>5442A127A</t>
  </si>
  <si>
    <t>ALTROZ ACC 1.2L DCA</t>
  </si>
  <si>
    <t>54421A27A</t>
  </si>
  <si>
    <t>ALTROZ FRL 1.2L CNG MT</t>
  </si>
  <si>
    <t>54425A26A</t>
  </si>
  <si>
    <t>ALTROZ ACC S 1.2L DCA</t>
  </si>
  <si>
    <t>54424526A</t>
  </si>
  <si>
    <t>ALTROZ ACC S 1.2L CNG MT</t>
  </si>
  <si>
    <t>5442A227A</t>
  </si>
  <si>
    <t>ALTROZ ACC+S(O)1.2LCNGMT6AB</t>
  </si>
  <si>
    <t>5442A627A</t>
  </si>
  <si>
    <t>5442A427A</t>
  </si>
  <si>
    <t>ALTROZ FRLS S 1.2L CNG MT</t>
  </si>
  <si>
    <t>5442A927A</t>
  </si>
  <si>
    <t>ALTROZ FRL+ 1.2L DCA</t>
  </si>
  <si>
    <t>5442A827A</t>
  </si>
  <si>
    <t>ALTROZ FRL+ 1.2L  MT</t>
  </si>
  <si>
    <t>54429926A</t>
  </si>
  <si>
    <t>ALTROZ FRL+ S 1.2L DCA</t>
  </si>
  <si>
    <t>5442A527A</t>
  </si>
  <si>
    <t>ALTROZ FRL+ S 1.2L  MT</t>
  </si>
  <si>
    <t>54424A27A</t>
  </si>
  <si>
    <t>ALTROZ ACC(O)1.2L CNG MT6AB</t>
  </si>
  <si>
    <t>54422427A</t>
  </si>
  <si>
    <t>ALTROZ PURE 1.2L DCA</t>
  </si>
  <si>
    <t>54422727A</t>
  </si>
  <si>
    <t>ALTROZ FRL S 1.2L DCA</t>
  </si>
  <si>
    <t>54426A27A</t>
  </si>
  <si>
    <t>ALTROZ FRL+S(O)1.2LCNGMT6AB</t>
  </si>
  <si>
    <t>54425A27A</t>
  </si>
  <si>
    <t>54426227A</t>
  </si>
  <si>
    <t>ALTROZ FRL+S(O)1.5L RTQ 6AB</t>
  </si>
  <si>
    <t>54428627A</t>
  </si>
  <si>
    <t>ALTROZ PURE(O) 1.2L DCA 6AB</t>
  </si>
  <si>
    <t>54428327A</t>
  </si>
  <si>
    <t>ALTROZ FRL S(O)1.2L DCA 6AB</t>
  </si>
  <si>
    <t>Sr No </t>
  </si>
  <si>
    <t>Material</t>
  </si>
  <si>
    <t>Material Description</t>
  </si>
  <si>
    <t>Qty </t>
  </si>
  <si>
    <t>Remark </t>
  </si>
  <si>
    <t>WH MAIN_Accomplished + (NA+CNG)</t>
  </si>
  <si>
    <t>(As discussed With Aptive Qre and 02 wiring are 34 connector Aviblae But required 24 connector)</t>
  </si>
  <si>
    <t>WH MAIN</t>
  </si>
  <si>
    <t>(As discussed With Aptive Qre and 09 wiring are 34 connector Aviblae But required 24 connector)</t>
  </si>
  <si>
    <t>(As discussed With Aptive Qre and 12 wiring are 34 connector Aviblae But required 24 connector)</t>
  </si>
  <si>
    <t>(wiring are 34 connector Available But required 24 connector)</t>
  </si>
  <si>
    <t>NOK</t>
  </si>
  <si>
    <t>Net Opening</t>
  </si>
  <si>
    <t>VIN Done</t>
  </si>
  <si>
    <t>Inwarded</t>
  </si>
  <si>
    <t>Fresh VIN Opening</t>
  </si>
  <si>
    <t>ALTROZ PURE PAMT</t>
  </si>
  <si>
    <t>54425327A</t>
  </si>
  <si>
    <t>ALTROZ PURE S PAMT</t>
  </si>
  <si>
    <t>54858024A</t>
  </si>
  <si>
    <t>54858124A</t>
  </si>
  <si>
    <t>54857924A</t>
  </si>
  <si>
    <t>54858224A</t>
  </si>
  <si>
    <t>54858424A</t>
  </si>
  <si>
    <t>SA</t>
  </si>
  <si>
    <r>
      <t>Altroz XZ+, XZ+ DARK, XZ+ TC</t>
    </r>
    <r>
      <rPr>
        <b/>
        <sz val="16"/>
        <rFont val="Calibri"/>
        <family val="2"/>
        <scheme val="minor"/>
      </rPr>
      <t xml:space="preserve"> </t>
    </r>
  </si>
  <si>
    <t>54424027A</t>
  </si>
  <si>
    <t>ALTROZ CRTV CNG MT</t>
  </si>
  <si>
    <t>54427027A</t>
  </si>
  <si>
    <t>ALTROZ ACCOMP S CNG AMT</t>
  </si>
  <si>
    <t>54976524A</t>
  </si>
  <si>
    <t>FRONT</t>
  </si>
  <si>
    <t>Punch Front Status</t>
  </si>
  <si>
    <t>54974424A</t>
  </si>
  <si>
    <t>54976724A</t>
  </si>
  <si>
    <t>54971124A</t>
  </si>
  <si>
    <t>54974824A</t>
  </si>
  <si>
    <t/>
  </si>
  <si>
    <t>54971724A</t>
  </si>
  <si>
    <t>54972124A</t>
  </si>
  <si>
    <t>54971824A</t>
  </si>
  <si>
    <t>54972224A</t>
  </si>
  <si>
    <t>54972624A</t>
  </si>
  <si>
    <t>54973324A</t>
  </si>
  <si>
    <t>54973424A</t>
  </si>
  <si>
    <t>54973824A</t>
  </si>
  <si>
    <t>54973924A</t>
  </si>
  <si>
    <t>54974024A</t>
  </si>
  <si>
    <t>54974624A</t>
  </si>
  <si>
    <t>54975024A</t>
  </si>
  <si>
    <t>54975824A</t>
  </si>
  <si>
    <t>54976224A</t>
  </si>
  <si>
    <t>54970924A</t>
  </si>
  <si>
    <t>54975924A</t>
  </si>
  <si>
    <t>54971024A</t>
  </si>
  <si>
    <t>54971424A</t>
  </si>
  <si>
    <t>54971524A</t>
  </si>
  <si>
    <t>54976124A</t>
  </si>
  <si>
    <t>PUNCH ACCOMP + S CNG AMT</t>
  </si>
  <si>
    <t>PUNCH ACCOMP + S PAMT</t>
  </si>
  <si>
    <t>Balance To Inward</t>
  </si>
  <si>
    <t>Balance To Inward (under cutoff Punch MCE)</t>
  </si>
  <si>
    <t>54972724A</t>
  </si>
  <si>
    <t>54972824A</t>
  </si>
  <si>
    <t>54973224A</t>
  </si>
  <si>
    <t>PUNCH PURE + S CNG MT</t>
  </si>
  <si>
    <t>PUNCH PURE + S PAMT</t>
  </si>
  <si>
    <t>1.2 NGNA AMT</t>
  </si>
  <si>
    <t>Balance to Inward</t>
  </si>
  <si>
    <t>WH MAIN ADV_1.2P_MT</t>
  </si>
  <si>
    <t>APTIV COMPONENTS</t>
  </si>
  <si>
    <t>-   MAT634132SPPG9760</t>
  </si>
  <si>
    <t>WH MAIN X445 PURE CNG</t>
  </si>
  <si>
    <t>WH MAIN ADV 1.2 CNG RT</t>
  </si>
  <si>
    <t>WH MAIN ADV+S_1.2P_MT RT</t>
  </si>
  <si>
    <t>WH MAIN ADV_1.2_CNG</t>
  </si>
  <si>
    <t>WH MAIN BASE X445 PUR_1.2P_MT</t>
  </si>
  <si>
    <t>WH MAIN ADV_1.2P_AMT_RT</t>
  </si>
  <si>
    <t>WH MAIN X445 ADV CNG SR RT MT</t>
  </si>
  <si>
    <t>WH MAIN X445 ADV_AMT_SR-</t>
  </si>
  <si>
    <t>WH MAIN X445 PUR O 1.2P MT</t>
  </si>
  <si>
    <t>X445_WH MAIN ADV_1.2P_MT_SR</t>
  </si>
  <si>
    <t>WH MAIN X445 ACC_DZ_CNG </t>
  </si>
  <si>
    <t>WH MAIN X445 ACC 1.2P MT SR DZ </t>
  </si>
  <si>
    <t>WH MAIN ADV_1.2P_AMT</t>
  </si>
  <si>
    <t>WH MAIN X445 ADV 1.2P AMT SR RT</t>
  </si>
  <si>
    <t>WH MAIN X445 ADV CNG SR MT</t>
  </si>
  <si>
    <t>WH MAIN X445 ACC_DZ_AMT_SR</t>
  </si>
  <si>
    <t>WH MAIN X445 ACC 1.2CNG SR DZ CAMO</t>
  </si>
  <si>
    <t>X445_WH_MAIN_CRE_1.2P_AMT_SR</t>
  </si>
  <si>
    <t>WH MAIN X445 ADV_AMT_SR</t>
  </si>
  <si>
    <t>X445_MAIN WH_CRE_1.2P_MT_NS MY 24</t>
  </si>
  <si>
    <t>WH MAIN X445 ACC_DZ_AMT_SR-</t>
  </si>
  <si>
    <t>X445_WH Main High+_ CRE_1.2P_MT_SR</t>
  </si>
  <si>
    <t>X445_WH MAIN ACC_DZ_1.2P_MT</t>
  </si>
  <si>
    <t>WH MAIN X445 ACC_DZ_AMT_SR_</t>
  </si>
  <si>
    <t>X451_MCE_WH MAIN_FRL(O)1.5L RTQ 6AB</t>
  </si>
  <si>
    <t>X451_MCE_WH MAIN_  ALTROZ SMART CNG MT</t>
  </si>
  <si>
    <t>X451_MCE_WH MAIN_DSL NGNA ACCOMP S(O)</t>
  </si>
  <si>
    <t>X451_MCE ALTROZ ACC+LUX(O)1.2LDCA6AB</t>
  </si>
  <si>
    <t>X451_MCE_WH MAIN_FRL(O)1.2L CNG MT6AB</t>
  </si>
  <si>
    <t>X451_MCE_WH MAIN_FRL S(O)1.5L RTQ 6AB</t>
  </si>
  <si>
    <t>X451_MCE_WH MAIN_FRL S(O)1.2L AMT 6AB</t>
  </si>
  <si>
    <t>X451_MCE_WH MAIN_  ACC(O)1.2L CNG MT6AB</t>
  </si>
  <si>
    <t>X451_MCE_WH MAIN_FRL S(O)1.2LCNGMT 6AB</t>
  </si>
  <si>
    <t>X451_MCE_WH MAIN_ACC S(O)1.2L DCA 6AB</t>
  </si>
  <si>
    <t>X451_MCE_WH MAIN_ ACC S(O)1.2CNG MT6AB</t>
  </si>
  <si>
    <t>X451_MCE_WH MAIN_ FRL(O) 1.2L AMT 6AB</t>
  </si>
  <si>
    <t>X451_MCE_WH MAIN_ACC S(O)1.2L AMT 6AB</t>
  </si>
  <si>
    <t>WH- MAIN X451 BS6 DOM PET DSL XZ, XZ(TC)</t>
  </si>
  <si>
    <t>X451_MCE_WH MAIN_ ACC(O)1.2L  MT 6AB</t>
  </si>
  <si>
    <t>ALTROZ MCE _WH MAIN_Accom + (NA+CNG)</t>
  </si>
  <si>
    <t>ALTROZ_MCE_WH_ALTROZ ACCOMP+ 1.2L NA MT</t>
  </si>
  <si>
    <t>X451_MCE_WH MAIN_ACC(O)1.2L AMT 6AB_1</t>
  </si>
  <si>
    <t>X451_MCE_WH MAIN_SMART(O) 1.2L MT 6AB</t>
  </si>
  <si>
    <t>PUNCH ACCOMP PAMT</t>
  </si>
  <si>
    <t>PUNCH ACCOMP + S TC MT</t>
  </si>
  <si>
    <t>Balance to inward</t>
  </si>
  <si>
    <t>PUNCH ADVT S CNG MT</t>
  </si>
  <si>
    <t>PUNCH ACCOMP CNG MT</t>
  </si>
  <si>
    <t>PUNCH ADVT S CNG AMT</t>
  </si>
  <si>
    <t>PUNCH ACCOMP PMT</t>
  </si>
  <si>
    <t>PUNCH ADVT PMT</t>
  </si>
  <si>
    <t>PUNCH PURE + PAMT</t>
  </si>
  <si>
    <t>PUNCH PURE CNG MT</t>
  </si>
  <si>
    <t>VCNo</t>
  </si>
  <si>
    <t>54856224R</t>
  </si>
  <si>
    <t>PUNCH CRE+ 1.2P FLFU MT</t>
  </si>
  <si>
    <t>PUNCH SMART PMT</t>
  </si>
  <si>
    <t>PUNCH SMART CNG MT</t>
  </si>
  <si>
    <t>PUNCH PURE PMT</t>
  </si>
  <si>
    <t>PUNCH PURE + PMT</t>
  </si>
  <si>
    <t>PUNCH PURE + CNG MT</t>
  </si>
  <si>
    <t>PUNCH PURE + CNG AMT</t>
  </si>
  <si>
    <t>PUNCH PURE + S PMT</t>
  </si>
  <si>
    <t>PUNCH ADVT PAMT</t>
  </si>
  <si>
    <t>PUNCH ADVT CNG MT</t>
  </si>
  <si>
    <t>PUNCH ADVT CNG AMT</t>
  </si>
  <si>
    <t>PUNCH ADVT TC MT</t>
  </si>
  <si>
    <t>PUNCH ADVT S PMT</t>
  </si>
  <si>
    <t>PUNCH ACCOMP + S PMT</t>
  </si>
  <si>
    <t>PUNCH CRE+ LUX 1.2P Flex MT</t>
  </si>
  <si>
    <t>54970424A</t>
  </si>
  <si>
    <t>54970624A</t>
  </si>
  <si>
    <t>54971224A</t>
  </si>
  <si>
    <t>54971324A</t>
  </si>
  <si>
    <t>54975424A</t>
  </si>
  <si>
    <t>54976024A</t>
  </si>
  <si>
    <t>Balance To Prdn</t>
  </si>
  <si>
    <t>Balance to prdn</t>
  </si>
  <si>
    <t>54680724A</t>
  </si>
  <si>
    <t>54680824A</t>
  </si>
  <si>
    <t>54680924A</t>
  </si>
  <si>
    <t>54681024A</t>
  </si>
  <si>
    <t>54681124A</t>
  </si>
  <si>
    <t>54682124A</t>
  </si>
  <si>
    <t>54682324A</t>
  </si>
  <si>
    <t>54682924A</t>
  </si>
  <si>
    <t>54683024A</t>
  </si>
  <si>
    <t>54683224A</t>
  </si>
  <si>
    <t>54683324A</t>
  </si>
  <si>
    <t>54683424A</t>
  </si>
  <si>
    <t>Taco Mail 31.12.2025</t>
  </si>
  <si>
    <t>54683524A</t>
  </si>
  <si>
    <t>Part Number</t>
  </si>
  <si>
    <t>Plant</t>
  </si>
  <si>
    <t>Movement Type</t>
  </si>
  <si>
    <t>Posting Date</t>
  </si>
  <si>
    <t>Time of Entry</t>
  </si>
  <si>
    <t>Material Document</t>
  </si>
  <si>
    <t>Quantity</t>
  </si>
  <si>
    <t>Amount in LC</t>
  </si>
  <si>
    <t>Storage Location</t>
  </si>
  <si>
    <t>User name</t>
  </si>
  <si>
    <t>Text</t>
  </si>
  <si>
    <t>Reason for Movement</t>
  </si>
  <si>
    <t>Cost Center</t>
  </si>
  <si>
    <t>Vendor</t>
  </si>
  <si>
    <t>Reference</t>
  </si>
  <si>
    <t>54686824A</t>
  </si>
  <si>
    <t>MCE LR</t>
  </si>
  <si>
    <t>MCE EV LR</t>
  </si>
  <si>
    <t>ALTROZ PURE S PMT</t>
  </si>
  <si>
    <t>ALTROZ CRTV S PMT</t>
  </si>
  <si>
    <t>Part no</t>
  </si>
  <si>
    <t>54420427A</t>
  </si>
  <si>
    <t>ALTROZ PURE CNG MT</t>
  </si>
  <si>
    <t>ALTROZ CRTV PMT</t>
  </si>
  <si>
    <t>ALTROZ CRTV S CNG MT</t>
  </si>
  <si>
    <t>ALTROZ CRTV S PAMT</t>
  </si>
  <si>
    <t>ALTROZ CRTV S DMT</t>
  </si>
  <si>
    <t>ALTROZ SMART PMT</t>
  </si>
  <si>
    <t>ALTROZ ACCOMP S PMT</t>
  </si>
  <si>
    <t>54686324A</t>
  </si>
  <si>
    <t>54686724A</t>
  </si>
  <si>
    <t>54684124A</t>
  </si>
  <si>
    <t>PUNCH.EV EMP+ S 40</t>
  </si>
  <si>
    <t>54686224A</t>
  </si>
  <si>
    <t>54684224A</t>
  </si>
  <si>
    <t>`</t>
  </si>
  <si>
    <t>Altroz</t>
  </si>
  <si>
    <t>Punch MCE</t>
  </si>
  <si>
    <t>Punch PRE-MCE</t>
  </si>
  <si>
    <t>Altroz Cockpit Summary</t>
  </si>
  <si>
    <t>Altroz Front Summary</t>
  </si>
  <si>
    <t>Punch MCE Cockpit Summary</t>
  </si>
  <si>
    <t>Punch MCE Front Summary</t>
  </si>
  <si>
    <t>Eturna 4X2</t>
  </si>
  <si>
    <t>tk</t>
  </si>
  <si>
    <t>pa</t>
  </si>
  <si>
    <t>ap</t>
  </si>
  <si>
    <t>Taco Stock</t>
  </si>
  <si>
    <t>SAP inwading till</t>
  </si>
  <si>
    <t>HARRIER.EV FEA+ 75</t>
  </si>
  <si>
    <t>54731927A</t>
  </si>
  <si>
    <t>op</t>
  </si>
  <si>
    <t>MODEL</t>
  </si>
  <si>
    <t>VEHICLE CODE</t>
  </si>
  <si>
    <r>
      <t>Altroz XZ+, XZ+ DARK, XZ+ TC</t>
    </r>
    <r>
      <rPr>
        <b/>
        <sz val="12"/>
        <color theme="1"/>
        <rFont val="Calibri"/>
        <family val="2"/>
        <scheme val="minor"/>
      </rPr>
      <t xml:space="preserve"> </t>
    </r>
  </si>
  <si>
    <t>HARRIER.EV EMP 75</t>
  </si>
  <si>
    <t>54733127A</t>
  </si>
  <si>
    <t>18.05.2026</t>
  </si>
  <si>
    <t>17.05.2026</t>
  </si>
  <si>
    <t>867047</t>
  </si>
  <si>
    <t>634160</t>
  </si>
  <si>
    <t>634158</t>
  </si>
  <si>
    <t>867039</t>
  </si>
  <si>
    <t>867032</t>
  </si>
  <si>
    <t>867038</t>
  </si>
  <si>
    <t>867026</t>
  </si>
  <si>
    <t>634163</t>
  </si>
  <si>
    <t>634156</t>
  </si>
  <si>
    <t>634159</t>
  </si>
  <si>
    <t>634173</t>
  </si>
  <si>
    <t>634174</t>
  </si>
  <si>
    <t>634169</t>
  </si>
  <si>
    <t>833055</t>
  </si>
  <si>
    <t>833044</t>
  </si>
  <si>
    <t>833054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</si>
  <si>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</si>
  <si>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PUNCH.EV ADV 40</t>
  </si>
  <si>
    <t>54977124A</t>
  </si>
  <si>
    <t>54977024A</t>
  </si>
  <si>
    <t>54976924A</t>
  </si>
  <si>
    <t>TAYRONA</t>
  </si>
  <si>
    <t>SAFARI.EV7S EMP AWD 75 ACFC</t>
  </si>
  <si>
    <t>54831927A</t>
  </si>
  <si>
    <t>Total TAYRONA</t>
  </si>
  <si>
    <t>PUNCH.EV SMT+ 40</t>
  </si>
  <si>
    <t>867024</t>
  </si>
  <si>
    <t>634157</t>
  </si>
  <si>
    <t>634177</t>
  </si>
  <si>
    <t>634164</t>
  </si>
  <si>
    <t>867030</t>
  </si>
  <si>
    <t>867023</t>
  </si>
  <si>
    <t>867041</t>
  </si>
  <si>
    <t>1100</t>
  </si>
  <si>
    <t>101</t>
  </si>
  <si>
    <t>8403264861</t>
  </si>
  <si>
    <t>549754600131</t>
  </si>
  <si>
    <t>WH FRONT</t>
  </si>
  <si>
    <t>KA21</t>
  </si>
  <si>
    <t>Y60391</t>
  </si>
  <si>
    <t>NAB860618</t>
  </si>
  <si>
    <t>0</t>
  </si>
  <si>
    <t>2611037340</t>
  </si>
  <si>
    <t>8403266285</t>
  </si>
  <si>
    <t>2611037357</t>
  </si>
  <si>
    <t>8403266307</t>
  </si>
  <si>
    <t>AAD860617</t>
  </si>
  <si>
    <t>2611037370</t>
  </si>
  <si>
    <t>8403266283</t>
  </si>
  <si>
    <t>549754600133</t>
  </si>
  <si>
    <t>2611037356</t>
  </si>
  <si>
    <t>8403264865</t>
  </si>
  <si>
    <t>549754600139</t>
  </si>
  <si>
    <t>KA52</t>
  </si>
  <si>
    <t>2611037341</t>
  </si>
  <si>
    <t>8403266332</t>
  </si>
  <si>
    <t>2611037365</t>
  </si>
  <si>
    <t>8403266289</t>
  </si>
  <si>
    <t>549754600190</t>
  </si>
  <si>
    <t>2611037361</t>
  </si>
  <si>
    <t>8403266309</t>
  </si>
  <si>
    <t>549754600192</t>
  </si>
  <si>
    <t>2611037371</t>
  </si>
  <si>
    <t>8403266331</t>
  </si>
  <si>
    <t>2611037364</t>
  </si>
  <si>
    <t>8403266277</t>
  </si>
  <si>
    <t>549754600193</t>
  </si>
  <si>
    <t>2611037368</t>
  </si>
  <si>
    <t>8403266321</t>
  </si>
  <si>
    <t>549754600239</t>
  </si>
  <si>
    <t>2611037372</t>
  </si>
  <si>
    <t>8403266330</t>
  </si>
  <si>
    <t>549754600392</t>
  </si>
  <si>
    <t>2611037362</t>
  </si>
  <si>
    <t>8403266302</t>
  </si>
  <si>
    <t>549754600393</t>
  </si>
  <si>
    <t>2611037369</t>
  </si>
  <si>
    <t>8403266352</t>
  </si>
  <si>
    <t>549754610191</t>
  </si>
  <si>
    <t>2611037363</t>
  </si>
  <si>
    <t>8403274845</t>
  </si>
  <si>
    <t>CTPVCRDOKI06</t>
  </si>
  <si>
    <t>CMMPVKRUSHNA/03.07.2026/07:18:27</t>
  </si>
  <si>
    <t>2611037630</t>
  </si>
  <si>
    <t>8403276324</t>
  </si>
  <si>
    <t>CTPVCRDOKI05</t>
  </si>
  <si>
    <t>2611037656</t>
  </si>
  <si>
    <t>8403274841</t>
  </si>
  <si>
    <t>549754600132</t>
  </si>
  <si>
    <t>CMMPVKRUSHNA/03.07.2026/07:19:13</t>
  </si>
  <si>
    <t>2611037626</t>
  </si>
  <si>
    <t>8403276279</t>
  </si>
  <si>
    <t>2611037651</t>
  </si>
  <si>
    <t>8403274214</t>
  </si>
  <si>
    <t>CTPVCRDOKI02</t>
  </si>
  <si>
    <t>CMMPVKRUSHNA/03.07.2026/05:39:52</t>
  </si>
  <si>
    <t>2611037581</t>
  </si>
  <si>
    <t>8403274842</t>
  </si>
  <si>
    <t>CMMPVKRUSHNA/03.07.2026/07:19:03</t>
  </si>
  <si>
    <t>2611037627</t>
  </si>
  <si>
    <t>8403276326</t>
  </si>
  <si>
    <t>549754600134</t>
  </si>
  <si>
    <t>2611037657</t>
  </si>
  <si>
    <t>8403274848</t>
  </si>
  <si>
    <t>CMMPVKRUSHNA/03.07.2026/07:17:13</t>
  </si>
  <si>
    <t>2611037633</t>
  </si>
  <si>
    <t>8403276329</t>
  </si>
  <si>
    <t>2611037659</t>
  </si>
  <si>
    <t>8403276320</t>
  </si>
  <si>
    <t>2611037652</t>
  </si>
  <si>
    <t>8403274846</t>
  </si>
  <si>
    <t>CMMPVKRUSHNA/03.07.2026/07:18:14</t>
  </si>
  <si>
    <t>2611037631</t>
  </si>
  <si>
    <t>8403276322</t>
  </si>
  <si>
    <t>549754600238</t>
  </si>
  <si>
    <t>2611037654</t>
  </si>
  <si>
    <t>8403274847</t>
  </si>
  <si>
    <t>CMMPVKRUSHNA/03.07.2026/07:18:02</t>
  </si>
  <si>
    <t>2611037632</t>
  </si>
  <si>
    <t>8403276327</t>
  </si>
  <si>
    <t>2611037658</t>
  </si>
  <si>
    <t>8403274843</t>
  </si>
  <si>
    <t>CMMPVKRUSHNA/03.07.2026/07:18:51</t>
  </si>
  <si>
    <t>2611037628</t>
  </si>
  <si>
    <t>8403276321</t>
  </si>
  <si>
    <t>2611037653</t>
  </si>
  <si>
    <t>8403274844</t>
  </si>
  <si>
    <t>CMMPVKRUSHNA/03.07.2026/07:18:40</t>
  </si>
  <si>
    <t>2611037629</t>
  </si>
  <si>
    <t>8403276323</t>
  </si>
  <si>
    <t>2611037655</t>
  </si>
  <si>
    <t>634166</t>
  </si>
  <si>
    <t>z</t>
  </si>
  <si>
    <t>TK</t>
  </si>
  <si>
    <t>HARRIER.EV EMP 75WOWMU</t>
  </si>
  <si>
    <t>54738227A</t>
  </si>
  <si>
    <t>HARRIER.EV FEA+ 75WOWMU</t>
  </si>
  <si>
    <t>54735327A</t>
  </si>
  <si>
    <t>SAFARI7S A BS6 D ACC UL RDK</t>
  </si>
  <si>
    <t>56055027A</t>
  </si>
  <si>
    <t>634170</t>
  </si>
  <si>
    <t>833043</t>
  </si>
  <si>
    <t>HARRIER.EV ADV S 65</t>
  </si>
  <si>
    <t>54731427A</t>
  </si>
  <si>
    <t>HARRIER.EV ADV S 65WOWMU</t>
  </si>
  <si>
    <t>54734627A</t>
  </si>
  <si>
    <t>HARRIER M BS6 D PUR X</t>
  </si>
  <si>
    <t>56041327A</t>
  </si>
  <si>
    <t>CMMPVKRUSHNA/04.07.2026/05:12:23</t>
  </si>
  <si>
    <t>CMMPVKRUSHNA/04.07.2026/05:11:10</t>
  </si>
  <si>
    <t>CMMPVKRUSHNA/04.07.2026/05:12:32</t>
  </si>
  <si>
    <t>CMMPVKRUSHNA/04.07.2026/05:07:51</t>
  </si>
  <si>
    <t>CMMPVKRUSHNA/04.07.2026/05:06:52</t>
  </si>
  <si>
    <t>CMMPVKRUSHNA/04.07.2026/05:07:35</t>
  </si>
  <si>
    <t>CMMPVKRUSHNA/04.07.2026/05:06:22</t>
  </si>
  <si>
    <t>8403277892</t>
  </si>
  <si>
    <t>549754600130</t>
  </si>
  <si>
    <t>CTPVCRDOKI01</t>
  </si>
  <si>
    <t>CMMPVKRUSHNA/03.07.2026/13:52:15</t>
  </si>
  <si>
    <t>2611037716</t>
  </si>
  <si>
    <t>8403280505</t>
  </si>
  <si>
    <t>CMMPVKRUSHNA/03.07.2026/16:54:55</t>
  </si>
  <si>
    <t>2611037762</t>
  </si>
  <si>
    <t>8403295228</t>
  </si>
  <si>
    <t>CMMPVKRUSHNA/03.07.2026/22:58:18</t>
  </si>
  <si>
    <t>2611037948</t>
  </si>
  <si>
    <t>8403290267</t>
  </si>
  <si>
    <t>CMMPVKRUSHNA/03.07.2026/19:45:43</t>
  </si>
  <si>
    <t>2611037822</t>
  </si>
  <si>
    <t>8403295229</t>
  </si>
  <si>
    <t>CMMPVKRUSHNA/03.07.2026/22:58:25</t>
  </si>
  <si>
    <t>2611037949</t>
  </si>
  <si>
    <t>8403280500</t>
  </si>
  <si>
    <t>CMMPVKRUSHNA/03.07.2026/16:54:23</t>
  </si>
  <si>
    <t>2611037741</t>
  </si>
  <si>
    <t>8403277893</t>
  </si>
  <si>
    <t>CMMPVKRUSHNA/03.07.2026/13:51:40</t>
  </si>
  <si>
    <t>2611037717</t>
  </si>
  <si>
    <t>CMMPVKRUSHNA/03.07.2026/10:25:38</t>
  </si>
  <si>
    <t>CMMPVKRUSHNA/03.07.2026/10:26:31</t>
  </si>
  <si>
    <t>8403290261</t>
  </si>
  <si>
    <t>CMMPVKRUSHNA/03.07.2026/19:47:18</t>
  </si>
  <si>
    <t>2611037816</t>
  </si>
  <si>
    <t>8403290263</t>
  </si>
  <si>
    <t>CMMPVKRUSHNA/03.07.2026/19:46:07</t>
  </si>
  <si>
    <t>2611037818</t>
  </si>
  <si>
    <t>8403280455</t>
  </si>
  <si>
    <t>CMMPVKRUSHNA/03.07.2026/16:54:40</t>
  </si>
  <si>
    <t>2611037738</t>
  </si>
  <si>
    <t>CMMPVKRUSHNA/03.07.2026/10:25:29</t>
  </si>
  <si>
    <t>8403290268</t>
  </si>
  <si>
    <t>CMMPVKRUSHNA/03.07.2026/19:46:52</t>
  </si>
  <si>
    <t>2611037823</t>
  </si>
  <si>
    <t>8403290266</t>
  </si>
  <si>
    <t>549754600138</t>
  </si>
  <si>
    <t>CMMPVKRUSHNA/03.07.2026/19:47:26</t>
  </si>
  <si>
    <t>2611037821</t>
  </si>
  <si>
    <t>8403290310</t>
  </si>
  <si>
    <t>CMMPVKRUSHNA/03.07.2026/19:47:09</t>
  </si>
  <si>
    <t>2611037825</t>
  </si>
  <si>
    <t>8403280502</t>
  </si>
  <si>
    <t>CMMPVKRUSHNA/03.07.2026/16:55:03</t>
  </si>
  <si>
    <t>2611037743</t>
  </si>
  <si>
    <t>8403277894</t>
  </si>
  <si>
    <t>CMMPVKRUSHNA/03.07.2026/13:51:31</t>
  </si>
  <si>
    <t>2611037718</t>
  </si>
  <si>
    <t>CMMPVKRUSHNA/03.07.2026/10:25:10</t>
  </si>
  <si>
    <t>8403290262</t>
  </si>
  <si>
    <t>CMMPVKRUSHNA/03.07.2026/19:46:23</t>
  </si>
  <si>
    <t>2611037817</t>
  </si>
  <si>
    <t>8403280454</t>
  </si>
  <si>
    <t>CMMPVKRUSHNA/03.07.2026/16:54:05</t>
  </si>
  <si>
    <t>2611037737</t>
  </si>
  <si>
    <t>CMMPVKRUSHNA/03.07.2026/10:26:20</t>
  </si>
  <si>
    <t>8403290264</t>
  </si>
  <si>
    <t>CMMPVKRUSHNA/03.07.2026/19:45:58</t>
  </si>
  <si>
    <t>2611037819</t>
  </si>
  <si>
    <t>8403290265</t>
  </si>
  <si>
    <t>549754600194</t>
  </si>
  <si>
    <t>CMMPVKRUSHNA/03.07.2026/19:47:40</t>
  </si>
  <si>
    <t>2611037820</t>
  </si>
  <si>
    <t>CMMPVKRUSHNA/03.07.2026/10:26:00</t>
  </si>
  <si>
    <t>8403280457</t>
  </si>
  <si>
    <t>CMMPVKRUSHNA/03.07.2026/16:54:47</t>
  </si>
  <si>
    <t>2611037739</t>
  </si>
  <si>
    <t>8403277891</t>
  </si>
  <si>
    <t>CMMPVKRUSHNA/03.07.2026/13:51:50</t>
  </si>
  <si>
    <t>2611037715</t>
  </si>
  <si>
    <t>8403290269</t>
  </si>
  <si>
    <t>CMMPVKRUSHNA/03.07.2026/19:47:00</t>
  </si>
  <si>
    <t>2611037824</t>
  </si>
  <si>
    <t>8403280501</t>
  </si>
  <si>
    <t>CMMPVKRUSHNA/03.07.2026/16:54:14</t>
  </si>
  <si>
    <t>2611037742</t>
  </si>
  <si>
    <t>CMMPVKRUSHNA/03.07.2026/10:25:19</t>
  </si>
  <si>
    <t>CMMPVKRUSHNA/03.07.2026/10:26:10</t>
  </si>
  <si>
    <t>CMMPVKRUSHNA/03.07.2026/10:25:49</t>
  </si>
  <si>
    <t>8403280459</t>
  </si>
  <si>
    <t>CMMPVKRUSHNA/03.07.2026/16:54:33</t>
  </si>
  <si>
    <t>2611037740</t>
  </si>
  <si>
    <t>8403315049</t>
  </si>
  <si>
    <t>CMMPVKRUSHNA/04.07.2026/22:58:07</t>
  </si>
  <si>
    <t>2611038438</t>
  </si>
  <si>
    <t>8403313103</t>
  </si>
  <si>
    <t>CMMPVKRUSHNA/04.07.2026/19:59:48</t>
  </si>
  <si>
    <t>2611038360</t>
  </si>
  <si>
    <t>8403308573</t>
  </si>
  <si>
    <t>CMMPVKRUSHNA/04.07.2026/17:08:36</t>
  </si>
  <si>
    <t>2611038295</t>
  </si>
  <si>
    <t>8403303629</t>
  </si>
  <si>
    <t>CMMPVKRUSHNA/04.07.2026/13:48:32</t>
  </si>
  <si>
    <t>2611038179</t>
  </si>
  <si>
    <t>8403299371</t>
  </si>
  <si>
    <t>CMMPVKRUSHNA/04.07.2026/10:54:52</t>
  </si>
  <si>
    <t>2611038088</t>
  </si>
  <si>
    <t>8403308575</t>
  </si>
  <si>
    <t>CMMPVKRUSHNA/04.07.2026/17:08:15</t>
  </si>
  <si>
    <t>2611038296</t>
  </si>
  <si>
    <t>8403303710</t>
  </si>
  <si>
    <t>CMMPVKRUSHNA/04.07.2026/13:49:01</t>
  </si>
  <si>
    <t>2611038180</t>
  </si>
  <si>
    <t>8403299372</t>
  </si>
  <si>
    <t>CMMPVKRUSHNA/04.07.2026/10:53:55</t>
  </si>
  <si>
    <t>2611038089</t>
  </si>
  <si>
    <t>8403298773</t>
  </si>
  <si>
    <t>CMMPVKRUSHNA/04.07.2026/07:53:19</t>
  </si>
  <si>
    <t>2611038106</t>
  </si>
  <si>
    <t>8403303628</t>
  </si>
  <si>
    <t>CMMPVKRUSHNA/04.07.2026/13:49:20</t>
  </si>
  <si>
    <t>2611038178</t>
  </si>
  <si>
    <t>8403308571</t>
  </si>
  <si>
    <t>CMMPVKRUSHNA/04.07.2026/17:08:42</t>
  </si>
  <si>
    <t>2611038294</t>
  </si>
  <si>
    <t>8403300590</t>
  </si>
  <si>
    <t>CMMPVKRUSHNA/04.07.2026/11:58:22</t>
  </si>
  <si>
    <t>2611038125</t>
  </si>
  <si>
    <t>8403308577</t>
  </si>
  <si>
    <t>CMMPVKRUSHNA/04.07.2026/17:08:08</t>
  </si>
  <si>
    <t>2611038297</t>
  </si>
  <si>
    <t>8403303711</t>
  </si>
  <si>
    <t>CMMPVKRUSHNA/04.07.2026/13:48:41</t>
  </si>
  <si>
    <t>2611038181</t>
  </si>
  <si>
    <t>8403315070</t>
  </si>
  <si>
    <t>CMMPVKRUSHNA/04.07.2026/22:58:22</t>
  </si>
  <si>
    <t>2611038437</t>
  </si>
  <si>
    <t>8403315048</t>
  </si>
  <si>
    <t>CMMPVKRUSHNA/04.07.2026/22:58:13</t>
  </si>
  <si>
    <t>2611038439</t>
  </si>
  <si>
    <t>8403313104</t>
  </si>
  <si>
    <t>CMMPVKRUSHNA/04.07.2026/19:59:56</t>
  </si>
  <si>
    <t>2611038361</t>
  </si>
  <si>
    <t>8403308681</t>
  </si>
  <si>
    <t>CMMPVKRUSHNA/04.07.2026/17:07:59</t>
  </si>
  <si>
    <t>2611038299</t>
  </si>
  <si>
    <t>8403300592</t>
  </si>
  <si>
    <t>CMMPVKRUSHNA/04.07.2026/11:58:39</t>
  </si>
  <si>
    <t>2611038127</t>
  </si>
  <si>
    <t>8403298777</t>
  </si>
  <si>
    <t>CMMPVKRUSHNA/04.07.2026/07:53:43</t>
  </si>
  <si>
    <t>2611038108</t>
  </si>
  <si>
    <t>8403297401</t>
  </si>
  <si>
    <t>CMMPVKRUSHNA/04.07.2026/03:23:18</t>
  </si>
  <si>
    <t>2611038015</t>
  </si>
  <si>
    <t>8403300591</t>
  </si>
  <si>
    <t>CMMPVKRUSHNA/04.07.2026/11:58:31</t>
  </si>
  <si>
    <t>2611038126</t>
  </si>
  <si>
    <t>8403297379</t>
  </si>
  <si>
    <t>CMMPVKRUSHNA/04.07.2026/03:22:30</t>
  </si>
  <si>
    <t>2611038013</t>
  </si>
  <si>
    <t>8403308579</t>
  </si>
  <si>
    <t>CMMPVKRUSHNA/04.07.2026/17:08:27</t>
  </si>
  <si>
    <t>2611038298</t>
  </si>
  <si>
    <t>8403303712</t>
  </si>
  <si>
    <t>CMMPVKRUSHNA/04.07.2026/13:48:50</t>
  </si>
  <si>
    <t>2611038182</t>
  </si>
  <si>
    <t>8403298775</t>
  </si>
  <si>
    <t>CMMPVKRUSHNA/04.07.2026/07:53:35</t>
  </si>
  <si>
    <t>2611038107</t>
  </si>
  <si>
    <t>8403297400</t>
  </si>
  <si>
    <t>CMMPVKRUSHNA/04.07.2026/03:23:07</t>
  </si>
  <si>
    <t>2611038014</t>
  </si>
  <si>
    <t>8403298771</t>
  </si>
  <si>
    <t>CMMPVKRUSHNA/04.07.2026/07:53:51</t>
  </si>
  <si>
    <t>2611038105</t>
  </si>
  <si>
    <t>8403299370</t>
  </si>
  <si>
    <t>CMMPVKRUSHNA/04.07.2026/10:54:43</t>
  </si>
  <si>
    <t>2611038087</t>
  </si>
  <si>
    <t>8403319443</t>
  </si>
  <si>
    <t>CMMPVKRUSHNA/05.07.2026/09:41:08</t>
  </si>
  <si>
    <t>2611038587</t>
  </si>
  <si>
    <t>8403318770</t>
  </si>
  <si>
    <t>CMMPVKRUSHNA/05.07.2026/06:06:25</t>
  </si>
  <si>
    <t>2611038570</t>
  </si>
  <si>
    <t>8403319440</t>
  </si>
  <si>
    <t>CMMPVKRUSHNA/05.07.2026/09:40:49</t>
  </si>
  <si>
    <t>2611038585</t>
  </si>
  <si>
    <t>8403317715</t>
  </si>
  <si>
    <t>CMMPVKRUSHNA/05.07.2026/02:49:32</t>
  </si>
  <si>
    <t>2611038527</t>
  </si>
  <si>
    <t>8403318738</t>
  </si>
  <si>
    <t>CMMPVKRUSHNA/05.07.2026/06:05:48</t>
  </si>
  <si>
    <t>2611038568</t>
  </si>
  <si>
    <t>8403319442</t>
  </si>
  <si>
    <t>CMMPVKRUSHNA/05.07.2026/09:40:57</t>
  </si>
  <si>
    <t>2611038586</t>
  </si>
  <si>
    <t>8403317716</t>
  </si>
  <si>
    <t>CMMPVKRUSHNA/05.07.2026/02:49:41</t>
  </si>
  <si>
    <t>2611038528</t>
  </si>
  <si>
    <t>8403317204</t>
  </si>
  <si>
    <t>CMMPVKRUSHNA/05.07.2026/02:45:06</t>
  </si>
  <si>
    <t>2611038488</t>
  </si>
  <si>
    <t>8403318771</t>
  </si>
  <si>
    <t>CMMPVKRUSHNA/05.07.2026/06:06:35</t>
  </si>
  <si>
    <t>2611038571</t>
  </si>
  <si>
    <t>8403317717</t>
  </si>
  <si>
    <t>CMMPVKRUSHNA/05.07.2026/02:49:21</t>
  </si>
  <si>
    <t>2611038529</t>
  </si>
  <si>
    <t>8403319444</t>
  </si>
  <si>
    <t>CMMPVKRUSHNA/05.07.2026/09:41:16</t>
  </si>
  <si>
    <t>2611038588</t>
  </si>
  <si>
    <t>8403318775</t>
  </si>
  <si>
    <t>CMMPVKRUSHNA/05.07.2026/06:06:55</t>
  </si>
  <si>
    <t>2611038573</t>
  </si>
  <si>
    <t>8403317719</t>
  </si>
  <si>
    <t>CMMPVKRUSHNA/05.07.2026/02:49:50</t>
  </si>
  <si>
    <t>2611038531</t>
  </si>
  <si>
    <t>8403318739</t>
  </si>
  <si>
    <t>CMMPVKRUSHNA/05.07.2026/06:06:12</t>
  </si>
  <si>
    <t>2611038569</t>
  </si>
  <si>
    <t>8403318773</t>
  </si>
  <si>
    <t>CMMPVKRUSHNA/05.07.2026/06:06:44</t>
  </si>
  <si>
    <t>2611038572</t>
  </si>
  <si>
    <t>8403317718</t>
  </si>
  <si>
    <t>CMMPVKRUSHNA/05.07.2026/02:49:11</t>
  </si>
  <si>
    <t>2611038530</t>
  </si>
  <si>
    <t>8403317205</t>
  </si>
  <si>
    <t>CMMPVKRUSHNA/05.07.2026/02:44:58</t>
  </si>
  <si>
    <t>2611038489</t>
  </si>
  <si>
    <t>Description</t>
  </si>
  <si>
    <t xml:space="preserve">Quantity </t>
  </si>
  <si>
    <t>WH TMLPVBU X445 MAIN PUNCH MCE</t>
  </si>
  <si>
    <t>CTPVCRDOKI03</t>
  </si>
  <si>
    <t>8403322975</t>
  </si>
  <si>
    <t>CMMPVKRUSHNA/05.07.2026/18:34:13</t>
  </si>
  <si>
    <t>2611038655</t>
  </si>
  <si>
    <t>8403322973</t>
  </si>
  <si>
    <t>CMMPVKRUSHNA/05.07.2026/18:34:04</t>
  </si>
  <si>
    <t>2611038654</t>
  </si>
  <si>
    <t>8403328293</t>
  </si>
  <si>
    <t>CMMPVKRUSHNA/06.07.2026/14:45:41</t>
  </si>
  <si>
    <t>2611038797</t>
  </si>
  <si>
    <t>8403333476</t>
  </si>
  <si>
    <t>CMMPVKRUSHNA/06.07.2026/19:11:18</t>
  </si>
  <si>
    <t>2611038900</t>
  </si>
  <si>
    <t>8403328143</t>
  </si>
  <si>
    <t>CMMPVKRUSHNA/06.07.2026/14:03:20</t>
  </si>
  <si>
    <t>2611038775</t>
  </si>
  <si>
    <t>8403328294</t>
  </si>
  <si>
    <t>CMMPVKRUSHNA/06.07.2026/14:46:31</t>
  </si>
  <si>
    <t>2611038798</t>
  </si>
  <si>
    <t>8403328267</t>
  </si>
  <si>
    <t>CMMPVKRUSHNA/06.07.2026/14:46:21</t>
  </si>
  <si>
    <t>2611038793</t>
  </si>
  <si>
    <t>8403328139</t>
  </si>
  <si>
    <t>CMMPVKRUSHNA/06.07.2026/14:03:44</t>
  </si>
  <si>
    <t>2611038772</t>
  </si>
  <si>
    <t>8403328140</t>
  </si>
  <si>
    <t>CMMPVKRUSHNA/06.07.2026/14:03:30</t>
  </si>
  <si>
    <t>2611038773</t>
  </si>
  <si>
    <t>8403328268</t>
  </si>
  <si>
    <t>CMMPVKRUSHNA/06.07.2026/14:46:43</t>
  </si>
  <si>
    <t>2611038794</t>
  </si>
  <si>
    <t>8403328296</t>
  </si>
  <si>
    <t>CMMPVKRUSHNA/06.07.2026/14:46:09</t>
  </si>
  <si>
    <t>2611038799</t>
  </si>
  <si>
    <t>8403328291</t>
  </si>
  <si>
    <t>CMMPVKRUSHNA/06.07.2026/14:45:58</t>
  </si>
  <si>
    <t>2611038796</t>
  </si>
  <si>
    <t>8403328094</t>
  </si>
  <si>
    <t>CMMPVKRUSHNA/06.07.2026/13:56:40</t>
  </si>
  <si>
    <t>2611038722</t>
  </si>
  <si>
    <t>8403340068</t>
  </si>
  <si>
    <t>2611039021</t>
  </si>
  <si>
    <t>8403328095</t>
  </si>
  <si>
    <t>CMMPVKRUSHNA/06.07.2026/13:56:29</t>
  </si>
  <si>
    <t>2611038723</t>
  </si>
  <si>
    <t>8403333478</t>
  </si>
  <si>
    <t>CMMPVKRUSHNA/06.07.2026/19:11:27</t>
  </si>
  <si>
    <t>2611038901</t>
  </si>
  <si>
    <t>8403340067</t>
  </si>
  <si>
    <t>2611039020</t>
  </si>
  <si>
    <t>8403328290</t>
  </si>
  <si>
    <t>CMMPVKRUSHNA/06.07.2026/14:45:32</t>
  </si>
  <si>
    <t>2611038795</t>
  </si>
  <si>
    <t>8403328142</t>
  </si>
  <si>
    <t>CMMPVKRUSHNA/06.07.2026/14:03:11</t>
  </si>
  <si>
    <t>2611038774</t>
  </si>
  <si>
    <t>8403328297</t>
  </si>
  <si>
    <t>CMMPVKRUSHNA/06.07.2026/14:45:50</t>
  </si>
  <si>
    <t>2611038800</t>
  </si>
  <si>
    <t>8403333474</t>
  </si>
  <si>
    <t>CMMPVKRUSHNA/06.07.2026/19:10:57</t>
  </si>
  <si>
    <t>2611038899</t>
  </si>
  <si>
    <t>867028</t>
  </si>
  <si>
    <t>867034</t>
  </si>
  <si>
    <t>HARRIER.EV EMP ST 75WOWMU</t>
  </si>
  <si>
    <t>54738927A</t>
  </si>
  <si>
    <t>SAFARI7S A BS6 D ACC UL</t>
  </si>
  <si>
    <t>56059627A</t>
  </si>
  <si>
    <t>ADV X+</t>
  </si>
  <si>
    <t>HARRIER A BS6 D ADV X+</t>
  </si>
  <si>
    <t>56049227A</t>
  </si>
  <si>
    <t>HARRIER A BS6 D ADV X+ DK</t>
  </si>
  <si>
    <t>56049427A</t>
  </si>
  <si>
    <t>CMMPVKRUSHNA/08.07.2026/15:56:03</t>
  </si>
  <si>
    <t>CMMPVKRUSHNA/08.07.2026/15:56:25</t>
  </si>
  <si>
    <t>CMMPVKRUSHNA/08.07.2026/16:17:11</t>
  </si>
  <si>
    <t>CMMPVKRUSHNA/08.07.2026/15:55:26</t>
  </si>
  <si>
    <t>CMMPVKRUSHNA/08.07.2026/15:55:15</t>
  </si>
  <si>
    <t>CMMPVKRUSHNA/08.07.2026/16:16:54</t>
  </si>
  <si>
    <t>CMMPVKRUSHNA/08.07.2026/16:15:48</t>
  </si>
  <si>
    <t>CMMPVKRUSHNA/07.07.2026/05:36:02</t>
  </si>
  <si>
    <t>CMMPVKRUSHNA/07.07.2026/05:36:15</t>
  </si>
  <si>
    <t>8403356284</t>
  </si>
  <si>
    <t>CMMPVKRUSHNA/08.07.2026/00:53:19</t>
  </si>
  <si>
    <t>2611039406</t>
  </si>
  <si>
    <t>8403342924</t>
  </si>
  <si>
    <t>CMMPVKRUSHNA/07.07.2026/18:48:58</t>
  </si>
  <si>
    <t>2611039237</t>
  </si>
  <si>
    <t>8403356285</t>
  </si>
  <si>
    <t>CMMPVKRUSHNA/08.07.2026/00:53:30</t>
  </si>
  <si>
    <t>2611039407</t>
  </si>
  <si>
    <t>8403341138</t>
  </si>
  <si>
    <t>CMMPVKRUSHNA/07.07.2026/14:08:31</t>
  </si>
  <si>
    <t>2611039174</t>
  </si>
  <si>
    <t>8403341415</t>
  </si>
  <si>
    <t>CMMPVKRUSHNA/07.07.2026/16:00:25</t>
  </si>
  <si>
    <t>2611039212</t>
  </si>
  <si>
    <t>8403341414</t>
  </si>
  <si>
    <t>CMMPVKRUSHNA/07.07.2026/15:59:59</t>
  </si>
  <si>
    <t>2611039211</t>
  </si>
  <si>
    <t>8403356282</t>
  </si>
  <si>
    <t>CMMPVKRUSHNA/08.07.2026/00:52:54</t>
  </si>
  <si>
    <t>2611039404</t>
  </si>
  <si>
    <t>8403341135</t>
  </si>
  <si>
    <t>CMMPVKRUSHNA/07.07.2026/14:08:56</t>
  </si>
  <si>
    <t>2611039171</t>
  </si>
  <si>
    <t>8403342922</t>
  </si>
  <si>
    <t>CMMPVKRUSHNA/07.07.2026/18:48:43</t>
  </si>
  <si>
    <t>2611039239</t>
  </si>
  <si>
    <t>8403341420</t>
  </si>
  <si>
    <t>CMMPVKRUSHNA/07.07.2026/14:08:12</t>
  </si>
  <si>
    <t>2611039176</t>
  </si>
  <si>
    <t>8403341137</t>
  </si>
  <si>
    <t>CMMPVKRUSHNA/07.07.2026/14:08:40</t>
  </si>
  <si>
    <t>2611039173</t>
  </si>
  <si>
    <t>8403342925</t>
  </si>
  <si>
    <t>CMMPVKRUSHNA/07.07.2026/18:49:04</t>
  </si>
  <si>
    <t>2611039236</t>
  </si>
  <si>
    <t>8403342923</t>
  </si>
  <si>
    <t>CMMPVKRUSHNA/07.07.2026/18:48:50</t>
  </si>
  <si>
    <t>2611039238</t>
  </si>
  <si>
    <t>8403341139</t>
  </si>
  <si>
    <t>CMMPVKRUSHNA/07.07.2026/14:08:22</t>
  </si>
  <si>
    <t>2611039175</t>
  </si>
  <si>
    <t>8403356283</t>
  </si>
  <si>
    <t>CMMPVKRUSHNA/08.07.2026/00:53:09</t>
  </si>
  <si>
    <t>2611039405</t>
  </si>
  <si>
    <t>8403341136</t>
  </si>
  <si>
    <t>CMMPVKRUSHNA/07.07.2026/14:08:47</t>
  </si>
  <si>
    <t>2611039172</t>
  </si>
  <si>
    <t>8403356286</t>
  </si>
  <si>
    <t>CMMPVKRUSHNA/08.07.2026/00:54:03</t>
  </si>
  <si>
    <t>2611039408</t>
  </si>
  <si>
    <t>8403341416</t>
  </si>
  <si>
    <t>CMMPVKRUSHNA/07.07.2026/16:00:33</t>
  </si>
  <si>
    <t>2611039213</t>
  </si>
  <si>
    <t>8403362931</t>
  </si>
  <si>
    <t>SDM860598</t>
  </si>
  <si>
    <t>CMMPVKRUSHNA/08.07.2026/16:01:09</t>
  </si>
  <si>
    <t>2611037926</t>
  </si>
  <si>
    <t>8403362921</t>
  </si>
  <si>
    <t>CMMPVKRUSHNA/08.07.2026/18:47:11</t>
  </si>
  <si>
    <t>2611039697</t>
  </si>
  <si>
    <t>8403364847</t>
  </si>
  <si>
    <t>CMMPVKRUSHNA/08.07.2026/21:59:54</t>
  </si>
  <si>
    <t>2611039766</t>
  </si>
  <si>
    <t>8403357714</t>
  </si>
  <si>
    <t>CMMPVKRUSHNA/08.07.2026/08:49:03</t>
  </si>
  <si>
    <t>2611039647</t>
  </si>
  <si>
    <t>8403358586</t>
  </si>
  <si>
    <t>CMMPVKRUSHNA/08.07.2026/14:19:04</t>
  </si>
  <si>
    <t>2611039669</t>
  </si>
  <si>
    <t>8403362934</t>
  </si>
  <si>
    <t>CMMPVKRUSHNA/08.07.2026/16:01:28</t>
  </si>
  <si>
    <t>2611038891</t>
  </si>
  <si>
    <t>8403364846</t>
  </si>
  <si>
    <t>CMMPVKRUSHNA/08.07.2026/22:00:00</t>
  </si>
  <si>
    <t>2611039767</t>
  </si>
  <si>
    <t>8403362933</t>
  </si>
  <si>
    <t>CMMPVKRUSHNA/08.07.2026/16:01:16</t>
  </si>
  <si>
    <t>2611037927</t>
  </si>
  <si>
    <t>8403362829</t>
  </si>
  <si>
    <t>CMMPVKRUSHNA/08.07.2026/18:47:42</t>
  </si>
  <si>
    <t>2611039698</t>
  </si>
  <si>
    <t>8403363613</t>
  </si>
  <si>
    <t>CMMPVKRUSHNA/08.07.2026/15:59:19</t>
  </si>
  <si>
    <t>2611038926</t>
  </si>
  <si>
    <t>8403364849</t>
  </si>
  <si>
    <t>CMMPVKRUSHNA/08.07.2026/21:59:47</t>
  </si>
  <si>
    <t>2611039764</t>
  </si>
  <si>
    <t>8403363663</t>
  </si>
  <si>
    <t>CMMPVKRUSHNA/08.07.2026/16:02:25</t>
  </si>
  <si>
    <t>2611038924</t>
  </si>
  <si>
    <t>8403358585</t>
  </si>
  <si>
    <t>CMMPVKRUSHNA/08.07.2026/14:19:14</t>
  </si>
  <si>
    <t>2611039668</t>
  </si>
  <si>
    <t>8403357712</t>
  </si>
  <si>
    <t>CMMPVKRUSHNA/08.07.2026/08:49:23</t>
  </si>
  <si>
    <t>2611039645</t>
  </si>
  <si>
    <t>8403362932</t>
  </si>
  <si>
    <t>CMMPVKRUSHNA/08.07.2026/16:01:51</t>
  </si>
  <si>
    <t>2611037925</t>
  </si>
  <si>
    <t>8403363664</t>
  </si>
  <si>
    <t>CMMPVKRUSHNA/08.07.2026/16:02:32</t>
  </si>
  <si>
    <t>2611038925</t>
  </si>
  <si>
    <t>8403364848</t>
  </si>
  <si>
    <t>CMMPVKRUSHNA/08.07.2026/22:00:06</t>
  </si>
  <si>
    <t>2611039765</t>
  </si>
  <si>
    <t>8403358587</t>
  </si>
  <si>
    <t>CMMPVKRUSHNA/08.07.2026/14:18:54</t>
  </si>
  <si>
    <t>2611039670</t>
  </si>
  <si>
    <t>8403357715</t>
  </si>
  <si>
    <t>CMMPVKRUSHNA/08.07.2026/08:48:54</t>
  </si>
  <si>
    <t>2611039648</t>
  </si>
  <si>
    <t>8403362935</t>
  </si>
  <si>
    <t>CMMPVKRUSHNA/08.07.2026/16:01:56</t>
  </si>
  <si>
    <t>2611038894</t>
  </si>
  <si>
    <t>8403363612</t>
  </si>
  <si>
    <t>CMMPVKRUSHNA/08.07.2026/15:59:37</t>
  </si>
  <si>
    <t>2611038928</t>
  </si>
  <si>
    <t>8403362923</t>
  </si>
  <si>
    <t>CMMPVKRUSHNA/08.07.2026/18:47:05</t>
  </si>
  <si>
    <t>2611039696</t>
  </si>
  <si>
    <t>8403363611</t>
  </si>
  <si>
    <t>CMMPVKRUSHNA/08.07.2026/15:59:31</t>
  </si>
  <si>
    <t>2611038888</t>
  </si>
  <si>
    <t>8403357711</t>
  </si>
  <si>
    <t>CMMPVKRUSHNA/08.07.2026/08:49:33</t>
  </si>
  <si>
    <t>2611039644</t>
  </si>
  <si>
    <t>8403362937</t>
  </si>
  <si>
    <t>CMMPVKRUSHNA/08.07.2026/16:01:37</t>
  </si>
  <si>
    <t>2611038892</t>
  </si>
  <si>
    <t>8403363616</t>
  </si>
  <si>
    <t>CMMPVKRUSHNA/08.07.2026/16:00:44</t>
  </si>
  <si>
    <t>2611038927</t>
  </si>
  <si>
    <t>8403357713</t>
  </si>
  <si>
    <t>CMMPVKRUSHNA/08.07.2026/08:49:13</t>
  </si>
  <si>
    <t>2611039646</t>
  </si>
  <si>
    <t>8403362936</t>
  </si>
  <si>
    <t>CMMPVKRUSHNA/08.07.2026/16:02:03</t>
  </si>
  <si>
    <t>2611038893</t>
  </si>
  <si>
    <t>8403363610</t>
  </si>
  <si>
    <t>CMMPVKRUSHNA/08.07.2026/15:59:25</t>
  </si>
  <si>
    <t>2611038889</t>
  </si>
  <si>
    <t>8403362938</t>
  </si>
  <si>
    <t>CMMPVKRUSHNA/08.07.2026/16:01:44</t>
  </si>
  <si>
    <t>2611038890</t>
  </si>
  <si>
    <t>8403375351</t>
  </si>
  <si>
    <t>CMMPVKRUSHNA/09.07.2026/06:04:14</t>
  </si>
  <si>
    <t>2611040062</t>
  </si>
  <si>
    <t>8403375352</t>
  </si>
  <si>
    <t>CMMPVKRUSHNA/09.07.2026/06:04:23</t>
  </si>
  <si>
    <t>2611040063</t>
  </si>
  <si>
    <t>8403375354</t>
  </si>
  <si>
    <t>CMMPVKRUSHNA/09.07.2026/06:04:33</t>
  </si>
  <si>
    <t>2611040065</t>
  </si>
  <si>
    <t>8403375353</t>
  </si>
  <si>
    <t>CMMPVKRUSHNA/09.07.2026/06:04:53</t>
  </si>
  <si>
    <t>2611040064</t>
  </si>
  <si>
    <t>8403375319</t>
  </si>
  <si>
    <t>CMMPVKRUSHNA/09.07.2026/06:04:03</t>
  </si>
  <si>
    <t>2611040060</t>
  </si>
  <si>
    <t>8403375350</t>
  </si>
  <si>
    <t>CMMPVKRUSHNA/09.07.2026/06:04:43</t>
  </si>
  <si>
    <t>2611040061</t>
  </si>
  <si>
    <t>8403374688</t>
  </si>
  <si>
    <t>CMMPVKRUSHNA/09.07.2026/06:03:33</t>
  </si>
  <si>
    <t>2611040026</t>
  </si>
  <si>
    <t>8403374702</t>
  </si>
  <si>
    <t>CMMPVKRUSHNA/09.07.2026/06:03:04</t>
  </si>
  <si>
    <t>2611040044</t>
  </si>
  <si>
    <t>pj</t>
  </si>
  <si>
    <t>HARRIER.EV EMP AWD 75</t>
  </si>
  <si>
    <t>54734327A</t>
  </si>
  <si>
    <t>ACC UL RDK</t>
  </si>
  <si>
    <t>SAFARI7S A BS6 P ADV X+ (TGDI)</t>
  </si>
  <si>
    <t>54794227A</t>
  </si>
  <si>
    <t>PUR X</t>
  </si>
  <si>
    <t>HARRIER M BS6 P PUR X (TGDI)</t>
  </si>
  <si>
    <t>54781327A</t>
  </si>
  <si>
    <t>Eturna 4X4</t>
  </si>
  <si>
    <t>TGDi AT</t>
  </si>
  <si>
    <t>CTPVCRDOKI04</t>
  </si>
  <si>
    <t>8403382720</t>
  </si>
  <si>
    <t>CMMPVKRUSHNA/09.07.2026/17:10:41</t>
  </si>
  <si>
    <t>2611040192</t>
  </si>
  <si>
    <t>8403379190</t>
  </si>
  <si>
    <t>CMMPVKRUSHNA/09.07.2026/13:48:03</t>
  </si>
  <si>
    <t>2611040170</t>
  </si>
  <si>
    <t>8403378609</t>
  </si>
  <si>
    <t>CMMPVKRUSHNA/09.07.2026/13:51:49</t>
  </si>
  <si>
    <t>2611040109</t>
  </si>
  <si>
    <t>8403391923</t>
  </si>
  <si>
    <t>CMMPVKRUSHNA/09.07.2026/20:21:00</t>
  </si>
  <si>
    <t>2611040414</t>
  </si>
  <si>
    <t>8403391636</t>
  </si>
  <si>
    <t>CMMPVKRUSHNA/09.07.2026/20:21:46</t>
  </si>
  <si>
    <t>2611040317</t>
  </si>
  <si>
    <t>8403378650</t>
  </si>
  <si>
    <t>CMMPVKRUSHNA/09.07.2026/13:51:40</t>
  </si>
  <si>
    <t>2611040110</t>
  </si>
  <si>
    <t>8403393863</t>
  </si>
  <si>
    <t>CMMPVKRUSHNA/09.07.2026/22:43:54</t>
  </si>
  <si>
    <t>2611040520</t>
  </si>
  <si>
    <t>8403391634</t>
  </si>
  <si>
    <t>CMMPVKRUSHNA/09.07.2026/20:22:03</t>
  </si>
  <si>
    <t>2611040315</t>
  </si>
  <si>
    <t>8403393861</t>
  </si>
  <si>
    <t>CMMPVKRUSHNA/09.07.2026/22:43:40</t>
  </si>
  <si>
    <t>2611040518</t>
  </si>
  <si>
    <t>8403382723</t>
  </si>
  <si>
    <t>CMMPVKRUSHNA/09.07.2026/17:10:53</t>
  </si>
  <si>
    <t>2611040190</t>
  </si>
  <si>
    <t>8403378652</t>
  </si>
  <si>
    <t>CMMPVKRUSHNA/09.07.2026/13:50:49</t>
  </si>
  <si>
    <t>2611040112</t>
  </si>
  <si>
    <t>8403382722</t>
  </si>
  <si>
    <t>CMMPVKRUSHNA/09.07.2026/17:10:18</t>
  </si>
  <si>
    <t>2611040191</t>
  </si>
  <si>
    <t>8403382329</t>
  </si>
  <si>
    <t>CMMPVKRUSHNA/09.07.2026/17:10:34</t>
  </si>
  <si>
    <t>2611040193</t>
  </si>
  <si>
    <t>8403393864</t>
  </si>
  <si>
    <t>CMMPVKRUSHNA/09.07.2026/22:43:47</t>
  </si>
  <si>
    <t>2611040521</t>
  </si>
  <si>
    <t>8403378607</t>
  </si>
  <si>
    <t>CMMPVKRUSHNA/09.07.2026/13:51:19</t>
  </si>
  <si>
    <t>2611040107</t>
  </si>
  <si>
    <t>8403379192</t>
  </si>
  <si>
    <t>CMMPVKRUSHNA/09.07.2026/13:47:54</t>
  </si>
  <si>
    <t>2611040169</t>
  </si>
  <si>
    <t>8403391926</t>
  </si>
  <si>
    <t>CMMPVKRUSHNA/09.07.2026/20:21:09</t>
  </si>
  <si>
    <t>2611040415</t>
  </si>
  <si>
    <t>8403393862</t>
  </si>
  <si>
    <t>CMMPVKRUSHNA/09.07.2026/22:44:01</t>
  </si>
  <si>
    <t>2611040519</t>
  </si>
  <si>
    <t>8403378651</t>
  </si>
  <si>
    <t>CMMPVKRUSHNA/09.07.2026/13:51:31</t>
  </si>
  <si>
    <t>2611040111</t>
  </si>
  <si>
    <t>8403391635</t>
  </si>
  <si>
    <t>CMMPVKRUSHNA/09.07.2026/20:21:54</t>
  </si>
  <si>
    <t>2611040316</t>
  </si>
  <si>
    <t>8403378608</t>
  </si>
  <si>
    <t>CMMPVKRUSHNA/09.07.2026/13:51:10</t>
  </si>
  <si>
    <t>2611040108</t>
  </si>
  <si>
    <t>8403397941</t>
  </si>
  <si>
    <t>2611040669</t>
  </si>
  <si>
    <t>8403396247</t>
  </si>
  <si>
    <t>CMMPVKRUSHNA/10.07.2026/03:40:20</t>
  </si>
  <si>
    <t>2611040598</t>
  </si>
  <si>
    <t>8403398047</t>
  </si>
  <si>
    <t>2611040723</t>
  </si>
  <si>
    <t>8403395373</t>
  </si>
  <si>
    <t>CMMPVKRUSHNA/10.07.2026/02:52:38</t>
  </si>
  <si>
    <t>2611040552</t>
  </si>
  <si>
    <t>8403396246</t>
  </si>
  <si>
    <t>CMMPVKRUSHNA/10.07.2026/03:40:52</t>
  </si>
  <si>
    <t>2611040597</t>
  </si>
  <si>
    <t>8403395374</t>
  </si>
  <si>
    <t>CMMPVKRUSHNA/10.07.2026/02:52:52</t>
  </si>
  <si>
    <t>2611040553</t>
  </si>
  <si>
    <t>8403397889</t>
  </si>
  <si>
    <t>2611040671</t>
  </si>
  <si>
    <t>8403398049</t>
  </si>
  <si>
    <t>2611040722</t>
  </si>
  <si>
    <t>8403397943</t>
  </si>
  <si>
    <t>2611040668</t>
  </si>
  <si>
    <t>8403398046</t>
  </si>
  <si>
    <t>2611040724</t>
  </si>
  <si>
    <t>8403397940</t>
  </si>
  <si>
    <t>2611040670</t>
  </si>
  <si>
    <t>8403395375</t>
  </si>
  <si>
    <t>CMMPVKRUSHNA/10.07.2026/02:51:45</t>
  </si>
  <si>
    <t>2611040554</t>
  </si>
  <si>
    <t>8403397944</t>
  </si>
  <si>
    <t>2611040667</t>
  </si>
  <si>
    <t>8403396249</t>
  </si>
  <si>
    <t>CMMPVKRUSHNA/10.07.2026/03:40:12</t>
  </si>
  <si>
    <t>2611040599</t>
  </si>
  <si>
    <t>G0000020.PMP/10.07.2026/09:42:44</t>
  </si>
  <si>
    <t>CMMPVKRUSHNA/10.07.2026/13:08:23</t>
  </si>
  <si>
    <t>8403404216</t>
  </si>
  <si>
    <t>CMMPVKRUSHNA/10.07.2026/16:47:32</t>
  </si>
  <si>
    <t>2611040775</t>
  </si>
  <si>
    <t>G0000020.PMP/10.07.2026/09:43:08</t>
  </si>
  <si>
    <t>G0000020.PMP/10.07.2026/09:42:32</t>
  </si>
  <si>
    <t>8403404215</t>
  </si>
  <si>
    <t>CMMPVKRUSHNA/10.07.2026/16:47:42</t>
  </si>
  <si>
    <t>2611040774</t>
  </si>
  <si>
    <t>CMMPVKRUSHNA/10.07.2026/13:08:44</t>
  </si>
  <si>
    <t>CMMPVKRUSHNA/10.07.2026/13:08:34</t>
  </si>
  <si>
    <t>8403404217</t>
  </si>
  <si>
    <t>CMMPVKRUSHNA/10.07.2026/16:47:51</t>
  </si>
  <si>
    <t>2611040776</t>
  </si>
  <si>
    <t>G0000020.PMP/10.07.2026/09:42:55</t>
  </si>
  <si>
    <t>G0000020.PMP/10.07.2026/09:42:20</t>
  </si>
  <si>
    <t>8403411718</t>
  </si>
  <si>
    <t>CMMPVKRUSHNA/10.07.2026/20:40:24</t>
  </si>
  <si>
    <t>2611040907</t>
  </si>
  <si>
    <t>8403415297</t>
  </si>
  <si>
    <t>CMMPVKRUSHNA/10.07.2026/22:36:51</t>
  </si>
  <si>
    <t>2611041020</t>
  </si>
  <si>
    <t>8403411797</t>
  </si>
  <si>
    <t>CMMPVKRUSHNA/10.07.2026/20:40:04</t>
  </si>
  <si>
    <t>2611040873</t>
  </si>
  <si>
    <t>8403415293</t>
  </si>
  <si>
    <t>CMMPVKRUSHNA/10.07.2026/22:37:35</t>
  </si>
  <si>
    <t>2611041016</t>
  </si>
  <si>
    <t>8403411793</t>
  </si>
  <si>
    <t>CMMPVKRUSHNA/10.07.2026/20:40:31</t>
  </si>
  <si>
    <t>2611040871</t>
  </si>
  <si>
    <t>8403411795</t>
  </si>
  <si>
    <t>CMMPVKRUSHNA/10.07.2026/20:39:56</t>
  </si>
  <si>
    <t>2611040872</t>
  </si>
  <si>
    <t>8403415294</t>
  </si>
  <si>
    <t>CMMPVKRUSHNA/10.07.2026/22:37:25</t>
  </si>
  <si>
    <t>2611041017</t>
  </si>
  <si>
    <t>8403415340</t>
  </si>
  <si>
    <t>CMMPVKRUSHNA/10.07.2026/22:36:16</t>
  </si>
  <si>
    <t>2611041023</t>
  </si>
  <si>
    <t>8403415299</t>
  </si>
  <si>
    <t>CMMPVKRUSHNA/10.07.2026/22:36:26</t>
  </si>
  <si>
    <t>2611041022</t>
  </si>
  <si>
    <t>8403415296</t>
  </si>
  <si>
    <t>CMMPVKRUSHNA/10.07.2026/22:37:01</t>
  </si>
  <si>
    <t>2611041019</t>
  </si>
  <si>
    <t>8403415298</t>
  </si>
  <si>
    <t>CMMPVKRUSHNA/10.07.2026/22:36:41</t>
  </si>
  <si>
    <t>2611041021</t>
  </si>
  <si>
    <t>8403411798</t>
  </si>
  <si>
    <t>CMMPVKRUSHNA/10.07.2026/20:40:10</t>
  </si>
  <si>
    <t>2611040874</t>
  </si>
  <si>
    <t>8403415295</t>
  </si>
  <si>
    <t>CMMPVKRUSHNA/10.07.2026/22:37:15</t>
  </si>
  <si>
    <t>2611041018</t>
  </si>
  <si>
    <t>8403417128</t>
  </si>
  <si>
    <t>2611041084</t>
  </si>
  <si>
    <t>8403417160</t>
  </si>
  <si>
    <t>2611041085</t>
  </si>
  <si>
    <t>8403417683</t>
  </si>
  <si>
    <t>2611041124</t>
  </si>
  <si>
    <t>8403417123</t>
  </si>
  <si>
    <t>2611041081</t>
  </si>
  <si>
    <t>8403417684</t>
  </si>
  <si>
    <t>2611041125</t>
  </si>
  <si>
    <t>8403417126</t>
  </si>
  <si>
    <t>2611041082</t>
  </si>
  <si>
    <t>8403417162</t>
  </si>
  <si>
    <t>2611041086</t>
  </si>
  <si>
    <t>8403417689</t>
  </si>
  <si>
    <t>2611041129</t>
  </si>
  <si>
    <t>8403417686</t>
  </si>
  <si>
    <t>2611041127</t>
  </si>
  <si>
    <t>8403417687</t>
  </si>
  <si>
    <t>2611041128</t>
  </si>
  <si>
    <t>8403417685</t>
  </si>
  <si>
    <t>2611041126</t>
  </si>
  <si>
    <t>8403417127</t>
  </si>
  <si>
    <t>2611041083</t>
  </si>
  <si>
    <t>HARRIER A BS6 D PUR X DK</t>
  </si>
  <si>
    <t>56041627A</t>
  </si>
  <si>
    <t>sj</t>
  </si>
  <si>
    <t>SJ</t>
  </si>
  <si>
    <t>CMMPVKRUSHNA/11.07.2026/02:41:19</t>
  </si>
  <si>
    <t>8403419871</t>
  </si>
  <si>
    <t>CMMPVKRUSHNA/11.07.2026/10:14:24</t>
  </si>
  <si>
    <t>2611041260</t>
  </si>
  <si>
    <t>8403424968</t>
  </si>
  <si>
    <t>CMMPVKRUSHNA/11.07.2026/14:18:31</t>
  </si>
  <si>
    <t>2611041298</t>
  </si>
  <si>
    <t>8403435821</t>
  </si>
  <si>
    <t>CMMPVKRUSHNA/11.07.2026/19:51:52</t>
  </si>
  <si>
    <t>2611041439</t>
  </si>
  <si>
    <t>8403430262</t>
  </si>
  <si>
    <t>CMMPVKRUSHNA/11.07.2026/17:37:09</t>
  </si>
  <si>
    <t>2611041373</t>
  </si>
  <si>
    <t>8403438217</t>
  </si>
  <si>
    <t>2611041568</t>
  </si>
  <si>
    <t>8403418314</t>
  </si>
  <si>
    <t>CMMPVKRUSHNA/11.07.2026/06:05:36</t>
  </si>
  <si>
    <t>2611041208</t>
  </si>
  <si>
    <t>8403424985</t>
  </si>
  <si>
    <t>CMMPVKRUSHNA/11.07.2026/14:18:06</t>
  </si>
  <si>
    <t>2611041299</t>
  </si>
  <si>
    <t>8403430264</t>
  </si>
  <si>
    <t>CMMPVKRUSHNA/11.07.2026/17:37:18</t>
  </si>
  <si>
    <t>2611041374</t>
  </si>
  <si>
    <t>CMMPVKRUSHNA/11.07.2026/02:43:08</t>
  </si>
  <si>
    <t>8403429524</t>
  </si>
  <si>
    <t>CMMPVKRUSHNA/11.07.2026/17:36:36</t>
  </si>
  <si>
    <t>2611041329</t>
  </si>
  <si>
    <t>CMMPVKRUSHNA/11.07.2026/04:55:31</t>
  </si>
  <si>
    <t>CMMPVKRUSHNA/11.07.2026/02:42:00</t>
  </si>
  <si>
    <t>8403419876</t>
  </si>
  <si>
    <t>CMMPVKRUSHNA/11.07.2026/10:13:21</t>
  </si>
  <si>
    <t>2611041256</t>
  </si>
  <si>
    <t>CMMPVKRUSHNA/11.07.2026/04:55:23</t>
  </si>
  <si>
    <t>CMMPVKRUSHNA/11.07.2026/02:41:50</t>
  </si>
  <si>
    <t>8403430260</t>
  </si>
  <si>
    <t>CMMPVKRUSHNA/11.07.2026/17:37:28</t>
  </si>
  <si>
    <t>2611041372</t>
  </si>
  <si>
    <t>8403435779</t>
  </si>
  <si>
    <t>CMMPVKRUSHNA/11.07.2026/19:51:40</t>
  </si>
  <si>
    <t>2611041438</t>
  </si>
  <si>
    <t>8403418317</t>
  </si>
  <si>
    <t>CMMPVKRUSHNA/11.07.2026/06:04:54</t>
  </si>
  <si>
    <t>2611041205</t>
  </si>
  <si>
    <t>CMMPVKRUSHNA/11.07.2026/02:42:54</t>
  </si>
  <si>
    <t>CMMPVKRUSHNA/11.07.2026/04:54:26</t>
  </si>
  <si>
    <t>8403418311</t>
  </si>
  <si>
    <t>CMMPVKRUSHNA/11.07.2026/06:06:34</t>
  </si>
  <si>
    <t>2611041211</t>
  </si>
  <si>
    <t>8403438216</t>
  </si>
  <si>
    <t>2611041567</t>
  </si>
  <si>
    <t>CMMPVKRUSHNA/11.07.2026/04:54:53</t>
  </si>
  <si>
    <t>8403438218</t>
  </si>
  <si>
    <t>2611041569</t>
  </si>
  <si>
    <t>8403419837</t>
  </si>
  <si>
    <t>CMMPVKRUSHNA/11.07.2026/10:13:13</t>
  </si>
  <si>
    <t>2611041262</t>
  </si>
  <si>
    <t>CMMPVKRUSHNA/11.07.2026/04:54:39</t>
  </si>
  <si>
    <t>8403430266</t>
  </si>
  <si>
    <t>CMMPVKRUSHNA/11.07.2026/17:36:53</t>
  </si>
  <si>
    <t>2611041375</t>
  </si>
  <si>
    <t>8403435822</t>
  </si>
  <si>
    <t>CMMPVKRUSHNA/11.07.2026/19:52:16</t>
  </si>
  <si>
    <t>2611041440</t>
  </si>
  <si>
    <t>8403418312</t>
  </si>
  <si>
    <t>CMMPVKRUSHNA/11.07.2026/06:06:21</t>
  </si>
  <si>
    <t>2611041210</t>
  </si>
  <si>
    <t>8403435777</t>
  </si>
  <si>
    <t>CMMPVKRUSHNA/11.07.2026/19:52:05</t>
  </si>
  <si>
    <t>2611041437</t>
  </si>
  <si>
    <t>8403424990</t>
  </si>
  <si>
    <t>CMMPVKRUSHNA/11.07.2026/14:17:34</t>
  </si>
  <si>
    <t>2611041305</t>
  </si>
  <si>
    <t>8403419878</t>
  </si>
  <si>
    <t>CMMPVKRUSHNA/11.07.2026/10:13:35</t>
  </si>
  <si>
    <t>2611041255</t>
  </si>
  <si>
    <t>8403418318</t>
  </si>
  <si>
    <t>CMMPVKRUSHNA/11.07.2026/06:04:32</t>
  </si>
  <si>
    <t>2611041204</t>
  </si>
  <si>
    <t>8403419875</t>
  </si>
  <si>
    <t>CMMPVKRUSHNA/11.07.2026/10:13:51</t>
  </si>
  <si>
    <t>2611041258</t>
  </si>
  <si>
    <t>8403418315</t>
  </si>
  <si>
    <t>CMMPVKRUSHNA/11.07.2026/06:05:21</t>
  </si>
  <si>
    <t>2611041207</t>
  </si>
  <si>
    <t>CMMPVKRUSHNA/11.07.2026/02:41:34</t>
  </si>
  <si>
    <t>CMMPVKRUSHNA/11.07.2026/04:55:03</t>
  </si>
  <si>
    <t>8403438215</t>
  </si>
  <si>
    <t>2611041566</t>
  </si>
  <si>
    <t>8403424965</t>
  </si>
  <si>
    <t>CMMPVKRUSHNA/11.07.2026/14:17:51</t>
  </si>
  <si>
    <t>2611041297</t>
  </si>
  <si>
    <t>8403418313</t>
  </si>
  <si>
    <t>CMMPVKRUSHNA/11.07.2026/06:06:10</t>
  </si>
  <si>
    <t>2611041209</t>
  </si>
  <si>
    <t>8403419839</t>
  </si>
  <si>
    <t>CMMPVKRUSHNA/11.07.2026/10:14:09</t>
  </si>
  <si>
    <t>2611041261</t>
  </si>
  <si>
    <t>8403438214</t>
  </si>
  <si>
    <t>2611041565</t>
  </si>
  <si>
    <t>8403418316</t>
  </si>
  <si>
    <t>CMMPVKRUSHNA/11.07.2026/06:05:06</t>
  </si>
  <si>
    <t>2611041206</t>
  </si>
  <si>
    <t>8403419867</t>
  </si>
  <si>
    <t>CMMPVKRUSHNA/11.07.2026/10:13:43</t>
  </si>
  <si>
    <t>2611041257</t>
  </si>
  <si>
    <t>8403419873</t>
  </si>
  <si>
    <t>CMMPVKRUSHNA/11.07.2026/10:13:59</t>
  </si>
  <si>
    <t>2611041259</t>
  </si>
  <si>
    <t>8403439595</t>
  </si>
  <si>
    <t>2611041615</t>
  </si>
  <si>
    <t>8403439597</t>
  </si>
  <si>
    <t>2611041617</t>
  </si>
  <si>
    <t>8403439594</t>
  </si>
  <si>
    <t>2611041614</t>
  </si>
  <si>
    <t>8403439596</t>
  </si>
  <si>
    <t>2611041616</t>
  </si>
  <si>
    <t>CMMPVKRUSHNA/12.07.2026/00:37:18</t>
  </si>
  <si>
    <t>CMMPVKRUSHNA/12.07.2026/00:38:23</t>
  </si>
  <si>
    <t>CMMPVKRUSHNA/12.07.2026/00:37:29</t>
  </si>
  <si>
    <t>CMMPVKRUSHNA/12.07.2026/00:38:45</t>
  </si>
  <si>
    <t>CMMPVKRUSHNA/12.07.2026/00:38:03</t>
  </si>
  <si>
    <t>ORC_WHITE-PUNCH PURE + S CNG MT</t>
  </si>
  <si>
    <t>ORC_WHITE-PUNCH PURE + CNG AMT</t>
  </si>
  <si>
    <t>ORC_WHITE-PUNCH ADVT PMT</t>
  </si>
  <si>
    <t>ORC_WHITE-PUNCH ADVT S PMT</t>
  </si>
  <si>
    <t>ORC_WHITE-PUNCH ADVT PAMT</t>
  </si>
  <si>
    <t>ORC_WHITE-PUNCH ADVT CNG MT</t>
  </si>
  <si>
    <t>ORC_WHITE-PUNCH ADVT S CNG MT</t>
  </si>
  <si>
    <t>ORC_WHITE-PUNCH ADVT CNG AMT</t>
  </si>
  <si>
    <t>ORC_WHITE-PUNCH ADVT S CNG AMT</t>
  </si>
  <si>
    <t>PRISTIN_WHTE-PUNCH ADVT TC MT</t>
  </si>
  <si>
    <t>PRWT_GYCRNBK-PUNCH ACCOMP PAMT</t>
  </si>
  <si>
    <t>PRWT_GYCRNBK-PUNCH ACCOMP CNG MT</t>
  </si>
  <si>
    <t>CARML_GYCRBK-PUNCH ACCOMP + S PMT</t>
  </si>
  <si>
    <t>CARML_GYCRBK-PUNCH ACCOMP + S PAMT</t>
  </si>
  <si>
    <t>BNGLRG_PREWT-PUNCH ACCOMP + S TC MT</t>
  </si>
  <si>
    <t>CRGCLD_GCNBK-PUNCH ACCOMP + S CNG AMT</t>
  </si>
  <si>
    <t>8403441381</t>
  </si>
  <si>
    <t>CMMPVKRUSHNA/12.07.2026/05:32:12</t>
  </si>
  <si>
    <t>2611041645</t>
  </si>
  <si>
    <t>CMMPVKRUSHNA/12.07.2026/02:10:46</t>
  </si>
  <si>
    <t>8403441380</t>
  </si>
  <si>
    <t>CMMPVKRUSHNA/12.07.2026/05:32:21</t>
  </si>
  <si>
    <t>2611041644</t>
  </si>
  <si>
    <t>CMMPVKRUSHNA/12.07.2026/02:10:28</t>
  </si>
  <si>
    <t>8403441382</t>
  </si>
  <si>
    <t>CMMPVKRUSHNA/12.07.2026/05:32:03</t>
  </si>
  <si>
    <t>2611041650</t>
  </si>
  <si>
    <t>CMMPVKRUSHNA/12.07.2026/02:09:38</t>
  </si>
  <si>
    <t>CMMPVKRUSHNA/12.07.2026/02:10:37</t>
  </si>
  <si>
    <t>8403441349</t>
  </si>
  <si>
    <t>CMMPVKRUSHNA/12.07.2026/05:31:47</t>
  </si>
  <si>
    <t>2611041643</t>
  </si>
  <si>
    <t>SAFARI7S M BS6 D ACC X+</t>
  </si>
  <si>
    <t>56051727A</t>
  </si>
  <si>
    <t>SAFARI7S M BS6 D PUR X DK</t>
  </si>
  <si>
    <t>56051527A</t>
  </si>
  <si>
    <t>634192</t>
  </si>
  <si>
    <t>8403442657</t>
  </si>
  <si>
    <t>2611041717</t>
  </si>
  <si>
    <t>8403442214</t>
  </si>
  <si>
    <t>CMMPVKRUSHNA/12.07.2026/08:07:32</t>
  </si>
  <si>
    <t>2611041679</t>
  </si>
  <si>
    <t>8403442655</t>
  </si>
  <si>
    <t>2611041718</t>
  </si>
  <si>
    <t>8403442218</t>
  </si>
  <si>
    <t>CMMPVKRUSHNA/12.07.2026/08:08:08</t>
  </si>
  <si>
    <t>2611041675</t>
  </si>
  <si>
    <t>8403442680</t>
  </si>
  <si>
    <t>2611041714</t>
  </si>
  <si>
    <t>8403442658</t>
  </si>
  <si>
    <t>2611041716</t>
  </si>
  <si>
    <t>8403442213</t>
  </si>
  <si>
    <t>CMMPVKRUSHNA/12.07.2026/08:07:41</t>
  </si>
  <si>
    <t>2611041680</t>
  </si>
  <si>
    <t>8403442217</t>
  </si>
  <si>
    <t>CMMPVKRUSHNA/12.07.2026/08:07:19</t>
  </si>
  <si>
    <t>2611041676</t>
  </si>
  <si>
    <t>8403442659</t>
  </si>
  <si>
    <t>2611041715</t>
  </si>
  <si>
    <t>8403442216</t>
  </si>
  <si>
    <t>CMMPVKRUSHNA/12.07.2026/08:07:58</t>
  </si>
  <si>
    <t>2611041677</t>
  </si>
  <si>
    <t>8403442215</t>
  </si>
  <si>
    <t>CMMPVKRUSHNA/12.07.2026/08:06:58</t>
  </si>
  <si>
    <t>2611041678</t>
  </si>
  <si>
    <t>8403445459</t>
  </si>
  <si>
    <t>2611041735</t>
  </si>
  <si>
    <t>CMMPVKRUSHNA/12.07.2026/13:44:14</t>
  </si>
  <si>
    <t>8403445540</t>
  </si>
  <si>
    <t>2611041736</t>
  </si>
  <si>
    <t>CMMPVKRUSHNA/12.07.2026/13:45:08</t>
  </si>
  <si>
    <t>CMMPVKRUSHNA/12.07.2026/13:44:27</t>
  </si>
  <si>
    <t>CMMPVKRUSHNA/12.07.2026/13:44:39</t>
  </si>
  <si>
    <t>8403445541</t>
  </si>
  <si>
    <t>2611041737</t>
  </si>
  <si>
    <t>CMMPVKRUSHNA/12.07.2026/13:44:58</t>
  </si>
  <si>
    <t>8403445542</t>
  </si>
  <si>
    <t>2611041746</t>
  </si>
  <si>
    <t>8403445458</t>
  </si>
  <si>
    <t>2611041734</t>
  </si>
  <si>
    <t>CMMPVKRUSHNA/12.07.2026/16:45:29</t>
  </si>
  <si>
    <t>CMMPVKRUSHNA/12.07.2026/16:45:15</t>
  </si>
  <si>
    <t>8403447090</t>
  </si>
  <si>
    <t>CMMPVKRUSHNA/12.07.2026/20:01:15</t>
  </si>
  <si>
    <t>2611041791</t>
  </si>
  <si>
    <t>8403446383</t>
  </si>
  <si>
    <t>CMMPVKRUSHNA/12.07.2026/19:43:43</t>
  </si>
  <si>
    <t>2611041762</t>
  </si>
  <si>
    <t>8403447092</t>
  </si>
  <si>
    <t>CMMPVKRUSHNA/12.07.2026/20:00:51</t>
  </si>
  <si>
    <t>2611041793</t>
  </si>
  <si>
    <t>8403446442</t>
  </si>
  <si>
    <t>CMMPVKRUSHNA/12.07.2026/19:46:07</t>
  </si>
  <si>
    <t>2611041765</t>
  </si>
  <si>
    <t>CMMPVKRUSHNA/12.07.2026/16:44:46</t>
  </si>
  <si>
    <t>8403447091</t>
  </si>
  <si>
    <t>CMMPVKRUSHNA/12.07.2026/20:01:03</t>
  </si>
  <si>
    <t>2611041792</t>
  </si>
  <si>
    <t>8403446386</t>
  </si>
  <si>
    <t>CMMPVKRUSHNA/12.07.2026/19:43:21</t>
  </si>
  <si>
    <t>2611041763</t>
  </si>
  <si>
    <t>8403446422</t>
  </si>
  <si>
    <t>CMMPVKRUSHNA/12.07.2026/19:46:20</t>
  </si>
  <si>
    <t>2611041764</t>
  </si>
  <si>
    <t>8403446449</t>
  </si>
  <si>
    <t>CMMPVKRUSHNA/12.07.2026/19:46:36</t>
  </si>
  <si>
    <t>2611041766</t>
  </si>
  <si>
    <t>CMMPVKRUSHNA/12.07.2026/16:44:54</t>
  </si>
  <si>
    <t>CMMPVKRUSHNA/12.07.2026/16:45:05</t>
  </si>
  <si>
    <t>8403449394</t>
  </si>
  <si>
    <t>2611041888</t>
  </si>
  <si>
    <t>8403449401</t>
  </si>
  <si>
    <t>2611041843</t>
  </si>
  <si>
    <t>8403449400</t>
  </si>
  <si>
    <t>2611041842</t>
  </si>
  <si>
    <t>8403449225</t>
  </si>
  <si>
    <t>2611041869</t>
  </si>
  <si>
    <t>8403449227</t>
  </si>
  <si>
    <t>2611041870</t>
  </si>
  <si>
    <t>8403449228</t>
  </si>
  <si>
    <t>2611041871</t>
  </si>
  <si>
    <t>8403449403</t>
  </si>
  <si>
    <t>2611041844</t>
  </si>
  <si>
    <t>8403449391</t>
  </si>
  <si>
    <t>2611041885</t>
  </si>
  <si>
    <t>8403449392</t>
  </si>
  <si>
    <t>2611041886</t>
  </si>
  <si>
    <t>8403449395</t>
  </si>
  <si>
    <t>2611041889</t>
  </si>
  <si>
    <t>8403449393</t>
  </si>
  <si>
    <t>2611041887</t>
  </si>
  <si>
    <t>CMMPVKRUSHNA/13.07.2026/10:32:51</t>
  </si>
  <si>
    <t>CMMPVKRUSHNA/13.07.2026/10:33:28</t>
  </si>
  <si>
    <t>CMMPVKRUSHNA/13.07.2026/10:33:16</t>
  </si>
  <si>
    <t>CMMPVKRUSHNA/13.07.2026/09:48:14</t>
  </si>
  <si>
    <t>CMMPVKRUSHNA/13.07.2026/09:48:33</t>
  </si>
  <si>
    <t>CMMPVKRUSHNA/13.07.2026/10:33:03</t>
  </si>
  <si>
    <t>CMMPVKRUSHNA/13.07.2026/09:48:24</t>
  </si>
  <si>
    <t>CMMPVKRUSHNA/13.07.2026/10:31:10</t>
  </si>
  <si>
    <t>CMMPVKRUSHNA/13.07.2026/10:32:05</t>
  </si>
  <si>
    <t>CMMPVKRUSHNA/13.07.2026/10:31:34</t>
  </si>
  <si>
    <t>CMMPVKRUSHNA/13.07.2026/10:32:26</t>
  </si>
  <si>
    <t>8403461463</t>
  </si>
  <si>
    <t>CMMPVKRUSHNA/13.07.2026/17:06:41</t>
  </si>
  <si>
    <t>2611041960</t>
  </si>
  <si>
    <t>8403461465</t>
  </si>
  <si>
    <t>CMMPVKRUSHNA/13.07.2026/17:06:34</t>
  </si>
  <si>
    <t>2611041961</t>
  </si>
  <si>
    <t>8403466096</t>
  </si>
  <si>
    <t>CMMPVKRUSHNA/13.07.2026/21:47:51</t>
  </si>
  <si>
    <t>2611042163</t>
  </si>
  <si>
    <t>8403466093</t>
  </si>
  <si>
    <t>CMMPVKRUSHNA/13.07.2026/21:48:32</t>
  </si>
  <si>
    <t>2611042160</t>
  </si>
  <si>
    <t>8403468826</t>
  </si>
  <si>
    <t>2611042247</t>
  </si>
  <si>
    <t>8403461398</t>
  </si>
  <si>
    <t>CMMPVKRUSHNA/13.07.2026/17:06:58</t>
  </si>
  <si>
    <t>2611041958</t>
  </si>
  <si>
    <t>8403468828</t>
  </si>
  <si>
    <t>2611042248</t>
  </si>
  <si>
    <t>8403461460</t>
  </si>
  <si>
    <t>CMMPVKRUSHNA/13.07.2026/17:06:48</t>
  </si>
  <si>
    <t>2611041959</t>
  </si>
  <si>
    <t>8403461466</t>
  </si>
  <si>
    <t>CMMPVKRUSHNA/13.07.2026/17:06:27</t>
  </si>
  <si>
    <t>2611041962</t>
  </si>
  <si>
    <t>8403466097</t>
  </si>
  <si>
    <t>CMMPVKRUSHNA/13.07.2026/21:47:41</t>
  </si>
  <si>
    <t>2611042164</t>
  </si>
  <si>
    <t>8403465355</t>
  </si>
  <si>
    <t>CMMPVKRUSHNA/13.07.2026/20:42:28</t>
  </si>
  <si>
    <t>2611042031</t>
  </si>
  <si>
    <t>8403461397</t>
  </si>
  <si>
    <t>CMMPVKRUSHNA/13.07.2026/17:06:15</t>
  </si>
  <si>
    <t>2611041957</t>
  </si>
  <si>
    <t>8403466094</t>
  </si>
  <si>
    <t>CMMPVKRUSHNA/13.07.2026/21:48:23</t>
  </si>
  <si>
    <t>2611042161</t>
  </si>
  <si>
    <t>8403466095</t>
  </si>
  <si>
    <t>CMMPVKRUSHNA/13.07.2026/21:48:02</t>
  </si>
  <si>
    <t>2611042162</t>
  </si>
  <si>
    <t>8403468870</t>
  </si>
  <si>
    <t>2611042249</t>
  </si>
  <si>
    <t>Material Code</t>
  </si>
  <si>
    <t>Billed Qty</t>
  </si>
  <si>
    <t>WH TMLPVBU X445 FRONT</t>
  </si>
  <si>
    <t>CMMPVKRUSHNA/14.07.2026/02:22:28</t>
  </si>
  <si>
    <t>CMMPVKRUSHNA/14.07.2026/02:22:17</t>
  </si>
  <si>
    <t>CMMPVKRUSHNA/14.07.2026/02:21:48</t>
  </si>
  <si>
    <t>SAFARI6S A BS6 D ACC UL RDK</t>
  </si>
  <si>
    <t>56052827A</t>
  </si>
  <si>
    <t>SAFARI7S A BS6 D PUR X DK</t>
  </si>
  <si>
    <t>56051627A</t>
  </si>
  <si>
    <t>PUNCH.EV EMP 40</t>
  </si>
  <si>
    <t>HARRIER A BS6 D FRL UL</t>
  </si>
  <si>
    <t>56049627A</t>
  </si>
  <si>
    <t>8403492052</t>
  </si>
  <si>
    <t>CMMPVKRUSHNA/15.07.2026/00:43:50</t>
  </si>
  <si>
    <t>2611042744</t>
  </si>
  <si>
    <t>8403478357</t>
  </si>
  <si>
    <t>CMMPVKRUSHNA/14.07.2026/14:39:05</t>
  </si>
  <si>
    <t>2611042488</t>
  </si>
  <si>
    <t>8403470939</t>
  </si>
  <si>
    <t>CMMPVKRUSHNA/14.07.2026/09:54:32</t>
  </si>
  <si>
    <t>2611042340</t>
  </si>
  <si>
    <t>8403473718</t>
  </si>
  <si>
    <t>CMMPVKRUSHNA/14.07.2026/13:32:07</t>
  </si>
  <si>
    <t>2611042450</t>
  </si>
  <si>
    <t>8403471629</t>
  </si>
  <si>
    <t>CMMPVKRUSHNA/14.07.2026/11:12:54</t>
  </si>
  <si>
    <t>2611042412</t>
  </si>
  <si>
    <t>8403489734</t>
  </si>
  <si>
    <t>CMMPVKRUSHNA/14.07.2026/22:11:52</t>
  </si>
  <si>
    <t>2611042634</t>
  </si>
  <si>
    <t>8403470941</t>
  </si>
  <si>
    <t>CMMPVKRUSHNA/14.07.2026/09:54:18</t>
  </si>
  <si>
    <t>2611042341</t>
  </si>
  <si>
    <t>8403471761</t>
  </si>
  <si>
    <t>CMMPVKRUSHNA/14.07.2026/11:12:45</t>
  </si>
  <si>
    <t>2611042413</t>
  </si>
  <si>
    <t>8403478358</t>
  </si>
  <si>
    <t>CMMPVKRUSHNA/14.07.2026/14:39:14</t>
  </si>
  <si>
    <t>2611042489</t>
  </si>
  <si>
    <t>8403471628</t>
  </si>
  <si>
    <t>CMMPVKRUSHNA/14.07.2026/11:13:03</t>
  </si>
  <si>
    <t>2611042411</t>
  </si>
  <si>
    <t>8403473715</t>
  </si>
  <si>
    <t>CMMPVKRUSHNA/14.07.2026/13:32:53</t>
  </si>
  <si>
    <t>2611042447</t>
  </si>
  <si>
    <t>8403489730</t>
  </si>
  <si>
    <t>CMMPVKRUSHNA/14.07.2026/22:11:35</t>
  </si>
  <si>
    <t>2611042632</t>
  </si>
  <si>
    <t>8403483325</t>
  </si>
  <si>
    <t>CMMPVKRUSHNA/14.07.2026/17:15:38</t>
  </si>
  <si>
    <t>2611042568</t>
  </si>
  <si>
    <t>8403483321</t>
  </si>
  <si>
    <t>CMMPVKRUSHNA/14.07.2026/17:15:31</t>
  </si>
  <si>
    <t>2611042566</t>
  </si>
  <si>
    <t>8403489731</t>
  </si>
  <si>
    <t>CMMPVKRUSHNA/14.07.2026/22:11:43</t>
  </si>
  <si>
    <t>2611042633</t>
  </si>
  <si>
    <t>8403473717</t>
  </si>
  <si>
    <t>CMMPVKRUSHNA/14.07.2026/13:31:57</t>
  </si>
  <si>
    <t>2611042449</t>
  </si>
  <si>
    <t>8403478356</t>
  </si>
  <si>
    <t>CMMPVKRUSHNA/14.07.2026/14:38:42</t>
  </si>
  <si>
    <t>2611042487</t>
  </si>
  <si>
    <t>8403470936</t>
  </si>
  <si>
    <t>CMMPVKRUSHNA/14.07.2026/09:54:40</t>
  </si>
  <si>
    <t>2611042339</t>
  </si>
  <si>
    <t>8403473771</t>
  </si>
  <si>
    <t>CMMPVKRUSHNA/14.07.2026/13:32:39</t>
  </si>
  <si>
    <t>2611042452</t>
  </si>
  <si>
    <t>8403483322</t>
  </si>
  <si>
    <t>CMMPVKRUSHNA/14.07.2026/17:14:25</t>
  </si>
  <si>
    <t>2611042567</t>
  </si>
  <si>
    <t>8403471760</t>
  </si>
  <si>
    <t>CMMPVKRUSHNA/14.07.2026/11:12:36</t>
  </si>
  <si>
    <t>2611042414</t>
  </si>
  <si>
    <t>8403492053</t>
  </si>
  <si>
    <t>CMMPVKRUSHNA/15.07.2026/00:43:59</t>
  </si>
  <si>
    <t>2611042745</t>
  </si>
  <si>
    <t>8403483294</t>
  </si>
  <si>
    <t>CMMPVKRUSHNA/14.07.2026/17:14:36</t>
  </si>
  <si>
    <t>2611042565</t>
  </si>
  <si>
    <t>8403489717</t>
  </si>
  <si>
    <t>CMMPVKRUSHNA/14.07.2026/22:12:10</t>
  </si>
  <si>
    <t>2611042631</t>
  </si>
  <si>
    <t>8403492051</t>
  </si>
  <si>
    <t>CMMPVKRUSHNA/15.07.2026/00:43:41</t>
  </si>
  <si>
    <t>2611042743</t>
  </si>
  <si>
    <t>8403473719</t>
  </si>
  <si>
    <t>CMMPVKRUSHNA/14.07.2026/13:32:26</t>
  </si>
  <si>
    <t>2611042451</t>
  </si>
  <si>
    <t>8403489736</t>
  </si>
  <si>
    <t>CMMPVKRUSHNA/14.07.2026/22:12:00</t>
  </si>
  <si>
    <t>2611042635</t>
  </si>
  <si>
    <t>8403473716</t>
  </si>
  <si>
    <t>CMMPVKRUSHNA/14.07.2026/13:31:43</t>
  </si>
  <si>
    <t>2611042448</t>
  </si>
  <si>
    <t>8403492765</t>
  </si>
  <si>
    <t>2611042804</t>
  </si>
  <si>
    <t>8403492766</t>
  </si>
  <si>
    <t>2611042805</t>
  </si>
  <si>
    <t>8403492767</t>
  </si>
  <si>
    <t>2611042806</t>
  </si>
  <si>
    <t>HARRIER.EV EMP AWD ST 75WOWMU</t>
  </si>
  <si>
    <t>54739027A</t>
  </si>
  <si>
    <t>HARRIER.EV FEA+ 65WOWMU</t>
  </si>
  <si>
    <t>54735427A</t>
  </si>
  <si>
    <t>SAFARI7S A BS6 P ACC X DK (TGDI)</t>
  </si>
  <si>
    <t>54793827A</t>
  </si>
  <si>
    <t>ACC X DK</t>
  </si>
  <si>
    <t>SAFARI7S M BS6 P PUR X (TGDI)</t>
  </si>
  <si>
    <t>54791327A</t>
  </si>
  <si>
    <t>HARRIER M BS6 D PUR X DK</t>
  </si>
  <si>
    <t>56041527A</t>
  </si>
  <si>
    <t>1.2NGTC</t>
  </si>
  <si>
    <t>PJ</t>
  </si>
  <si>
    <t>CMMPVKRUSHNA/15.07.2026/02:33:35</t>
  </si>
  <si>
    <t>8403495049</t>
  </si>
  <si>
    <t>2611042928</t>
  </si>
  <si>
    <t>8403494343</t>
  </si>
  <si>
    <t>CMMPVKRUSHNA/15.07.2026/05:47:15</t>
  </si>
  <si>
    <t>2611042874</t>
  </si>
  <si>
    <t>CMMPVKRUSHNA/15.07.2026/02:33:47</t>
  </si>
  <si>
    <t>8403495062</t>
  </si>
  <si>
    <t>2611042931</t>
  </si>
  <si>
    <t>8403494347</t>
  </si>
  <si>
    <t>CMMPVKRUSHNA/15.07.2026/05:47:27</t>
  </si>
  <si>
    <t>2611042878</t>
  </si>
  <si>
    <t>CMMPVKRUSHNA/15.07.2026/02:33:24</t>
  </si>
  <si>
    <t>8403494344</t>
  </si>
  <si>
    <t>CMMPVKRUSHNA/15.07.2026/05:47:58</t>
  </si>
  <si>
    <t>2611042875</t>
  </si>
  <si>
    <t>8403495060</t>
  </si>
  <si>
    <t>2611042929</t>
  </si>
  <si>
    <t>8403495063</t>
  </si>
  <si>
    <t>2611042932</t>
  </si>
  <si>
    <t>8403495061</t>
  </si>
  <si>
    <t>2611042930</t>
  </si>
  <si>
    <t>8403494345</t>
  </si>
  <si>
    <t>CMMPVKRUSHNA/15.07.2026/05:48:13</t>
  </si>
  <si>
    <t>2611042876</t>
  </si>
  <si>
    <t>8403495064</t>
  </si>
  <si>
    <t>549754610189</t>
  </si>
  <si>
    <t>2611042933</t>
  </si>
  <si>
    <t>8403494346</t>
  </si>
  <si>
    <t>CMMPVKRUSHNA/15.07.2026/05:48:06</t>
  </si>
  <si>
    <t>2611042877</t>
  </si>
  <si>
    <t>8403506279</t>
  </si>
  <si>
    <t>BP1.PROWIZ/15.07.2026/16:37:02</t>
  </si>
  <si>
    <t>2611043052</t>
  </si>
  <si>
    <t>8403506460</t>
  </si>
  <si>
    <t>BP1.PROWIZ/15.07.2026/16:36:42</t>
  </si>
  <si>
    <t>2611043053</t>
  </si>
  <si>
    <t>8403506277</t>
  </si>
  <si>
    <t>BP1.PROWIZ/15.07.2026/16:36:28</t>
  </si>
  <si>
    <t>2611043050</t>
  </si>
  <si>
    <t>CMMPVKRUSHNA/15.07.2026/10:27:19</t>
  </si>
  <si>
    <t>CMMPVKRUSHNA/15.07.2026/10:27:28</t>
  </si>
  <si>
    <t>8403506278</t>
  </si>
  <si>
    <t>BP1.PROWIZ/15.07.2026/16:36:12</t>
  </si>
  <si>
    <t>2611043051</t>
  </si>
  <si>
    <t>CMMPVKRUSHNA/15.07.2026/10:26:59</t>
  </si>
  <si>
    <t>CMMPVKRUSHNA/15.07.2026/10:26:50</t>
  </si>
  <si>
    <t>CMMPVKRUSHNA/15.07.2026/10:27:41</t>
  </si>
  <si>
    <t>CMMPVKRUSHNA/15.07.2026/10:27:09</t>
  </si>
  <si>
    <t>AP</t>
  </si>
  <si>
    <t> Part No</t>
  </si>
  <si>
    <t>634190</t>
  </si>
  <si>
    <t>8403516190</t>
  </si>
  <si>
    <t>2611043226</t>
  </si>
  <si>
    <t>8403515640</t>
  </si>
  <si>
    <t>CMMPVKRUSHNA/15.07.2026/23:01:16</t>
  </si>
  <si>
    <t>2611043189</t>
  </si>
  <si>
    <t>8403516191</t>
  </si>
  <si>
    <t>2611043227</t>
  </si>
  <si>
    <t>8403515607</t>
  </si>
  <si>
    <t>CMMPVKRUSHNA/15.07.2026/23:01:25</t>
  </si>
  <si>
    <t>2611043188</t>
  </si>
  <si>
    <t>8403515601</t>
  </si>
  <si>
    <t>CMMPVKRUSHNA/15.07.2026/23:00:54</t>
  </si>
  <si>
    <t>2611043183</t>
  </si>
  <si>
    <t>8403515604</t>
  </si>
  <si>
    <t>CMMPVKRUSHNA/15.07.2026/23:01:40</t>
  </si>
  <si>
    <t>2611043186</t>
  </si>
  <si>
    <t>8403515602</t>
  </si>
  <si>
    <t>CMMPVKRUSHNA/15.07.2026/23:00:46</t>
  </si>
  <si>
    <t>2611043184</t>
  </si>
  <si>
    <t>8403515603</t>
  </si>
  <si>
    <t>CMMPVKRUSHNA/15.07.2026/23:01:48</t>
  </si>
  <si>
    <t>2611043185</t>
  </si>
  <si>
    <t>8403515606</t>
  </si>
  <si>
    <t>CMMPVKRUSHNA/15.07.2026/23:01:33</t>
  </si>
  <si>
    <t>2611043187</t>
  </si>
  <si>
    <t>CMMPVKRUSHNA/16.07.2026/00:34:04</t>
  </si>
  <si>
    <t>CMMPVKRUSHNA/16.07.2026/00:34:24</t>
  </si>
  <si>
    <t>8403519797</t>
  </si>
  <si>
    <t>2611043374</t>
  </si>
  <si>
    <t>8403519560</t>
  </si>
  <si>
    <t>2611043352</t>
  </si>
  <si>
    <t>8403519561</t>
  </si>
  <si>
    <t>2611043353</t>
  </si>
  <si>
    <t>8403518346</t>
  </si>
  <si>
    <t>CMMPVKRUSHNA/16.07.2026/03:45:02</t>
  </si>
  <si>
    <t>2611043270</t>
  </si>
  <si>
    <t>8403518349</t>
  </si>
  <si>
    <t>CMMPVKRUSHNA/16.07.2026/03:45:22</t>
  </si>
  <si>
    <t>2611043272</t>
  </si>
  <si>
    <t>8403518366</t>
  </si>
  <si>
    <t>CMMPVKRUSHNA/16.07.2026/03:46:06</t>
  </si>
  <si>
    <t>2611043278</t>
  </si>
  <si>
    <t>8403519796</t>
  </si>
  <si>
    <t>2611043373</t>
  </si>
  <si>
    <t>8403518365</t>
  </si>
  <si>
    <t>CMMPVKRUSHNA/16.07.2026/03:45:13</t>
  </si>
  <si>
    <t>2611043277</t>
  </si>
  <si>
    <t>8403519562</t>
  </si>
  <si>
    <t>2611043354</t>
  </si>
  <si>
    <t>8403518347</t>
  </si>
  <si>
    <t>CMMPVKRUSHNA/16.07.2026/03:44:54</t>
  </si>
  <si>
    <t>2611043271</t>
  </si>
  <si>
    <t>8403518360</t>
  </si>
  <si>
    <t>CMMPVKRUSHNA/16.07.2026/03:45:31</t>
  </si>
  <si>
    <t>2611043273</t>
  </si>
  <si>
    <t>8403518361</t>
  </si>
  <si>
    <t>CMMPVKRUSHNA/16.07.2026/03:45:57</t>
  </si>
  <si>
    <t>2611043274</t>
  </si>
  <si>
    <t>8403518364</t>
  </si>
  <si>
    <t>CMMPVKRUSHNA/16.07.2026/03:45:40</t>
  </si>
  <si>
    <t>2611043276</t>
  </si>
  <si>
    <t>8403518362</t>
  </si>
  <si>
    <t>CMMPVKRUSHNA/16.07.2026/03:45:49</t>
  </si>
  <si>
    <t>2611043275</t>
  </si>
  <si>
    <t>HARRIER.EV FEA+ 65</t>
  </si>
  <si>
    <t>54732027A</t>
  </si>
  <si>
    <t>SAFARI7S M BS6 D ADV X+</t>
  </si>
  <si>
    <t>56059127A</t>
  </si>
  <si>
    <t>HARRIER A BS6 D FRLR X+</t>
  </si>
  <si>
    <t>56049027A</t>
  </si>
  <si>
    <t>HARRIER M BS6 D ADV X</t>
  </si>
  <si>
    <t>56044127A</t>
  </si>
  <si>
    <t>HARRIER M BS6 D ADV X+</t>
  </si>
  <si>
    <t>56049127A</t>
  </si>
  <si>
    <t>8403531217</t>
  </si>
  <si>
    <t>CMMPVKRUSHNA/16.07.2026/18:27:59</t>
  </si>
  <si>
    <t>2611043526</t>
  </si>
  <si>
    <t>CMMPVKRUSHNA/16.07.2026/08:06:13</t>
  </si>
  <si>
    <t>CMMPVKRUSHNA/16.07.2026/05:16:31</t>
  </si>
  <si>
    <t>8403521832</t>
  </si>
  <si>
    <t>CMMPVKRUSHNA/16.07.2026/11:08:04</t>
  </si>
  <si>
    <t>2611043397</t>
  </si>
  <si>
    <t>CMMPVKRUSHNA/16.07.2026/05:16:22</t>
  </si>
  <si>
    <t>8403531218</t>
  </si>
  <si>
    <t>CMMPVKRUSHNA/16.07.2026/18:28:32</t>
  </si>
  <si>
    <t>2611043527</t>
  </si>
  <si>
    <t>8403521833</t>
  </si>
  <si>
    <t>CMMPVKRUSHNA/16.07.2026/11:08:22</t>
  </si>
  <si>
    <t>2611043398</t>
  </si>
  <si>
    <t>CMMPVKRUSHNA/16.07.2026/08:06:25</t>
  </si>
  <si>
    <t>CMMPVKRUSHNA/16.07.2026/05:16:39</t>
  </si>
  <si>
    <t>8403521834</t>
  </si>
  <si>
    <t>CMMPVKRUSHNA/16.07.2026/11:08:14</t>
  </si>
  <si>
    <t>2611043399</t>
  </si>
  <si>
    <t>8403531219</t>
  </si>
  <si>
    <t>CMMPVKRUSHNA/16.07.2026/18:28:22</t>
  </si>
  <si>
    <t>2611043528</t>
  </si>
  <si>
    <t>8403531216</t>
  </si>
  <si>
    <t>CMMPVKRUSHNA/16.07.2026/18:28:08</t>
  </si>
  <si>
    <t>2611043525</t>
  </si>
  <si>
    <t>8403528901</t>
  </si>
  <si>
    <t>CMMPVKRUSHNA/16.07.2026/17:08:41</t>
  </si>
  <si>
    <t>2611043486</t>
  </si>
  <si>
    <t>8403528903</t>
  </si>
  <si>
    <t>CMMPVKRUSHNA/16.07.2026/17:08:21</t>
  </si>
  <si>
    <t>2611043488</t>
  </si>
  <si>
    <t>8403528902</t>
  </si>
  <si>
    <t>CMMPVKRUSHNA/16.07.2026/17:08:28</t>
  </si>
  <si>
    <t>2611043487</t>
  </si>
  <si>
    <t>8403528904</t>
  </si>
  <si>
    <t>CMMPVKRUSHNA/16.07.2026/17:08:13</t>
  </si>
  <si>
    <t>2611043489</t>
  </si>
  <si>
    <t>8403541547</t>
  </si>
  <si>
    <t>CMMPVKRUSHNA/16.07.2026/22:49:15</t>
  </si>
  <si>
    <t>2611043725</t>
  </si>
  <si>
    <t>8403541552</t>
  </si>
  <si>
    <t>CMMPVKRUSHNA/16.07.2026/22:49:05</t>
  </si>
  <si>
    <t>2611043726</t>
  </si>
  <si>
    <t>8403541541</t>
  </si>
  <si>
    <t>CMMPVKRUSHNA/16.07.2026/22:49:40</t>
  </si>
  <si>
    <t>2611043722</t>
  </si>
  <si>
    <t>8403542665</t>
  </si>
  <si>
    <t>2611043759</t>
  </si>
  <si>
    <t>8403541542</t>
  </si>
  <si>
    <t>CMMPVKRUSHNA/16.07.2026/22:49:32</t>
  </si>
  <si>
    <t>2611043723</t>
  </si>
  <si>
    <t>8403541558</t>
  </si>
  <si>
    <t>CMMPVKRUSHNA/16.07.2026/22:48:52</t>
  </si>
  <si>
    <t>2611043728</t>
  </si>
  <si>
    <t>8403542668</t>
  </si>
  <si>
    <t>2611043762</t>
  </si>
  <si>
    <t>8403542667</t>
  </si>
  <si>
    <t>2611043761</t>
  </si>
  <si>
    <t>8403541555</t>
  </si>
  <si>
    <t>CMMPVKRUSHNA/16.07.2026/22:48:58</t>
  </si>
  <si>
    <t>2611043727</t>
  </si>
  <si>
    <t>8403541545</t>
  </si>
  <si>
    <t>CMMPVKRUSHNA/16.07.2026/22:49:23</t>
  </si>
  <si>
    <t>2611043724</t>
  </si>
  <si>
    <t>8403542666</t>
  </si>
  <si>
    <t>2611043760</t>
  </si>
  <si>
    <t>HARRIER.EV EMP AWD ST 75</t>
  </si>
  <si>
    <t>54734227A</t>
  </si>
  <si>
    <t>HARRIER.EV EMP ST 75</t>
  </si>
  <si>
    <t>54734027A</t>
  </si>
  <si>
    <t>SAFARI7S A BS6 P ACC UL RDK (TGDI)</t>
  </si>
  <si>
    <t>54795027A</t>
  </si>
  <si>
    <t>SAFARI7S M BS6 P SMT (TGDI)</t>
  </si>
  <si>
    <t>54790427A</t>
  </si>
  <si>
    <t>SMT</t>
  </si>
  <si>
    <t>HARRIER A BS6 P FRLR X+ (TGDI)</t>
  </si>
  <si>
    <t>54789027A</t>
  </si>
  <si>
    <t>FRL X+</t>
  </si>
  <si>
    <t>HARRIER M BS6 P ADV X DK (TGDI)</t>
  </si>
  <si>
    <t>54784327A</t>
  </si>
  <si>
    <t>ADV X DK</t>
  </si>
  <si>
    <t>TGDi MT</t>
  </si>
  <si>
    <t>WH TMLPVBU X445 FRONT PET</t>
  </si>
  <si>
    <t>Paint Shop Cab Mapping on : Date - 7/18/2026 Time :-6:29 AM</t>
  </si>
  <si>
    <t>HARRIER.EV ADV 65</t>
  </si>
  <si>
    <t>54732427A</t>
  </si>
  <si>
    <t>HARRIER.EV ADV 65WOWMU</t>
  </si>
  <si>
    <t>54734527A</t>
  </si>
  <si>
    <t>HARRIER.EV EMP AWD 75WOWMU</t>
  </si>
  <si>
    <t>54738427A</t>
  </si>
  <si>
    <t>HARRIER.EV FEA+ AWD 75</t>
  </si>
  <si>
    <t>54734127A</t>
  </si>
  <si>
    <t>FEA+</t>
  </si>
  <si>
    <t>HARRIER.EV FEA+ AWD 75WOWMU</t>
  </si>
  <si>
    <t>54735527A</t>
  </si>
  <si>
    <t>SAFARI6S A BS6 D ACC X+</t>
  </si>
  <si>
    <t>56052227A</t>
  </si>
  <si>
    <t>SAFARI6S A BS6 P ACC X+ (TGDI)</t>
  </si>
  <si>
    <t>54792227A</t>
  </si>
  <si>
    <t>SAFARI6S M BS6 P ACC X+ (TGDI)</t>
  </si>
  <si>
    <t>54792127A</t>
  </si>
  <si>
    <t>SAFARI7S A BS6 D ACC X</t>
  </si>
  <si>
    <t>56053627A</t>
  </si>
  <si>
    <t>SAFARI7S A BS6 D ACC X DK</t>
  </si>
  <si>
    <t>56053827A</t>
  </si>
  <si>
    <t>SAFARI7S A BS6 D ACC X+</t>
  </si>
  <si>
    <t>56051827A</t>
  </si>
  <si>
    <t>SAFARI7S A BS6 D ADV X+</t>
  </si>
  <si>
    <t>56059227A</t>
  </si>
  <si>
    <t>SAFARI7S A BS6 D ADV X+ DK</t>
  </si>
  <si>
    <t>56059427A</t>
  </si>
  <si>
    <t>SAFARI7S A BS6 D PUR X</t>
  </si>
  <si>
    <t>56051427A</t>
  </si>
  <si>
    <t>SAFARI7S A BS6 P PUR X (TGDI)</t>
  </si>
  <si>
    <t>54791427A</t>
  </si>
  <si>
    <t>HARRIER A BS6 D ADV X DK</t>
  </si>
  <si>
    <t>56044427A</t>
  </si>
  <si>
    <t>HARRIER A BS6 P ADV X (TGDI)</t>
  </si>
  <si>
    <t>54784227A</t>
  </si>
  <si>
    <t>ADV X</t>
  </si>
  <si>
    <t>HARRIER A BS6 P ADV X DK (TGDI)</t>
  </si>
  <si>
    <t>54784427A</t>
  </si>
  <si>
    <t>HARRIER M BS6 P SMT (TGDI)</t>
  </si>
  <si>
    <t>54780427A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</si>
</sst>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[$-F400]h:mm:ss\ AM/PM"/>
  </numFmts>
  <fonts count="10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4"/>
      <color rgb="FF000000"/>
      <name val="Calibri"/>
      <family val="2"/>
    </font>
    <font>
      <b/>
      <sz val="11"/>
      <name val="Calibri"/>
      <family val="2"/>
      <scheme val="minor"/>
    </font>
    <font>
      <sz val="12"/>
      <color theme="2" tint="-0.89999084444715716"/>
      <name val="Calibri"/>
      <family val="2"/>
      <scheme val="minor"/>
    </font>
    <font>
      <b/>
      <sz val="14"/>
      <name val="Arial"/>
      <family val="2"/>
    </font>
    <font>
      <sz val="11"/>
      <color theme="1"/>
      <name val="Aptos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Times New Roman"/>
      <family val="1"/>
    </font>
    <font>
      <sz val="16"/>
      <color rgb="FF000000"/>
      <name val="Calibri"/>
      <family val="2"/>
    </font>
    <font>
      <b/>
      <strike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Aptos"/>
      <family val="2"/>
    </font>
    <font>
      <sz val="16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6"/>
      <color rgb="FF00B0F0"/>
      <name val="Calibri"/>
      <family val="2"/>
      <scheme val="minor"/>
    </font>
    <font>
      <sz val="16"/>
      <color theme="1"/>
      <name val="Arial"/>
      <family val="2"/>
    </font>
    <font>
      <sz val="16"/>
      <color rgb="FF000000"/>
      <name val="Segoe UI"/>
      <family val="2"/>
    </font>
    <font>
      <sz val="16"/>
      <color theme="2" tint="-0.89999084444715716"/>
      <name val="Calibri"/>
      <family val="2"/>
      <scheme val="minor"/>
    </font>
    <font>
      <sz val="10"/>
      <color theme="1"/>
      <name val="Arial"/>
      <family val="2"/>
    </font>
    <font>
      <sz val="11"/>
      <color rgb="FF9C570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</font>
    <font>
      <sz val="11"/>
      <color theme="1"/>
      <name val="Book Antiqua"/>
      <family val="1"/>
    </font>
    <font>
      <sz val="11"/>
      <name val="Arial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sz val="10"/>
      <name val="Arial"/>
      <family val="2"/>
    </font>
    <font>
      <b/>
      <sz val="1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trike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4"/>
      <color rgb="FF000000"/>
      <name val="Bookman Old Style"/>
      <family val="1"/>
    </font>
    <font>
      <sz val="14"/>
      <color rgb="FF000000"/>
      <name val="72"/>
      <family val="2"/>
    </font>
    <font>
      <b/>
      <sz val="10"/>
      <color rgb="FFF2F2F2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EF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ECF6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FCD5B4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95BCE2"/>
      </left>
      <right style="medium">
        <color rgb="FF95BCE2"/>
      </right>
      <top/>
      <bottom style="medium">
        <color rgb="FF95BCE2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4">
    <xf numFmtId="0" fontId="0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1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0" applyNumberFormat="0" applyBorder="0" applyAlignment="0" applyProtection="0"/>
    <xf numFmtId="0" fontId="24" fillId="18" borderId="19" applyNumberFormat="0" applyAlignment="0" applyProtection="0"/>
    <xf numFmtId="0" fontId="25" fillId="19" borderId="20" applyNumberFormat="0" applyAlignment="0" applyProtection="0"/>
    <xf numFmtId="0" fontId="26" fillId="19" borderId="19" applyNumberFormat="0" applyAlignment="0" applyProtection="0"/>
    <xf numFmtId="0" fontId="27" fillId="0" borderId="21" applyNumberFormat="0" applyFill="0" applyAlignment="0" applyProtection="0"/>
    <xf numFmtId="0" fontId="28" fillId="20" borderId="22" applyNumberFormat="0" applyAlignment="0" applyProtection="0"/>
    <xf numFmtId="0" fontId="29" fillId="0" borderId="0" applyNumberFormat="0" applyFill="0" applyBorder="0" applyAlignment="0" applyProtection="0"/>
    <xf numFmtId="0" fontId="1" fillId="21" borderId="23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1" fillId="45" borderId="0" applyNumberFormat="0" applyBorder="0" applyAlignment="0" applyProtection="0"/>
    <xf numFmtId="0" fontId="6" fillId="0" borderId="0"/>
    <xf numFmtId="0" fontId="6" fillId="0" borderId="0"/>
    <xf numFmtId="164" fontId="1" fillId="0" borderId="0" applyFont="0" applyFill="0" applyBorder="0" applyAlignment="0" applyProtection="0"/>
    <xf numFmtId="0" fontId="64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6" fillId="0" borderId="0"/>
    <xf numFmtId="0" fontId="73" fillId="0" borderId="1" applyNumberFormat="0" applyFill="0" applyAlignment="0" applyProtection="0"/>
    <xf numFmtId="0" fontId="6" fillId="0" borderId="0"/>
    <xf numFmtId="0" fontId="82" fillId="0" borderId="0"/>
    <xf numFmtId="0" fontId="6" fillId="0" borderId="0"/>
    <xf numFmtId="0" fontId="6" fillId="0" borderId="0"/>
    <xf numFmtId="0" fontId="85" fillId="0" borderId="0"/>
    <xf numFmtId="0" fontId="6" fillId="0" borderId="0"/>
    <xf numFmtId="0" fontId="6" fillId="0" borderId="0"/>
    <xf numFmtId="0" fontId="86" fillId="0" borderId="0"/>
    <xf numFmtId="0" fontId="6" fillId="0" borderId="0"/>
    <xf numFmtId="0" fontId="87" fillId="0" borderId="0"/>
    <xf numFmtId="0" fontId="90" fillId="0" borderId="0"/>
    <xf numFmtId="0" fontId="91" fillId="0" borderId="0"/>
    <xf numFmtId="0" fontId="93" fillId="0" borderId="0"/>
    <xf numFmtId="0" fontId="6" fillId="0" borderId="0"/>
    <xf numFmtId="0" fontId="6" fillId="0" borderId="0"/>
    <xf numFmtId="0" fontId="100" fillId="0" borderId="0"/>
    <xf numFmtId="0" fontId="6" fillId="0" borderId="0"/>
    <xf numFmtId="0" fontId="101" fillId="0" borderId="0"/>
    <xf numFmtId="0" fontId="6" fillId="0" borderId="0"/>
    <xf numFmtId="0" fontId="6" fillId="0" borderId="0"/>
    <xf numFmtId="0" fontId="6" fillId="0" borderId="0"/>
    <xf numFmtId="0" fontId="102" fillId="0" borderId="0"/>
    <xf numFmtId="0" fontId="102" fillId="0" borderId="0"/>
    <xf numFmtId="0" fontId="103" fillId="0" borderId="0"/>
    <xf numFmtId="0" fontId="6" fillId="0" borderId="0"/>
    <xf numFmtId="0" fontId="6" fillId="0" borderId="0"/>
  </cellStyleXfs>
  <cellXfs count="106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10" fillId="10" borderId="2" xfId="4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3" fillId="0" borderId="6" xfId="0" applyFont="1" applyBorder="1" applyAlignment="1">
      <alignment horizontal="center" vertical="center" wrapText="1"/>
    </xf>
    <xf numFmtId="0" fontId="35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34" fillId="3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/>
    </xf>
    <xf numFmtId="1" fontId="4" fillId="4" borderId="6" xfId="2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0" fontId="36" fillId="0" borderId="0" xfId="0" applyFont="1"/>
    <xf numFmtId="1" fontId="4" fillId="46" borderId="12" xfId="1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6" xfId="0" applyFont="1" applyBorder="1"/>
    <xf numFmtId="0" fontId="3" fillId="3" borderId="5" xfId="0" applyFont="1" applyFill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4" borderId="2" xfId="2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textRotation="90"/>
    </xf>
    <xf numFmtId="1" fontId="4" fillId="4" borderId="1" xfId="1" applyNumberFormat="1" applyFont="1" applyFill="1" applyBorder="1" applyAlignment="1">
      <alignment vertical="center"/>
    </xf>
    <xf numFmtId="0" fontId="4" fillId="3" borderId="35" xfId="0" applyFont="1" applyFill="1" applyBorder="1" applyAlignment="1">
      <alignment vertical="center" wrapText="1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0" fillId="13" borderId="12" xfId="0" applyFill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4" fillId="0" borderId="0" xfId="0" applyFont="1"/>
    <xf numFmtId="0" fontId="4" fillId="0" borderId="39" xfId="0" applyFont="1" applyBorder="1"/>
    <xf numFmtId="0" fontId="39" fillId="51" borderId="1" xfId="0" applyFont="1" applyFill="1" applyBorder="1" applyAlignment="1">
      <alignment horizontal="center" wrapText="1"/>
    </xf>
    <xf numFmtId="0" fontId="4" fillId="0" borderId="12" xfId="0" applyFont="1" applyBorder="1"/>
    <xf numFmtId="0" fontId="39" fillId="51" borderId="12" xfId="0" applyFont="1" applyFill="1" applyBorder="1" applyAlignment="1">
      <alignment horizontal="center" wrapText="1"/>
    </xf>
    <xf numFmtId="0" fontId="34" fillId="3" borderId="11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/>
    <xf numFmtId="0" fontId="0" fillId="13" borderId="40" xfId="0" applyFill="1" applyBorder="1" applyAlignment="1">
      <alignment horizontal="left" vertical="center"/>
    </xf>
    <xf numFmtId="0" fontId="0" fillId="0" borderId="13" xfId="0" applyBorder="1" applyAlignment="1">
      <alignment horizontal="center" vertical="top"/>
    </xf>
    <xf numFmtId="0" fontId="38" fillId="0" borderId="11" xfId="0" applyFont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textRotation="90"/>
    </xf>
    <xf numFmtId="1" fontId="4" fillId="46" borderId="39" xfId="1" applyNumberFormat="1" applyFont="1" applyFill="1" applyBorder="1" applyAlignment="1">
      <alignment horizontal="center" vertical="center"/>
    </xf>
    <xf numFmtId="1" fontId="41" fillId="53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9" fillId="51" borderId="4" xfId="0" applyFont="1" applyFill="1" applyBorder="1" applyAlignment="1">
      <alignment vertical="center" wrapText="1"/>
    </xf>
    <xf numFmtId="0" fontId="39" fillId="51" borderId="29" xfId="0" applyFont="1" applyFill="1" applyBorder="1" applyAlignment="1">
      <alignment vertical="center" wrapText="1"/>
    </xf>
    <xf numFmtId="0" fontId="34" fillId="3" borderId="11" xfId="0" applyFont="1" applyFill="1" applyBorder="1" applyAlignment="1">
      <alignment vertical="center"/>
    </xf>
    <xf numFmtId="0" fontId="34" fillId="3" borderId="1" xfId="0" applyFont="1" applyFill="1" applyBorder="1" applyAlignment="1">
      <alignment horizontal="center"/>
    </xf>
    <xf numFmtId="0" fontId="9" fillId="11" borderId="1" xfId="4" applyFont="1" applyFill="1" applyBorder="1" applyAlignment="1">
      <alignment horizontal="center" vertical="center" wrapText="1"/>
    </xf>
    <xf numFmtId="0" fontId="9" fillId="11" borderId="13" xfId="4" applyFont="1" applyFill="1" applyBorder="1" applyAlignment="1">
      <alignment horizontal="center" vertical="center" wrapText="1"/>
    </xf>
    <xf numFmtId="0" fontId="2" fillId="0" borderId="0" xfId="0" applyFont="1"/>
    <xf numFmtId="0" fontId="2" fillId="14" borderId="1" xfId="0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4" fontId="0" fillId="9" borderId="9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6" fontId="9" fillId="10" borderId="1" xfId="4" applyNumberFormat="1" applyFont="1" applyFill="1" applyBorder="1" applyAlignment="1">
      <alignment horizontal="center" vertical="center"/>
    </xf>
    <xf numFmtId="1" fontId="4" fillId="4" borderId="12" xfId="1" applyNumberFormat="1" applyFont="1" applyFill="1" applyBorder="1" applyAlignment="1">
      <alignment horizontal="center" vertical="center"/>
    </xf>
    <xf numFmtId="1" fontId="33" fillId="48" borderId="1" xfId="0" applyNumberFormat="1" applyFont="1" applyFill="1" applyBorder="1" applyAlignment="1">
      <alignment horizontal="center" vertical="center"/>
    </xf>
    <xf numFmtId="1" fontId="4" fillId="4" borderId="6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34" fillId="0" borderId="12" xfId="1" applyNumberFormat="1" applyFont="1" applyBorder="1" applyAlignment="1">
      <alignment horizontal="center" vertical="center"/>
    </xf>
    <xf numFmtId="1" fontId="34" fillId="8" borderId="12" xfId="1" applyNumberFormat="1" applyFont="1" applyFill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2" fillId="3" borderId="49" xfId="0" applyFont="1" applyFill="1" applyBorder="1" applyAlignment="1">
      <alignment horizontal="center" textRotation="90"/>
    </xf>
    <xf numFmtId="1" fontId="43" fillId="8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14" borderId="25" xfId="0" applyFont="1" applyFill="1" applyBorder="1" applyAlignment="1">
      <alignment vertical="center"/>
    </xf>
    <xf numFmtId="0" fontId="5" fillId="0" borderId="6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16" fontId="42" fillId="11" borderId="4" xfId="4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1" fontId="4" fillId="4" borderId="49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0" borderId="5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1" fontId="41" fillId="5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13" borderId="26" xfId="0" applyFill="1" applyBorder="1" applyAlignment="1">
      <alignment horizontal="left" vertical="center"/>
    </xf>
    <xf numFmtId="2" fontId="0" fillId="0" borderId="3" xfId="0" applyNumberFormat="1" applyBorder="1" applyAlignment="1">
      <alignment horizontal="center" vertical="center"/>
    </xf>
    <xf numFmtId="0" fontId="2" fillId="14" borderId="40" xfId="0" applyFont="1" applyFill="1" applyBorder="1" applyAlignment="1">
      <alignment horizontal="center" vertical="center"/>
    </xf>
    <xf numFmtId="0" fontId="5" fillId="13" borderId="40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4" fillId="0" borderId="51" xfId="0" applyFont="1" applyBorder="1"/>
    <xf numFmtId="0" fontId="34" fillId="9" borderId="36" xfId="0" applyFont="1" applyFill="1" applyBorder="1" applyAlignment="1">
      <alignment horizontal="center" vertical="center"/>
    </xf>
    <xf numFmtId="14" fontId="3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34" fillId="3" borderId="5" xfId="0" applyNumberFormat="1" applyFont="1" applyFill="1" applyBorder="1" applyAlignment="1">
      <alignment horizontal="center"/>
    </xf>
    <xf numFmtId="1" fontId="36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14" fontId="11" fillId="0" borderId="0" xfId="0" applyNumberFormat="1" applyFont="1"/>
    <xf numFmtId="0" fontId="14" fillId="3" borderId="2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3" borderId="11" xfId="0" applyFont="1" applyFill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" fontId="0" fillId="55" borderId="1" xfId="0" applyNumberFormat="1" applyFill="1" applyBorder="1" applyAlignment="1">
      <alignment horizontal="center" vertical="center"/>
    </xf>
    <xf numFmtId="0" fontId="0" fillId="57" borderId="1" xfId="0" applyFill="1" applyBorder="1"/>
    <xf numFmtId="0" fontId="14" fillId="0" borderId="13" xfId="0" applyFont="1" applyBorder="1" applyAlignment="1">
      <alignment horizontal="center"/>
    </xf>
    <xf numFmtId="1" fontId="0" fillId="59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6" fillId="0" borderId="3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49" xfId="0" applyFont="1" applyBorder="1" applyAlignment="1">
      <alignment horizontal="center" wrapText="1"/>
    </xf>
    <xf numFmtId="0" fontId="2" fillId="0" borderId="49" xfId="0" applyFont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7" borderId="7" xfId="0" applyFill="1" applyBorder="1" applyAlignment="1">
      <alignment horizontal="left" wrapText="1"/>
    </xf>
    <xf numFmtId="0" fontId="36" fillId="60" borderId="2" xfId="0" applyFont="1" applyFill="1" applyBorder="1" applyAlignment="1">
      <alignment horizontal="center" vertical="center"/>
    </xf>
    <xf numFmtId="0" fontId="11" fillId="4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41" fillId="53" borderId="3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4" fillId="8" borderId="0" xfId="0" applyFont="1" applyFill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61" borderId="11" xfId="0" applyFont="1" applyFill="1" applyBorder="1" applyAlignment="1">
      <alignment horizontal="center" vertical="center"/>
    </xf>
    <xf numFmtId="0" fontId="46" fillId="0" borderId="55" xfId="0" applyFont="1" applyBorder="1" applyAlignment="1">
      <alignment vertical="center"/>
    </xf>
    <xf numFmtId="0" fontId="46" fillId="0" borderId="56" xfId="0" applyFont="1" applyBorder="1" applyAlignment="1">
      <alignment vertical="center"/>
    </xf>
    <xf numFmtId="0" fontId="46" fillId="0" borderId="56" xfId="0" applyFont="1" applyBorder="1" applyAlignment="1">
      <alignment vertical="center" wrapText="1"/>
    </xf>
    <xf numFmtId="0" fontId="46" fillId="0" borderId="57" xfId="0" applyFont="1" applyBorder="1" applyAlignment="1">
      <alignment vertical="center" wrapText="1"/>
    </xf>
    <xf numFmtId="0" fontId="48" fillId="0" borderId="45" xfId="0" applyFont="1" applyBorder="1" applyAlignment="1">
      <alignment horizontal="center" vertical="center"/>
    </xf>
    <xf numFmtId="0" fontId="46" fillId="0" borderId="57" xfId="0" applyFont="1" applyBorder="1" applyAlignment="1">
      <alignment vertical="center"/>
    </xf>
    <xf numFmtId="0" fontId="49" fillId="0" borderId="45" xfId="0" applyFont="1" applyBorder="1" applyAlignment="1">
      <alignment horizontal="center" vertical="center"/>
    </xf>
    <xf numFmtId="0" fontId="48" fillId="0" borderId="57" xfId="0" applyFont="1" applyBorder="1" applyAlignment="1">
      <alignment vertical="center"/>
    </xf>
    <xf numFmtId="0" fontId="48" fillId="0" borderId="57" xfId="0" applyFont="1" applyBorder="1" applyAlignment="1">
      <alignment vertical="center" wrapText="1"/>
    </xf>
    <xf numFmtId="0" fontId="45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1" fontId="47" fillId="0" borderId="45" xfId="0" applyNumberFormat="1" applyFont="1" applyBorder="1" applyAlignment="1">
      <alignment horizontal="center" vertical="center" wrapText="1"/>
    </xf>
    <xf numFmtId="1" fontId="48" fillId="0" borderId="45" xfId="0" applyNumberFormat="1" applyFont="1" applyBorder="1" applyAlignment="1">
      <alignment horizontal="center" vertical="center"/>
    </xf>
    <xf numFmtId="1" fontId="49" fillId="0" borderId="45" xfId="0" applyNumberFormat="1" applyFont="1" applyBorder="1" applyAlignment="1">
      <alignment horizontal="center" vertical="center"/>
    </xf>
    <xf numFmtId="1" fontId="49" fillId="0" borderId="45" xfId="0" applyNumberFormat="1" applyFont="1" applyBorder="1" applyAlignment="1">
      <alignment horizontal="right" vertical="center"/>
    </xf>
    <xf numFmtId="0" fontId="14" fillId="62" borderId="55" xfId="0" applyFont="1" applyFill="1" applyBorder="1" applyAlignment="1">
      <alignment horizontal="center" vertical="center"/>
    </xf>
    <xf numFmtId="0" fontId="4" fillId="57" borderId="0" xfId="0" applyFont="1" applyFill="1" applyAlignment="1">
      <alignment horizontal="center"/>
    </xf>
    <xf numFmtId="1" fontId="4" fillId="46" borderId="40" xfId="1" applyNumberFormat="1" applyFont="1" applyFill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34" fillId="0" borderId="62" xfId="0" applyFont="1" applyBorder="1" applyAlignment="1">
      <alignment horizontal="center"/>
    </xf>
    <xf numFmtId="0" fontId="36" fillId="60" borderId="3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1" fontId="3" fillId="3" borderId="42" xfId="0" applyNumberFormat="1" applyFont="1" applyFill="1" applyBorder="1" applyAlignment="1">
      <alignment horizontal="center"/>
    </xf>
    <xf numFmtId="0" fontId="3" fillId="0" borderId="66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/>
    </xf>
    <xf numFmtId="0" fontId="34" fillId="0" borderId="67" xfId="0" applyFont="1" applyBorder="1" applyAlignment="1">
      <alignment horizontal="center"/>
    </xf>
    <xf numFmtId="0" fontId="4" fillId="57" borderId="53" xfId="0" applyFont="1" applyFill="1" applyBorder="1" applyAlignment="1">
      <alignment horizontal="center"/>
    </xf>
    <xf numFmtId="0" fontId="4" fillId="0" borderId="56" xfId="0" applyFont="1" applyBorder="1"/>
    <xf numFmtId="1" fontId="41" fillId="53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34" fillId="3" borderId="64" xfId="0" applyFont="1" applyFill="1" applyBorder="1"/>
    <xf numFmtId="0" fontId="34" fillId="0" borderId="11" xfId="0" applyFont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0" borderId="10" xfId="0" applyFont="1" applyBorder="1"/>
    <xf numFmtId="0" fontId="4" fillId="8" borderId="0" xfId="0" applyFont="1" applyFill="1" applyAlignment="1">
      <alignment horizontal="center"/>
    </xf>
    <xf numFmtId="0" fontId="4" fillId="0" borderId="68" xfId="0" applyFont="1" applyBorder="1"/>
    <xf numFmtId="0" fontId="34" fillId="0" borderId="38" xfId="0" applyFont="1" applyBorder="1" applyAlignment="1">
      <alignment horizontal="center"/>
    </xf>
    <xf numFmtId="0" fontId="4" fillId="57" borderId="64" xfId="0" applyFont="1" applyFill="1" applyBorder="1" applyAlignment="1">
      <alignment horizontal="center"/>
    </xf>
    <xf numFmtId="0" fontId="4" fillId="0" borderId="45" xfId="0" applyFont="1" applyBorder="1"/>
    <xf numFmtId="0" fontId="36" fillId="0" borderId="62" xfId="0" applyFont="1" applyBorder="1" applyAlignment="1">
      <alignment horizontal="center" vertical="center"/>
    </xf>
    <xf numFmtId="0" fontId="4" fillId="57" borderId="9" xfId="0" applyFont="1" applyFill="1" applyBorder="1" applyAlignment="1">
      <alignment horizontal="center"/>
    </xf>
    <xf numFmtId="0" fontId="4" fillId="8" borderId="64" xfId="0" applyFont="1" applyFill="1" applyBorder="1" applyAlignment="1">
      <alignment horizontal="center"/>
    </xf>
    <xf numFmtId="1" fontId="34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164" fontId="0" fillId="0" borderId="1" xfId="48" applyFont="1" applyBorder="1" applyAlignment="1">
      <alignment horizontal="center" vertical="center"/>
    </xf>
    <xf numFmtId="164" fontId="0" fillId="0" borderId="1" xfId="48" applyFont="1" applyBorder="1" applyAlignment="1">
      <alignment horizontal="center"/>
    </xf>
    <xf numFmtId="164" fontId="0" fillId="0" borderId="1" xfId="48" applyFont="1" applyFill="1" applyBorder="1" applyAlignment="1">
      <alignment horizontal="center"/>
    </xf>
    <xf numFmtId="164" fontId="0" fillId="0" borderId="0" xfId="48" applyFont="1"/>
    <xf numFmtId="1" fontId="0" fillId="0" borderId="1" xfId="48" applyNumberFormat="1" applyFont="1" applyBorder="1" applyAlignment="1">
      <alignment horizontal="center"/>
    </xf>
    <xf numFmtId="164" fontId="0" fillId="0" borderId="1" xfId="48" applyFont="1" applyBorder="1"/>
    <xf numFmtId="1" fontId="0" fillId="0" borderId="1" xfId="48" applyNumberFormat="1" applyFont="1" applyBorder="1" applyAlignment="1">
      <alignment horizontal="center" vertical="center"/>
    </xf>
    <xf numFmtId="1" fontId="51" fillId="9" borderId="13" xfId="0" applyNumberFormat="1" applyFont="1" applyFill="1" applyBorder="1" applyAlignment="1">
      <alignment horizontal="center" vertical="center"/>
    </xf>
    <xf numFmtId="1" fontId="51" fillId="2" borderId="13" xfId="0" applyNumberFormat="1" applyFont="1" applyFill="1" applyBorder="1" applyAlignment="1">
      <alignment horizontal="center" vertical="center"/>
    </xf>
    <xf numFmtId="1" fontId="54" fillId="9" borderId="1" xfId="0" applyNumberFormat="1" applyFont="1" applyFill="1" applyBorder="1" applyAlignment="1">
      <alignment horizontal="center" vertical="center" wrapText="1"/>
    </xf>
    <xf numFmtId="165" fontId="0" fillId="0" borderId="1" xfId="48" applyNumberFormat="1" applyFont="1" applyBorder="1" applyAlignment="1">
      <alignment horizontal="center"/>
    </xf>
    <xf numFmtId="1" fontId="0" fillId="56" borderId="1" xfId="0" applyNumberFormat="1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14" fontId="0" fillId="56" borderId="1" xfId="0" applyNumberFormat="1" applyFill="1" applyBorder="1" applyAlignment="1">
      <alignment horizontal="center" vertical="center"/>
    </xf>
    <xf numFmtId="1" fontId="41" fillId="53" borderId="31" xfId="0" applyNumberFormat="1" applyFont="1" applyFill="1" applyBorder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5" fillId="63" borderId="55" xfId="0" applyFont="1" applyFill="1" applyBorder="1" applyAlignment="1">
      <alignment horizontal="center" vertical="center"/>
    </xf>
    <xf numFmtId="0" fontId="55" fillId="63" borderId="56" xfId="0" applyFont="1" applyFill="1" applyBorder="1" applyAlignment="1">
      <alignment horizontal="center" vertical="center"/>
    </xf>
    <xf numFmtId="0" fontId="55" fillId="0" borderId="57" xfId="0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1" fontId="55" fillId="0" borderId="45" xfId="0" applyNumberFormat="1" applyFont="1" applyBorder="1" applyAlignment="1">
      <alignment horizontal="center" vertical="center"/>
    </xf>
    <xf numFmtId="1" fontId="12" fillId="50" borderId="1" xfId="3" applyNumberFormat="1" applyFont="1" applyFill="1" applyBorder="1" applyAlignment="1">
      <alignment horizontal="center" vertical="center"/>
    </xf>
    <xf numFmtId="1" fontId="51" fillId="53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4" fillId="0" borderId="53" xfId="0" applyFont="1" applyBorder="1"/>
    <xf numFmtId="0" fontId="34" fillId="0" borderId="9" xfId="0" applyFont="1" applyBorder="1"/>
    <xf numFmtId="0" fontId="34" fillId="0" borderId="64" xfId="0" applyFont="1" applyBorder="1"/>
    <xf numFmtId="0" fontId="36" fillId="0" borderId="12" xfId="0" applyFont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" fontId="13" fillId="0" borderId="12" xfId="1" applyNumberFormat="1" applyFont="1" applyBorder="1" applyAlignment="1">
      <alignment horizontal="center" vertical="center"/>
    </xf>
    <xf numFmtId="1" fontId="56" fillId="0" borderId="1" xfId="1" applyNumberFormat="1" applyFont="1" applyBorder="1" applyAlignment="1">
      <alignment horizontal="center" vertical="center"/>
    </xf>
    <xf numFmtId="0" fontId="56" fillId="0" borderId="1" xfId="2" applyFont="1" applyBorder="1" applyAlignment="1">
      <alignment horizontal="left" vertical="center"/>
    </xf>
    <xf numFmtId="0" fontId="56" fillId="13" borderId="1" xfId="2" applyFont="1" applyFill="1" applyBorder="1" applyAlignment="1">
      <alignment horizontal="left" vertical="center"/>
    </xf>
    <xf numFmtId="0" fontId="56" fillId="8" borderId="1" xfId="2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56" fillId="0" borderId="1" xfId="0" applyFont="1" applyBorder="1" applyAlignment="1">
      <alignment horizontal="left"/>
    </xf>
    <xf numFmtId="0" fontId="13" fillId="0" borderId="1" xfId="2" applyFont="1" applyBorder="1" applyAlignment="1">
      <alignment horizontal="left" vertical="center"/>
    </xf>
    <xf numFmtId="1" fontId="56" fillId="0" borderId="1" xfId="1" applyNumberFormat="1" applyFont="1" applyBorder="1" applyAlignment="1">
      <alignment horizontal="left" vertical="center"/>
    </xf>
    <xf numFmtId="1" fontId="56" fillId="4" borderId="6" xfId="2" applyNumberFormat="1" applyFont="1" applyFill="1" applyBorder="1" applyAlignment="1">
      <alignment horizontal="left" vertical="center"/>
    </xf>
    <xf numFmtId="1" fontId="57" fillId="0" borderId="12" xfId="1" applyNumberFormat="1" applyFont="1" applyBorder="1" applyAlignment="1">
      <alignment horizontal="left" vertical="center"/>
    </xf>
    <xf numFmtId="1" fontId="57" fillId="8" borderId="12" xfId="1" applyNumberFormat="1" applyFont="1" applyFill="1" applyBorder="1" applyAlignment="1">
      <alignment horizontal="left" vertical="center"/>
    </xf>
    <xf numFmtId="1" fontId="56" fillId="13" borderId="1" xfId="1" applyNumberFormat="1" applyFont="1" applyFill="1" applyBorder="1" applyAlignment="1">
      <alignment horizontal="left" vertical="center"/>
    </xf>
    <xf numFmtId="1" fontId="56" fillId="4" borderId="1" xfId="1" applyNumberFormat="1" applyFont="1" applyFill="1" applyBorder="1" applyAlignment="1">
      <alignment horizontal="left" vertical="center"/>
    </xf>
    <xf numFmtId="1" fontId="56" fillId="4" borderId="6" xfId="1" applyNumberFormat="1" applyFont="1" applyFill="1" applyBorder="1" applyAlignment="1">
      <alignment horizontal="left" vertical="center"/>
    </xf>
    <xf numFmtId="1" fontId="56" fillId="4" borderId="1" xfId="2" applyNumberFormat="1" applyFont="1" applyFill="1" applyBorder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56" fillId="8" borderId="1" xfId="0" applyFont="1" applyFill="1" applyBorder="1" applyAlignment="1">
      <alignment horizontal="left" vertical="center"/>
    </xf>
    <xf numFmtId="0" fontId="56" fillId="0" borderId="1" xfId="0" applyFont="1" applyBorder="1" applyAlignment="1">
      <alignment horizontal="left" vertical="center" wrapText="1"/>
    </xf>
    <xf numFmtId="1" fontId="59" fillId="0" borderId="12" xfId="0" applyNumberFormat="1" applyFont="1" applyBorder="1" applyAlignment="1">
      <alignment horizontal="left" vertical="center"/>
    </xf>
    <xf numFmtId="1" fontId="12" fillId="0" borderId="1" xfId="2" applyNumberFormat="1" applyFont="1" applyBorder="1" applyAlignment="1">
      <alignment horizontal="left" vertical="center"/>
    </xf>
    <xf numFmtId="1" fontId="12" fillId="0" borderId="6" xfId="2" applyNumberFormat="1" applyFont="1" applyBorder="1" applyAlignment="1">
      <alignment horizontal="left" vertical="center"/>
    </xf>
    <xf numFmtId="1" fontId="56" fillId="4" borderId="12" xfId="1" applyNumberFormat="1" applyFont="1" applyFill="1" applyBorder="1" applyAlignment="1">
      <alignment horizontal="left" vertical="center"/>
    </xf>
    <xf numFmtId="1" fontId="56" fillId="46" borderId="12" xfId="1" applyNumberFormat="1" applyFont="1" applyFill="1" applyBorder="1" applyAlignment="1">
      <alignment horizontal="left" vertical="center"/>
    </xf>
    <xf numFmtId="1" fontId="56" fillId="46" borderId="39" xfId="1" applyNumberFormat="1" applyFont="1" applyFill="1" applyBorder="1" applyAlignment="1">
      <alignment horizontal="left" vertical="center"/>
    </xf>
    <xf numFmtId="1" fontId="33" fillId="3" borderId="1" xfId="1" applyNumberFormat="1" applyFont="1" applyFill="1" applyBorder="1" applyAlignment="1">
      <alignment horizontal="left" vertical="center"/>
    </xf>
    <xf numFmtId="1" fontId="33" fillId="0" borderId="1" xfId="1" applyNumberFormat="1" applyFont="1" applyBorder="1" applyAlignment="1">
      <alignment horizontal="left" vertical="center"/>
    </xf>
    <xf numFmtId="0" fontId="53" fillId="0" borderId="45" xfId="0" applyFont="1" applyBorder="1" applyAlignment="1">
      <alignment horizontal="left" vertical="center"/>
    </xf>
    <xf numFmtId="0" fontId="51" fillId="9" borderId="68" xfId="0" applyFont="1" applyFill="1" applyBorder="1" applyAlignment="1">
      <alignment horizontal="left" vertical="center"/>
    </xf>
    <xf numFmtId="49" fontId="60" fillId="48" borderId="50" xfId="0" applyNumberFormat="1" applyFont="1" applyFill="1" applyBorder="1" applyAlignment="1">
      <alignment horizontal="left" vertical="center" wrapText="1"/>
    </xf>
    <xf numFmtId="0" fontId="51" fillId="2" borderId="50" xfId="0" applyFont="1" applyFill="1" applyBorder="1" applyAlignment="1">
      <alignment horizontal="left" vertical="center"/>
    </xf>
    <xf numFmtId="0" fontId="51" fillId="0" borderId="64" xfId="0" applyFont="1" applyBorder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64" xfId="0" applyFont="1" applyBorder="1" applyAlignment="1">
      <alignment horizontal="left" vertical="center"/>
    </xf>
    <xf numFmtId="0" fontId="51" fillId="2" borderId="50" xfId="0" applyFont="1" applyFill="1" applyBorder="1" applyAlignment="1">
      <alignment horizontal="left" vertical="center" wrapText="1"/>
    </xf>
    <xf numFmtId="0" fontId="51" fillId="2" borderId="64" xfId="0" applyFont="1" applyFill="1" applyBorder="1" applyAlignment="1">
      <alignment horizontal="left" vertical="center"/>
    </xf>
    <xf numFmtId="49" fontId="60" fillId="52" borderId="7" xfId="0" applyNumberFormat="1" applyFont="1" applyFill="1" applyBorder="1" applyAlignment="1">
      <alignment horizontal="left" wrapText="1"/>
    </xf>
    <xf numFmtId="1" fontId="33" fillId="3" borderId="39" xfId="1" applyNumberFormat="1" applyFont="1" applyFill="1" applyBorder="1" applyAlignment="1">
      <alignment horizontal="left" vertical="center"/>
    </xf>
    <xf numFmtId="0" fontId="53" fillId="0" borderId="64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/>
    </xf>
    <xf numFmtId="0" fontId="51" fillId="54" borderId="1" xfId="0" applyFont="1" applyFill="1" applyBorder="1" applyAlignment="1">
      <alignment horizontal="left" vertical="center" wrapText="1"/>
    </xf>
    <xf numFmtId="1" fontId="56" fillId="4" borderId="0" xfId="2" applyNumberFormat="1" applyFont="1" applyFill="1" applyAlignment="1">
      <alignment horizontal="left" vertical="center"/>
    </xf>
    <xf numFmtId="0" fontId="56" fillId="5" borderId="0" xfId="2" applyFont="1" applyFill="1" applyAlignment="1">
      <alignment horizontal="left" vertical="center"/>
    </xf>
    <xf numFmtId="1" fontId="33" fillId="48" borderId="0" xfId="0" applyNumberFormat="1" applyFont="1" applyFill="1" applyAlignment="1">
      <alignment horizontal="left" vertical="center"/>
    </xf>
    <xf numFmtId="1" fontId="56" fillId="0" borderId="3" xfId="1" applyNumberFormat="1" applyFont="1" applyBorder="1" applyAlignment="1">
      <alignment horizontal="left" vertical="center"/>
    </xf>
    <xf numFmtId="0" fontId="56" fillId="0" borderId="3" xfId="2" applyFont="1" applyBorder="1" applyAlignment="1">
      <alignment horizontal="left" vertical="center"/>
    </xf>
    <xf numFmtId="1" fontId="33" fillId="3" borderId="64" xfId="1" applyNumberFormat="1" applyFont="1" applyFill="1" applyBorder="1" applyAlignment="1">
      <alignment horizontal="left" vertical="center"/>
    </xf>
    <xf numFmtId="1" fontId="56" fillId="49" borderId="1" xfId="1" applyNumberFormat="1" applyFont="1" applyFill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center" vertical="center"/>
    </xf>
    <xf numFmtId="1" fontId="56" fillId="0" borderId="2" xfId="0" applyNumberFormat="1" applyFont="1" applyBorder="1" applyAlignment="1">
      <alignment horizontal="center" vertical="center"/>
    </xf>
    <xf numFmtId="1" fontId="61" fillId="0" borderId="1" xfId="0" applyNumberFormat="1" applyFont="1" applyBorder="1" applyAlignment="1">
      <alignment horizontal="center" vertical="center"/>
    </xf>
    <xf numFmtId="1" fontId="56" fillId="0" borderId="1" xfId="0" applyNumberFormat="1" applyFont="1" applyBorder="1" applyAlignment="1">
      <alignment horizontal="center" vertical="center"/>
    </xf>
    <xf numFmtId="1" fontId="57" fillId="47" borderId="27" xfId="1" applyNumberFormat="1" applyFont="1" applyFill="1" applyBorder="1" applyAlignment="1">
      <alignment horizontal="center" vertical="center"/>
    </xf>
    <xf numFmtId="1" fontId="62" fillId="8" borderId="1" xfId="1" applyNumberFormat="1" applyFont="1" applyFill="1" applyBorder="1" applyAlignment="1">
      <alignment horizontal="center" vertical="center"/>
    </xf>
    <xf numFmtId="1" fontId="51" fillId="58" borderId="6" xfId="0" applyNumberFormat="1" applyFont="1" applyFill="1" applyBorder="1" applyAlignment="1">
      <alignment horizontal="center" vertical="center"/>
    </xf>
    <xf numFmtId="1" fontId="56" fillId="13" borderId="1" xfId="0" applyNumberFormat="1" applyFont="1" applyFill="1" applyBorder="1" applyAlignment="1">
      <alignment horizontal="center" vertical="center"/>
    </xf>
    <xf numFmtId="1" fontId="56" fillId="10" borderId="1" xfId="0" applyNumberFormat="1" applyFont="1" applyFill="1" applyBorder="1" applyAlignment="1">
      <alignment horizontal="center" vertical="center"/>
    </xf>
    <xf numFmtId="1" fontId="56" fillId="46" borderId="1" xfId="0" applyNumberFormat="1" applyFont="1" applyFill="1" applyBorder="1" applyAlignment="1">
      <alignment horizontal="center" vertical="center"/>
    </xf>
    <xf numFmtId="1" fontId="51" fillId="9" borderId="31" xfId="0" applyNumberFormat="1" applyFont="1" applyFill="1" applyBorder="1" applyAlignment="1">
      <alignment horizontal="center" vertical="center"/>
    </xf>
    <xf numFmtId="1" fontId="51" fillId="0" borderId="6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32" fillId="60" borderId="1" xfId="0" applyFont="1" applyFill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left" wrapText="1"/>
    </xf>
    <xf numFmtId="49" fontId="0" fillId="7" borderId="7" xfId="0" applyNumberFormat="1" applyFill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5" fillId="0" borderId="73" xfId="0" applyFont="1" applyBorder="1" applyAlignment="1">
      <alignment horizontal="left" vertical="center"/>
    </xf>
    <xf numFmtId="1" fontId="51" fillId="9" borderId="74" xfId="0" applyNumberFormat="1" applyFont="1" applyFill="1" applyBorder="1" applyAlignment="1">
      <alignment horizontal="center" vertical="center"/>
    </xf>
    <xf numFmtId="164" fontId="0" fillId="0" borderId="3" xfId="48" applyFont="1" applyBorder="1" applyAlignment="1">
      <alignment horizontal="center" vertical="center"/>
    </xf>
    <xf numFmtId="164" fontId="0" fillId="0" borderId="2" xfId="48" applyFont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/>
    </xf>
    <xf numFmtId="1" fontId="34" fillId="3" borderId="5" xfId="0" applyNumberFormat="1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/>
    </xf>
    <xf numFmtId="0" fontId="0" fillId="14" borderId="25" xfId="0" applyFill="1" applyBorder="1" applyAlignment="1">
      <alignment horizontal="center" wrapText="1"/>
    </xf>
    <xf numFmtId="0" fontId="10" fillId="0" borderId="3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67" fillId="4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16" fontId="37" fillId="11" borderId="2" xfId="4" applyNumberFormat="1" applyFont="1" applyFill="1" applyBorder="1" applyAlignment="1">
      <alignment horizontal="center" vertical="center"/>
    </xf>
    <xf numFmtId="1" fontId="49" fillId="53" borderId="3" xfId="0" applyNumberFormat="1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48" fillId="0" borderId="29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1" fontId="48" fillId="0" borderId="12" xfId="0" applyNumberFormat="1" applyFont="1" applyBorder="1" applyAlignment="1">
      <alignment horizontal="center" vertical="center"/>
    </xf>
    <xf numFmtId="1" fontId="68" fillId="0" borderId="12" xfId="0" applyNumberFormat="1" applyFont="1" applyBorder="1" applyAlignment="1">
      <alignment horizontal="center" vertical="center"/>
    </xf>
    <xf numFmtId="1" fontId="48" fillId="0" borderId="12" xfId="0" applyNumberFormat="1" applyFont="1" applyBorder="1" applyAlignment="1">
      <alignment horizontal="center" vertical="center" wrapText="1"/>
    </xf>
    <xf numFmtId="1" fontId="65" fillId="8" borderId="12" xfId="0" applyNumberFormat="1" applyFont="1" applyFill="1" applyBorder="1" applyAlignment="1">
      <alignment horizontal="center" vertical="center" wrapText="1"/>
    </xf>
    <xf numFmtId="1" fontId="65" fillId="53" borderId="1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10" fillId="0" borderId="5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7" fillId="4" borderId="5" xfId="0" applyFont="1" applyFill="1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" fontId="37" fillId="11" borderId="27" xfId="4" applyNumberFormat="1" applyFont="1" applyFill="1" applyBorder="1" applyAlignment="1">
      <alignment horizontal="center" vertical="center"/>
    </xf>
    <xf numFmtId="0" fontId="66" fillId="0" borderId="58" xfId="0" applyFont="1" applyBorder="1" applyAlignment="1">
      <alignment horizontal="center" vertical="center"/>
    </xf>
    <xf numFmtId="0" fontId="66" fillId="0" borderId="49" xfId="0" applyFont="1" applyBorder="1" applyAlignment="1">
      <alignment horizontal="center" vertical="center"/>
    </xf>
    <xf numFmtId="0" fontId="66" fillId="0" borderId="34" xfId="0" applyFont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66" fillId="0" borderId="54" xfId="0" applyFont="1" applyBorder="1" applyAlignment="1">
      <alignment horizontal="center" vertical="center"/>
    </xf>
    <xf numFmtId="0" fontId="70" fillId="66" borderId="1" xfId="0" applyFont="1" applyFill="1" applyBorder="1" applyAlignment="1">
      <alignment horizontal="center" vertical="center" wrapText="1"/>
    </xf>
    <xf numFmtId="1" fontId="37" fillId="2" borderId="75" xfId="0" applyNumberFormat="1" applyFont="1" applyFill="1" applyBorder="1" applyAlignment="1">
      <alignment horizontal="center" vertical="center" wrapText="1"/>
    </xf>
    <xf numFmtId="0" fontId="48" fillId="67" borderId="1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wrapText="1"/>
    </xf>
    <xf numFmtId="0" fontId="11" fillId="3" borderId="51" xfId="0" applyFont="1" applyFill="1" applyBorder="1" applyAlignment="1">
      <alignment vertical="center" wrapText="1"/>
    </xf>
    <xf numFmtId="1" fontId="74" fillId="0" borderId="1" xfId="58" applyNumberFormat="1" applyFont="1" applyBorder="1" applyAlignment="1">
      <alignment horizontal="center" vertical="center" wrapText="1"/>
    </xf>
    <xf numFmtId="1" fontId="74" fillId="0" borderId="1" xfId="4" applyNumberFormat="1" applyFont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center"/>
    </xf>
    <xf numFmtId="0" fontId="0" fillId="0" borderId="2" xfId="0" applyBorder="1"/>
    <xf numFmtId="1" fontId="74" fillId="0" borderId="1" xfId="4" quotePrefix="1" applyNumberFormat="1" applyFont="1" applyBorder="1" applyAlignment="1">
      <alignment horizontal="center" vertical="center"/>
    </xf>
    <xf numFmtId="0" fontId="34" fillId="3" borderId="34" xfId="0" applyFont="1" applyFill="1" applyBorder="1" applyAlignment="1">
      <alignment horizontal="center"/>
    </xf>
    <xf numFmtId="0" fontId="4" fillId="0" borderId="54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16" fontId="3" fillId="11" borderId="66" xfId="4" applyNumberFormat="1" applyFont="1" applyFill="1" applyBorder="1" applyAlignment="1">
      <alignment horizontal="center" vertical="center"/>
    </xf>
    <xf numFmtId="0" fontId="36" fillId="0" borderId="66" xfId="0" applyFont="1" applyBorder="1" applyAlignment="1">
      <alignment horizontal="center" vertical="center" wrapText="1"/>
    </xf>
    <xf numFmtId="0" fontId="4" fillId="0" borderId="66" xfId="0" applyFont="1" applyBorder="1" applyAlignment="1">
      <alignment wrapText="1"/>
    </xf>
    <xf numFmtId="16" fontId="3" fillId="11" borderId="76" xfId="4" applyNumberFormat="1" applyFont="1" applyFill="1" applyBorder="1" applyAlignment="1">
      <alignment horizontal="center" vertical="center" wrapText="1"/>
    </xf>
    <xf numFmtId="0" fontId="34" fillId="3" borderId="55" xfId="0" applyFont="1" applyFill="1" applyBorder="1" applyAlignment="1">
      <alignment horizontal="center" vertical="center"/>
    </xf>
    <xf numFmtId="0" fontId="34" fillId="3" borderId="4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34" fillId="3" borderId="41" xfId="0" applyNumberFormat="1" applyFont="1" applyFill="1" applyBorder="1" applyAlignment="1">
      <alignment horizontal="center" vertical="center"/>
    </xf>
    <xf numFmtId="0" fontId="3" fillId="0" borderId="50" xfId="0" applyFont="1" applyBorder="1" applyAlignment="1">
      <alignment horizontal="left" vertical="center"/>
    </xf>
    <xf numFmtId="0" fontId="3" fillId="0" borderId="66" xfId="0" applyFont="1" applyBorder="1" applyAlignment="1">
      <alignment horizontal="left" vertical="center" wrapText="1"/>
    </xf>
    <xf numFmtId="0" fontId="4" fillId="0" borderId="76" xfId="0" applyFont="1" applyBorder="1" applyAlignment="1">
      <alignment wrapText="1"/>
    </xf>
    <xf numFmtId="16" fontId="3" fillId="11" borderId="53" xfId="4" applyNumberFormat="1" applyFont="1" applyFill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34" fillId="0" borderId="66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1" fontId="34" fillId="3" borderId="55" xfId="0" applyNumberFormat="1" applyFont="1" applyFill="1" applyBorder="1" applyAlignment="1">
      <alignment horizontal="center" vertical="center"/>
    </xf>
    <xf numFmtId="0" fontId="0" fillId="3" borderId="43" xfId="0" applyFill="1" applyBorder="1" applyAlignment="1">
      <alignment horizontal="center"/>
    </xf>
    <xf numFmtId="0" fontId="34" fillId="3" borderId="55" xfId="0" applyFont="1" applyFill="1" applyBorder="1" applyAlignment="1">
      <alignment horizontal="center" vertical="center" wrapText="1"/>
    </xf>
    <xf numFmtId="1" fontId="75" fillId="0" borderId="1" xfId="4" applyNumberFormat="1" applyFont="1" applyBorder="1" applyAlignment="1">
      <alignment horizontal="center"/>
    </xf>
    <xf numFmtId="1" fontId="74" fillId="3" borderId="1" xfId="58" applyNumberFormat="1" applyFont="1" applyFill="1" applyBorder="1" applyAlignment="1">
      <alignment horizontal="center" vertical="center" wrapText="1"/>
    </xf>
    <xf numFmtId="0" fontId="71" fillId="68" borderId="66" xfId="0" applyFont="1" applyFill="1" applyBorder="1" applyAlignment="1">
      <alignment horizontal="center" vertical="center" wrapText="1"/>
    </xf>
    <xf numFmtId="1" fontId="74" fillId="3" borderId="1" xfId="4" quotePrefix="1" applyNumberFormat="1" applyFont="1" applyFill="1" applyBorder="1" applyAlignment="1">
      <alignment horizontal="center" vertical="center"/>
    </xf>
    <xf numFmtId="1" fontId="76" fillId="0" borderId="45" xfId="0" applyNumberFormat="1" applyFont="1" applyBorder="1" applyAlignment="1">
      <alignment vertical="center"/>
    </xf>
    <xf numFmtId="0" fontId="76" fillId="0" borderId="45" xfId="0" applyFont="1" applyBorder="1" applyAlignment="1">
      <alignment vertical="center"/>
    </xf>
    <xf numFmtId="0" fontId="77" fillId="53" borderId="45" xfId="0" applyFont="1" applyFill="1" applyBorder="1" applyAlignment="1">
      <alignment vertical="center" wrapText="1"/>
    </xf>
    <xf numFmtId="0" fontId="78" fillId="0" borderId="0" xfId="0" applyFont="1"/>
    <xf numFmtId="1" fontId="76" fillId="3" borderId="45" xfId="0" applyNumberFormat="1" applyFont="1" applyFill="1" applyBorder="1" applyAlignment="1">
      <alignment vertical="center"/>
    </xf>
    <xf numFmtId="0" fontId="76" fillId="3" borderId="45" xfId="0" applyFont="1" applyFill="1" applyBorder="1" applyAlignment="1">
      <alignment vertical="center"/>
    </xf>
    <xf numFmtId="0" fontId="77" fillId="3" borderId="45" xfId="0" applyFont="1" applyFill="1" applyBorder="1" applyAlignment="1">
      <alignment vertical="center" wrapText="1"/>
    </xf>
    <xf numFmtId="0" fontId="49" fillId="3" borderId="45" xfId="0" applyFont="1" applyFill="1" applyBorder="1" applyAlignment="1">
      <alignment horizontal="center" vertical="center"/>
    </xf>
    <xf numFmtId="1" fontId="0" fillId="3" borderId="0" xfId="0" applyNumberFormat="1" applyFill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13" fillId="0" borderId="6" xfId="0" applyFont="1" applyBorder="1" applyAlignment="1">
      <alignment horizontal="center" vertical="center"/>
    </xf>
    <xf numFmtId="1" fontId="34" fillId="3" borderId="34" xfId="0" applyNumberFormat="1" applyFont="1" applyFill="1" applyBorder="1" applyAlignment="1">
      <alignment horizontal="center" vertical="center"/>
    </xf>
    <xf numFmtId="1" fontId="34" fillId="3" borderId="37" xfId="0" applyNumberFormat="1" applyFont="1" applyFill="1" applyBorder="1" applyAlignment="1">
      <alignment horizontal="center" vertical="center"/>
    </xf>
    <xf numFmtId="0" fontId="70" fillId="66" borderId="0" xfId="0" applyFont="1" applyFill="1" applyAlignment="1">
      <alignment horizontal="center" vertical="center" wrapText="1"/>
    </xf>
    <xf numFmtId="1" fontId="70" fillId="66" borderId="3" xfId="0" applyNumberFormat="1" applyFont="1" applyFill="1" applyBorder="1" applyAlignment="1">
      <alignment horizontal="center" vertical="center" wrapText="1"/>
    </xf>
    <xf numFmtId="1" fontId="70" fillId="66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34" fillId="3" borderId="55" xfId="0" applyFont="1" applyFill="1" applyBorder="1" applyAlignment="1">
      <alignment wrapText="1"/>
    </xf>
    <xf numFmtId="16" fontId="37" fillId="11" borderId="8" xfId="4" applyNumberFormat="1" applyFont="1" applyFill="1" applyBorder="1" applyAlignment="1">
      <alignment horizontal="center" vertical="center" wrapText="1"/>
    </xf>
    <xf numFmtId="0" fontId="66" fillId="0" borderId="78" xfId="0" applyFont="1" applyBorder="1" applyAlignment="1">
      <alignment horizontal="center" vertical="center"/>
    </xf>
    <xf numFmtId="0" fontId="66" fillId="0" borderId="40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1" fontId="34" fillId="3" borderId="41" xfId="0" applyNumberFormat="1" applyFont="1" applyFill="1" applyBorder="1" applyAlignment="1">
      <alignment horizontal="center"/>
    </xf>
    <xf numFmtId="0" fontId="39" fillId="51" borderId="49" xfId="0" applyFont="1" applyFill="1" applyBorder="1" applyAlignment="1">
      <alignment horizontal="center" wrapText="1"/>
    </xf>
    <xf numFmtId="0" fontId="4" fillId="0" borderId="49" xfId="0" applyFont="1" applyBorder="1" applyAlignment="1">
      <alignment horizontal="center"/>
    </xf>
    <xf numFmtId="1" fontId="34" fillId="3" borderId="34" xfId="0" applyNumberFormat="1" applyFont="1" applyFill="1" applyBorder="1" applyAlignment="1">
      <alignment horizontal="center"/>
    </xf>
    <xf numFmtId="1" fontId="0" fillId="0" borderId="36" xfId="0" applyNumberFormat="1" applyBorder="1" applyAlignment="1">
      <alignment horizontal="center" vertical="center"/>
    </xf>
    <xf numFmtId="1" fontId="34" fillId="3" borderId="36" xfId="0" applyNumberFormat="1" applyFont="1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7" fillId="0" borderId="55" xfId="0" applyFont="1" applyBorder="1" applyAlignment="1">
      <alignment horizontal="center" vertical="center" wrapText="1"/>
    </xf>
    <xf numFmtId="0" fontId="34" fillId="3" borderId="33" xfId="0" applyFont="1" applyFill="1" applyBorder="1" applyAlignment="1">
      <alignment vertical="center"/>
    </xf>
    <xf numFmtId="0" fontId="34" fillId="3" borderId="34" xfId="0" applyFont="1" applyFill="1" applyBorder="1" applyAlignment="1">
      <alignment vertical="center"/>
    </xf>
    <xf numFmtId="0" fontId="2" fillId="56" borderId="1" xfId="0" applyFont="1" applyFill="1" applyBorder="1" applyAlignment="1">
      <alignment horizontal="center" textRotation="90"/>
    </xf>
    <xf numFmtId="0" fontId="0" fillId="56" borderId="1" xfId="0" applyFill="1" applyBorder="1" applyAlignment="1">
      <alignment horizontal="center"/>
    </xf>
    <xf numFmtId="0" fontId="2" fillId="56" borderId="1" xfId="0" applyFont="1" applyFill="1" applyBorder="1" applyAlignment="1">
      <alignment horizontal="center" vertical="center"/>
    </xf>
    <xf numFmtId="0" fontId="37" fillId="49" borderId="1" xfId="0" applyFont="1" applyFill="1" applyBorder="1" applyAlignment="1">
      <alignment horizontal="center" vertical="center"/>
    </xf>
    <xf numFmtId="0" fontId="37" fillId="49" borderId="1" xfId="0" applyFont="1" applyFill="1" applyBorder="1" applyAlignment="1">
      <alignment horizontal="center" vertical="center" wrapText="1"/>
    </xf>
    <xf numFmtId="16" fontId="37" fillId="49" borderId="1" xfId="4" applyNumberFormat="1" applyFont="1" applyFill="1" applyBorder="1" applyAlignment="1">
      <alignment horizontal="center" vertical="center"/>
    </xf>
    <xf numFmtId="0" fontId="3" fillId="49" borderId="66" xfId="0" applyFont="1" applyFill="1" applyBorder="1" applyAlignment="1">
      <alignment horizontal="center" vertical="center" wrapText="1"/>
    </xf>
    <xf numFmtId="16" fontId="3" fillId="49" borderId="66" xfId="4" applyNumberFormat="1" applyFont="1" applyFill="1" applyBorder="1" applyAlignment="1">
      <alignment horizontal="center" vertical="center"/>
    </xf>
    <xf numFmtId="0" fontId="36" fillId="49" borderId="66" xfId="0" applyFont="1" applyFill="1" applyBorder="1" applyAlignment="1">
      <alignment horizontal="center" vertical="center" wrapText="1"/>
    </xf>
    <xf numFmtId="0" fontId="4" fillId="49" borderId="66" xfId="0" applyFont="1" applyFill="1" applyBorder="1" applyAlignment="1">
      <alignment horizontal="center" vertical="center" wrapText="1"/>
    </xf>
    <xf numFmtId="0" fontId="13" fillId="49" borderId="66" xfId="0" applyFont="1" applyFill="1" applyBorder="1" applyAlignment="1">
      <alignment horizontal="center" vertical="center" wrapText="1"/>
    </xf>
    <xf numFmtId="0" fontId="34" fillId="3" borderId="33" xfId="0" applyFont="1" applyFill="1" applyBorder="1"/>
    <xf numFmtId="49" fontId="70" fillId="66" borderId="1" xfId="0" applyNumberFormat="1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37" fillId="55" borderId="66" xfId="0" applyFont="1" applyFill="1" applyBorder="1" applyAlignment="1">
      <alignment horizontal="center" vertical="center" wrapText="1"/>
    </xf>
    <xf numFmtId="0" fontId="37" fillId="55" borderId="76" xfId="0" applyFont="1" applyFill="1" applyBorder="1" applyAlignment="1">
      <alignment horizontal="center" vertical="center" wrapText="1"/>
    </xf>
    <xf numFmtId="0" fontId="37" fillId="55" borderId="55" xfId="0" applyFont="1" applyFill="1" applyBorder="1" applyAlignment="1">
      <alignment horizontal="center" vertical="center" wrapText="1"/>
    </xf>
    <xf numFmtId="0" fontId="37" fillId="55" borderId="53" xfId="0" applyFont="1" applyFill="1" applyBorder="1" applyAlignment="1">
      <alignment horizontal="center" vertical="center" wrapText="1"/>
    </xf>
    <xf numFmtId="0" fontId="33" fillId="66" borderId="65" xfId="0" applyFont="1" applyFill="1" applyBorder="1" applyAlignment="1">
      <alignment horizontal="center" vertical="center"/>
    </xf>
    <xf numFmtId="0" fontId="3" fillId="66" borderId="66" xfId="0" applyFont="1" applyFill="1" applyBorder="1" applyAlignment="1">
      <alignment horizontal="center" vertical="center" wrapText="1"/>
    </xf>
    <xf numFmtId="16" fontId="3" fillId="66" borderId="66" xfId="4" applyNumberFormat="1" applyFont="1" applyFill="1" applyBorder="1" applyAlignment="1">
      <alignment horizontal="center" vertical="center"/>
    </xf>
    <xf numFmtId="16" fontId="3" fillId="66" borderId="76" xfId="4" applyNumberFormat="1" applyFont="1" applyFill="1" applyBorder="1" applyAlignment="1">
      <alignment horizontal="center" vertical="center"/>
    </xf>
    <xf numFmtId="0" fontId="36" fillId="66" borderId="55" xfId="0" applyFont="1" applyFill="1" applyBorder="1" applyAlignment="1">
      <alignment horizontal="center" vertical="center" wrapText="1"/>
    </xf>
    <xf numFmtId="0" fontId="3" fillId="66" borderId="65" xfId="0" applyFont="1" applyFill="1" applyBorder="1" applyAlignment="1">
      <alignment horizontal="center" vertical="center" wrapText="1"/>
    </xf>
    <xf numFmtId="0" fontId="13" fillId="66" borderId="52" xfId="0" applyFont="1" applyFill="1" applyBorder="1" applyAlignment="1">
      <alignment horizontal="center" vertical="center" wrapText="1"/>
    </xf>
    <xf numFmtId="0" fontId="13" fillId="66" borderId="66" xfId="0" applyFont="1" applyFill="1" applyBorder="1" applyAlignment="1">
      <alignment horizontal="center" vertical="center" wrapText="1"/>
    </xf>
    <xf numFmtId="0" fontId="34" fillId="3" borderId="14" xfId="0" applyFont="1" applyFill="1" applyBorder="1"/>
    <xf numFmtId="0" fontId="34" fillId="3" borderId="5" xfId="0" applyFont="1" applyFill="1" applyBorder="1"/>
    <xf numFmtId="1" fontId="34" fillId="3" borderId="42" xfId="0" applyNumberFormat="1" applyFont="1" applyFill="1" applyBorder="1" applyAlignment="1">
      <alignment horizontal="center" vertical="center"/>
    </xf>
    <xf numFmtId="0" fontId="3" fillId="66" borderId="52" xfId="0" applyFont="1" applyFill="1" applyBorder="1" applyAlignment="1">
      <alignment horizontal="center" vertical="center" wrapText="1"/>
    </xf>
    <xf numFmtId="0" fontId="3" fillId="66" borderId="55" xfId="0" applyFont="1" applyFill="1" applyBorder="1" applyAlignment="1">
      <alignment horizontal="center" vertical="center" wrapText="1"/>
    </xf>
    <xf numFmtId="1" fontId="36" fillId="0" borderId="3" xfId="0" applyNumberFormat="1" applyFont="1" applyBorder="1" applyAlignment="1">
      <alignment horizontal="center" vertical="center"/>
    </xf>
    <xf numFmtId="0" fontId="71" fillId="0" borderId="66" xfId="0" applyFont="1" applyBorder="1" applyAlignment="1">
      <alignment horizontal="center" vertical="center" wrapText="1"/>
    </xf>
    <xf numFmtId="0" fontId="34" fillId="0" borderId="33" xfId="0" applyFont="1" applyBorder="1" applyAlignment="1">
      <alignment vertical="center"/>
    </xf>
    <xf numFmtId="0" fontId="4" fillId="0" borderId="40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" fontId="34" fillId="3" borderId="0" xfId="0" applyNumberFormat="1" applyFont="1" applyFill="1" applyAlignment="1">
      <alignment horizontal="center" vertical="center"/>
    </xf>
    <xf numFmtId="0" fontId="0" fillId="66" borderId="36" xfId="0" applyFill="1" applyBorder="1" applyAlignment="1">
      <alignment horizontal="center" vertical="center" wrapText="1"/>
    </xf>
    <xf numFmtId="1" fontId="4" fillId="0" borderId="63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vertical="center" wrapText="1"/>
    </xf>
    <xf numFmtId="0" fontId="3" fillId="8" borderId="66" xfId="0" applyFont="1" applyFill="1" applyBorder="1" applyAlignment="1">
      <alignment horizontal="center" vertical="center" wrapText="1"/>
    </xf>
    <xf numFmtId="0" fontId="5" fillId="66" borderId="6" xfId="0" applyFont="1" applyFill="1" applyBorder="1" applyAlignment="1">
      <alignment horizontal="center" wrapText="1"/>
    </xf>
    <xf numFmtId="1" fontId="51" fillId="9" borderId="1" xfId="0" applyNumberFormat="1" applyFont="1" applyFill="1" applyBorder="1" applyAlignment="1">
      <alignment horizontal="center" vertical="center"/>
    </xf>
    <xf numFmtId="0" fontId="34" fillId="0" borderId="66" xfId="0" applyFont="1" applyBorder="1" applyAlignment="1">
      <alignment wrapText="1"/>
    </xf>
    <xf numFmtId="0" fontId="34" fillId="0" borderId="66" xfId="0" applyFont="1" applyBorder="1" applyAlignment="1">
      <alignment vertical="center" wrapText="1"/>
    </xf>
    <xf numFmtId="0" fontId="34" fillId="66" borderId="66" xfId="0" applyFont="1" applyFill="1" applyBorder="1" applyAlignment="1">
      <alignment horizontal="center" vertical="center" wrapText="1"/>
    </xf>
    <xf numFmtId="0" fontId="34" fillId="66" borderId="67" xfId="0" applyFont="1" applyFill="1" applyBorder="1" applyAlignment="1">
      <alignment horizontal="center" vertical="center" wrapText="1"/>
    </xf>
    <xf numFmtId="1" fontId="65" fillId="0" borderId="27" xfId="0" applyNumberFormat="1" applyFont="1" applyBorder="1" applyAlignment="1">
      <alignment horizontal="center" vertical="center"/>
    </xf>
    <xf numFmtId="0" fontId="83" fillId="49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48" fillId="3" borderId="1" xfId="0" applyFont="1" applyFill="1" applyBorder="1" applyAlignment="1">
      <alignment horizontal="center" vertical="center"/>
    </xf>
    <xf numFmtId="0" fontId="0" fillId="3" borderId="70" xfId="0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/>
    <xf numFmtId="0" fontId="84" fillId="3" borderId="1" xfId="0" applyFont="1" applyFill="1" applyBorder="1" applyAlignment="1">
      <alignment horizontal="center" textRotation="90"/>
    </xf>
    <xf numFmtId="0" fontId="0" fillId="3" borderId="42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1" fontId="75" fillId="3" borderId="1" xfId="4" applyNumberFormat="1" applyFont="1" applyFill="1" applyBorder="1" applyAlignment="1">
      <alignment horizontal="center"/>
    </xf>
    <xf numFmtId="1" fontId="4" fillId="0" borderId="61" xfId="0" applyNumberFormat="1" applyFont="1" applyBorder="1" applyAlignment="1">
      <alignment horizontal="center" vertical="center"/>
    </xf>
    <xf numFmtId="1" fontId="46" fillId="0" borderId="12" xfId="0" applyNumberFormat="1" applyFont="1" applyBorder="1" applyAlignment="1">
      <alignment vertical="center"/>
    </xf>
    <xf numFmtId="0" fontId="4" fillId="0" borderId="1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36" fillId="2" borderId="12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37" fillId="55" borderId="46" xfId="0" applyFont="1" applyFill="1" applyBorder="1" applyAlignment="1">
      <alignment horizontal="center" vertical="center" wrapText="1"/>
    </xf>
    <xf numFmtId="1" fontId="4" fillId="0" borderId="55" xfId="0" applyNumberFormat="1" applyFont="1" applyBorder="1" applyAlignment="1">
      <alignment horizontal="center" vertical="center"/>
    </xf>
    <xf numFmtId="0" fontId="56" fillId="3" borderId="1" xfId="0" applyFont="1" applyFill="1" applyBorder="1" applyAlignment="1">
      <alignment horizontal="left" vertical="center"/>
    </xf>
    <xf numFmtId="16" fontId="3" fillId="2" borderId="66" xfId="4" applyNumberFormat="1" applyFont="1" applyFill="1" applyBorder="1" applyAlignment="1">
      <alignment horizontal="center" vertical="center"/>
    </xf>
    <xf numFmtId="0" fontId="36" fillId="2" borderId="66" xfId="0" applyFont="1" applyFill="1" applyBorder="1" applyAlignment="1">
      <alignment horizontal="center" vertical="center" wrapText="1"/>
    </xf>
    <xf numFmtId="0" fontId="4" fillId="2" borderId="66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16" fontId="3" fillId="2" borderId="76" xfId="4" applyNumberFormat="1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textRotation="90"/>
    </xf>
    <xf numFmtId="0" fontId="4" fillId="0" borderId="63" xfId="0" applyFont="1" applyBorder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6" fillId="0" borderId="74" xfId="0" applyFont="1" applyBorder="1" applyAlignment="1">
      <alignment horizontal="center" vertical="center"/>
    </xf>
    <xf numFmtId="1" fontId="3" fillId="3" borderId="66" xfId="0" applyNumberFormat="1" applyFont="1" applyFill="1" applyBorder="1" applyAlignment="1">
      <alignment horizontal="center"/>
    </xf>
    <xf numFmtId="0" fontId="3" fillId="3" borderId="66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" fillId="3" borderId="76" xfId="0" applyFont="1" applyFill="1" applyBorder="1" applyAlignment="1">
      <alignment horizontal="center"/>
    </xf>
    <xf numFmtId="16" fontId="37" fillId="11" borderId="51" xfId="4" applyNumberFormat="1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1" fontId="3" fillId="3" borderId="55" xfId="0" applyNumberFormat="1" applyFont="1" applyFill="1" applyBorder="1" applyAlignment="1">
      <alignment horizontal="center"/>
    </xf>
    <xf numFmtId="0" fontId="37" fillId="55" borderId="52" xfId="0" applyFont="1" applyFill="1" applyBorder="1" applyAlignment="1">
      <alignment horizontal="center" vertical="center" wrapText="1"/>
    </xf>
    <xf numFmtId="16" fontId="37" fillId="49" borderId="79" xfId="4" applyNumberFormat="1" applyFont="1" applyFill="1" applyBorder="1" applyAlignment="1">
      <alignment horizontal="center" vertical="center"/>
    </xf>
    <xf numFmtId="16" fontId="37" fillId="49" borderId="55" xfId="4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0" fillId="3" borderId="1" xfId="0" applyFont="1" applyFill="1" applyBorder="1" applyAlignment="1">
      <alignment horizontal="center" vertical="center" wrapText="1"/>
    </xf>
    <xf numFmtId="1" fontId="41" fillId="53" borderId="78" xfId="0" applyNumberFormat="1" applyFont="1" applyFill="1" applyBorder="1" applyAlignment="1">
      <alignment horizontal="center" vertical="center"/>
    </xf>
    <xf numFmtId="1" fontId="41" fillId="53" borderId="40" xfId="0" applyNumberFormat="1" applyFont="1" applyFill="1" applyBorder="1" applyAlignment="1">
      <alignment horizontal="center" vertical="center"/>
    </xf>
    <xf numFmtId="1" fontId="41" fillId="53" borderId="81" xfId="0" applyNumberFormat="1" applyFont="1" applyFill="1" applyBorder="1" applyAlignment="1">
      <alignment horizontal="center" vertical="center"/>
    </xf>
    <xf numFmtId="1" fontId="41" fillId="53" borderId="80" xfId="0" applyNumberFormat="1" applyFont="1" applyFill="1" applyBorder="1" applyAlignment="1">
      <alignment horizontal="center" vertical="center"/>
    </xf>
    <xf numFmtId="1" fontId="41" fillId="53" borderId="32" xfId="0" applyNumberFormat="1" applyFont="1" applyFill="1" applyBorder="1" applyAlignment="1">
      <alignment horizontal="center" vertical="center"/>
    </xf>
    <xf numFmtId="0" fontId="3" fillId="66" borderId="75" xfId="0" applyFont="1" applyFill="1" applyBorder="1" applyAlignment="1">
      <alignment horizontal="center" vertical="center" wrapText="1"/>
    </xf>
    <xf numFmtId="1" fontId="41" fillId="53" borderId="6" xfId="0" applyNumberFormat="1" applyFont="1" applyFill="1" applyBorder="1" applyAlignment="1">
      <alignment horizontal="center" vertical="center"/>
    </xf>
    <xf numFmtId="0" fontId="3" fillId="66" borderId="67" xfId="0" applyFont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0" fontId="0" fillId="66" borderId="55" xfId="0" applyFill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wrapText="1"/>
    </xf>
    <xf numFmtId="0" fontId="34" fillId="64" borderId="12" xfId="0" applyFont="1" applyFill="1" applyBorder="1"/>
    <xf numFmtId="0" fontId="34" fillId="64" borderId="1" xfId="0" applyFont="1" applyFill="1" applyBorder="1" applyAlignment="1">
      <alignment horizontal="center"/>
    </xf>
    <xf numFmtId="1" fontId="34" fillId="64" borderId="1" xfId="0" applyNumberFormat="1" applyFont="1" applyFill="1" applyBorder="1" applyAlignment="1">
      <alignment horizontal="center"/>
    </xf>
    <xf numFmtId="0" fontId="34" fillId="0" borderId="12" xfId="0" applyFont="1" applyBorder="1"/>
    <xf numFmtId="0" fontId="34" fillId="0" borderId="1" xfId="0" applyFont="1" applyBorder="1" applyAlignment="1">
      <alignment horizontal="center"/>
    </xf>
    <xf numFmtId="1" fontId="34" fillId="0" borderId="1" xfId="0" applyNumberFormat="1" applyFont="1" applyBorder="1" applyAlignment="1">
      <alignment horizontal="center"/>
    </xf>
    <xf numFmtId="0" fontId="34" fillId="2" borderId="12" xfId="0" applyFont="1" applyFill="1" applyBorder="1"/>
    <xf numFmtId="0" fontId="34" fillId="2" borderId="1" xfId="0" applyFont="1" applyFill="1" applyBorder="1" applyAlignment="1">
      <alignment horizontal="center"/>
    </xf>
    <xf numFmtId="0" fontId="34" fillId="0" borderId="14" xfId="0" applyFont="1" applyBorder="1"/>
    <xf numFmtId="0" fontId="34" fillId="0" borderId="5" xfId="0" applyFont="1" applyBorder="1" applyAlignment="1">
      <alignment horizontal="center"/>
    </xf>
    <xf numFmtId="0" fontId="34" fillId="55" borderId="26" xfId="0" applyFont="1" applyFill="1" applyBorder="1"/>
    <xf numFmtId="0" fontId="34" fillId="59" borderId="12" xfId="0" applyFont="1" applyFill="1" applyBorder="1"/>
    <xf numFmtId="0" fontId="34" fillId="0" borderId="0" xfId="0" applyFont="1" applyAlignment="1">
      <alignment horizontal="center"/>
    </xf>
    <xf numFmtId="0" fontId="34" fillId="55" borderId="28" xfId="0" applyFont="1" applyFill="1" applyBorder="1" applyAlignment="1">
      <alignment horizontal="center"/>
    </xf>
    <xf numFmtId="1" fontId="34" fillId="0" borderId="13" xfId="0" applyNumberFormat="1" applyFont="1" applyBorder="1" applyAlignment="1">
      <alignment horizontal="center"/>
    </xf>
    <xf numFmtId="0" fontId="34" fillId="59" borderId="13" xfId="0" applyFont="1" applyFill="1" applyBorder="1" applyAlignment="1">
      <alignment horizontal="center"/>
    </xf>
    <xf numFmtId="1" fontId="34" fillId="55" borderId="28" xfId="0" applyNumberFormat="1" applyFont="1" applyFill="1" applyBorder="1" applyAlignment="1">
      <alignment horizontal="center"/>
    </xf>
    <xf numFmtId="1" fontId="41" fillId="53" borderId="4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" fontId="0" fillId="0" borderId="82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34" fillId="3" borderId="39" xfId="0" applyNumberFormat="1" applyFont="1" applyFill="1" applyBorder="1" applyAlignment="1">
      <alignment horizontal="center" vertical="center"/>
    </xf>
    <xf numFmtId="0" fontId="0" fillId="66" borderId="25" xfId="0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3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39" fillId="51" borderId="29" xfId="0" applyFont="1" applyFill="1" applyBorder="1" applyAlignment="1">
      <alignment horizontal="center" wrapText="1"/>
    </xf>
    <xf numFmtId="1" fontId="0" fillId="0" borderId="40" xfId="0" applyNumberFormat="1" applyBorder="1" applyAlignment="1">
      <alignment horizontal="center" vertical="center"/>
    </xf>
    <xf numFmtId="1" fontId="34" fillId="3" borderId="1" xfId="0" applyNumberFormat="1" applyFont="1" applyFill="1" applyBorder="1" applyAlignment="1">
      <alignment horizontal="center"/>
    </xf>
    <xf numFmtId="0" fontId="39" fillId="51" borderId="4" xfId="0" applyFont="1" applyFill="1" applyBorder="1" applyAlignment="1">
      <alignment horizontal="center" wrapText="1"/>
    </xf>
    <xf numFmtId="1" fontId="34" fillId="3" borderId="38" xfId="0" applyNumberFormat="1" applyFont="1" applyFill="1" applyBorder="1" applyAlignment="1">
      <alignment horizontal="center"/>
    </xf>
    <xf numFmtId="1" fontId="0" fillId="0" borderId="32" xfId="0" applyNumberFormat="1" applyBorder="1" applyAlignment="1">
      <alignment horizontal="center" vertical="center"/>
    </xf>
    <xf numFmtId="1" fontId="34" fillId="3" borderId="14" xfId="0" applyNumberFormat="1" applyFont="1" applyFill="1" applyBorder="1" applyAlignment="1">
      <alignment horizontal="center"/>
    </xf>
    <xf numFmtId="0" fontId="0" fillId="66" borderId="8" xfId="0" applyFill="1" applyBorder="1" applyAlignment="1">
      <alignment horizontal="center" vertical="center" wrapText="1"/>
    </xf>
    <xf numFmtId="1" fontId="34" fillId="3" borderId="79" xfId="0" applyNumberFormat="1" applyFont="1" applyFill="1" applyBorder="1" applyAlignment="1">
      <alignment horizontal="center"/>
    </xf>
    <xf numFmtId="0" fontId="34" fillId="3" borderId="1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1" fontId="34" fillId="3" borderId="13" xfId="0" applyNumberFormat="1" applyFont="1" applyFill="1" applyBorder="1" applyAlignment="1">
      <alignment horizontal="center"/>
    </xf>
    <xf numFmtId="1" fontId="34" fillId="3" borderId="12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2" fillId="3" borderId="1" xfId="0" applyFont="1" applyFill="1" applyBorder="1" applyAlignment="1">
      <alignment horizontal="center" textRotation="90"/>
    </xf>
    <xf numFmtId="0" fontId="36" fillId="0" borderId="1" xfId="0" applyFont="1" applyBorder="1" applyAlignment="1">
      <alignment horizontal="center"/>
    </xf>
    <xf numFmtId="0" fontId="63" fillId="52" borderId="83" xfId="0" applyFont="1" applyFill="1" applyBorder="1" applyAlignment="1">
      <alignment horizontal="center" vertical="top"/>
    </xf>
    <xf numFmtId="0" fontId="94" fillId="52" borderId="83" xfId="0" applyFont="1" applyFill="1" applyBorder="1" applyAlignment="1">
      <alignment horizontal="center" vertical="top"/>
    </xf>
    <xf numFmtId="0" fontId="37" fillId="2" borderId="1" xfId="0" applyFont="1" applyFill="1" applyBorder="1" applyAlignment="1">
      <alignment horizontal="center" vertical="center"/>
    </xf>
    <xf numFmtId="0" fontId="95" fillId="51" borderId="4" xfId="0" applyFont="1" applyFill="1" applyBorder="1" applyAlignment="1">
      <alignment horizontal="center" wrapText="1"/>
    </xf>
    <xf numFmtId="0" fontId="95" fillId="51" borderId="29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wrapText="1"/>
    </xf>
    <xf numFmtId="0" fontId="14" fillId="49" borderId="1" xfId="0" applyFont="1" applyFill="1" applyBorder="1" applyAlignment="1">
      <alignment horizontal="center" wrapText="1"/>
    </xf>
    <xf numFmtId="0" fontId="4" fillId="0" borderId="3" xfId="2" applyFont="1" applyBorder="1" applyAlignment="1">
      <alignment horizontal="left" vertical="center"/>
    </xf>
    <xf numFmtId="0" fontId="4" fillId="13" borderId="1" xfId="2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8" borderId="1" xfId="2" applyFont="1" applyFill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4" fillId="0" borderId="66" xfId="2" applyFont="1" applyBorder="1" applyAlignment="1">
      <alignment horizontal="left" vertical="center"/>
    </xf>
    <xf numFmtId="0" fontId="4" fillId="0" borderId="3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4" fillId="0" borderId="3" xfId="2" applyFont="1" applyBorder="1" applyAlignment="1">
      <alignment horizontal="left" vertical="center"/>
    </xf>
    <xf numFmtId="0" fontId="34" fillId="0" borderId="1" xfId="2" applyFont="1" applyBorder="1" applyAlignment="1">
      <alignment horizontal="left" vertical="center"/>
    </xf>
    <xf numFmtId="0" fontId="34" fillId="0" borderId="2" xfId="2" applyFont="1" applyBorder="1" applyAlignment="1">
      <alignment horizontal="left" vertical="center"/>
    </xf>
    <xf numFmtId="0" fontId="96" fillId="0" borderId="4" xfId="0" applyFont="1" applyBorder="1" applyAlignment="1">
      <alignment horizontal="left" vertical="center"/>
    </xf>
    <xf numFmtId="0" fontId="96" fillId="0" borderId="1" xfId="0" applyFont="1" applyBorder="1" applyAlignment="1">
      <alignment horizontal="left" vertical="center"/>
    </xf>
    <xf numFmtId="0" fontId="96" fillId="0" borderId="45" xfId="0" applyFont="1" applyBorder="1" applyAlignment="1">
      <alignment horizontal="left" vertical="center"/>
    </xf>
    <xf numFmtId="49" fontId="97" fillId="48" borderId="50" xfId="0" applyNumberFormat="1" applyFont="1" applyFill="1" applyBorder="1" applyAlignment="1">
      <alignment horizontal="left" vertical="center"/>
    </xf>
    <xf numFmtId="0" fontId="65" fillId="2" borderId="50" xfId="0" applyFont="1" applyFill="1" applyBorder="1" applyAlignment="1">
      <alignment horizontal="left" vertical="center"/>
    </xf>
    <xf numFmtId="0" fontId="65" fillId="0" borderId="64" xfId="0" applyFont="1" applyBorder="1" applyAlignment="1">
      <alignment horizontal="left" vertical="center"/>
    </xf>
    <xf numFmtId="0" fontId="71" fillId="0" borderId="0" xfId="0" applyFont="1" applyAlignment="1">
      <alignment horizontal="left" vertical="center"/>
    </xf>
    <xf numFmtId="0" fontId="71" fillId="0" borderId="64" xfId="0" applyFont="1" applyBorder="1" applyAlignment="1">
      <alignment horizontal="left" vertical="center"/>
    </xf>
    <xf numFmtId="0" fontId="65" fillId="2" borderId="64" xfId="0" applyFont="1" applyFill="1" applyBorder="1" applyAlignment="1">
      <alignment horizontal="left" vertical="center"/>
    </xf>
    <xf numFmtId="49" fontId="97" fillId="52" borderId="7" xfId="0" applyNumberFormat="1" applyFont="1" applyFill="1" applyBorder="1" applyAlignment="1">
      <alignment horizontal="left"/>
    </xf>
    <xf numFmtId="0" fontId="34" fillId="3" borderId="52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34" fillId="2" borderId="76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center" vertical="center"/>
    </xf>
    <xf numFmtId="0" fontId="34" fillId="49" borderId="6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34" fillId="2" borderId="6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" fontId="4" fillId="13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4" borderId="2" xfId="1" applyNumberFormat="1" applyFont="1" applyFill="1" applyBorder="1" applyAlignment="1">
      <alignment horizontal="center" vertical="center"/>
    </xf>
    <xf numFmtId="1" fontId="4" fillId="0" borderId="66" xfId="1" applyNumberFormat="1" applyFont="1" applyBorder="1" applyAlignment="1">
      <alignment horizontal="center" vertical="center"/>
    </xf>
    <xf numFmtId="1" fontId="4" fillId="0" borderId="31" xfId="1" applyNumberFormat="1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/>
    </xf>
    <xf numFmtId="1" fontId="4" fillId="0" borderId="5" xfId="1" applyNumberFormat="1" applyFont="1" applyBorder="1" applyAlignment="1">
      <alignment horizontal="center" vertical="center"/>
    </xf>
    <xf numFmtId="1" fontId="34" fillId="3" borderId="3" xfId="1" applyNumberFormat="1" applyFont="1" applyFill="1" applyBorder="1" applyAlignment="1">
      <alignment horizontal="center" vertical="center"/>
    </xf>
    <xf numFmtId="1" fontId="34" fillId="3" borderId="1" xfId="1" applyNumberFormat="1" applyFont="1" applyFill="1" applyBorder="1" applyAlignment="1">
      <alignment horizontal="center" vertical="center"/>
    </xf>
    <xf numFmtId="1" fontId="34" fillId="0" borderId="1" xfId="1" applyNumberFormat="1" applyFont="1" applyBorder="1" applyAlignment="1">
      <alignment horizontal="center" vertical="center"/>
    </xf>
    <xf numFmtId="1" fontId="34" fillId="3" borderId="2" xfId="1" applyNumberFormat="1" applyFont="1" applyFill="1" applyBorder="1" applyAlignment="1">
      <alignment horizontal="center" vertical="center"/>
    </xf>
    <xf numFmtId="1" fontId="34" fillId="3" borderId="4" xfId="1" applyNumberFormat="1" applyFont="1" applyFill="1" applyBorder="1" applyAlignment="1">
      <alignment horizontal="center" vertical="center"/>
    </xf>
    <xf numFmtId="1" fontId="34" fillId="3" borderId="5" xfId="1" applyNumberFormat="1" applyFont="1" applyFill="1" applyBorder="1" applyAlignment="1">
      <alignment horizontal="center" vertical="center"/>
    </xf>
    <xf numFmtId="0" fontId="65" fillId="9" borderId="68" xfId="0" applyFont="1" applyFill="1" applyBorder="1" applyAlignment="1">
      <alignment horizontal="center" vertical="center"/>
    </xf>
    <xf numFmtId="0" fontId="65" fillId="8" borderId="68" xfId="0" applyFont="1" applyFill="1" applyBorder="1" applyAlignment="1">
      <alignment horizontal="center" vertical="center"/>
    </xf>
    <xf numFmtId="1" fontId="34" fillId="3" borderId="64" xfId="1" applyNumberFormat="1" applyFont="1" applyFill="1" applyBorder="1" applyAlignment="1">
      <alignment horizontal="center" vertical="center"/>
    </xf>
    <xf numFmtId="0" fontId="34" fillId="3" borderId="53" xfId="0" applyFont="1" applyFill="1" applyBorder="1" applyAlignment="1">
      <alignment horizontal="center" vertical="center"/>
    </xf>
    <xf numFmtId="0" fontId="34" fillId="3" borderId="33" xfId="0" applyFont="1" applyFill="1" applyBorder="1" applyAlignment="1">
      <alignment horizontal="center" vertical="center"/>
    </xf>
    <xf numFmtId="0" fontId="14" fillId="2" borderId="65" xfId="0" applyFont="1" applyFill="1" applyBorder="1" applyAlignment="1">
      <alignment horizontal="center" vertical="center"/>
    </xf>
    <xf numFmtId="0" fontId="14" fillId="49" borderId="65" xfId="0" applyFont="1" applyFill="1" applyBorder="1" applyAlignment="1">
      <alignment horizontal="center" vertical="center"/>
    </xf>
    <xf numFmtId="1" fontId="81" fillId="0" borderId="1" xfId="4" quotePrefix="1" applyNumberFormat="1" applyFont="1" applyBorder="1" applyAlignment="1">
      <alignment horizontal="center" vertical="center"/>
    </xf>
    <xf numFmtId="1" fontId="99" fillId="0" borderId="1" xfId="4" applyNumberFormat="1" applyFont="1" applyBorder="1" applyAlignment="1">
      <alignment horizontal="center" vertical="center"/>
    </xf>
    <xf numFmtId="1" fontId="80" fillId="0" borderId="1" xfId="0" applyNumberFormat="1" applyFont="1" applyBorder="1" applyAlignment="1">
      <alignment horizontal="center" vertical="center"/>
    </xf>
    <xf numFmtId="1" fontId="80" fillId="53" borderId="1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14" fillId="0" borderId="26" xfId="1" applyNumberFormat="1" applyFont="1" applyBorder="1" applyAlignment="1">
      <alignment horizontal="center" vertical="center"/>
    </xf>
    <xf numFmtId="1" fontId="14" fillId="2" borderId="12" xfId="1" applyNumberFormat="1" applyFont="1" applyFill="1" applyBorder="1" applyAlignment="1">
      <alignment horizontal="center" vertical="center"/>
    </xf>
    <xf numFmtId="1" fontId="14" fillId="10" borderId="1" xfId="0" applyNumberFormat="1" applyFont="1" applyFill="1" applyBorder="1" applyAlignment="1">
      <alignment horizontal="center" vertical="center"/>
    </xf>
    <xf numFmtId="1" fontId="14" fillId="46" borderId="1" xfId="0" applyNumberFormat="1" applyFont="1" applyFill="1" applyBorder="1" applyAlignment="1">
      <alignment horizontal="center" vertical="center"/>
    </xf>
    <xf numFmtId="1" fontId="98" fillId="4" borderId="15" xfId="1" applyNumberFormat="1" applyFont="1" applyFill="1" applyBorder="1" applyAlignment="1">
      <alignment horizontal="center" vertical="center"/>
    </xf>
    <xf numFmtId="1" fontId="14" fillId="0" borderId="65" xfId="1" applyNumberFormat="1" applyFont="1" applyBorder="1" applyAlignment="1">
      <alignment horizontal="center" vertical="center"/>
    </xf>
    <xf numFmtId="1" fontId="98" fillId="0" borderId="60" xfId="1" applyNumberFormat="1" applyFont="1" applyBorder="1" applyAlignment="1">
      <alignment horizontal="center" vertical="center"/>
    </xf>
    <xf numFmtId="1" fontId="14" fillId="0" borderId="29" xfId="1" applyNumberFormat="1" applyFont="1" applyBorder="1" applyAlignment="1">
      <alignment horizontal="center" vertical="center"/>
    </xf>
    <xf numFmtId="1" fontId="14" fillId="0" borderId="12" xfId="1" applyNumberFormat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 vertical="center"/>
    </xf>
    <xf numFmtId="0" fontId="14" fillId="3" borderId="7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1" fontId="99" fillId="3" borderId="3" xfId="0" applyNumberFormat="1" applyFont="1" applyFill="1" applyBorder="1" applyAlignment="1">
      <alignment horizontal="center" vertical="center"/>
    </xf>
    <xf numFmtId="1" fontId="99" fillId="3" borderId="1" xfId="0" applyNumberFormat="1" applyFont="1" applyFill="1" applyBorder="1" applyAlignment="1">
      <alignment horizontal="center" vertical="center"/>
    </xf>
    <xf numFmtId="1" fontId="99" fillId="0" borderId="3" xfId="0" applyNumberFormat="1" applyFont="1" applyBorder="1" applyAlignment="1">
      <alignment horizontal="center" vertical="center"/>
    </xf>
    <xf numFmtId="1" fontId="99" fillId="3" borderId="2" xfId="0" applyNumberFormat="1" applyFont="1" applyFill="1" applyBorder="1" applyAlignment="1">
      <alignment horizontal="center" vertical="center"/>
    </xf>
    <xf numFmtId="1" fontId="99" fillId="9" borderId="26" xfId="0" applyNumberFormat="1" applyFont="1" applyFill="1" applyBorder="1" applyAlignment="1">
      <alignment horizontal="center" vertical="center"/>
    </xf>
    <xf numFmtId="1" fontId="99" fillId="9" borderId="14" xfId="0" applyNumberFormat="1" applyFont="1" applyFill="1" applyBorder="1" applyAlignment="1">
      <alignment horizontal="center" vertical="center"/>
    </xf>
    <xf numFmtId="1" fontId="81" fillId="0" borderId="1" xfId="58" applyNumberFormat="1" applyFont="1" applyBorder="1" applyAlignment="1">
      <alignment horizontal="center" vertical="center"/>
    </xf>
    <xf numFmtId="1" fontId="3" fillId="2" borderId="66" xfId="0" applyNumberFormat="1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 vertical="center"/>
    </xf>
    <xf numFmtId="0" fontId="11" fillId="2" borderId="0" xfId="0" applyFont="1" applyFill="1"/>
    <xf numFmtId="0" fontId="3" fillId="0" borderId="0" xfId="0" applyFont="1" applyAlignment="1">
      <alignment horizontal="center"/>
    </xf>
    <xf numFmtId="0" fontId="14" fillId="49" borderId="1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vertical="center"/>
    </xf>
    <xf numFmtId="0" fontId="37" fillId="55" borderId="66" xfId="0" applyFont="1" applyFill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34" fillId="3" borderId="34" xfId="0" applyFont="1" applyFill="1" applyBorder="1"/>
    <xf numFmtId="0" fontId="89" fillId="8" borderId="0" xfId="0" applyFont="1" applyFill="1"/>
    <xf numFmtId="0" fontId="69" fillId="0" borderId="3" xfId="0" applyFont="1" applyBorder="1" applyAlignment="1">
      <alignment horizontal="left" vertical="center"/>
    </xf>
    <xf numFmtId="0" fontId="88" fillId="8" borderId="0" xfId="0" applyFont="1" applyFill="1"/>
    <xf numFmtId="49" fontId="0" fillId="7" borderId="7" xfId="0" applyNumberFormat="1" applyFill="1" applyBorder="1" applyAlignment="1">
      <alignment horizontal="center" vertical="center" wrapText="1"/>
    </xf>
    <xf numFmtId="49" fontId="2" fillId="7" borderId="7" xfId="0" applyNumberFormat="1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71" fillId="0" borderId="42" xfId="0" applyFont="1" applyBorder="1" applyAlignment="1">
      <alignment horizontal="center" vertical="center" wrapText="1"/>
    </xf>
    <xf numFmtId="0" fontId="33" fillId="66" borderId="66" xfId="0" applyFont="1" applyFill="1" applyBorder="1" applyAlignment="1">
      <alignment horizontal="center" vertical="center" wrapText="1"/>
    </xf>
    <xf numFmtId="0" fontId="33" fillId="66" borderId="67" xfId="0" applyFont="1" applyFill="1" applyBorder="1" applyAlignment="1">
      <alignment horizontal="center" vertical="center" wrapText="1"/>
    </xf>
    <xf numFmtId="0" fontId="13" fillId="66" borderId="76" xfId="0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  <xf numFmtId="1" fontId="4" fillId="0" borderId="49" xfId="0" applyNumberFormat="1" applyFont="1" applyBorder="1" applyAlignment="1">
      <alignment horizontal="center" vertical="center"/>
    </xf>
    <xf numFmtId="1" fontId="34" fillId="3" borderId="84" xfId="0" applyNumberFormat="1" applyFont="1" applyFill="1" applyBorder="1" applyAlignment="1">
      <alignment horizontal="center" vertical="center"/>
    </xf>
    <xf numFmtId="16" fontId="3" fillId="66" borderId="55" xfId="4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1" fontId="33" fillId="0" borderId="26" xfId="1" applyNumberFormat="1" applyFont="1" applyBorder="1" applyAlignment="1">
      <alignment horizontal="center" vertical="center"/>
    </xf>
    <xf numFmtId="1" fontId="33" fillId="2" borderId="12" xfId="1" applyNumberFormat="1" applyFont="1" applyFill="1" applyBorder="1" applyAlignment="1">
      <alignment horizontal="center" vertical="center"/>
    </xf>
    <xf numFmtId="1" fontId="33" fillId="10" borderId="1" xfId="0" applyNumberFormat="1" applyFont="1" applyFill="1" applyBorder="1" applyAlignment="1">
      <alignment horizontal="center" vertical="center"/>
    </xf>
    <xf numFmtId="1" fontId="33" fillId="46" borderId="1" xfId="0" applyNumberFormat="1" applyFont="1" applyFill="1" applyBorder="1" applyAlignment="1">
      <alignment horizontal="center" vertical="center"/>
    </xf>
    <xf numFmtId="1" fontId="52" fillId="4" borderId="12" xfId="1" applyNumberFormat="1" applyFont="1" applyFill="1" applyBorder="1" applyAlignment="1">
      <alignment horizontal="center" vertical="center"/>
    </xf>
    <xf numFmtId="1" fontId="33" fillId="0" borderId="12" xfId="1" applyNumberFormat="1" applyFont="1" applyBorder="1" applyAlignment="1">
      <alignment horizontal="center" vertical="center"/>
    </xf>
    <xf numFmtId="1" fontId="52" fillId="0" borderId="12" xfId="1" applyNumberFormat="1" applyFont="1" applyBorder="1" applyAlignment="1">
      <alignment horizontal="center" vertical="center"/>
    </xf>
    <xf numFmtId="1" fontId="54" fillId="3" borderId="1" xfId="0" applyNumberFormat="1" applyFont="1" applyFill="1" applyBorder="1" applyAlignment="1">
      <alignment horizontal="center" vertical="center" wrapText="1"/>
    </xf>
    <xf numFmtId="1" fontId="54" fillId="0" borderId="3" xfId="0" applyNumberFormat="1" applyFont="1" applyBorder="1" applyAlignment="1">
      <alignment horizontal="center" vertical="center" wrapText="1"/>
    </xf>
    <xf numFmtId="1" fontId="54" fillId="53" borderId="1" xfId="0" applyNumberFormat="1" applyFont="1" applyFill="1" applyBorder="1" applyAlignment="1">
      <alignment horizontal="center" vertical="center"/>
    </xf>
    <xf numFmtId="1" fontId="54" fillId="9" borderId="39" xfId="0" applyNumberFormat="1" applyFont="1" applyFill="1" applyBorder="1" applyAlignment="1">
      <alignment horizontal="center" vertical="center" wrapText="1"/>
    </xf>
    <xf numFmtId="0" fontId="34" fillId="3" borderId="32" xfId="0" applyFont="1" applyFill="1" applyBorder="1" applyAlignment="1">
      <alignment horizontal="center" vertical="center"/>
    </xf>
    <xf numFmtId="1" fontId="81" fillId="57" borderId="1" xfId="4" quotePrefix="1" applyNumberFormat="1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" fillId="69" borderId="1" xfId="64" applyFill="1" applyBorder="1" applyAlignment="1">
      <alignment horizontal="center" vertical="center"/>
    </xf>
    <xf numFmtId="0" fontId="6" fillId="69" borderId="1" xfId="64" applyFill="1" applyBorder="1" applyAlignment="1">
      <alignment horizontal="center" vertical="center" wrapText="1"/>
    </xf>
    <xf numFmtId="0" fontId="39" fillId="51" borderId="7" xfId="0" applyFont="1" applyFill="1" applyBorder="1" applyAlignment="1">
      <alignment horizontal="center" wrapText="1"/>
    </xf>
    <xf numFmtId="49" fontId="63" fillId="0" borderId="7" xfId="0" applyNumberFormat="1" applyFont="1" applyBorder="1" applyAlignment="1">
      <alignment horizontal="center" wrapText="1"/>
    </xf>
    <xf numFmtId="49" fontId="63" fillId="52" borderId="7" xfId="0" applyNumberFormat="1" applyFont="1" applyFill="1" applyBorder="1" applyAlignment="1">
      <alignment horizontal="center" wrapText="1"/>
    </xf>
    <xf numFmtId="49" fontId="39" fillId="72" borderId="7" xfId="0" applyNumberFormat="1" applyFont="1" applyFill="1" applyBorder="1" applyAlignment="1">
      <alignment horizontal="center" wrapText="1"/>
    </xf>
    <xf numFmtId="49" fontId="39" fillId="51" borderId="7" xfId="0" applyNumberFormat="1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/>
    </xf>
    <xf numFmtId="0" fontId="104" fillId="0" borderId="0" xfId="0" applyFont="1"/>
    <xf numFmtId="49" fontId="2" fillId="0" borderId="7" xfId="0" applyNumberFormat="1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5" fillId="10" borderId="6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" fontId="80" fillId="4" borderId="1" xfId="0" applyNumberFormat="1" applyFont="1" applyFill="1" applyBorder="1" applyAlignment="1">
      <alignment horizontal="center" vertical="center"/>
    </xf>
    <xf numFmtId="1" fontId="99" fillId="4" borderId="1" xfId="4" applyNumberFormat="1" applyFont="1" applyFill="1" applyBorder="1" applyAlignment="1">
      <alignment horizontal="center" vertical="center"/>
    </xf>
    <xf numFmtId="1" fontId="81" fillId="4" borderId="1" xfId="4" quotePrefix="1" applyNumberFormat="1" applyFont="1" applyFill="1" applyBorder="1" applyAlignment="1">
      <alignment horizontal="center" vertical="center"/>
    </xf>
    <xf numFmtId="0" fontId="67" fillId="0" borderId="49" xfId="0" applyFon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2" fontId="74" fillId="0" borderId="1" xfId="58" applyNumberFormat="1" applyFont="1" applyBorder="1" applyAlignment="1">
      <alignment horizontal="center" vertical="center" wrapText="1"/>
    </xf>
    <xf numFmtId="2" fontId="65" fillId="0" borderId="1" xfId="0" applyNumberFormat="1" applyFont="1" applyBorder="1" applyAlignment="1">
      <alignment horizontal="center" vertical="center"/>
    </xf>
    <xf numFmtId="2" fontId="74" fillId="0" borderId="1" xfId="4" applyNumberFormat="1" applyFont="1" applyBorder="1" applyAlignment="1">
      <alignment horizontal="center" vertical="center" wrapText="1"/>
    </xf>
    <xf numFmtId="2" fontId="37" fillId="0" borderId="2" xfId="0" applyNumberFormat="1" applyFont="1" applyBorder="1" applyAlignment="1">
      <alignment horizontal="center" vertical="center"/>
    </xf>
    <xf numFmtId="2" fontId="37" fillId="55" borderId="65" xfId="0" applyNumberFormat="1" applyFont="1" applyFill="1" applyBorder="1" applyAlignment="1">
      <alignment horizontal="center" vertical="center" wrapText="1"/>
    </xf>
    <xf numFmtId="2" fontId="46" fillId="0" borderId="12" xfId="0" applyNumberFormat="1" applyFont="1" applyBorder="1" applyAlignment="1">
      <alignment horizontal="center" vertical="center"/>
    </xf>
    <xf numFmtId="2" fontId="34" fillId="3" borderId="32" xfId="0" applyNumberFormat="1" applyFont="1" applyFill="1" applyBorder="1"/>
    <xf numFmtId="2" fontId="0" fillId="0" borderId="0" xfId="0" applyNumberFormat="1"/>
    <xf numFmtId="0" fontId="46" fillId="73" borderId="56" xfId="0" applyFont="1" applyFill="1" applyBorder="1" applyAlignment="1">
      <alignment horizontal="center" vertical="center"/>
    </xf>
    <xf numFmtId="0" fontId="65" fillId="0" borderId="45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6" fillId="4" borderId="12" xfId="0" applyFont="1" applyFill="1" applyBorder="1" applyAlignment="1">
      <alignment horizontal="center"/>
    </xf>
    <xf numFmtId="0" fontId="4" fillId="4" borderId="5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39" fillId="51" borderId="65" xfId="0" applyFont="1" applyFill="1" applyBorder="1" applyAlignment="1">
      <alignment horizontal="center" vertical="center" wrapText="1"/>
    </xf>
    <xf numFmtId="0" fontId="39" fillId="51" borderId="66" xfId="0" applyFont="1" applyFill="1" applyBorder="1" applyAlignment="1">
      <alignment horizontal="center" wrapText="1"/>
    </xf>
    <xf numFmtId="0" fontId="34" fillId="3" borderId="67" xfId="0" applyFont="1" applyFill="1" applyBorder="1" applyAlignment="1">
      <alignment horizontal="center" vertical="center"/>
    </xf>
    <xf numFmtId="0" fontId="34" fillId="49" borderId="66" xfId="0" applyFont="1" applyFill="1" applyBorder="1" applyAlignment="1">
      <alignment horizontal="center" vertical="center" wrapText="1"/>
    </xf>
    <xf numFmtId="16" fontId="3" fillId="11" borderId="67" xfId="4" applyNumberFormat="1" applyFont="1" applyFill="1" applyBorder="1" applyAlignment="1">
      <alignment horizontal="center" vertical="center" wrapText="1"/>
    </xf>
    <xf numFmtId="0" fontId="4" fillId="57" borderId="12" xfId="0" applyFont="1" applyFill="1" applyBorder="1" applyAlignment="1">
      <alignment horizontal="center"/>
    </xf>
    <xf numFmtId="0" fontId="63" fillId="0" borderId="7" xfId="0" applyFont="1" applyBorder="1" applyAlignment="1">
      <alignment horizontal="center" wrapText="1"/>
    </xf>
    <xf numFmtId="0" fontId="63" fillId="52" borderId="7" xfId="0" applyFont="1" applyFill="1" applyBorder="1" applyAlignment="1">
      <alignment horizontal="center" wrapText="1"/>
    </xf>
    <xf numFmtId="0" fontId="39" fillId="72" borderId="7" xfId="0" applyFont="1" applyFill="1" applyBorder="1" applyAlignment="1">
      <alignment horizontal="center" wrapText="1"/>
    </xf>
    <xf numFmtId="0" fontId="105" fillId="8" borderId="55" xfId="0" applyFont="1" applyFill="1" applyBorder="1" applyAlignment="1">
      <alignment horizontal="center" vertical="center"/>
    </xf>
    <xf numFmtId="0" fontId="105" fillId="8" borderId="56" xfId="0" applyFont="1" applyFill="1" applyBorder="1" applyAlignment="1">
      <alignment horizontal="center" vertical="center"/>
    </xf>
    <xf numFmtId="0" fontId="106" fillId="0" borderId="57" xfId="0" applyFont="1" applyBorder="1" applyAlignment="1">
      <alignment horizontal="center" vertical="center"/>
    </xf>
    <xf numFmtId="0" fontId="106" fillId="0" borderId="45" xfId="0" applyFont="1" applyBorder="1" applyAlignment="1">
      <alignment horizontal="center" vertical="center"/>
    </xf>
    <xf numFmtId="0" fontId="2" fillId="59" borderId="1" xfId="0" applyFont="1" applyFill="1" applyBorder="1" applyAlignment="1">
      <alignment horizontal="center" textRotation="90"/>
    </xf>
    <xf numFmtId="0" fontId="2" fillId="59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49" fontId="2" fillId="7" borderId="7" xfId="0" applyNumberFormat="1" applyFont="1" applyFill="1" applyBorder="1" applyAlignment="1">
      <alignment horizontal="left" wrapText="1"/>
    </xf>
    <xf numFmtId="0" fontId="2" fillId="7" borderId="7" xfId="0" applyFont="1" applyFill="1" applyBorder="1" applyAlignment="1">
      <alignment horizontal="left" wrapText="1"/>
    </xf>
    <xf numFmtId="0" fontId="107" fillId="53" borderId="83" xfId="0" applyFont="1" applyFill="1" applyBorder="1" applyAlignment="1">
      <alignment horizontal="center" vertical="top"/>
    </xf>
    <xf numFmtId="0" fontId="63" fillId="53" borderId="83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" fontId="41" fillId="53" borderId="2" xfId="0" applyNumberFormat="1" applyFont="1" applyFill="1" applyBorder="1" applyAlignment="1">
      <alignment horizontal="center" vertical="center"/>
    </xf>
    <xf numFmtId="1" fontId="41" fillId="53" borderId="3" xfId="0" applyNumberFormat="1" applyFont="1" applyFill="1" applyBorder="1" applyAlignment="1">
      <alignment horizontal="center" vertical="center"/>
    </xf>
    <xf numFmtId="1" fontId="41" fillId="53" borderId="31" xfId="0" applyNumberFormat="1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/>
    </xf>
    <xf numFmtId="1" fontId="4" fillId="4" borderId="12" xfId="1" applyNumberFormat="1" applyFont="1" applyFill="1" applyBorder="1" applyAlignment="1">
      <alignment horizontal="center" vertical="center"/>
    </xf>
    <xf numFmtId="1" fontId="98" fillId="4" borderId="12" xfId="1" applyNumberFormat="1" applyFont="1" applyFill="1" applyBorder="1" applyAlignment="1">
      <alignment horizontal="center" vertical="center"/>
    </xf>
    <xf numFmtId="1" fontId="14" fillId="4" borderId="12" xfId="1" applyNumberFormat="1" applyFont="1" applyFill="1" applyBorder="1" applyAlignment="1">
      <alignment horizontal="center" vertical="center"/>
    </xf>
    <xf numFmtId="1" fontId="99" fillId="9" borderId="29" xfId="0" applyNumberFormat="1" applyFont="1" applyFill="1" applyBorder="1" applyAlignment="1">
      <alignment horizontal="center" vertical="center"/>
    </xf>
    <xf numFmtId="1" fontId="99" fillId="9" borderId="12" xfId="0" applyNumberFormat="1" applyFont="1" applyFill="1" applyBorder="1" applyAlignment="1">
      <alignment horizontal="center" vertical="center"/>
    </xf>
    <xf numFmtId="0" fontId="36" fillId="0" borderId="72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1" fontId="99" fillId="3" borderId="2" xfId="0" applyNumberFormat="1" applyFont="1" applyFill="1" applyBorder="1" applyAlignment="1">
      <alignment horizontal="center" vertical="center"/>
    </xf>
    <xf numFmtId="1" fontId="99" fillId="3" borderId="31" xfId="0" applyNumberFormat="1" applyFont="1" applyFill="1" applyBorder="1" applyAlignment="1">
      <alignment horizontal="center" vertical="center"/>
    </xf>
    <xf numFmtId="1" fontId="99" fillId="3" borderId="3" xfId="0" applyNumberFormat="1" applyFont="1" applyFill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1" fontId="14" fillId="46" borderId="2" xfId="0" applyNumberFormat="1" applyFont="1" applyFill="1" applyBorder="1" applyAlignment="1">
      <alignment horizontal="center" vertical="center"/>
    </xf>
    <xf numFmtId="1" fontId="14" fillId="46" borderId="31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/>
    </xf>
    <xf numFmtId="1" fontId="4" fillId="0" borderId="12" xfId="1" applyNumberFormat="1" applyFont="1" applyBorder="1" applyAlignment="1">
      <alignment horizontal="center" vertical="center"/>
    </xf>
    <xf numFmtId="1" fontId="14" fillId="46" borderId="3" xfId="0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6" fillId="60" borderId="2" xfId="0" applyFont="1" applyFill="1" applyBorder="1" applyAlignment="1">
      <alignment horizontal="center" vertical="center"/>
    </xf>
    <xf numFmtId="0" fontId="36" fillId="60" borderId="31" xfId="0" applyFont="1" applyFill="1" applyBorder="1" applyAlignment="1">
      <alignment horizontal="center" vertical="center"/>
    </xf>
    <xf numFmtId="0" fontId="36" fillId="60" borderId="3" xfId="0" applyFont="1" applyFill="1" applyBorder="1" applyAlignment="1">
      <alignment horizontal="center" vertical="center"/>
    </xf>
    <xf numFmtId="1" fontId="14" fillId="0" borderId="12" xfId="1" applyNumberFormat="1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7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1" fontId="34" fillId="0" borderId="12" xfId="1" applyNumberFormat="1" applyFont="1" applyBorder="1" applyAlignment="1">
      <alignment horizontal="center" vertical="center"/>
    </xf>
    <xf numFmtId="1" fontId="37" fillId="0" borderId="2" xfId="0" applyNumberFormat="1" applyFont="1" applyBorder="1" applyAlignment="1">
      <alignment horizontal="center" vertical="center"/>
    </xf>
    <xf numFmtId="1" fontId="37" fillId="0" borderId="31" xfId="0" applyNumberFormat="1" applyFont="1" applyBorder="1" applyAlignment="1">
      <alignment horizontal="center" vertical="center"/>
    </xf>
    <xf numFmtId="1" fontId="37" fillId="0" borderId="3" xfId="0" applyNumberFormat="1" applyFont="1" applyBorder="1" applyAlignment="1">
      <alignment horizontal="center" vertical="center"/>
    </xf>
    <xf numFmtId="0" fontId="32" fillId="60" borderId="2" xfId="0" applyFont="1" applyFill="1" applyBorder="1" applyAlignment="1">
      <alignment horizontal="center" vertical="center"/>
    </xf>
    <xf numFmtId="0" fontId="32" fillId="60" borderId="31" xfId="0" applyFont="1" applyFill="1" applyBorder="1" applyAlignment="1">
      <alignment horizontal="center" vertical="center"/>
    </xf>
    <xf numFmtId="0" fontId="32" fillId="60" borderId="3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/>
    </xf>
    <xf numFmtId="0" fontId="44" fillId="4" borderId="31" xfId="0" applyFont="1" applyFill="1" applyBorder="1" applyAlignment="1">
      <alignment horizontal="center" vertical="center"/>
    </xf>
    <xf numFmtId="0" fontId="44" fillId="4" borderId="3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4" fillId="4" borderId="6" xfId="1" applyNumberFormat="1" applyFont="1" applyFill="1" applyBorder="1" applyAlignment="1">
      <alignment horizontal="center" vertical="center"/>
    </xf>
    <xf numFmtId="1" fontId="34" fillId="0" borderId="12" xfId="0" applyNumberFormat="1" applyFont="1" applyBorder="1" applyAlignment="1">
      <alignment horizontal="center" vertical="center"/>
    </xf>
    <xf numFmtId="1" fontId="34" fillId="0" borderId="12" xfId="1" applyNumberFormat="1" applyFont="1" applyBorder="1" applyAlignment="1">
      <alignment horizontal="center" vertical="center" wrapText="1"/>
    </xf>
    <xf numFmtId="1" fontId="14" fillId="2" borderId="15" xfId="1" applyNumberFormat="1" applyFont="1" applyFill="1" applyBorder="1" applyAlignment="1">
      <alignment horizontal="center" vertical="center"/>
    </xf>
    <xf numFmtId="1" fontId="14" fillId="2" borderId="26" xfId="1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1" fontId="80" fillId="53" borderId="1" xfId="0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1" fontId="80" fillId="8" borderId="30" xfId="0" applyNumberFormat="1" applyFont="1" applyFill="1" applyBorder="1" applyAlignment="1">
      <alignment horizontal="center" vertical="center"/>
    </xf>
    <xf numFmtId="1" fontId="80" fillId="8" borderId="28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1" fontId="81" fillId="4" borderId="2" xfId="58" applyNumberFormat="1" applyFont="1" applyFill="1" applyBorder="1" applyAlignment="1">
      <alignment horizontal="center" vertical="center"/>
    </xf>
    <xf numFmtId="1" fontId="81" fillId="4" borderId="3" xfId="58" applyNumberFormat="1" applyFont="1" applyFill="1" applyBorder="1" applyAlignment="1">
      <alignment horizontal="center" vertical="center"/>
    </xf>
    <xf numFmtId="1" fontId="41" fillId="53" borderId="51" xfId="0" applyNumberFormat="1" applyFont="1" applyFill="1" applyBorder="1" applyAlignment="1">
      <alignment horizontal="center" vertical="center"/>
    </xf>
    <xf numFmtId="1" fontId="41" fillId="53" borderId="54" xfId="0" applyNumberFormat="1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1" fontId="41" fillId="53" borderId="46" xfId="0" applyNumberFormat="1" applyFont="1" applyFill="1" applyBorder="1" applyAlignment="1">
      <alignment horizontal="center" vertical="center"/>
    </xf>
    <xf numFmtId="1" fontId="41" fillId="53" borderId="42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" fontId="56" fillId="4" borderId="12" xfId="1" applyNumberFormat="1" applyFont="1" applyFill="1" applyBorder="1" applyAlignment="1">
      <alignment horizontal="left" vertical="center"/>
    </xf>
    <xf numFmtId="1" fontId="57" fillId="0" borderId="12" xfId="1" applyNumberFormat="1" applyFont="1" applyBorder="1" applyAlignment="1">
      <alignment horizontal="left" vertical="center"/>
    </xf>
    <xf numFmtId="1" fontId="58" fillId="0" borderId="12" xfId="1" applyNumberFormat="1" applyFont="1" applyBorder="1" applyAlignment="1">
      <alignment horizontal="left" vertical="center" wrapText="1"/>
    </xf>
    <xf numFmtId="1" fontId="58" fillId="0" borderId="12" xfId="1" applyNumberFormat="1" applyFont="1" applyBorder="1" applyAlignment="1">
      <alignment horizontal="left" vertical="center"/>
    </xf>
    <xf numFmtId="1" fontId="57" fillId="0" borderId="12" xfId="0" applyNumberFormat="1" applyFont="1" applyBorder="1" applyAlignment="1">
      <alignment horizontal="left" vertical="center"/>
    </xf>
    <xf numFmtId="1" fontId="12" fillId="0" borderId="12" xfId="1" applyNumberFormat="1" applyFont="1" applyBorder="1" applyAlignment="1">
      <alignment horizontal="left" vertical="center"/>
    </xf>
    <xf numFmtId="1" fontId="33" fillId="4" borderId="12" xfId="1" applyNumberFormat="1" applyFont="1" applyFill="1" applyBorder="1" applyAlignment="1">
      <alignment horizontal="center" vertical="center"/>
    </xf>
    <xf numFmtId="0" fontId="56" fillId="0" borderId="1" xfId="2" applyFont="1" applyBorder="1" applyAlignment="1">
      <alignment horizontal="left" vertical="center"/>
    </xf>
    <xf numFmtId="1" fontId="56" fillId="4" borderId="6" xfId="1" applyNumberFormat="1" applyFont="1" applyFill="1" applyBorder="1" applyAlignment="1">
      <alignment horizontal="left" vertical="center"/>
    </xf>
    <xf numFmtId="1" fontId="33" fillId="46" borderId="2" xfId="0" applyNumberFormat="1" applyFont="1" applyFill="1" applyBorder="1" applyAlignment="1">
      <alignment horizontal="center" vertical="center"/>
    </xf>
    <xf numFmtId="1" fontId="33" fillId="46" borderId="31" xfId="0" applyNumberFormat="1" applyFont="1" applyFill="1" applyBorder="1" applyAlignment="1">
      <alignment horizontal="center" vertical="center"/>
    </xf>
    <xf numFmtId="1" fontId="33" fillId="46" borderId="3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" fontId="52" fillId="4" borderId="12" xfId="1" applyNumberFormat="1" applyFont="1" applyFill="1" applyBorder="1" applyAlignment="1">
      <alignment horizontal="center" vertical="center"/>
    </xf>
    <xf numFmtId="1" fontId="13" fillId="0" borderId="12" xfId="1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35" fillId="4" borderId="1" xfId="0" applyFont="1" applyFill="1" applyBorder="1" applyAlignment="1">
      <alignment horizontal="center" vertical="center"/>
    </xf>
    <xf numFmtId="1" fontId="33" fillId="0" borderId="12" xfId="1" applyNumberFormat="1" applyFont="1" applyBorder="1" applyAlignment="1">
      <alignment horizontal="center" vertical="center"/>
    </xf>
    <xf numFmtId="1" fontId="33" fillId="2" borderId="15" xfId="1" applyNumberFormat="1" applyFont="1" applyFill="1" applyBorder="1" applyAlignment="1">
      <alignment horizontal="center" vertical="center"/>
    </xf>
    <xf numFmtId="1" fontId="33" fillId="2" borderId="26" xfId="1" applyNumberFormat="1" applyFont="1" applyFill="1" applyBorder="1" applyAlignment="1">
      <alignment horizontal="center" vertical="center"/>
    </xf>
    <xf numFmtId="1" fontId="54" fillId="9" borderId="2" xfId="0" applyNumberFormat="1" applyFont="1" applyFill="1" applyBorder="1" applyAlignment="1">
      <alignment horizontal="center" vertical="center" wrapText="1"/>
    </xf>
    <xf numFmtId="1" fontId="54" fillId="9" borderId="3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54" fillId="3" borderId="2" xfId="0" applyNumberFormat="1" applyFont="1" applyFill="1" applyBorder="1" applyAlignment="1">
      <alignment horizontal="center" vertical="center" wrapText="1"/>
    </xf>
    <xf numFmtId="1" fontId="54" fillId="3" borderId="3" xfId="0" applyNumberFormat="1" applyFont="1" applyFill="1" applyBorder="1" applyAlignment="1">
      <alignment horizontal="center" vertical="center" wrapText="1"/>
    </xf>
    <xf numFmtId="1" fontId="54" fillId="3" borderId="31" xfId="0" applyNumberFormat="1" applyFont="1" applyFill="1" applyBorder="1" applyAlignment="1">
      <alignment horizontal="center" vertical="center" wrapText="1"/>
    </xf>
    <xf numFmtId="1" fontId="54" fillId="53" borderId="1" xfId="0" applyNumberFormat="1" applyFont="1" applyFill="1" applyBorder="1" applyAlignment="1">
      <alignment horizontal="center" vertical="center"/>
    </xf>
    <xf numFmtId="1" fontId="51" fillId="3" borderId="30" xfId="0" applyNumberFormat="1" applyFont="1" applyFill="1" applyBorder="1" applyAlignment="1">
      <alignment horizontal="center" vertical="center"/>
    </xf>
    <xf numFmtId="1" fontId="51" fillId="3" borderId="28" xfId="0" applyNumberFormat="1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" fontId="81" fillId="0" borderId="2" xfId="4" quotePrefix="1" applyNumberFormat="1" applyFont="1" applyBorder="1" applyAlignment="1">
      <alignment horizontal="center" vertical="center"/>
    </xf>
    <xf numFmtId="1" fontId="81" fillId="0" borderId="3" xfId="4" quotePrefix="1" applyNumberFormat="1" applyFont="1" applyBorder="1" applyAlignment="1">
      <alignment horizontal="center" vertical="center"/>
    </xf>
    <xf numFmtId="0" fontId="3" fillId="71" borderId="1" xfId="0" applyFont="1" applyFill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1" fontId="80" fillId="53" borderId="3" xfId="0" applyNumberFormat="1" applyFont="1" applyFill="1" applyBorder="1" applyAlignment="1">
      <alignment horizontal="center" vertical="center"/>
    </xf>
    <xf numFmtId="1" fontId="41" fillId="53" borderId="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2" fontId="46" fillId="0" borderId="12" xfId="0" applyNumberFormat="1" applyFont="1" applyBorder="1" applyAlignment="1">
      <alignment horizontal="center" vertical="center"/>
    </xf>
    <xf numFmtId="1" fontId="9" fillId="0" borderId="4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8" fillId="67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2" borderId="63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1" fontId="46" fillId="0" borderId="15" xfId="0" applyNumberFormat="1" applyFont="1" applyBorder="1" applyAlignment="1">
      <alignment horizontal="center" vertical="center"/>
    </xf>
    <xf numFmtId="1" fontId="46" fillId="0" borderId="26" xfId="0" applyNumberFormat="1" applyFont="1" applyBorder="1" applyAlignment="1">
      <alignment horizontal="center" vertical="center"/>
    </xf>
    <xf numFmtId="1" fontId="46" fillId="0" borderId="12" xfId="0" applyNumberFormat="1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48" fillId="3" borderId="3" xfId="0" applyFont="1" applyFill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7" fillId="0" borderId="42" xfId="0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1" fontId="0" fillId="0" borderId="61" xfId="0" applyNumberFormat="1" applyBorder="1" applyAlignment="1">
      <alignment horizontal="center" vertical="center"/>
    </xf>
    <xf numFmtId="0" fontId="67" fillId="0" borderId="49" xfId="0" applyFont="1" applyBorder="1" applyAlignment="1">
      <alignment horizontal="center" vertical="center"/>
    </xf>
    <xf numFmtId="0" fontId="67" fillId="0" borderId="27" xfId="0" applyFont="1" applyBorder="1" applyAlignment="1">
      <alignment horizontal="center" vertical="center"/>
    </xf>
    <xf numFmtId="0" fontId="67" fillId="0" borderId="58" xfId="0" applyFont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1" fontId="9" fillId="0" borderId="42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" fontId="46" fillId="70" borderId="15" xfId="0" applyNumberFormat="1" applyFont="1" applyFill="1" applyBorder="1" applyAlignment="1">
      <alignment horizontal="center" vertical="center"/>
    </xf>
    <xf numFmtId="1" fontId="46" fillId="70" borderId="26" xfId="0" applyNumberFormat="1" applyFont="1" applyFill="1" applyBorder="1" applyAlignment="1">
      <alignment horizontal="center" vertical="center"/>
    </xf>
    <xf numFmtId="1" fontId="0" fillId="0" borderId="75" xfId="0" applyNumberFormat="1" applyBorder="1" applyAlignment="1">
      <alignment horizontal="center" vertical="center"/>
    </xf>
    <xf numFmtId="2" fontId="46" fillId="0" borderId="26" xfId="0" applyNumberFormat="1" applyFont="1" applyBorder="1" applyAlignment="1">
      <alignment horizontal="center" vertical="center"/>
    </xf>
    <xf numFmtId="0" fontId="48" fillId="67" borderId="3" xfId="0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2" fontId="72" fillId="0" borderId="12" xfId="0" applyNumberFormat="1" applyFont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2" fontId="46" fillId="0" borderId="15" xfId="0" applyNumberFormat="1" applyFont="1" applyBorder="1" applyAlignment="1">
      <alignment horizontal="center" vertical="center" wrapText="1"/>
    </xf>
    <xf numFmtId="2" fontId="46" fillId="0" borderId="60" xfId="0" applyNumberFormat="1" applyFont="1" applyBorder="1" applyAlignment="1">
      <alignment horizontal="center" vertical="center" wrapText="1"/>
    </xf>
    <xf numFmtId="2" fontId="46" fillId="0" borderId="26" xfId="0" applyNumberFormat="1" applyFont="1" applyBorder="1" applyAlignment="1">
      <alignment horizontal="center" vertical="center" wrapText="1"/>
    </xf>
    <xf numFmtId="2" fontId="71" fillId="0" borderId="12" xfId="0" applyNumberFormat="1" applyFont="1" applyBorder="1" applyAlignment="1">
      <alignment horizontal="center" vertical="center" wrapText="1"/>
    </xf>
    <xf numFmtId="2" fontId="71" fillId="53" borderId="12" xfId="0" applyNumberFormat="1" applyFont="1" applyFill="1" applyBorder="1" applyAlignment="1">
      <alignment horizontal="center" vertical="center" wrapText="1"/>
    </xf>
    <xf numFmtId="2" fontId="71" fillId="53" borderId="14" xfId="0" applyNumberFormat="1" applyFont="1" applyFill="1" applyBorder="1" applyAlignment="1">
      <alignment horizontal="center" vertical="center" wrapText="1"/>
    </xf>
    <xf numFmtId="0" fontId="48" fillId="67" borderId="5" xfId="0" applyFont="1" applyFill="1" applyBorder="1" applyAlignment="1">
      <alignment horizontal="center" vertical="center"/>
    </xf>
    <xf numFmtId="1" fontId="46" fillId="70" borderId="12" xfId="0" applyNumberFormat="1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1" fontId="0" fillId="0" borderId="81" xfId="0" applyNumberFormat="1" applyBorder="1" applyAlignment="1">
      <alignment horizontal="center" vertical="center"/>
    </xf>
    <xf numFmtId="1" fontId="0" fillId="0" borderId="71" xfId="0" applyNumberFormat="1" applyBorder="1" applyAlignment="1">
      <alignment horizontal="center" vertical="center"/>
    </xf>
    <xf numFmtId="1" fontId="0" fillId="0" borderId="78" xfId="0" applyNumberFormat="1" applyBorder="1" applyAlignment="1">
      <alignment horizontal="center" vertical="center"/>
    </xf>
    <xf numFmtId="0" fontId="34" fillId="65" borderId="44" xfId="0" applyFont="1" applyFill="1" applyBorder="1" applyAlignment="1">
      <alignment horizontal="center"/>
    </xf>
    <xf numFmtId="0" fontId="34" fillId="65" borderId="69" xfId="0" applyFont="1" applyFill="1" applyBorder="1" applyAlignment="1">
      <alignment horizontal="center"/>
    </xf>
    <xf numFmtId="0" fontId="34" fillId="50" borderId="79" xfId="0" applyFont="1" applyFill="1" applyBorder="1" applyAlignment="1">
      <alignment horizontal="center"/>
    </xf>
    <xf numFmtId="0" fontId="34" fillId="50" borderId="56" xfId="0" applyFont="1" applyFill="1" applyBorder="1" applyAlignment="1">
      <alignment horizontal="center"/>
    </xf>
    <xf numFmtId="14" fontId="0" fillId="3" borderId="40" xfId="0" applyNumberFormat="1" applyFill="1" applyBorder="1" applyAlignment="1">
      <alignment horizontal="center"/>
    </xf>
    <xf numFmtId="14" fontId="0" fillId="3" borderId="25" xfId="0" applyNumberFormat="1" applyFill="1" applyBorder="1" applyAlignment="1">
      <alignment horizontal="center"/>
    </xf>
    <xf numFmtId="14" fontId="0" fillId="3" borderId="49" xfId="0" applyNumberFormat="1" applyFill="1" applyBorder="1" applyAlignment="1">
      <alignment horizontal="center"/>
    </xf>
    <xf numFmtId="0" fontId="2" fillId="0" borderId="2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3" borderId="43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2" fillId="8" borderId="30" xfId="0" applyFont="1" applyFill="1" applyBorder="1" applyAlignment="1">
      <alignment horizontal="center" vertical="center"/>
    </xf>
    <xf numFmtId="0" fontId="2" fillId="8" borderId="62" xfId="0" applyFont="1" applyFill="1" applyBorder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49" fontId="40" fillId="52" borderId="7" xfId="0" applyNumberFormat="1" applyFont="1" applyFill="1" applyBorder="1" applyAlignment="1">
      <alignment horizontal="center" wrapText="1"/>
    </xf>
    <xf numFmtId="0" fontId="40" fillId="52" borderId="7" xfId="0" applyFont="1" applyFill="1" applyBorder="1" applyAlignment="1">
      <alignment horizontal="center" wrapText="1"/>
    </xf>
  </cellXfs>
  <cellStyles count="84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1 2" xfId="50" xr:uid="{00000000-0005-0000-0000-00000D000000}"/>
    <cellStyle name="60% - Accent2" xfId="29" builtinId="36" customBuiltin="1"/>
    <cellStyle name="60% - Accent2 2" xfId="51" xr:uid="{00000000-0005-0000-0000-00000F000000}"/>
    <cellStyle name="60% - Accent3" xfId="33" builtinId="40" customBuiltin="1"/>
    <cellStyle name="60% - Accent3 2" xfId="52" xr:uid="{00000000-0005-0000-0000-000011000000}"/>
    <cellStyle name="60% - Accent4" xfId="37" builtinId="44" customBuiltin="1"/>
    <cellStyle name="60% - Accent4 2" xfId="53" xr:uid="{00000000-0005-0000-0000-000013000000}"/>
    <cellStyle name="60% - Accent5" xfId="41" builtinId="48" customBuiltin="1"/>
    <cellStyle name="60% - Accent5 2" xfId="54" xr:uid="{00000000-0005-0000-0000-000015000000}"/>
    <cellStyle name="60% - Accent6" xfId="45" builtinId="52" customBuiltin="1"/>
    <cellStyle name="60% - Accent6 2" xfId="55" xr:uid="{00000000-0005-0000-0000-000017000000}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48" builtinId="3"/>
    <cellStyle name="DataCell" xfId="57" xr:uid="{00000000-0005-0000-0000-000022000000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eutral 2" xfId="49" xr:uid="{00000000-0005-0000-0000-00002C000000}"/>
    <cellStyle name="Normal" xfId="0" builtinId="0"/>
    <cellStyle name="Normal - Style1" xfId="3" xr:uid="{00000000-0005-0000-0000-00002E000000}"/>
    <cellStyle name="Normal 10" xfId="66" xr:uid="{00000000-0005-0000-0000-00002F000000}"/>
    <cellStyle name="Normal 11" xfId="46" xr:uid="{00000000-0005-0000-0000-000030000000}"/>
    <cellStyle name="Normal 12" xfId="61" xr:uid="{00000000-0005-0000-0000-000031000000}"/>
    <cellStyle name="Normal 13" xfId="67" xr:uid="{00000000-0005-0000-0000-000032000000}"/>
    <cellStyle name="Normal 14" xfId="68" xr:uid="{00000000-0005-0000-0000-000033000000}"/>
    <cellStyle name="Normal 15" xfId="69" xr:uid="{00000000-0005-0000-0000-000034000000}"/>
    <cellStyle name="Normal 16" xfId="70" xr:uid="{00000000-0005-0000-0000-000035000000}"/>
    <cellStyle name="Normal 17" xfId="71" xr:uid="{00000000-0005-0000-0000-000036000000}"/>
    <cellStyle name="Normal 18" xfId="72" xr:uid="{00000000-0005-0000-0000-000037000000}"/>
    <cellStyle name="Normal 19" xfId="73" xr:uid="{00000000-0005-0000-0000-000038000000}"/>
    <cellStyle name="Normal 2" xfId="4" xr:uid="{00000000-0005-0000-0000-000039000000}"/>
    <cellStyle name="Normal 2 2" xfId="58" xr:uid="{00000000-0005-0000-0000-00003A000000}"/>
    <cellStyle name="Normal 20" xfId="74" xr:uid="{00000000-0005-0000-0000-00003B000000}"/>
    <cellStyle name="Normal 21" xfId="75" xr:uid="{00000000-0005-0000-0000-00003C000000}"/>
    <cellStyle name="Normal 22" xfId="76" xr:uid="{00000000-0005-0000-0000-00003D000000}"/>
    <cellStyle name="Normal 23" xfId="77" xr:uid="{00000000-0005-0000-0000-00003E000000}"/>
    <cellStyle name="Normal 24" xfId="78" xr:uid="{00000000-0005-0000-0000-00003F000000}"/>
    <cellStyle name="Normal 25" xfId="79" xr:uid="{00000000-0005-0000-0000-000040000000}"/>
    <cellStyle name="Normal 26" xfId="80" xr:uid="{00000000-0005-0000-0000-000041000000}"/>
    <cellStyle name="Normal 27" xfId="81" xr:uid="{00000000-0005-0000-0000-000042000000}"/>
    <cellStyle name="Normal 28" xfId="82" xr:uid="{00000000-0005-0000-0000-000043000000}"/>
    <cellStyle name="Normal 29" xfId="83" xr:uid="{00000000-0005-0000-0000-000044000000}"/>
    <cellStyle name="Normal 3" xfId="47" xr:uid="{00000000-0005-0000-0000-000045000000}"/>
    <cellStyle name="Normal 4" xfId="59" xr:uid="{00000000-0005-0000-0000-000046000000}"/>
    <cellStyle name="Normal 4 2" xfId="56" xr:uid="{00000000-0005-0000-0000-000047000000}"/>
    <cellStyle name="Normal 5" xfId="60" xr:uid="{00000000-0005-0000-0000-000048000000}"/>
    <cellStyle name="Normal 574" xfId="1" xr:uid="{00000000-0005-0000-0000-000049000000}"/>
    <cellStyle name="Normal 575" xfId="2" xr:uid="{00000000-0005-0000-0000-00004A000000}"/>
    <cellStyle name="Normal 6" xfId="62" xr:uid="{00000000-0005-0000-0000-00004B000000}"/>
    <cellStyle name="Normal 7" xfId="63" xr:uid="{00000000-0005-0000-0000-00004C000000}"/>
    <cellStyle name="Normal 8" xfId="64" xr:uid="{00000000-0005-0000-0000-00004D000000}"/>
    <cellStyle name="Normal 9" xfId="65" xr:uid="{00000000-0005-0000-0000-00004E000000}"/>
    <cellStyle name="Note" xfId="19" builtinId="10" customBuiltin="1"/>
    <cellStyle name="Output" xfId="14" builtinId="21" customBuiltin="1"/>
    <cellStyle name="Title" xfId="5" builtinId="15" customBuiltin="1"/>
    <cellStyle name="Total" xfId="21" builtinId="25" customBuiltin="1"/>
    <cellStyle name="Warning Text" xfId="18" builtinId="11" customBuiltin="1"/>
  </cellStyles>
  <dxfs count="6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6942"/>
      <color rgb="FF00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ZXJFWTVN\K%20Block%20Rolling%20Plan%20and%20Allocations%20for%20Mar'26%20-%20May'26%20-%20Copy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ZXJFWTVN\BTST%20Opening%20Stock%20(00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na430593\AppData\Local\Microsoft\Windows\INetCache\Content.Outlook\Q2Z04V18\New%20BTST%20Stock%20File%20July-2026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FMSUIR95\PPC_Float_Report_Paint_07_09_2023%2006_29_22_AM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IE\6NKU4ONU\PPC_Float_Report_Paint_07_09_2023%2007_21_44_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Downloads\Copy%20of%20Punch%20Cut%20Off%20VIN%20Generation_Rev03%20(003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K0G3QIKC\TCF%201%20vin%20generation%20plan%20-%20DEC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D"/>
      <sheetName val="Sheet2"/>
      <sheetName val="Sheet3"/>
      <sheetName val="Sheet1"/>
      <sheetName val="Summary"/>
      <sheetName val="Final Plan 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O2" t="str">
            <v>Row Labels</v>
          </cell>
          <cell r="P2" t="str">
            <v>Sum of PNE</v>
          </cell>
        </row>
        <row r="3">
          <cell r="O3" t="str">
            <v>54411728A</v>
          </cell>
          <cell r="P3">
            <v>0</v>
          </cell>
        </row>
        <row r="4">
          <cell r="O4" t="str">
            <v>54420227A</v>
          </cell>
          <cell r="P4">
            <v>0</v>
          </cell>
        </row>
        <row r="5">
          <cell r="O5" t="str">
            <v>54420328A</v>
          </cell>
          <cell r="P5">
            <v>0</v>
          </cell>
        </row>
        <row r="6">
          <cell r="O6" t="str">
            <v>54420528A</v>
          </cell>
          <cell r="P6">
            <v>0</v>
          </cell>
        </row>
        <row r="7">
          <cell r="O7" t="str">
            <v>54421228A</v>
          </cell>
          <cell r="P7">
            <v>0</v>
          </cell>
        </row>
        <row r="8">
          <cell r="O8" t="str">
            <v>54421528A</v>
          </cell>
          <cell r="P8">
            <v>0</v>
          </cell>
        </row>
        <row r="9">
          <cell r="O9" t="str">
            <v>54421628A</v>
          </cell>
          <cell r="P9">
            <v>0</v>
          </cell>
        </row>
        <row r="10">
          <cell r="O10" t="str">
            <v>54421728A</v>
          </cell>
          <cell r="P10">
            <v>0</v>
          </cell>
        </row>
        <row r="11">
          <cell r="O11" t="str">
            <v>54424027A</v>
          </cell>
          <cell r="P11">
            <v>60</v>
          </cell>
        </row>
        <row r="12">
          <cell r="O12" t="str">
            <v>54424327A</v>
          </cell>
          <cell r="P12">
            <v>82</v>
          </cell>
        </row>
        <row r="13">
          <cell r="O13" t="str">
            <v>54424427A</v>
          </cell>
          <cell r="P13">
            <v>38</v>
          </cell>
        </row>
        <row r="14">
          <cell r="O14" t="str">
            <v>54424527A</v>
          </cell>
          <cell r="P14">
            <v>0</v>
          </cell>
        </row>
        <row r="15">
          <cell r="O15" t="str">
            <v>54424627A</v>
          </cell>
          <cell r="P15">
            <v>0</v>
          </cell>
        </row>
        <row r="16">
          <cell r="O16" t="str">
            <v>54424727A</v>
          </cell>
          <cell r="P16">
            <v>20</v>
          </cell>
        </row>
        <row r="17">
          <cell r="O17" t="str">
            <v>54424827A</v>
          </cell>
          <cell r="P17">
            <v>0</v>
          </cell>
        </row>
        <row r="18">
          <cell r="O18" t="str">
            <v>54424927A</v>
          </cell>
          <cell r="P18">
            <v>0</v>
          </cell>
        </row>
        <row r="19">
          <cell r="O19" t="str">
            <v>54425027A</v>
          </cell>
          <cell r="P19">
            <v>0</v>
          </cell>
        </row>
        <row r="20">
          <cell r="O20" t="str">
            <v>54425028A</v>
          </cell>
          <cell r="P20">
            <v>0</v>
          </cell>
        </row>
        <row r="21">
          <cell r="O21" t="str">
            <v>54425127A</v>
          </cell>
          <cell r="P21">
            <v>0</v>
          </cell>
        </row>
        <row r="22">
          <cell r="O22" t="str">
            <v>54425128A</v>
          </cell>
          <cell r="P22">
            <v>0</v>
          </cell>
        </row>
        <row r="23">
          <cell r="O23" t="str">
            <v>54425227A</v>
          </cell>
          <cell r="P23">
            <v>0</v>
          </cell>
        </row>
        <row r="24">
          <cell r="O24" t="str">
            <v>54425228A</v>
          </cell>
          <cell r="P24">
            <v>0</v>
          </cell>
        </row>
        <row r="25">
          <cell r="O25" t="str">
            <v>54425327A</v>
          </cell>
          <cell r="P25">
            <v>0</v>
          </cell>
        </row>
        <row r="26">
          <cell r="O26" t="str">
            <v>54425527A</v>
          </cell>
          <cell r="P26">
            <v>0</v>
          </cell>
        </row>
        <row r="27">
          <cell r="O27" t="str">
            <v>54426727A</v>
          </cell>
          <cell r="P27">
            <v>0</v>
          </cell>
        </row>
        <row r="28">
          <cell r="O28" t="str">
            <v>54427027A</v>
          </cell>
          <cell r="P28">
            <v>0</v>
          </cell>
        </row>
        <row r="29">
          <cell r="O29" t="str">
            <v>54428126A</v>
          </cell>
          <cell r="P29">
            <v>0</v>
          </cell>
        </row>
        <row r="30">
          <cell r="O30" t="str">
            <v>54428127A</v>
          </cell>
          <cell r="P30">
            <v>0</v>
          </cell>
        </row>
        <row r="31">
          <cell r="O31" t="str">
            <v>54428227A</v>
          </cell>
          <cell r="P31">
            <v>0</v>
          </cell>
        </row>
        <row r="32">
          <cell r="O32" t="str">
            <v>54428727A</v>
          </cell>
          <cell r="P32">
            <v>0</v>
          </cell>
        </row>
        <row r="33">
          <cell r="O33" t="str">
            <v>54428927A</v>
          </cell>
          <cell r="P33">
            <v>0</v>
          </cell>
        </row>
        <row r="34">
          <cell r="O34" t="str">
            <v>54429027A</v>
          </cell>
          <cell r="P34">
            <v>0</v>
          </cell>
        </row>
        <row r="35">
          <cell r="O35" t="str">
            <v>54429127A</v>
          </cell>
          <cell r="P35">
            <v>0</v>
          </cell>
        </row>
        <row r="36">
          <cell r="O36" t="str">
            <v>54429327A</v>
          </cell>
          <cell r="P36">
            <v>0</v>
          </cell>
        </row>
        <row r="37">
          <cell r="O37" t="str">
            <v>54429826A</v>
          </cell>
          <cell r="P37">
            <v>0</v>
          </cell>
        </row>
        <row r="38">
          <cell r="O38" t="str">
            <v>54650427A</v>
          </cell>
          <cell r="P38">
            <v>28</v>
          </cell>
        </row>
        <row r="39">
          <cell r="O39" t="str">
            <v>54651227A</v>
          </cell>
          <cell r="P39">
            <v>0</v>
          </cell>
        </row>
        <row r="40">
          <cell r="O40" t="str">
            <v>54651327A</v>
          </cell>
          <cell r="P40">
            <v>61</v>
          </cell>
        </row>
        <row r="41">
          <cell r="O41" t="str">
            <v>54651427A</v>
          </cell>
          <cell r="P41">
            <v>41</v>
          </cell>
        </row>
        <row r="42">
          <cell r="O42" t="str">
            <v>54651527A</v>
          </cell>
          <cell r="P42">
            <v>55</v>
          </cell>
        </row>
        <row r="43">
          <cell r="O43" t="str">
            <v>54651627A</v>
          </cell>
          <cell r="P43">
            <v>74</v>
          </cell>
        </row>
        <row r="44">
          <cell r="O44" t="str">
            <v>54651727A</v>
          </cell>
          <cell r="P44">
            <v>1</v>
          </cell>
        </row>
        <row r="45">
          <cell r="O45" t="str">
            <v>54651827A</v>
          </cell>
          <cell r="P45">
            <v>3</v>
          </cell>
        </row>
        <row r="46">
          <cell r="O46" t="str">
            <v>54651927A</v>
          </cell>
          <cell r="P46">
            <v>0</v>
          </cell>
        </row>
        <row r="47">
          <cell r="O47" t="str">
            <v>54652027A</v>
          </cell>
          <cell r="P47">
            <v>0</v>
          </cell>
        </row>
        <row r="48">
          <cell r="O48" t="str">
            <v>54653527A</v>
          </cell>
          <cell r="P48">
            <v>16</v>
          </cell>
        </row>
        <row r="49">
          <cell r="O49" t="str">
            <v>54653627A</v>
          </cell>
          <cell r="P49">
            <v>21</v>
          </cell>
        </row>
        <row r="50">
          <cell r="O50" t="str">
            <v>54653727A</v>
          </cell>
          <cell r="P50">
            <v>11</v>
          </cell>
        </row>
        <row r="51">
          <cell r="O51" t="str">
            <v>54653827A</v>
          </cell>
          <cell r="P51">
            <v>19</v>
          </cell>
        </row>
        <row r="52">
          <cell r="O52" t="str">
            <v>54653927A</v>
          </cell>
          <cell r="P52">
            <v>3</v>
          </cell>
        </row>
        <row r="53">
          <cell r="O53" t="str">
            <v>54654027A</v>
          </cell>
          <cell r="P53">
            <v>20</v>
          </cell>
        </row>
        <row r="54">
          <cell r="O54" t="str">
            <v>54654127A</v>
          </cell>
          <cell r="P54">
            <v>7</v>
          </cell>
        </row>
        <row r="55">
          <cell r="O55" t="str">
            <v>54654227A</v>
          </cell>
          <cell r="P55">
            <v>10</v>
          </cell>
        </row>
        <row r="56">
          <cell r="O56" t="str">
            <v>54654327A</v>
          </cell>
          <cell r="P56">
            <v>8</v>
          </cell>
        </row>
        <row r="57">
          <cell r="O57" t="str">
            <v>54654427A</v>
          </cell>
          <cell r="P57">
            <v>17</v>
          </cell>
        </row>
        <row r="58">
          <cell r="O58" t="str">
            <v>54655227A</v>
          </cell>
          <cell r="P58">
            <v>0</v>
          </cell>
        </row>
        <row r="59">
          <cell r="O59" t="str">
            <v>54656627A</v>
          </cell>
          <cell r="P59">
            <v>0</v>
          </cell>
        </row>
        <row r="60">
          <cell r="O60" t="str">
            <v>54658627A</v>
          </cell>
          <cell r="P60">
            <v>0</v>
          </cell>
        </row>
        <row r="61">
          <cell r="O61" t="str">
            <v>54658927A</v>
          </cell>
          <cell r="P61">
            <v>0</v>
          </cell>
        </row>
        <row r="62">
          <cell r="O62" t="str">
            <v>54659027A</v>
          </cell>
          <cell r="P62">
            <v>0</v>
          </cell>
        </row>
        <row r="63">
          <cell r="O63" t="str">
            <v>54659127A</v>
          </cell>
          <cell r="P63">
            <v>61</v>
          </cell>
        </row>
        <row r="64">
          <cell r="O64" t="str">
            <v>54659227A</v>
          </cell>
          <cell r="P64">
            <v>112</v>
          </cell>
        </row>
        <row r="65">
          <cell r="O65" t="str">
            <v>54659327A</v>
          </cell>
          <cell r="P65">
            <v>90</v>
          </cell>
        </row>
        <row r="66">
          <cell r="O66" t="str">
            <v>54659427A</v>
          </cell>
          <cell r="P66">
            <v>130</v>
          </cell>
        </row>
        <row r="67">
          <cell r="O67" t="str">
            <v>54660227A</v>
          </cell>
          <cell r="P67">
            <v>5</v>
          </cell>
        </row>
        <row r="68">
          <cell r="O68" t="str">
            <v>54660427A</v>
          </cell>
          <cell r="P68">
            <v>27</v>
          </cell>
        </row>
        <row r="69">
          <cell r="O69" t="str">
            <v>54661327A</v>
          </cell>
          <cell r="P69">
            <v>84</v>
          </cell>
        </row>
        <row r="70">
          <cell r="O70" t="str">
            <v>54661427A</v>
          </cell>
          <cell r="P70">
            <v>78</v>
          </cell>
        </row>
        <row r="71">
          <cell r="O71" t="str">
            <v>54661527A</v>
          </cell>
          <cell r="P71">
            <v>94</v>
          </cell>
        </row>
        <row r="72">
          <cell r="O72" t="str">
            <v>54661627A</v>
          </cell>
          <cell r="P72">
            <v>72</v>
          </cell>
        </row>
        <row r="73">
          <cell r="O73" t="str">
            <v>54661727A</v>
          </cell>
          <cell r="P73">
            <v>0</v>
          </cell>
        </row>
        <row r="74">
          <cell r="O74" t="str">
            <v>54661827A</v>
          </cell>
          <cell r="P74">
            <v>1</v>
          </cell>
        </row>
        <row r="75">
          <cell r="O75" t="str">
            <v>54661927A</v>
          </cell>
          <cell r="P75">
            <v>0</v>
          </cell>
        </row>
        <row r="76">
          <cell r="O76" t="str">
            <v>54662027A</v>
          </cell>
          <cell r="P76">
            <v>1</v>
          </cell>
        </row>
        <row r="77">
          <cell r="O77" t="str">
            <v>54662127A</v>
          </cell>
          <cell r="P77">
            <v>0</v>
          </cell>
        </row>
        <row r="78">
          <cell r="O78" t="str">
            <v>54662227A</v>
          </cell>
          <cell r="P78">
            <v>0</v>
          </cell>
        </row>
        <row r="79">
          <cell r="O79" t="str">
            <v>54662327A</v>
          </cell>
          <cell r="P79">
            <v>0</v>
          </cell>
        </row>
        <row r="80">
          <cell r="O80" t="str">
            <v>54662427A</v>
          </cell>
          <cell r="P80">
            <v>0</v>
          </cell>
        </row>
        <row r="81">
          <cell r="O81" t="str">
            <v>54662627A</v>
          </cell>
          <cell r="P81">
            <v>5</v>
          </cell>
        </row>
        <row r="82">
          <cell r="O82" t="str">
            <v>54663527A</v>
          </cell>
          <cell r="P82">
            <v>11</v>
          </cell>
        </row>
        <row r="83">
          <cell r="O83" t="str">
            <v>54663627A</v>
          </cell>
          <cell r="P83">
            <v>37</v>
          </cell>
        </row>
        <row r="84">
          <cell r="O84" t="str">
            <v>54663727A</v>
          </cell>
          <cell r="P84">
            <v>10</v>
          </cell>
        </row>
        <row r="85">
          <cell r="O85" t="str">
            <v>54663827A</v>
          </cell>
          <cell r="P85">
            <v>22</v>
          </cell>
        </row>
        <row r="86">
          <cell r="O86" t="str">
            <v>54663927A</v>
          </cell>
          <cell r="P86">
            <v>4</v>
          </cell>
        </row>
        <row r="87">
          <cell r="O87" t="str">
            <v>54664027A</v>
          </cell>
          <cell r="P87">
            <v>25</v>
          </cell>
        </row>
        <row r="88">
          <cell r="O88" t="str">
            <v>54664127A</v>
          </cell>
          <cell r="P88">
            <v>128</v>
          </cell>
        </row>
        <row r="89">
          <cell r="O89" t="str">
            <v>54664227A</v>
          </cell>
          <cell r="P89">
            <v>194</v>
          </cell>
        </row>
        <row r="90">
          <cell r="O90" t="str">
            <v>54664327A</v>
          </cell>
          <cell r="P90">
            <v>113</v>
          </cell>
        </row>
        <row r="91">
          <cell r="O91" t="str">
            <v>54664427A</v>
          </cell>
          <cell r="P91">
            <v>158</v>
          </cell>
        </row>
        <row r="92">
          <cell r="O92" t="str">
            <v>54667027A</v>
          </cell>
          <cell r="P92">
            <v>8</v>
          </cell>
        </row>
        <row r="93">
          <cell r="O93" t="str">
            <v>54667427A</v>
          </cell>
          <cell r="P93">
            <v>0</v>
          </cell>
        </row>
        <row r="94">
          <cell r="O94" t="str">
            <v>54668527A</v>
          </cell>
          <cell r="P94">
            <v>5</v>
          </cell>
        </row>
        <row r="95">
          <cell r="O95" t="str">
            <v>54669127A</v>
          </cell>
          <cell r="P95">
            <v>5</v>
          </cell>
        </row>
        <row r="96">
          <cell r="O96" t="str">
            <v>54680224A</v>
          </cell>
          <cell r="P96">
            <v>0</v>
          </cell>
        </row>
        <row r="97">
          <cell r="O97" t="str">
            <v>54681224A</v>
          </cell>
          <cell r="P97">
            <v>0</v>
          </cell>
        </row>
        <row r="98">
          <cell r="O98" t="str">
            <v>54681324A</v>
          </cell>
          <cell r="P98">
            <v>0</v>
          </cell>
        </row>
        <row r="99">
          <cell r="O99" t="str">
            <v>54681524A</v>
          </cell>
          <cell r="P99">
            <v>0</v>
          </cell>
        </row>
        <row r="100">
          <cell r="O100" t="str">
            <v>54681624A</v>
          </cell>
          <cell r="P100">
            <v>0</v>
          </cell>
        </row>
        <row r="101">
          <cell r="O101" t="str">
            <v>54681724A</v>
          </cell>
          <cell r="P101">
            <v>0</v>
          </cell>
        </row>
        <row r="102">
          <cell r="O102" t="str">
            <v>54681824A</v>
          </cell>
          <cell r="P102">
            <v>0</v>
          </cell>
        </row>
        <row r="103">
          <cell r="O103" t="str">
            <v>54682124A</v>
          </cell>
          <cell r="P103">
            <v>0</v>
          </cell>
        </row>
        <row r="104">
          <cell r="O104" t="str">
            <v>54682224A</v>
          </cell>
          <cell r="P104">
            <v>0</v>
          </cell>
        </row>
        <row r="105">
          <cell r="O105" t="str">
            <v>54682424A</v>
          </cell>
          <cell r="P105">
            <v>0</v>
          </cell>
        </row>
        <row r="106">
          <cell r="O106" t="str">
            <v>54682524A</v>
          </cell>
          <cell r="P106">
            <v>0</v>
          </cell>
        </row>
        <row r="107">
          <cell r="O107" t="str">
            <v>54682624A</v>
          </cell>
          <cell r="P107">
            <v>0</v>
          </cell>
        </row>
        <row r="108">
          <cell r="O108" t="str">
            <v>54682724A</v>
          </cell>
          <cell r="P108">
            <v>0</v>
          </cell>
        </row>
        <row r="109">
          <cell r="O109" t="str">
            <v>54682824A</v>
          </cell>
          <cell r="P109">
            <v>0</v>
          </cell>
        </row>
        <row r="110">
          <cell r="O110" t="str">
            <v>54683024A</v>
          </cell>
          <cell r="P110">
            <v>0</v>
          </cell>
        </row>
        <row r="111">
          <cell r="O111" t="str">
            <v>54683124A</v>
          </cell>
          <cell r="P111">
            <v>0</v>
          </cell>
        </row>
        <row r="112">
          <cell r="O112" t="str">
            <v>54683224A</v>
          </cell>
          <cell r="P112">
            <v>0</v>
          </cell>
        </row>
        <row r="113">
          <cell r="O113" t="str">
            <v>54683324A</v>
          </cell>
          <cell r="P113">
            <v>0</v>
          </cell>
        </row>
        <row r="114">
          <cell r="O114" t="str">
            <v>54683524A</v>
          </cell>
          <cell r="P114">
            <v>0</v>
          </cell>
        </row>
        <row r="115">
          <cell r="O115" t="str">
            <v>54684124A</v>
          </cell>
          <cell r="P115">
            <v>0</v>
          </cell>
        </row>
        <row r="116">
          <cell r="O116" t="str">
            <v>54684224A</v>
          </cell>
          <cell r="P116">
            <v>0</v>
          </cell>
        </row>
        <row r="117">
          <cell r="O117" t="str">
            <v>54686224A</v>
          </cell>
          <cell r="P117">
            <v>800</v>
          </cell>
        </row>
        <row r="118">
          <cell r="O118" t="str">
            <v>54686324A</v>
          </cell>
          <cell r="P118">
            <v>600</v>
          </cell>
        </row>
        <row r="119">
          <cell r="O119" t="str">
            <v>54686724A</v>
          </cell>
          <cell r="P119">
            <v>705</v>
          </cell>
        </row>
        <row r="120">
          <cell r="O120" t="str">
            <v>54686824A</v>
          </cell>
          <cell r="P120">
            <v>410</v>
          </cell>
        </row>
        <row r="121">
          <cell r="O121" t="str">
            <v>54731427A</v>
          </cell>
          <cell r="P121">
            <v>114</v>
          </cell>
        </row>
        <row r="122">
          <cell r="O122" t="str">
            <v>54731927A</v>
          </cell>
          <cell r="P122">
            <v>350</v>
          </cell>
        </row>
        <row r="123">
          <cell r="O123" t="str">
            <v>54732027A</v>
          </cell>
          <cell r="P123">
            <v>33</v>
          </cell>
        </row>
        <row r="124">
          <cell r="O124" t="str">
            <v>54732427A</v>
          </cell>
          <cell r="P124">
            <v>21</v>
          </cell>
        </row>
        <row r="125">
          <cell r="O125" t="str">
            <v>54733127A</v>
          </cell>
          <cell r="P125">
            <v>191</v>
          </cell>
        </row>
        <row r="126">
          <cell r="O126" t="str">
            <v>54734027A</v>
          </cell>
          <cell r="P126">
            <v>46</v>
          </cell>
        </row>
        <row r="127">
          <cell r="O127" t="str">
            <v>54734127A</v>
          </cell>
          <cell r="P127">
            <v>45</v>
          </cell>
        </row>
        <row r="128">
          <cell r="O128" t="str">
            <v>54734227A</v>
          </cell>
          <cell r="P128">
            <v>81</v>
          </cell>
        </row>
        <row r="129">
          <cell r="O129" t="str">
            <v>54734327A</v>
          </cell>
          <cell r="P129">
            <v>166</v>
          </cell>
        </row>
        <row r="130">
          <cell r="O130" t="str">
            <v>54734527A</v>
          </cell>
          <cell r="P130">
            <v>11</v>
          </cell>
        </row>
        <row r="131">
          <cell r="O131" t="str">
            <v>54734627A</v>
          </cell>
          <cell r="P131">
            <v>78</v>
          </cell>
        </row>
        <row r="132">
          <cell r="O132" t="str">
            <v>54735327A</v>
          </cell>
          <cell r="P132">
            <v>262</v>
          </cell>
        </row>
        <row r="133">
          <cell r="O133" t="str">
            <v>54735427A</v>
          </cell>
          <cell r="P133">
            <v>23</v>
          </cell>
        </row>
        <row r="134">
          <cell r="O134" t="str">
            <v>54735527A</v>
          </cell>
          <cell r="P134">
            <v>48</v>
          </cell>
        </row>
        <row r="135">
          <cell r="O135" t="str">
            <v>54738227A</v>
          </cell>
          <cell r="P135">
            <v>59</v>
          </cell>
        </row>
        <row r="136">
          <cell r="O136" t="str">
            <v>54738427A</v>
          </cell>
          <cell r="P136">
            <v>42</v>
          </cell>
        </row>
        <row r="137">
          <cell r="O137" t="str">
            <v>54738927A</v>
          </cell>
          <cell r="P137">
            <v>10</v>
          </cell>
        </row>
        <row r="138">
          <cell r="O138" t="str">
            <v>54739027A</v>
          </cell>
          <cell r="P138">
            <v>20</v>
          </cell>
        </row>
        <row r="139">
          <cell r="O139" t="str">
            <v>54780427A</v>
          </cell>
          <cell r="P139">
            <v>35</v>
          </cell>
        </row>
        <row r="140">
          <cell r="O140" t="str">
            <v>54781327A</v>
          </cell>
          <cell r="P140">
            <v>48</v>
          </cell>
        </row>
        <row r="141">
          <cell r="O141" t="str">
            <v>54781427A</v>
          </cell>
          <cell r="P141">
            <v>25</v>
          </cell>
        </row>
        <row r="142">
          <cell r="O142" t="str">
            <v>54781527A</v>
          </cell>
          <cell r="P142">
            <v>60</v>
          </cell>
        </row>
        <row r="143">
          <cell r="O143" t="str">
            <v>54781627A</v>
          </cell>
          <cell r="P143">
            <v>38</v>
          </cell>
        </row>
        <row r="144">
          <cell r="O144" t="str">
            <v>54781827A</v>
          </cell>
          <cell r="P144">
            <v>0</v>
          </cell>
        </row>
        <row r="145">
          <cell r="O145" t="str">
            <v>54781927A</v>
          </cell>
          <cell r="P145">
            <v>2</v>
          </cell>
        </row>
        <row r="146">
          <cell r="O146" t="str">
            <v>54782027A</v>
          </cell>
          <cell r="P146">
            <v>23</v>
          </cell>
        </row>
        <row r="147">
          <cell r="O147" t="str">
            <v>54782927A</v>
          </cell>
          <cell r="P147">
            <v>29</v>
          </cell>
        </row>
        <row r="148">
          <cell r="O148" t="str">
            <v>54783027A</v>
          </cell>
          <cell r="P148">
            <v>74</v>
          </cell>
        </row>
        <row r="149">
          <cell r="O149" t="str">
            <v>54783527A</v>
          </cell>
          <cell r="P149">
            <v>19</v>
          </cell>
        </row>
        <row r="150">
          <cell r="O150" t="str">
            <v>54783627A</v>
          </cell>
          <cell r="P150">
            <v>20</v>
          </cell>
        </row>
        <row r="151">
          <cell r="O151" t="str">
            <v>54783727A</v>
          </cell>
          <cell r="P151">
            <v>8</v>
          </cell>
        </row>
        <row r="152">
          <cell r="O152" t="str">
            <v>54783827A</v>
          </cell>
          <cell r="P152">
            <v>23</v>
          </cell>
        </row>
        <row r="153">
          <cell r="O153" t="str">
            <v>54784127A</v>
          </cell>
          <cell r="P153">
            <v>2</v>
          </cell>
        </row>
        <row r="154">
          <cell r="O154" t="str">
            <v>54784227A</v>
          </cell>
          <cell r="P154">
            <v>3</v>
          </cell>
        </row>
        <row r="155">
          <cell r="O155" t="str">
            <v>54784327A</v>
          </cell>
          <cell r="P155">
            <v>6</v>
          </cell>
        </row>
        <row r="156">
          <cell r="O156" t="str">
            <v>54784427A</v>
          </cell>
          <cell r="P156">
            <v>9</v>
          </cell>
        </row>
        <row r="157">
          <cell r="O157" t="str">
            <v>54784727A</v>
          </cell>
          <cell r="P157">
            <v>6</v>
          </cell>
        </row>
        <row r="158">
          <cell r="O158" t="str">
            <v>54784827A</v>
          </cell>
          <cell r="P158">
            <v>12</v>
          </cell>
        </row>
        <row r="159">
          <cell r="O159" t="str">
            <v>54784927A</v>
          </cell>
          <cell r="P159">
            <v>3</v>
          </cell>
        </row>
        <row r="160">
          <cell r="O160" t="str">
            <v>54785027A</v>
          </cell>
          <cell r="P160">
            <v>52</v>
          </cell>
        </row>
        <row r="161">
          <cell r="O161" t="str">
            <v>54788927A</v>
          </cell>
          <cell r="P161">
            <v>2</v>
          </cell>
        </row>
        <row r="162">
          <cell r="O162" t="str">
            <v>54789027A</v>
          </cell>
          <cell r="P162">
            <v>16</v>
          </cell>
        </row>
        <row r="163">
          <cell r="O163" t="str">
            <v>54789327A</v>
          </cell>
          <cell r="P163">
            <v>30</v>
          </cell>
        </row>
        <row r="164">
          <cell r="O164" t="str">
            <v>54789427A</v>
          </cell>
          <cell r="P164">
            <v>98</v>
          </cell>
        </row>
        <row r="165">
          <cell r="O165" t="str">
            <v>54790427A</v>
          </cell>
          <cell r="P165">
            <v>92</v>
          </cell>
        </row>
        <row r="166">
          <cell r="O166" t="str">
            <v>54791327A</v>
          </cell>
          <cell r="P166">
            <v>51</v>
          </cell>
        </row>
        <row r="167">
          <cell r="O167" t="str">
            <v>54791427A</v>
          </cell>
          <cell r="P167">
            <v>35</v>
          </cell>
        </row>
        <row r="168">
          <cell r="O168" t="str">
            <v>54791527A</v>
          </cell>
          <cell r="P168">
            <v>40</v>
          </cell>
        </row>
        <row r="169">
          <cell r="O169" t="str">
            <v>54791627A</v>
          </cell>
          <cell r="P169">
            <v>28</v>
          </cell>
        </row>
        <row r="170">
          <cell r="O170" t="str">
            <v>54791727A</v>
          </cell>
          <cell r="P170">
            <v>3</v>
          </cell>
        </row>
        <row r="171">
          <cell r="O171" t="str">
            <v>54791827A</v>
          </cell>
          <cell r="P171">
            <v>29</v>
          </cell>
        </row>
        <row r="172">
          <cell r="O172" t="str">
            <v>54791927A</v>
          </cell>
          <cell r="P172">
            <v>6</v>
          </cell>
        </row>
        <row r="173">
          <cell r="O173" t="str">
            <v>54792027A</v>
          </cell>
          <cell r="P173">
            <v>20</v>
          </cell>
        </row>
        <row r="174">
          <cell r="O174" t="str">
            <v>54792227A</v>
          </cell>
          <cell r="P174">
            <v>0</v>
          </cell>
        </row>
        <row r="175">
          <cell r="O175" t="str">
            <v>54792427A</v>
          </cell>
          <cell r="P175">
            <v>0</v>
          </cell>
        </row>
        <row r="176">
          <cell r="O176" t="str">
            <v>54792727A</v>
          </cell>
          <cell r="P176">
            <v>0</v>
          </cell>
        </row>
        <row r="177">
          <cell r="O177" t="str">
            <v>54792827A</v>
          </cell>
          <cell r="P177">
            <v>30</v>
          </cell>
        </row>
        <row r="178">
          <cell r="O178" t="str">
            <v>54793527A</v>
          </cell>
          <cell r="P178">
            <v>12</v>
          </cell>
        </row>
        <row r="179">
          <cell r="O179" t="str">
            <v>54793627A</v>
          </cell>
          <cell r="P179">
            <v>24</v>
          </cell>
        </row>
        <row r="180">
          <cell r="O180" t="str">
            <v>54793727A</v>
          </cell>
          <cell r="P180">
            <v>3</v>
          </cell>
        </row>
        <row r="181">
          <cell r="O181" t="str">
            <v>54793827A</v>
          </cell>
          <cell r="P181">
            <v>6</v>
          </cell>
        </row>
        <row r="182">
          <cell r="O182" t="str">
            <v>54794127A</v>
          </cell>
          <cell r="P182">
            <v>72</v>
          </cell>
        </row>
        <row r="183">
          <cell r="O183" t="str">
            <v>54794227A</v>
          </cell>
          <cell r="P183">
            <v>118</v>
          </cell>
        </row>
        <row r="184">
          <cell r="O184" t="str">
            <v>54794327A</v>
          </cell>
          <cell r="P184">
            <v>40</v>
          </cell>
        </row>
        <row r="185">
          <cell r="O185" t="str">
            <v>54794427A</v>
          </cell>
          <cell r="P185">
            <v>100</v>
          </cell>
        </row>
        <row r="186">
          <cell r="O186" t="str">
            <v>54794927A</v>
          </cell>
          <cell r="P186">
            <v>20</v>
          </cell>
        </row>
        <row r="187">
          <cell r="O187" t="str">
            <v>54795027A</v>
          </cell>
          <cell r="P187">
            <v>113</v>
          </cell>
        </row>
        <row r="188">
          <cell r="O188" t="str">
            <v>54854224A</v>
          </cell>
          <cell r="P188">
            <v>0</v>
          </cell>
        </row>
        <row r="189">
          <cell r="O189" t="str">
            <v>54854324A</v>
          </cell>
          <cell r="P189">
            <v>0</v>
          </cell>
        </row>
        <row r="190">
          <cell r="O190" t="str">
            <v>54854624A</v>
          </cell>
          <cell r="P190">
            <v>0</v>
          </cell>
        </row>
        <row r="191">
          <cell r="O191" t="str">
            <v>54854724A</v>
          </cell>
          <cell r="P191">
            <v>0</v>
          </cell>
        </row>
        <row r="192">
          <cell r="O192" t="str">
            <v>54855024A</v>
          </cell>
          <cell r="P192">
            <v>0</v>
          </cell>
        </row>
        <row r="193">
          <cell r="O193" t="str">
            <v>54855124A</v>
          </cell>
          <cell r="P193">
            <v>0</v>
          </cell>
        </row>
        <row r="194">
          <cell r="O194" t="str">
            <v>54855224A</v>
          </cell>
          <cell r="P194">
            <v>0</v>
          </cell>
        </row>
        <row r="195">
          <cell r="O195" t="str">
            <v>54855324A</v>
          </cell>
          <cell r="P195">
            <v>0</v>
          </cell>
        </row>
        <row r="196">
          <cell r="O196" t="str">
            <v>54855424A</v>
          </cell>
          <cell r="P196">
            <v>0</v>
          </cell>
        </row>
        <row r="197">
          <cell r="O197" t="str">
            <v>54855624A</v>
          </cell>
          <cell r="P197">
            <v>0</v>
          </cell>
        </row>
        <row r="198">
          <cell r="O198" t="str">
            <v>54855724A</v>
          </cell>
          <cell r="P198">
            <v>0</v>
          </cell>
        </row>
        <row r="199">
          <cell r="O199" t="str">
            <v>54855824A</v>
          </cell>
          <cell r="P199">
            <v>0</v>
          </cell>
        </row>
        <row r="200">
          <cell r="O200" t="str">
            <v>54855924A</v>
          </cell>
          <cell r="P200">
            <v>0</v>
          </cell>
        </row>
        <row r="201">
          <cell r="O201" t="str">
            <v>54856024A</v>
          </cell>
          <cell r="P201">
            <v>0</v>
          </cell>
        </row>
        <row r="202">
          <cell r="O202" t="str">
            <v>54856224A</v>
          </cell>
          <cell r="P202">
            <v>0</v>
          </cell>
        </row>
        <row r="203">
          <cell r="O203" t="str">
            <v>54856424A</v>
          </cell>
          <cell r="P203">
            <v>0</v>
          </cell>
        </row>
        <row r="204">
          <cell r="O204" t="str">
            <v>54856524A</v>
          </cell>
          <cell r="P204">
            <v>0</v>
          </cell>
        </row>
        <row r="205">
          <cell r="O205" t="str">
            <v>54856624A</v>
          </cell>
          <cell r="P205">
            <v>0</v>
          </cell>
        </row>
        <row r="206">
          <cell r="O206" t="str">
            <v>54857924A</v>
          </cell>
          <cell r="P206">
            <v>300</v>
          </cell>
        </row>
        <row r="207">
          <cell r="O207" t="str">
            <v>54858024A</v>
          </cell>
          <cell r="P207">
            <v>0</v>
          </cell>
        </row>
        <row r="208">
          <cell r="O208" t="str">
            <v>54858124A</v>
          </cell>
          <cell r="P208">
            <v>0</v>
          </cell>
        </row>
        <row r="209">
          <cell r="O209" t="str">
            <v>54858224A</v>
          </cell>
          <cell r="P209">
            <v>0</v>
          </cell>
        </row>
        <row r="210">
          <cell r="O210" t="str">
            <v>54858424A</v>
          </cell>
          <cell r="P210">
            <v>0</v>
          </cell>
        </row>
        <row r="211">
          <cell r="O211" t="str">
            <v>54970924A</v>
          </cell>
          <cell r="P211">
            <v>158</v>
          </cell>
        </row>
        <row r="212">
          <cell r="O212" t="str">
            <v>54971024A</v>
          </cell>
          <cell r="P212">
            <v>210</v>
          </cell>
        </row>
        <row r="213">
          <cell r="O213" t="str">
            <v>54971124A</v>
          </cell>
          <cell r="P213">
            <v>259</v>
          </cell>
        </row>
        <row r="214">
          <cell r="O214" t="str">
            <v>54971424A</v>
          </cell>
          <cell r="P214">
            <v>260</v>
          </cell>
        </row>
        <row r="215">
          <cell r="O215" t="str">
            <v>54971524A</v>
          </cell>
          <cell r="P215">
            <v>341</v>
          </cell>
        </row>
        <row r="216">
          <cell r="O216" t="str">
            <v>54971724A</v>
          </cell>
          <cell r="P216">
            <v>2523</v>
          </cell>
        </row>
        <row r="217">
          <cell r="O217" t="str">
            <v>54971824A</v>
          </cell>
          <cell r="P217">
            <v>1089</v>
          </cell>
        </row>
        <row r="218">
          <cell r="O218" t="str">
            <v>54972124A</v>
          </cell>
          <cell r="P218">
            <v>530</v>
          </cell>
        </row>
        <row r="219">
          <cell r="O219" t="str">
            <v>54972224A</v>
          </cell>
          <cell r="P219">
            <v>272</v>
          </cell>
        </row>
        <row r="220">
          <cell r="O220" t="str">
            <v>54972624A</v>
          </cell>
          <cell r="P220">
            <v>3777</v>
          </cell>
        </row>
        <row r="221">
          <cell r="O221" t="str">
            <v>54972724A</v>
          </cell>
          <cell r="P221">
            <v>633</v>
          </cell>
        </row>
        <row r="222">
          <cell r="O222" t="str">
            <v>54972824A</v>
          </cell>
          <cell r="P222">
            <v>3190</v>
          </cell>
        </row>
        <row r="223">
          <cell r="O223" t="str">
            <v>54973224A</v>
          </cell>
          <cell r="P223">
            <v>919</v>
          </cell>
        </row>
        <row r="224">
          <cell r="O224" t="str">
            <v>54973324A</v>
          </cell>
          <cell r="P224">
            <v>198</v>
          </cell>
        </row>
        <row r="225">
          <cell r="O225" t="str">
            <v>54973424A</v>
          </cell>
          <cell r="P225">
            <v>703</v>
          </cell>
        </row>
        <row r="226">
          <cell r="O226" t="str">
            <v>54973824A</v>
          </cell>
          <cell r="P226">
            <v>1107</v>
          </cell>
        </row>
        <row r="227">
          <cell r="O227" t="str">
            <v>54973924A</v>
          </cell>
          <cell r="P227">
            <v>586</v>
          </cell>
        </row>
        <row r="228">
          <cell r="O228" t="str">
            <v>54974024A</v>
          </cell>
          <cell r="P228">
            <v>932</v>
          </cell>
        </row>
        <row r="229">
          <cell r="O229" t="str">
            <v>54974424A</v>
          </cell>
          <cell r="P229">
            <v>533</v>
          </cell>
        </row>
        <row r="230">
          <cell r="O230" t="str">
            <v>54974624A</v>
          </cell>
          <cell r="P230">
            <v>539</v>
          </cell>
        </row>
        <row r="231">
          <cell r="O231" t="str">
            <v>54974824A</v>
          </cell>
          <cell r="P231">
            <v>327</v>
          </cell>
        </row>
        <row r="232">
          <cell r="O232" t="str">
            <v>54975024A</v>
          </cell>
          <cell r="P232">
            <v>473</v>
          </cell>
        </row>
        <row r="233">
          <cell r="O233" t="str">
            <v>54975824A</v>
          </cell>
          <cell r="P233">
            <v>241</v>
          </cell>
        </row>
        <row r="234">
          <cell r="O234" t="str">
            <v>54976224A</v>
          </cell>
          <cell r="P234">
            <v>38</v>
          </cell>
        </row>
        <row r="235">
          <cell r="O235" t="str">
            <v>54976524A</v>
          </cell>
          <cell r="P235">
            <v>33</v>
          </cell>
        </row>
        <row r="236">
          <cell r="O236" t="str">
            <v>54976724A</v>
          </cell>
          <cell r="P236">
            <v>139</v>
          </cell>
        </row>
        <row r="237">
          <cell r="O237" t="str">
            <v>56041327A</v>
          </cell>
          <cell r="P237">
            <v>0</v>
          </cell>
        </row>
        <row r="238">
          <cell r="O238" t="str">
            <v>56041427A</v>
          </cell>
          <cell r="P238">
            <v>0</v>
          </cell>
        </row>
        <row r="239">
          <cell r="O239" t="str">
            <v>56041527A</v>
          </cell>
          <cell r="P239">
            <v>0</v>
          </cell>
        </row>
        <row r="240">
          <cell r="O240" t="str">
            <v>56041627A</v>
          </cell>
          <cell r="P240">
            <v>0</v>
          </cell>
        </row>
        <row r="241">
          <cell r="O241" t="str">
            <v>56041727A</v>
          </cell>
          <cell r="P241">
            <v>0</v>
          </cell>
        </row>
        <row r="242">
          <cell r="O242" t="str">
            <v>56041827A</v>
          </cell>
          <cell r="P242">
            <v>0</v>
          </cell>
        </row>
        <row r="243">
          <cell r="O243" t="str">
            <v>56041927A</v>
          </cell>
          <cell r="P243">
            <v>9</v>
          </cell>
        </row>
        <row r="244">
          <cell r="O244" t="str">
            <v>56042027A</v>
          </cell>
          <cell r="P244">
            <v>41</v>
          </cell>
        </row>
        <row r="245">
          <cell r="O245" t="str">
            <v>56043527A</v>
          </cell>
          <cell r="P245">
            <v>0</v>
          </cell>
        </row>
        <row r="246">
          <cell r="O246" t="str">
            <v>56043627A</v>
          </cell>
          <cell r="P246">
            <v>0</v>
          </cell>
        </row>
        <row r="247">
          <cell r="O247" t="str">
            <v>56043727A</v>
          </cell>
          <cell r="P247">
            <v>0</v>
          </cell>
        </row>
        <row r="248">
          <cell r="O248" t="str">
            <v>56043827A</v>
          </cell>
          <cell r="P248">
            <v>0</v>
          </cell>
        </row>
        <row r="249">
          <cell r="O249" t="str">
            <v>56044127A</v>
          </cell>
          <cell r="P249">
            <v>0</v>
          </cell>
        </row>
        <row r="250">
          <cell r="O250" t="str">
            <v>56044227A</v>
          </cell>
          <cell r="P250">
            <v>0</v>
          </cell>
        </row>
        <row r="251">
          <cell r="O251" t="str">
            <v>56044327A</v>
          </cell>
          <cell r="P251">
            <v>0</v>
          </cell>
        </row>
        <row r="252">
          <cell r="O252" t="str">
            <v>56044427A</v>
          </cell>
          <cell r="P252">
            <v>0</v>
          </cell>
        </row>
        <row r="253">
          <cell r="O253" t="str">
            <v>56048927A</v>
          </cell>
          <cell r="P253">
            <v>8</v>
          </cell>
        </row>
        <row r="254">
          <cell r="O254" t="str">
            <v>56049027A</v>
          </cell>
          <cell r="P254">
            <v>55</v>
          </cell>
        </row>
        <row r="255">
          <cell r="O255" t="str">
            <v>56049127A</v>
          </cell>
          <cell r="P255">
            <v>0</v>
          </cell>
        </row>
        <row r="256">
          <cell r="O256" t="str">
            <v>56049227A</v>
          </cell>
          <cell r="P256">
            <v>0</v>
          </cell>
        </row>
        <row r="257">
          <cell r="O257" t="str">
            <v>56049327A</v>
          </cell>
          <cell r="P257">
            <v>0</v>
          </cell>
        </row>
        <row r="258">
          <cell r="O258" t="str">
            <v>56049427A</v>
          </cell>
          <cell r="P258">
            <v>0</v>
          </cell>
        </row>
        <row r="259">
          <cell r="O259" t="str">
            <v>56051327A</v>
          </cell>
          <cell r="P259">
            <v>0</v>
          </cell>
        </row>
        <row r="260">
          <cell r="O260" t="str">
            <v>56051427A</v>
          </cell>
          <cell r="P260">
            <v>0</v>
          </cell>
        </row>
        <row r="261">
          <cell r="O261" t="str">
            <v>56051527A</v>
          </cell>
          <cell r="P261">
            <v>0</v>
          </cell>
        </row>
        <row r="262">
          <cell r="O262" t="str">
            <v>56051627A</v>
          </cell>
          <cell r="P262">
            <v>0</v>
          </cell>
        </row>
        <row r="263">
          <cell r="O263" t="str">
            <v>56051727A</v>
          </cell>
          <cell r="P263">
            <v>24</v>
          </cell>
        </row>
        <row r="264">
          <cell r="O264" t="str">
            <v>56051827A</v>
          </cell>
          <cell r="P264">
            <v>91</v>
          </cell>
        </row>
        <row r="265">
          <cell r="O265" t="str">
            <v>56051927A</v>
          </cell>
          <cell r="P265">
            <v>18</v>
          </cell>
        </row>
        <row r="266">
          <cell r="O266" t="str">
            <v>56052027A</v>
          </cell>
          <cell r="P266">
            <v>66</v>
          </cell>
        </row>
        <row r="267">
          <cell r="O267" t="str">
            <v>56052127A</v>
          </cell>
          <cell r="P267">
            <v>1</v>
          </cell>
        </row>
        <row r="268">
          <cell r="O268" t="str">
            <v>56052227A</v>
          </cell>
          <cell r="P268">
            <v>19</v>
          </cell>
        </row>
        <row r="269">
          <cell r="O269" t="str">
            <v>56052327A</v>
          </cell>
          <cell r="P269">
            <v>3</v>
          </cell>
        </row>
        <row r="270">
          <cell r="O270" t="str">
            <v>56052427A</v>
          </cell>
          <cell r="P270">
            <v>15</v>
          </cell>
        </row>
        <row r="271">
          <cell r="O271" t="str">
            <v>56053527A</v>
          </cell>
          <cell r="P271">
            <v>0</v>
          </cell>
        </row>
        <row r="272">
          <cell r="O272" t="str">
            <v>56053627A</v>
          </cell>
          <cell r="P272">
            <v>0</v>
          </cell>
        </row>
        <row r="273">
          <cell r="O273" t="str">
            <v>56053727A</v>
          </cell>
          <cell r="P273">
            <v>0</v>
          </cell>
        </row>
        <row r="274">
          <cell r="O274" t="str">
            <v>56053827A</v>
          </cell>
          <cell r="P274">
            <v>0</v>
          </cell>
        </row>
        <row r="275">
          <cell r="O275" t="str">
            <v>56059127A</v>
          </cell>
          <cell r="P275">
            <v>0</v>
          </cell>
        </row>
        <row r="276">
          <cell r="O276" t="str">
            <v>56059227A</v>
          </cell>
          <cell r="P276">
            <v>0</v>
          </cell>
        </row>
        <row r="277">
          <cell r="O277" t="str">
            <v>56059327A</v>
          </cell>
          <cell r="P277">
            <v>0</v>
          </cell>
        </row>
        <row r="278">
          <cell r="O278" t="str">
            <v>56059427A</v>
          </cell>
          <cell r="P278">
            <v>0</v>
          </cell>
        </row>
        <row r="279">
          <cell r="O279" t="str">
            <v>(blank)</v>
          </cell>
        </row>
        <row r="280">
          <cell r="O280" t="str">
            <v>Grand Total</v>
          </cell>
          <cell r="P280">
            <v>28335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Part No</v>
          </cell>
          <cell r="C1" t="str">
            <v xml:space="preserve">  Material  Discription</v>
          </cell>
          <cell r="D1" t="str">
            <v>Supplier Name</v>
          </cell>
          <cell r="E1" t="str">
            <v>Opening Stock 31.12.2025</v>
          </cell>
        </row>
        <row r="2">
          <cell r="B2">
            <v>287154209967</v>
          </cell>
          <cell r="C2" t="str">
            <v>WINDOW WINDING MODULE RHD,4-DOOR</v>
          </cell>
          <cell r="D2" t="str">
            <v>TML</v>
          </cell>
          <cell r="E2">
            <v>2405</v>
          </cell>
        </row>
        <row r="3">
          <cell r="B3">
            <v>287154209988</v>
          </cell>
          <cell r="C3" t="str">
            <v>WINDOW WINDING MODULE RHD,2-DOOR</v>
          </cell>
          <cell r="D3" t="str">
            <v>TML</v>
          </cell>
          <cell r="E3">
            <v>1158</v>
          </cell>
        </row>
        <row r="4">
          <cell r="B4">
            <v>541254509908</v>
          </cell>
          <cell r="C4" t="str">
            <v>START STOP BUTTON</v>
          </cell>
          <cell r="D4" t="str">
            <v>TML</v>
          </cell>
          <cell r="E4">
            <v>420</v>
          </cell>
        </row>
        <row r="5">
          <cell r="B5">
            <v>542754209960</v>
          </cell>
          <cell r="C5" t="str">
            <v>SOLAR LOAD SENSOR</v>
          </cell>
          <cell r="D5" t="str">
            <v>TML</v>
          </cell>
          <cell r="E5">
            <v>400</v>
          </cell>
        </row>
        <row r="6">
          <cell r="B6">
            <v>543854509907</v>
          </cell>
          <cell r="C6" t="str">
            <v>PEPS START STOP SWITCH</v>
          </cell>
          <cell r="D6" t="str">
            <v>TML</v>
          </cell>
          <cell r="E6">
            <v>1909</v>
          </cell>
        </row>
        <row r="7">
          <cell r="B7">
            <v>541254509907</v>
          </cell>
          <cell r="C7" t="str">
            <v>WINDOW WINDING MODULE</v>
          </cell>
          <cell r="D7" t="str">
            <v>TML</v>
          </cell>
          <cell r="E7">
            <v>1029</v>
          </cell>
        </row>
        <row r="8">
          <cell r="B8">
            <v>544216211213</v>
          </cell>
          <cell r="C8" t="str">
            <v>PEPS ECU CONTAINER</v>
          </cell>
          <cell r="D8" t="str">
            <v>TML</v>
          </cell>
          <cell r="E8">
            <v>786</v>
          </cell>
        </row>
        <row r="9">
          <cell r="B9">
            <v>544516211207</v>
          </cell>
          <cell r="C9" t="str">
            <v>PEPS ECU CONTAINER</v>
          </cell>
          <cell r="D9" t="str">
            <v>TML</v>
          </cell>
          <cell r="E9">
            <v>14</v>
          </cell>
        </row>
        <row r="10">
          <cell r="B10">
            <v>541254209966</v>
          </cell>
          <cell r="C10" t="str">
            <v>DUST SENSOR,AIRPURIFIER</v>
          </cell>
          <cell r="D10" t="str">
            <v>TML</v>
          </cell>
          <cell r="E10">
            <v>1242</v>
          </cell>
        </row>
        <row r="11">
          <cell r="B11">
            <v>547454809901</v>
          </cell>
          <cell r="C11" t="str">
            <v>USB CHARGER</v>
          </cell>
          <cell r="D11" t="str">
            <v>TML</v>
          </cell>
          <cell r="E11">
            <v>1100</v>
          </cell>
        </row>
        <row r="12">
          <cell r="B12">
            <v>512354509909</v>
          </cell>
          <cell r="C12" t="str">
            <v>PEPS START STOP SWITCH</v>
          </cell>
          <cell r="D12" t="str">
            <v>TML</v>
          </cell>
          <cell r="E12">
            <v>687</v>
          </cell>
        </row>
        <row r="13">
          <cell r="B13">
            <v>546816211201</v>
          </cell>
          <cell r="C13" t="str">
            <v>CONTAINER, PEPS</v>
          </cell>
          <cell r="D13" t="str">
            <v>TML</v>
          </cell>
          <cell r="E13">
            <v>30</v>
          </cell>
        </row>
        <row r="14">
          <cell r="B14">
            <v>512354509930</v>
          </cell>
          <cell r="C14" t="str">
            <v>PEPS START STOP SWITCH</v>
          </cell>
          <cell r="D14" t="str">
            <v>TML</v>
          </cell>
          <cell r="E14">
            <v>150</v>
          </cell>
        </row>
        <row r="15">
          <cell r="B15">
            <v>544254209933</v>
          </cell>
          <cell r="C15" t="str">
            <v>SB CHARGER</v>
          </cell>
          <cell r="D15" t="str">
            <v>TML</v>
          </cell>
          <cell r="E15">
            <v>300</v>
          </cell>
        </row>
        <row r="16">
          <cell r="B16">
            <v>546554809916</v>
          </cell>
          <cell r="C16" t="e">
            <v>#N/A</v>
          </cell>
          <cell r="D16" t="str">
            <v>TML</v>
          </cell>
          <cell r="E16">
            <v>200</v>
          </cell>
        </row>
        <row r="17">
          <cell r="B17">
            <v>549716211203</v>
          </cell>
          <cell r="C17" t="str">
            <v>PEPS ECU</v>
          </cell>
          <cell r="D17" t="str">
            <v>TML</v>
          </cell>
          <cell r="E17">
            <v>1184</v>
          </cell>
        </row>
        <row r="18">
          <cell r="B18">
            <v>287154409930</v>
          </cell>
          <cell r="C18" t="str">
            <v>GLOVE_BOX_LAMP\LOAD AREA LAMP</v>
          </cell>
          <cell r="D18" t="str">
            <v>Uno-Minda</v>
          </cell>
          <cell r="E18">
            <v>384</v>
          </cell>
        </row>
        <row r="19">
          <cell r="B19">
            <v>546854400111</v>
          </cell>
          <cell r="C19" t="str">
            <v>MOOD LAMP ASSY,CUBBY AREA</v>
          </cell>
          <cell r="D19" t="str">
            <v>Uno-Minda</v>
          </cell>
          <cell r="E19">
            <v>211</v>
          </cell>
        </row>
        <row r="20">
          <cell r="B20">
            <v>544516251207</v>
          </cell>
          <cell r="C20" t="e">
            <v>#N/A</v>
          </cell>
          <cell r="D20" t="str">
            <v>Uno-Minda</v>
          </cell>
          <cell r="E20">
            <v>13</v>
          </cell>
        </row>
        <row r="21">
          <cell r="B21">
            <v>544254400204</v>
          </cell>
          <cell r="C21" t="str">
            <v>MOOD LAMP ASSY</v>
          </cell>
          <cell r="D21" t="str">
            <v>Uno-Minda</v>
          </cell>
          <cell r="E21">
            <v>111</v>
          </cell>
        </row>
        <row r="22">
          <cell r="B22">
            <v>544216251205</v>
          </cell>
          <cell r="C22" t="str">
            <v>CONTAINER ASSY,FATC</v>
          </cell>
          <cell r="D22" t="str">
            <v>BHTC</v>
          </cell>
          <cell r="E22">
            <v>0</v>
          </cell>
        </row>
        <row r="23">
          <cell r="B23">
            <v>544216251207</v>
          </cell>
          <cell r="C23" t="str">
            <v>CONTAINER ASSY</v>
          </cell>
          <cell r="D23" t="str">
            <v>BHTC</v>
          </cell>
          <cell r="E23">
            <v>111</v>
          </cell>
        </row>
        <row r="24">
          <cell r="B24">
            <v>544216251210</v>
          </cell>
          <cell r="C24" t="str">
            <v>CONTAINER ASSY</v>
          </cell>
          <cell r="D24" t="str">
            <v>BHTC</v>
          </cell>
          <cell r="E24">
            <v>224</v>
          </cell>
        </row>
        <row r="25">
          <cell r="B25">
            <v>544516251204</v>
          </cell>
          <cell r="C25" t="str">
            <v>CONTAINER ASSY,FATC CCM</v>
          </cell>
          <cell r="D25" t="str">
            <v>BHTC</v>
          </cell>
          <cell r="E25">
            <v>455</v>
          </cell>
        </row>
        <row r="26">
          <cell r="B26">
            <v>546816251204</v>
          </cell>
          <cell r="C26" t="str">
            <v>CONTAINER,FATC CLIMATE CONTROL MODULE</v>
          </cell>
          <cell r="D26" t="str">
            <v>BHTC</v>
          </cell>
          <cell r="E26">
            <v>556</v>
          </cell>
        </row>
        <row r="27">
          <cell r="B27">
            <v>544216251216</v>
          </cell>
          <cell r="C27" t="str">
            <v>CONTAINER ASSY,FATC</v>
          </cell>
          <cell r="D27" t="str">
            <v>BHTC</v>
          </cell>
          <cell r="E27">
            <v>208</v>
          </cell>
        </row>
        <row r="28">
          <cell r="B28">
            <v>544216251215</v>
          </cell>
          <cell r="C28" t="str">
            <v>CONTAINER ASSY,FATC</v>
          </cell>
          <cell r="D28" t="str">
            <v>BHTC</v>
          </cell>
          <cell r="E28">
            <v>269</v>
          </cell>
        </row>
        <row r="29">
          <cell r="B29">
            <v>549716251202</v>
          </cell>
          <cell r="C29" t="str">
            <v>CONTAINER ASSY,FATC</v>
          </cell>
          <cell r="D29" t="str">
            <v>BHTC</v>
          </cell>
          <cell r="E29">
            <v>1457</v>
          </cell>
        </row>
        <row r="30">
          <cell r="B30">
            <v>549716251201</v>
          </cell>
          <cell r="C30" t="str">
            <v>CCM</v>
          </cell>
          <cell r="D30" t="str">
            <v>BHTC</v>
          </cell>
          <cell r="E30">
            <v>285</v>
          </cell>
        </row>
        <row r="31">
          <cell r="B31">
            <v>549716251203</v>
          </cell>
          <cell r="C31" t="str">
            <v>CONTAINER ASSY,FATC</v>
          </cell>
          <cell r="D31" t="str">
            <v>BHTC</v>
          </cell>
          <cell r="E31">
            <v>613</v>
          </cell>
        </row>
        <row r="32">
          <cell r="B32">
            <v>544216252005</v>
          </cell>
          <cell r="C32" t="str">
            <v>HARDWARE CONTROL MODULE</v>
          </cell>
          <cell r="D32" t="str">
            <v>BHTC</v>
          </cell>
          <cell r="E32">
            <v>657</v>
          </cell>
        </row>
        <row r="33">
          <cell r="B33">
            <v>544216251218</v>
          </cell>
          <cell r="C33" t="str">
            <v>CONTAINER ASSY,FATC</v>
          </cell>
          <cell r="D33"/>
          <cell r="E33">
            <v>1</v>
          </cell>
        </row>
        <row r="34">
          <cell r="B34">
            <v>546516261201</v>
          </cell>
          <cell r="C34" t="str">
            <v>KIT-INSTRUMENT CLUSTER</v>
          </cell>
          <cell r="D34" t="str">
            <v xml:space="preserve">VISTEON </v>
          </cell>
          <cell r="E34">
            <v>0</v>
          </cell>
        </row>
        <row r="35">
          <cell r="B35">
            <v>546816261206</v>
          </cell>
          <cell r="C35" t="str">
            <v>CONTINER INSTRUMENT CLUSTER 7"</v>
          </cell>
          <cell r="D35" t="str">
            <v xml:space="preserve">VISTEON </v>
          </cell>
          <cell r="E35">
            <v>2</v>
          </cell>
        </row>
        <row r="36">
          <cell r="B36">
            <v>544216261216</v>
          </cell>
          <cell r="C36" t="str">
            <v>CONTAINER,INSTRUMENT PANEL CLUSTER</v>
          </cell>
          <cell r="D36" t="str">
            <v xml:space="preserve">VISTEON </v>
          </cell>
          <cell r="E36">
            <v>137</v>
          </cell>
        </row>
        <row r="37">
          <cell r="B37">
            <v>544516271203</v>
          </cell>
          <cell r="C37" t="e">
            <v>#N/A</v>
          </cell>
          <cell r="D37" t="str">
            <v xml:space="preserve">VISTEON </v>
          </cell>
          <cell r="E37">
            <v>39</v>
          </cell>
        </row>
        <row r="38">
          <cell r="B38">
            <v>544216272021</v>
          </cell>
          <cell r="C38" t="e">
            <v>#N/A</v>
          </cell>
          <cell r="D38" t="str">
            <v xml:space="preserve">VISTEON </v>
          </cell>
          <cell r="E38">
            <v>3</v>
          </cell>
        </row>
        <row r="39">
          <cell r="B39">
            <v>544216261225</v>
          </cell>
          <cell r="C39" t="str">
            <v>CONTAINER,INSTRUMENT PANEL CLUSTER</v>
          </cell>
          <cell r="D39" t="str">
            <v xml:space="preserve">VISTEON </v>
          </cell>
          <cell r="E39">
            <v>434</v>
          </cell>
        </row>
        <row r="40">
          <cell r="B40">
            <v>544216261235</v>
          </cell>
          <cell r="C40" t="str">
            <v>CONTAINER,INSTRUMENT PANEL CLUSTER</v>
          </cell>
          <cell r="D40" t="str">
            <v xml:space="preserve">VISTEON </v>
          </cell>
          <cell r="E40">
            <v>139</v>
          </cell>
        </row>
        <row r="41">
          <cell r="B41">
            <v>549716261206</v>
          </cell>
          <cell r="C41" t="str">
            <v>CONTAINER,INSTRUMENT PANEL CLUSTER</v>
          </cell>
          <cell r="D41" t="str">
            <v xml:space="preserve">VISTEON </v>
          </cell>
          <cell r="E41">
            <v>167</v>
          </cell>
        </row>
        <row r="42">
          <cell r="B42">
            <v>548516271202</v>
          </cell>
          <cell r="C42" t="str">
            <v>SILVER BOX </v>
          </cell>
          <cell r="D42" t="str">
            <v xml:space="preserve">VISTEON </v>
          </cell>
          <cell r="E42">
            <v>232</v>
          </cell>
        </row>
        <row r="43">
          <cell r="B43">
            <v>548516271201</v>
          </cell>
          <cell r="C43" t="str">
            <v>10.25" Infotainment Thin Bezel (Mid)-Sil</v>
          </cell>
          <cell r="D43" t="str">
            <v xml:space="preserve">VISTEON </v>
          </cell>
          <cell r="E43">
            <v>1960</v>
          </cell>
        </row>
        <row r="44">
          <cell r="B44">
            <v>549716272002</v>
          </cell>
          <cell r="C44" t="str">
            <v>DISPLAY,INFOTAINMENT</v>
          </cell>
          <cell r="D44" t="str">
            <v xml:space="preserve">VISTEON </v>
          </cell>
          <cell r="E44">
            <v>519</v>
          </cell>
        </row>
        <row r="45">
          <cell r="B45">
            <v>549716261202</v>
          </cell>
          <cell r="C45" t="str">
            <v>Cluster</v>
          </cell>
          <cell r="D45" t="str">
            <v xml:space="preserve">VISTEON </v>
          </cell>
          <cell r="E45">
            <v>101</v>
          </cell>
        </row>
        <row r="46">
          <cell r="B46">
            <v>544516261206</v>
          </cell>
          <cell r="C46" t="str">
            <v>CONTAINER,INSTRUMENT PANEL CLUSTER</v>
          </cell>
          <cell r="D46" t="str">
            <v xml:space="preserve">PRICOL </v>
          </cell>
          <cell r="E46">
            <v>927</v>
          </cell>
        </row>
        <row r="47">
          <cell r="B47">
            <v>544216261221</v>
          </cell>
          <cell r="C47" t="str">
            <v>CONTAINER,INSTRUMENT PANEL CLUSTER</v>
          </cell>
          <cell r="D47" t="str">
            <v xml:space="preserve">PRICOL </v>
          </cell>
          <cell r="E47">
            <v>537</v>
          </cell>
        </row>
        <row r="48">
          <cell r="B48">
            <v>546816261205</v>
          </cell>
          <cell r="C48" t="str">
            <v>CONTAINER,INSTRUMENT PANEL CLUSTER</v>
          </cell>
          <cell r="D48" t="str">
            <v xml:space="preserve">PRICOL </v>
          </cell>
          <cell r="E48">
            <v>234</v>
          </cell>
        </row>
        <row r="49">
          <cell r="B49">
            <v>546816261200</v>
          </cell>
          <cell r="C49" t="str">
            <v>CONTAINER,INSTRUMENT PANEL CLUSTER 4"</v>
          </cell>
          <cell r="D49" t="str">
            <v xml:space="preserve">PRICOL </v>
          </cell>
          <cell r="E49">
            <v>700</v>
          </cell>
        </row>
        <row r="50">
          <cell r="B50">
            <v>544216261236</v>
          </cell>
          <cell r="C50" t="str">
            <v>CONTAINER,INSTRUMENT PANEL CLUSTER</v>
          </cell>
          <cell r="D50" t="str">
            <v xml:space="preserve">PRICOL </v>
          </cell>
          <cell r="E50">
            <v>233</v>
          </cell>
        </row>
        <row r="51">
          <cell r="B51">
            <v>544216261224</v>
          </cell>
          <cell r="C51" t="str">
            <v>CONTAINER,INSTRUMENT PANEL CLUSTER</v>
          </cell>
          <cell r="D51" t="str">
            <v xml:space="preserve">PRICOL </v>
          </cell>
          <cell r="E51">
            <v>84</v>
          </cell>
        </row>
        <row r="52">
          <cell r="B52">
            <v>549716261201</v>
          </cell>
          <cell r="C52" t="str">
            <v>CONTAINER,INSTRUMENT PANEL CLUSTER</v>
          </cell>
          <cell r="D52" t="str">
            <v xml:space="preserve">PRICOL </v>
          </cell>
          <cell r="E52">
            <v>196</v>
          </cell>
        </row>
        <row r="53">
          <cell r="B53">
            <v>549716261204</v>
          </cell>
          <cell r="C53" t="str">
            <v>CONTAINER,INSTRUMENT PANEL CLUSTER</v>
          </cell>
          <cell r="D53" t="str">
            <v xml:space="preserve">PRICOL </v>
          </cell>
          <cell r="E53">
            <v>47</v>
          </cell>
        </row>
        <row r="54">
          <cell r="B54">
            <v>544254620103</v>
          </cell>
          <cell r="C54" t="str">
            <v>ANTENNA CABLE ASSY,COCKPIT</v>
          </cell>
          <cell r="D54" t="str">
            <v>ROSENBERGER</v>
          </cell>
          <cell r="E54">
            <v>1588</v>
          </cell>
        </row>
        <row r="55">
          <cell r="B55">
            <v>544554600134</v>
          </cell>
          <cell r="C55" t="str">
            <v>ANTENNA CABLE ASSY,COCKPIT</v>
          </cell>
          <cell r="D55" t="str">
            <v xml:space="preserve">ROSENBERGER </v>
          </cell>
          <cell r="E55">
            <v>535</v>
          </cell>
        </row>
        <row r="56">
          <cell r="B56">
            <v>546154600117</v>
          </cell>
          <cell r="C56" t="str">
            <v>ANTENNA CABLE</v>
          </cell>
          <cell r="D56" t="str">
            <v>ROSENBERGER</v>
          </cell>
          <cell r="E56">
            <v>2200</v>
          </cell>
        </row>
        <row r="57">
          <cell r="B57">
            <v>546854600134</v>
          </cell>
          <cell r="C57" t="str">
            <v>WIRING HARNESS,GPS ANTENNA</v>
          </cell>
          <cell r="D57" t="str">
            <v>ROSENBERGER</v>
          </cell>
          <cell r="E57">
            <v>1219</v>
          </cell>
        </row>
        <row r="58">
          <cell r="B58">
            <v>544254620438</v>
          </cell>
          <cell r="C58" t="str">
            <v>ANTENNA CABLE ASSY,COCKPIT</v>
          </cell>
          <cell r="D58" t="str">
            <v>ROSENBERGER</v>
          </cell>
          <cell r="E58">
            <v>657</v>
          </cell>
        </row>
        <row r="59">
          <cell r="B59">
            <v>549054600159</v>
          </cell>
          <cell r="C59" t="str">
            <v>ANTENNA CABLE ASSY,COCKPIT</v>
          </cell>
          <cell r="D59" t="str">
            <v>ROSENBERGER</v>
          </cell>
          <cell r="E59">
            <v>1400</v>
          </cell>
        </row>
        <row r="60">
          <cell r="B60">
            <v>541297210101</v>
          </cell>
          <cell r="C60" t="str">
            <v>PASSENGER AIRBAG ASSY</v>
          </cell>
          <cell r="D60" t="str">
            <v>AUTOLIV</v>
          </cell>
          <cell r="E60">
            <v>0</v>
          </cell>
        </row>
        <row r="61">
          <cell r="B61">
            <v>544297314001</v>
          </cell>
          <cell r="C61" t="str">
            <v>PASSENGER AIRBAG ASSY</v>
          </cell>
          <cell r="D61" t="str">
            <v>AUTOLIV</v>
          </cell>
          <cell r="E61">
            <v>180</v>
          </cell>
        </row>
        <row r="62">
          <cell r="B62">
            <v>544597314001</v>
          </cell>
          <cell r="C62" t="str">
            <v>PASSENGER AIRBAG ASSY</v>
          </cell>
          <cell r="D62" t="str">
            <v>AUTOLIV</v>
          </cell>
          <cell r="E62">
            <v>1440</v>
          </cell>
        </row>
        <row r="63">
          <cell r="B63">
            <v>546597314001</v>
          </cell>
          <cell r="C63" t="str">
            <v>PASSENGER AIR BAG</v>
          </cell>
          <cell r="D63" t="str">
            <v>AUTOLIV</v>
          </cell>
          <cell r="E63">
            <v>560</v>
          </cell>
        </row>
        <row r="64">
          <cell r="B64">
            <v>546597610101</v>
          </cell>
          <cell r="C64" t="str">
            <v>KNEE AIRBAG ASSY,DRIVER</v>
          </cell>
          <cell r="D64" t="str">
            <v>AUTOLIV</v>
          </cell>
          <cell r="E64">
            <v>360</v>
          </cell>
        </row>
        <row r="65">
          <cell r="B65">
            <v>546897310101</v>
          </cell>
          <cell r="C65" t="str">
            <v>PASSENGER AIRBAG ASSY</v>
          </cell>
          <cell r="D65" t="str">
            <v>AUTOLIV</v>
          </cell>
          <cell r="E65">
            <v>270</v>
          </cell>
        </row>
        <row r="66">
          <cell r="B66">
            <v>544516211201</v>
          </cell>
          <cell r="C66" t="str">
            <v>CONTAINER,BODY CONTROL MODULE</v>
          </cell>
          <cell r="D66" t="str">
            <v>HELLA INDIA</v>
          </cell>
          <cell r="E66">
            <v>117</v>
          </cell>
        </row>
        <row r="67">
          <cell r="B67">
            <v>544516211202</v>
          </cell>
          <cell r="C67" t="str">
            <v>CONTAINER,BODY CONTROL MODULE</v>
          </cell>
          <cell r="D67" t="str">
            <v>HELLA INDIA</v>
          </cell>
          <cell r="E67">
            <v>23</v>
          </cell>
        </row>
        <row r="68">
          <cell r="B68">
            <v>546816211202</v>
          </cell>
          <cell r="C68" t="str">
            <v>BCM CONTAINER W/O PEPS</v>
          </cell>
          <cell r="D68" t="str">
            <v>HELLA INDIA</v>
          </cell>
          <cell r="E68">
            <v>22</v>
          </cell>
        </row>
        <row r="69">
          <cell r="B69">
            <v>546816211200</v>
          </cell>
          <cell r="C69" t="str">
            <v>BCM Container Assy w/o RF</v>
          </cell>
          <cell r="D69" t="str">
            <v>HELLA INDIA</v>
          </cell>
          <cell r="E69">
            <v>298</v>
          </cell>
        </row>
        <row r="70">
          <cell r="B70">
            <v>544216211224</v>
          </cell>
          <cell r="C70" t="str">
            <v>CONTAINER,BODY CONTROL MODULE</v>
          </cell>
          <cell r="D70" t="str">
            <v>HELLA INDIA</v>
          </cell>
          <cell r="E70">
            <v>188</v>
          </cell>
        </row>
        <row r="71">
          <cell r="B71">
            <v>544216211226</v>
          </cell>
          <cell r="C71" t="str">
            <v>CONTAINER,BODY CONTROL MODULE</v>
          </cell>
          <cell r="D71" t="str">
            <v>HELLA INDIA</v>
          </cell>
          <cell r="E71">
            <v>170</v>
          </cell>
        </row>
        <row r="72">
          <cell r="B72">
            <v>549716211202</v>
          </cell>
          <cell r="C72" t="str">
            <v>CONTAINER,BODY CONTROL MODULE</v>
          </cell>
          <cell r="D72" t="str">
            <v>HELLA INDIA</v>
          </cell>
          <cell r="E72">
            <v>760</v>
          </cell>
        </row>
        <row r="73">
          <cell r="B73">
            <v>549716211201</v>
          </cell>
          <cell r="C73" t="str">
            <v>CONTAINER,BODY CONTROL MODULE</v>
          </cell>
          <cell r="D73" t="str">
            <v>HELLA INDIA</v>
          </cell>
          <cell r="E73">
            <v>378</v>
          </cell>
        </row>
        <row r="74">
          <cell r="B74">
            <v>544216272004</v>
          </cell>
          <cell r="C74" t="str">
            <v>HMI DISPLAY</v>
          </cell>
          <cell r="D74" t="str">
            <v>HARMAN</v>
          </cell>
          <cell r="E74">
            <v>320</v>
          </cell>
        </row>
        <row r="75">
          <cell r="B75">
            <v>541216272026</v>
          </cell>
          <cell r="C75" t="str">
            <v>DISPLAY,INFOTAINMENT-10.25</v>
          </cell>
          <cell r="D75" t="str">
            <v>HARMAN</v>
          </cell>
          <cell r="E75">
            <v>0</v>
          </cell>
        </row>
        <row r="76">
          <cell r="B76">
            <v>541216262016</v>
          </cell>
          <cell r="C76" t="str">
            <v>INSTRUMENT CLUSTER ASSY</v>
          </cell>
          <cell r="D76" t="str">
            <v>HARMAN</v>
          </cell>
          <cell r="E76">
            <v>75</v>
          </cell>
        </row>
        <row r="77">
          <cell r="B77">
            <v>546516272002</v>
          </cell>
          <cell r="C77" t="str">
            <v>HMI DISPLAY</v>
          </cell>
          <cell r="D77" t="str">
            <v>HARMAN</v>
          </cell>
          <cell r="E77">
            <v>0</v>
          </cell>
        </row>
        <row r="78">
          <cell r="B78">
            <v>546816272006</v>
          </cell>
          <cell r="C78" t="str">
            <v>FATC CLIMATE CONTROL HEAD HIGH ++ IGNITE</v>
          </cell>
          <cell r="D78" t="str">
            <v>HARMAN</v>
          </cell>
          <cell r="E78">
            <v>130</v>
          </cell>
        </row>
        <row r="79">
          <cell r="B79">
            <v>546516272005</v>
          </cell>
          <cell r="C79" t="str">
            <v>COCKPIT,CONTROLLER IVI-IC,HIGH ++</v>
          </cell>
          <cell r="D79" t="str">
            <v>HARMAN</v>
          </cell>
          <cell r="E79">
            <v>10</v>
          </cell>
        </row>
        <row r="80">
          <cell r="B80">
            <v>546816272000</v>
          </cell>
          <cell r="C80" t="str">
            <v>SILVER BOX</v>
          </cell>
          <cell r="D80" t="str">
            <v>HARMAN</v>
          </cell>
          <cell r="E80">
            <v>360</v>
          </cell>
        </row>
        <row r="81">
          <cell r="B81">
            <v>541216272002</v>
          </cell>
          <cell r="C81" t="str">
            <v>INFOTAINMENT SILVER BOX</v>
          </cell>
          <cell r="D81" t="str">
            <v>HARMAN</v>
          </cell>
          <cell r="E81">
            <v>0</v>
          </cell>
        </row>
        <row r="82">
          <cell r="B82">
            <v>541216272025</v>
          </cell>
          <cell r="C82" t="str">
            <v>COCKPIT,CONTROLLER IVI-IC HIGH</v>
          </cell>
          <cell r="D82" t="str">
            <v>HARMAN</v>
          </cell>
          <cell r="E82">
            <v>116</v>
          </cell>
        </row>
        <row r="83">
          <cell r="B83">
            <v>541216272022</v>
          </cell>
          <cell r="C83" t="str">
            <v>COCKPIT,CONTROLLER IVI-IC HIGH</v>
          </cell>
          <cell r="D83" t="str">
            <v>HARMAN</v>
          </cell>
          <cell r="E83">
            <v>108</v>
          </cell>
        </row>
        <row r="84">
          <cell r="B84">
            <v>541254809948</v>
          </cell>
          <cell r="C84" t="str">
            <v>SPEAKER</v>
          </cell>
          <cell r="D84" t="str">
            <v>HARMAN</v>
          </cell>
          <cell r="E84">
            <v>400</v>
          </cell>
        </row>
        <row r="85">
          <cell r="B85">
            <v>546816272004</v>
          </cell>
          <cell r="C85" t="str">
            <v>HMI SILVER BOX</v>
          </cell>
          <cell r="D85" t="str">
            <v>HARMAN</v>
          </cell>
          <cell r="E85">
            <v>5</v>
          </cell>
        </row>
        <row r="86">
          <cell r="B86">
            <v>546816272002</v>
          </cell>
          <cell r="C86" t="str">
            <v>10.25" IPC +10.25" IHU</v>
          </cell>
          <cell r="D86" t="str">
            <v>HARMAN</v>
          </cell>
          <cell r="E86">
            <v>53</v>
          </cell>
        </row>
        <row r="87">
          <cell r="B87">
            <v>546416272013</v>
          </cell>
          <cell r="C87" t="str">
            <v>7" GEN-2 DISPLAY</v>
          </cell>
          <cell r="D87" t="str">
            <v>HARMAN</v>
          </cell>
          <cell r="E87">
            <v>252</v>
          </cell>
        </row>
        <row r="88">
          <cell r="B88">
            <v>544216272016</v>
          </cell>
          <cell r="C88" t="str">
            <v>INFOTAINMENT HEAD UNIT</v>
          </cell>
          <cell r="D88" t="str">
            <v>HARMAN</v>
          </cell>
          <cell r="E88">
            <v>26</v>
          </cell>
        </row>
        <row r="89">
          <cell r="B89">
            <v>544516272003</v>
          </cell>
          <cell r="C89" t="str">
            <v>HMI SILVER BOX</v>
          </cell>
          <cell r="D89" t="str">
            <v>HARMAN</v>
          </cell>
          <cell r="E89">
            <v>31</v>
          </cell>
        </row>
        <row r="90">
          <cell r="B90">
            <v>544216272008</v>
          </cell>
          <cell r="C90" t="e">
            <v>#N/A</v>
          </cell>
          <cell r="D90" t="str">
            <v>HARMAN</v>
          </cell>
          <cell r="E90">
            <v>156</v>
          </cell>
        </row>
        <row r="91">
          <cell r="B91">
            <v>546416272015</v>
          </cell>
          <cell r="C91" t="e">
            <v>#N/A</v>
          </cell>
          <cell r="D91" t="str">
            <v>HARMAN</v>
          </cell>
          <cell r="E91">
            <v>0</v>
          </cell>
        </row>
        <row r="92">
          <cell r="B92">
            <v>547316271201</v>
          </cell>
          <cell r="C92" t="e">
            <v>#N/A</v>
          </cell>
          <cell r="D92" t="str">
            <v>HARMAN</v>
          </cell>
          <cell r="E92">
            <v>0</v>
          </cell>
        </row>
        <row r="93">
          <cell r="B93">
            <v>547316271202</v>
          </cell>
          <cell r="C93" t="str">
            <v>COCKPIT,CONTROLLER IVI-IC,HIGH +</v>
          </cell>
          <cell r="D93" t="str">
            <v>HARMAN</v>
          </cell>
          <cell r="E93">
            <v>0</v>
          </cell>
        </row>
        <row r="94">
          <cell r="B94">
            <v>547316271205</v>
          </cell>
          <cell r="C94" t="str">
            <v xml:space="preserve">SILVER BOX </v>
          </cell>
          <cell r="D94" t="str">
            <v xml:space="preserve">HARMAN </v>
          </cell>
          <cell r="E94">
            <v>0</v>
          </cell>
        </row>
        <row r="95">
          <cell r="B95">
            <v>547316272008</v>
          </cell>
          <cell r="C95" t="str">
            <v xml:space="preserve">INFOTAINMENT DISPLAY </v>
          </cell>
          <cell r="D95" t="str">
            <v>HARMAN</v>
          </cell>
          <cell r="E95">
            <v>195</v>
          </cell>
        </row>
        <row r="96">
          <cell r="B96">
            <v>547216262001</v>
          </cell>
          <cell r="C96" t="str">
            <v>Instrument Panel Cluster 10.25"</v>
          </cell>
          <cell r="D96" t="str">
            <v>HARMAN</v>
          </cell>
          <cell r="E96">
            <v>410</v>
          </cell>
        </row>
        <row r="97">
          <cell r="B97">
            <v>544216272020</v>
          </cell>
          <cell r="C97" t="str">
            <v>HMI SILVER BOX</v>
          </cell>
          <cell r="D97" t="str">
            <v>HARMAN</v>
          </cell>
          <cell r="E97">
            <v>10</v>
          </cell>
        </row>
        <row r="98">
          <cell r="B98">
            <v>546516272007</v>
          </cell>
          <cell r="C98" t="str">
            <v>Gen3 10.25 Inch Thin IVI display(Harman)</v>
          </cell>
          <cell r="D98" t="str">
            <v>HARMAN</v>
          </cell>
          <cell r="E98">
            <v>50</v>
          </cell>
        </row>
        <row r="99">
          <cell r="B99">
            <v>546516262003</v>
          </cell>
          <cell r="C99" t="str">
            <v>ALTROZ_MCE_INSTRUMENT_CLUSTER</v>
          </cell>
          <cell r="D99" t="str">
            <v>HARMAN</v>
          </cell>
          <cell r="E99">
            <v>540</v>
          </cell>
        </row>
        <row r="100">
          <cell r="B100">
            <v>546516272008</v>
          </cell>
          <cell r="C100" t="str">
            <v>Gen3 12.3inch Thin IVI display (Harman)V</v>
          </cell>
          <cell r="D100" t="str">
            <v>HARMAN</v>
          </cell>
          <cell r="E100">
            <v>360</v>
          </cell>
        </row>
        <row r="101">
          <cell r="B101">
            <v>546516272009</v>
          </cell>
          <cell r="C101" t="str">
            <v>Gen3 10.25inch IVI Thick display (Harman</v>
          </cell>
          <cell r="D101" t="str">
            <v>HARMAN</v>
          </cell>
          <cell r="E101">
            <v>209</v>
          </cell>
        </row>
        <row r="102">
          <cell r="B102">
            <v>547316271203</v>
          </cell>
          <cell r="C102" t="e">
            <v>#N/A</v>
          </cell>
          <cell r="D102" t="str">
            <v>HARMAN</v>
          </cell>
          <cell r="E102">
            <v>20</v>
          </cell>
        </row>
        <row r="103">
          <cell r="B103">
            <v>544516271226</v>
          </cell>
          <cell r="C103" t="str">
            <v>CONTAINER  8'' INFOTAINMENT HEAD UNIT</v>
          </cell>
          <cell r="D103" t="str">
            <v>HARMAN</v>
          </cell>
          <cell r="E103">
            <v>262</v>
          </cell>
        </row>
        <row r="104">
          <cell r="B104">
            <v>547216262002</v>
          </cell>
          <cell r="C104" t="str">
            <v>INSTRUMENT CLUSTER INTERFACE HARDWARE</v>
          </cell>
          <cell r="D104" t="str">
            <v>HARMAN</v>
          </cell>
          <cell r="E104">
            <v>402</v>
          </cell>
        </row>
        <row r="105">
          <cell r="B105">
            <v>544516271227</v>
          </cell>
          <cell r="C105" t="str">
            <v>CONTAINER  8'' INFOTAINMENT HEAD UNIT</v>
          </cell>
          <cell r="D105" t="str">
            <v>HARMAN</v>
          </cell>
          <cell r="E105">
            <v>144</v>
          </cell>
        </row>
        <row r="106">
          <cell r="B106">
            <v>544516272013</v>
          </cell>
          <cell r="C106" t="str">
            <v>8'' IHU Display</v>
          </cell>
          <cell r="D106" t="str">
            <v>HARMAN</v>
          </cell>
          <cell r="E106">
            <v>272</v>
          </cell>
        </row>
        <row r="107">
          <cell r="B107">
            <v>544216272003</v>
          </cell>
          <cell r="C107" t="str">
            <v>HMI DISPLAY</v>
          </cell>
          <cell r="D107" t="str">
            <v>HARMAN</v>
          </cell>
          <cell r="E107">
            <v>28</v>
          </cell>
        </row>
        <row r="108">
          <cell r="B108">
            <v>544254504916</v>
          </cell>
          <cell r="C108" t="str">
            <v>HARZARD WARNING SWITCH</v>
          </cell>
          <cell r="D108" t="str">
            <v xml:space="preserve">MINDARIKA </v>
          </cell>
          <cell r="E108">
            <v>4615</v>
          </cell>
        </row>
        <row r="109">
          <cell r="B109">
            <v>544283300103</v>
          </cell>
          <cell r="C109" t="str">
            <v>CONTROL PANEL</v>
          </cell>
          <cell r="D109" t="str">
            <v xml:space="preserve">MINDARIKA </v>
          </cell>
          <cell r="E109">
            <v>1204</v>
          </cell>
        </row>
        <row r="110">
          <cell r="B110">
            <v>544254504977</v>
          </cell>
          <cell r="C110" t="str">
            <v>FASCIA SWITCH</v>
          </cell>
          <cell r="D110" t="str">
            <v>LS AUTOMOTIVE</v>
          </cell>
          <cell r="E110">
            <v>42</v>
          </cell>
        </row>
        <row r="111">
          <cell r="B111">
            <v>544554509904</v>
          </cell>
          <cell r="C111" t="str">
            <v>FACIA SWITCH BANK</v>
          </cell>
          <cell r="D111" t="str">
            <v>LS AUTOMOTIVE</v>
          </cell>
          <cell r="E111">
            <v>3160</v>
          </cell>
        </row>
        <row r="112">
          <cell r="B112">
            <v>544554509911</v>
          </cell>
          <cell r="C112" t="str">
            <v>FASCIA SWITCH</v>
          </cell>
          <cell r="D112" t="str">
            <v>LS AUTOMOTIVE</v>
          </cell>
          <cell r="E112">
            <v>164</v>
          </cell>
        </row>
        <row r="113">
          <cell r="B113">
            <v>544554509912</v>
          </cell>
          <cell r="C113" t="str">
            <v>FASCIA SWITCH</v>
          </cell>
          <cell r="D113" t="str">
            <v>LS AUTOMOTIVE</v>
          </cell>
          <cell r="E113">
            <v>0</v>
          </cell>
        </row>
        <row r="114">
          <cell r="B114">
            <v>544554509916</v>
          </cell>
          <cell r="C114" t="str">
            <v>FACIA SWITCH BANK</v>
          </cell>
          <cell r="D114" t="str">
            <v>LS AUTOMOTIVE</v>
          </cell>
          <cell r="E114">
            <v>378</v>
          </cell>
        </row>
        <row r="115">
          <cell r="B115">
            <v>544254504990</v>
          </cell>
          <cell r="C115" t="str">
            <v>OUTBOARD FASCIA SWITCH BANK</v>
          </cell>
          <cell r="D115" t="str">
            <v>LS AUTOMOTIVE</v>
          </cell>
          <cell r="E115">
            <v>1945</v>
          </cell>
        </row>
        <row r="116">
          <cell r="B116">
            <v>546854509905</v>
          </cell>
          <cell r="C116" t="str">
            <v>OUTBOARD FASCIA SWITCH BANK</v>
          </cell>
          <cell r="D116" t="str">
            <v>LS AUTOMOTIVE</v>
          </cell>
          <cell r="E116">
            <v>146</v>
          </cell>
        </row>
        <row r="117">
          <cell r="B117">
            <v>544254500129</v>
          </cell>
          <cell r="C117" t="str">
            <v>HAZARD WARNING SWITCH</v>
          </cell>
          <cell r="D117" t="str">
            <v>LS AUTOMOTIVE</v>
          </cell>
          <cell r="E117">
            <v>160</v>
          </cell>
        </row>
        <row r="118">
          <cell r="B118">
            <v>549754509905</v>
          </cell>
          <cell r="C118" t="str">
            <v>FASCIA SWITCH</v>
          </cell>
          <cell r="D118" t="str">
            <v>LS AUTOMOTIVE</v>
          </cell>
          <cell r="E118">
            <v>195</v>
          </cell>
        </row>
        <row r="119">
          <cell r="B119">
            <v>549754509902</v>
          </cell>
          <cell r="C119" t="str">
            <v>FASCIA SWITCH</v>
          </cell>
          <cell r="D119" t="str">
            <v>LS AUTOMOTIVE</v>
          </cell>
          <cell r="E119">
            <v>488</v>
          </cell>
        </row>
        <row r="120">
          <cell r="B120">
            <v>549754509909</v>
          </cell>
          <cell r="C120" t="str">
            <v>BLANK FASCIA SWITCH</v>
          </cell>
          <cell r="D120" t="str">
            <v>LS AUTOMOTIVE</v>
          </cell>
          <cell r="E120">
            <v>148</v>
          </cell>
        </row>
        <row r="121">
          <cell r="B121">
            <v>549754509908</v>
          </cell>
          <cell r="C121" t="str">
            <v>SWITCH</v>
          </cell>
          <cell r="D121" t="str">
            <v>LS AUTOMOTIVE</v>
          </cell>
          <cell r="E121">
            <v>81</v>
          </cell>
        </row>
        <row r="122">
          <cell r="B122">
            <v>549754509910</v>
          </cell>
          <cell r="C122" t="str">
            <v>SWITCH</v>
          </cell>
          <cell r="D122" t="str">
            <v>LS AUTOMOTIVE</v>
          </cell>
          <cell r="E122">
            <v>77</v>
          </cell>
        </row>
        <row r="123">
          <cell r="B123">
            <v>549754509903</v>
          </cell>
          <cell r="C123" t="str">
            <v>FASCIA SWITCH</v>
          </cell>
          <cell r="D123" t="str">
            <v>LS AUTOMOTIVE</v>
          </cell>
          <cell r="E123">
            <v>530</v>
          </cell>
        </row>
        <row r="124">
          <cell r="B124">
            <v>549754509904</v>
          </cell>
          <cell r="C124" t="str">
            <v>FASCIA SWITCH</v>
          </cell>
          <cell r="D124" t="str">
            <v>LS AUTOMOTIVE</v>
          </cell>
          <cell r="E124">
            <v>455</v>
          </cell>
        </row>
        <row r="125">
          <cell r="B125">
            <v>549754509916</v>
          </cell>
          <cell r="C125" t="str">
            <v>FASCIA SWITCH</v>
          </cell>
          <cell r="D125" t="str">
            <v>LS AUTOMOTIVE</v>
          </cell>
          <cell r="E125">
            <v>50</v>
          </cell>
        </row>
        <row r="126">
          <cell r="B126">
            <v>549754509917</v>
          </cell>
          <cell r="C126" t="str">
            <v>FASCIA SWITCH</v>
          </cell>
          <cell r="D126" t="str">
            <v>LS AUTOMOTIVE</v>
          </cell>
          <cell r="E126">
            <v>191</v>
          </cell>
        </row>
        <row r="127">
          <cell r="B127">
            <v>549754509913</v>
          </cell>
          <cell r="C127" t="str">
            <v>SWITCH</v>
          </cell>
          <cell r="D127" t="str">
            <v>LS AUTOMOTIVE</v>
          </cell>
          <cell r="E127">
            <v>19</v>
          </cell>
        </row>
        <row r="128">
          <cell r="B128">
            <v>544254504987</v>
          </cell>
          <cell r="C128" t="str">
            <v>FACIA SWITCH BANK</v>
          </cell>
          <cell r="D128" t="str">
            <v>LS AUTOMOTIVE</v>
          </cell>
          <cell r="E128">
            <v>56</v>
          </cell>
        </row>
        <row r="129">
          <cell r="B129">
            <v>544254504935</v>
          </cell>
          <cell r="C129" t="str">
            <v>SWITCH - FACIA</v>
          </cell>
          <cell r="D129" t="str">
            <v>LS AUTOMOTIVE</v>
          </cell>
          <cell r="E129">
            <v>39</v>
          </cell>
        </row>
        <row r="130">
          <cell r="B130">
            <v>544546100105</v>
          </cell>
          <cell r="C130" t="str">
            <v>BRACKET ASSY,PIVOT MTG STG COLUMN</v>
          </cell>
          <cell r="D130" t="str">
            <v>PANSE</v>
          </cell>
          <cell r="E130">
            <v>800</v>
          </cell>
        </row>
        <row r="131">
          <cell r="B131" t="str">
            <v>546568900102ZZ</v>
          </cell>
          <cell r="C131" t="str">
            <v>PAD ASSY,COCKPIT,MIDDLE-LOWER,LH</v>
          </cell>
          <cell r="D131" t="str">
            <v>AUTOLIN</v>
          </cell>
          <cell r="E131">
            <v>33</v>
          </cell>
        </row>
        <row r="132">
          <cell r="B132" t="str">
            <v>546568900207ZZ</v>
          </cell>
          <cell r="C132" t="str">
            <v>PAD ASSY,COCKPIT,MIDDLE-LOWER,RH</v>
          </cell>
          <cell r="D132" t="str">
            <v>AUTOLIN</v>
          </cell>
          <cell r="E132">
            <v>384</v>
          </cell>
        </row>
        <row r="133">
          <cell r="B133" t="str">
            <v>546568900135ZZ</v>
          </cell>
          <cell r="C133" t="str">
            <v>PAD ASSY,COCKPIT,MIDDLE-LOWER,LH</v>
          </cell>
          <cell r="D133" t="str">
            <v>AUTOLIN</v>
          </cell>
          <cell r="E133">
            <v>108</v>
          </cell>
        </row>
        <row r="134">
          <cell r="B134" t="str">
            <v>546668900101ZZ</v>
          </cell>
          <cell r="C134" t="str">
            <v>PAD ASSY,COCKPIT,MIDDLE-LOWER,LH</v>
          </cell>
          <cell r="D134" t="str">
            <v>AUTOLIN</v>
          </cell>
          <cell r="E134">
            <v>52</v>
          </cell>
        </row>
        <row r="135">
          <cell r="B135" t="str">
            <v>546668900103ZZ</v>
          </cell>
          <cell r="C135" t="str">
            <v>PAD ASSY,COCKPIT,MIDDLE-LOWER,RH</v>
          </cell>
          <cell r="D135" t="str">
            <v>AUTOLIN</v>
          </cell>
          <cell r="E135">
            <v>167</v>
          </cell>
        </row>
        <row r="136">
          <cell r="B136" t="str">
            <v>546668900102ZZ</v>
          </cell>
          <cell r="C136" t="str">
            <v>PAD ASSY,COCKPIT,MIDDLE-LOWER,LH</v>
          </cell>
          <cell r="D136" t="str">
            <v>AUTOLIN</v>
          </cell>
          <cell r="E136">
            <v>109</v>
          </cell>
        </row>
        <row r="137">
          <cell r="B137" t="str">
            <v>546568900132ZZ</v>
          </cell>
          <cell r="C137" t="str">
            <v>PAD ASSY,COCKPIT,MIDDLE-LOWER,RH</v>
          </cell>
          <cell r="D137" t="str">
            <v>AUTOLIN</v>
          </cell>
          <cell r="E137">
            <v>309</v>
          </cell>
        </row>
        <row r="138">
          <cell r="B138" t="str">
            <v>546568900133ZZ</v>
          </cell>
          <cell r="C138" t="str">
            <v>PAD ASSY,COCKPIT,MIDDLE-LOWER,LH</v>
          </cell>
          <cell r="D138" t="str">
            <v>AUTOLIN</v>
          </cell>
          <cell r="E138">
            <v>148</v>
          </cell>
        </row>
        <row r="139">
          <cell r="B139">
            <v>546816251200</v>
          </cell>
          <cell r="C139" t="str">
            <v>CONTAINER, FATC</v>
          </cell>
          <cell r="D139" t="str">
            <v>AUTOLIN</v>
          </cell>
          <cell r="E139">
            <v>129</v>
          </cell>
        </row>
        <row r="140">
          <cell r="B140" t="str">
            <v>547368900133ZZ</v>
          </cell>
          <cell r="C140" t="str">
            <v>PAD ASSY,COCKPIT,MIDDLE-LOWER,LH</v>
          </cell>
          <cell r="D140" t="str">
            <v>AUTOLIN</v>
          </cell>
          <cell r="E140">
            <v>0</v>
          </cell>
        </row>
        <row r="141">
          <cell r="B141" t="str">
            <v>547368900102ZZ</v>
          </cell>
          <cell r="C141" t="str">
            <v>PAD ASSY,COCKPIT,MIDDLE-LOWER,LH</v>
          </cell>
          <cell r="D141" t="str">
            <v>AUTOLIN</v>
          </cell>
          <cell r="E141">
            <v>127</v>
          </cell>
        </row>
        <row r="142">
          <cell r="B142">
            <v>546546100104</v>
          </cell>
          <cell r="C142" t="str">
            <v>BRACKET ASSY,PIVOT MTG</v>
          </cell>
          <cell r="D142" t="str">
            <v>SKH</v>
          </cell>
          <cell r="E142">
            <v>779</v>
          </cell>
        </row>
        <row r="143">
          <cell r="B143">
            <v>544246100119</v>
          </cell>
          <cell r="C143" t="str">
            <v>EPAS STG COLUMN ASSY WITH I-SHAFT</v>
          </cell>
          <cell r="D143" t="str">
            <v xml:space="preserve">MANDO </v>
          </cell>
          <cell r="E143">
            <v>23</v>
          </cell>
        </row>
        <row r="144">
          <cell r="B144">
            <v>544546100101</v>
          </cell>
          <cell r="C144" t="str">
            <v>EPAS STG COLUMN ASSY WITH I-SHAFT</v>
          </cell>
          <cell r="D144" t="str">
            <v xml:space="preserve">MANDO </v>
          </cell>
          <cell r="E144">
            <v>296</v>
          </cell>
        </row>
        <row r="145">
          <cell r="B145">
            <v>546546100101</v>
          </cell>
          <cell r="C145" t="str">
            <v>STEERING COLUMN ASSY,EPAS</v>
          </cell>
          <cell r="D145" t="str">
            <v xml:space="preserve">MANDO </v>
          </cell>
          <cell r="E145">
            <v>216</v>
          </cell>
        </row>
        <row r="146">
          <cell r="B146">
            <v>544546100104</v>
          </cell>
          <cell r="C146" t="str">
            <v>STEERING COLUMN ASSY,C-EPAS</v>
          </cell>
          <cell r="D146" t="str">
            <v xml:space="preserve">MANDO </v>
          </cell>
          <cell r="E146">
            <v>147</v>
          </cell>
        </row>
        <row r="147">
          <cell r="B147">
            <v>547846100101</v>
          </cell>
          <cell r="C147" t="str">
            <v>STEERING COLUMN ASSY,C-EPAS</v>
          </cell>
          <cell r="D147" t="str">
            <v xml:space="preserve">MANDO </v>
          </cell>
          <cell r="E147">
            <v>27</v>
          </cell>
        </row>
        <row r="148">
          <cell r="B148">
            <v>546554600112</v>
          </cell>
          <cell r="C148" t="str">
            <v>WIRING HARNESS,CCB EARTH CABLE</v>
          </cell>
          <cell r="D148" t="str">
            <v>YAZAKI NEW</v>
          </cell>
          <cell r="E148">
            <v>700</v>
          </cell>
        </row>
        <row r="149">
          <cell r="B149">
            <v>546854600235</v>
          </cell>
          <cell r="C149" t="str">
            <v>WIRING HARNESS,PIGTAIL</v>
          </cell>
          <cell r="D149" t="str">
            <v>YAZAKI NEW</v>
          </cell>
          <cell r="E149">
            <v>200</v>
          </cell>
        </row>
        <row r="150">
          <cell r="B150">
            <v>544254400233</v>
          </cell>
          <cell r="C150" t="str">
            <v>MOOD LAMP ASSY</v>
          </cell>
          <cell r="D150" t="str">
            <v>LUMAX</v>
          </cell>
          <cell r="E150">
            <v>706</v>
          </cell>
        </row>
        <row r="151">
          <cell r="B151">
            <v>546568900106</v>
          </cell>
          <cell r="C151" t="str">
            <v>CROSS CAR BEAM ASSY</v>
          </cell>
          <cell r="D151" t="str">
            <v>JBM</v>
          </cell>
          <cell r="E151">
            <v>96</v>
          </cell>
        </row>
        <row r="152">
          <cell r="B152">
            <v>544568900165</v>
          </cell>
          <cell r="C152" t="str">
            <v>CROSS CAR BEAM ASSY</v>
          </cell>
          <cell r="D152" t="str">
            <v>JBM</v>
          </cell>
          <cell r="E152">
            <v>53</v>
          </cell>
        </row>
        <row r="153">
          <cell r="B153">
            <v>544268900202</v>
          </cell>
          <cell r="C153" t="str">
            <v>CROSS CAR BEAM ASSY</v>
          </cell>
          <cell r="D153" t="str">
            <v>JBM</v>
          </cell>
          <cell r="E153">
            <v>35</v>
          </cell>
        </row>
        <row r="154">
          <cell r="B154">
            <v>544268900233</v>
          </cell>
          <cell r="C154" t="str">
            <v>CROSS CAR BEAM ASSY</v>
          </cell>
          <cell r="D154" t="str">
            <v>JBM</v>
          </cell>
          <cell r="E154">
            <v>43</v>
          </cell>
        </row>
        <row r="155">
          <cell r="B155">
            <v>544568900249</v>
          </cell>
          <cell r="C155" t="str">
            <v>CROSS CAR BEAM ASSY</v>
          </cell>
          <cell r="D155" t="str">
            <v>JBM</v>
          </cell>
          <cell r="E155">
            <v>236</v>
          </cell>
        </row>
        <row r="156">
          <cell r="B156">
            <v>544583400212</v>
          </cell>
          <cell r="C156" t="str">
            <v>HVAC ASSY,MANUAL</v>
          </cell>
          <cell r="D156" t="str">
            <v>TTR</v>
          </cell>
          <cell r="E156">
            <v>54</v>
          </cell>
        </row>
        <row r="157">
          <cell r="B157">
            <v>544283400237</v>
          </cell>
          <cell r="C157" t="str">
            <v>HVAC UNIT ASSY,FRONT</v>
          </cell>
          <cell r="D157" t="str">
            <v>TTR</v>
          </cell>
          <cell r="E157">
            <v>45</v>
          </cell>
        </row>
        <row r="158">
          <cell r="B158">
            <v>544283400136</v>
          </cell>
          <cell r="C158" t="str">
            <v>HVAC ASSY,FRONT</v>
          </cell>
          <cell r="D158" t="str">
            <v>TTR</v>
          </cell>
          <cell r="E158">
            <v>46</v>
          </cell>
        </row>
        <row r="159">
          <cell r="B159">
            <v>544283400218</v>
          </cell>
          <cell r="C159" t="str">
            <v>HVAC UNIT ASSY WITH ELEC CONTROL PANEL</v>
          </cell>
          <cell r="D159" t="str">
            <v>TTR</v>
          </cell>
          <cell r="E159">
            <v>28</v>
          </cell>
        </row>
        <row r="160">
          <cell r="B160">
            <v>544283400189</v>
          </cell>
          <cell r="C160" t="str">
            <v>HVAC ASSY,FRONT-OFFER DRG</v>
          </cell>
          <cell r="D160" t="str">
            <v>TTR</v>
          </cell>
          <cell r="E160">
            <v>27</v>
          </cell>
        </row>
        <row r="161">
          <cell r="B161">
            <v>544283407704</v>
          </cell>
          <cell r="C161" t="str">
            <v>FOOT DUCT</v>
          </cell>
          <cell r="D161" t="str">
            <v>TTR</v>
          </cell>
          <cell r="E161">
            <v>644</v>
          </cell>
        </row>
        <row r="162">
          <cell r="B162">
            <v>546883400102</v>
          </cell>
          <cell r="C162" t="str">
            <v>HVAC UNIT ASSY WITH GLOVE BOX,FRONT</v>
          </cell>
          <cell r="D162" t="str">
            <v>TTR</v>
          </cell>
          <cell r="E162">
            <v>70</v>
          </cell>
        </row>
        <row r="163">
          <cell r="B163">
            <v>544583400202</v>
          </cell>
          <cell r="C163" t="str">
            <v xml:space="preserve">HVAC unit </v>
          </cell>
          <cell r="D163" t="str">
            <v>TTR</v>
          </cell>
          <cell r="E163">
            <v>32</v>
          </cell>
        </row>
        <row r="164">
          <cell r="B164">
            <v>544583400203</v>
          </cell>
          <cell r="C164" t="str">
            <v xml:space="preserve">HVAC unit </v>
          </cell>
          <cell r="D164" t="str">
            <v>TTR</v>
          </cell>
          <cell r="E164">
            <v>105</v>
          </cell>
        </row>
        <row r="165">
          <cell r="B165">
            <v>547383406305</v>
          </cell>
          <cell r="C165" t="str">
            <v xml:space="preserve">HVAC unit </v>
          </cell>
          <cell r="D165" t="str">
            <v>TTR</v>
          </cell>
          <cell r="E165">
            <v>25</v>
          </cell>
        </row>
        <row r="166">
          <cell r="B166">
            <v>547383406306</v>
          </cell>
          <cell r="C166" t="str">
            <v xml:space="preserve">HVAC unit </v>
          </cell>
          <cell r="D166" t="str">
            <v>TTR</v>
          </cell>
          <cell r="E166">
            <v>42</v>
          </cell>
        </row>
        <row r="167">
          <cell r="B167">
            <v>541283400223</v>
          </cell>
          <cell r="C167" t="str">
            <v>HVAC ASSY,FRONT</v>
          </cell>
          <cell r="D167" t="str">
            <v>TTR</v>
          </cell>
          <cell r="E167">
            <v>16</v>
          </cell>
        </row>
        <row r="168">
          <cell r="B168">
            <v>546583406302</v>
          </cell>
          <cell r="C168" t="str">
            <v>HVAC UNIT ASSY,FRONT</v>
          </cell>
          <cell r="D168" t="str">
            <v>TTR</v>
          </cell>
          <cell r="E168">
            <v>41</v>
          </cell>
        </row>
        <row r="169">
          <cell r="B169">
            <v>546583406308</v>
          </cell>
          <cell r="C169" t="str">
            <v>HVAC ASSY,FRONT</v>
          </cell>
          <cell r="D169" t="str">
            <v>TTR</v>
          </cell>
          <cell r="E169">
            <v>52</v>
          </cell>
        </row>
        <row r="170">
          <cell r="B170">
            <v>541283400224</v>
          </cell>
          <cell r="C170" t="str">
            <v>HVAC ASSY,FRONT</v>
          </cell>
          <cell r="D170" t="str">
            <v>TTR</v>
          </cell>
          <cell r="E170">
            <v>16</v>
          </cell>
        </row>
        <row r="171">
          <cell r="B171">
            <v>544583400210</v>
          </cell>
          <cell r="C171" t="str">
            <v>HVAC ASSY,MANUAL</v>
          </cell>
          <cell r="D171" t="str">
            <v>TTR</v>
          </cell>
          <cell r="E171">
            <v>62</v>
          </cell>
        </row>
        <row r="172">
          <cell r="B172">
            <v>546583406310</v>
          </cell>
          <cell r="C172" t="str">
            <v>HVAC ASSY</v>
          </cell>
          <cell r="D172" t="str">
            <v>TTR</v>
          </cell>
          <cell r="E172">
            <v>25</v>
          </cell>
        </row>
        <row r="173">
          <cell r="B173">
            <v>544554640104</v>
          </cell>
          <cell r="C173" t="str">
            <v>WH MAIN</v>
          </cell>
          <cell r="D173" t="str">
            <v>APTIV COMPONENTS</v>
          </cell>
          <cell r="E173">
            <v>16</v>
          </cell>
        </row>
        <row r="174">
          <cell r="B174">
            <v>544554630371</v>
          </cell>
          <cell r="C174" t="str">
            <v>WIRING HARNESS,CABIN</v>
          </cell>
          <cell r="D174" t="str">
            <v>APTIV COMPONENTS</v>
          </cell>
          <cell r="E174">
            <v>1</v>
          </cell>
        </row>
        <row r="175">
          <cell r="B175">
            <v>544554640108</v>
          </cell>
          <cell r="C175" t="str">
            <v>WH MAIN</v>
          </cell>
          <cell r="D175" t="str">
            <v>APTIV COMPONENTS</v>
          </cell>
          <cell r="E175">
            <v>5</v>
          </cell>
        </row>
        <row r="176">
          <cell r="B176">
            <v>544554640107</v>
          </cell>
          <cell r="C176" t="str">
            <v>WH MAIN</v>
          </cell>
          <cell r="D176" t="str">
            <v>APTIV COMPONENTS</v>
          </cell>
          <cell r="E176">
            <v>3</v>
          </cell>
        </row>
        <row r="177">
          <cell r="B177">
            <v>544554640105</v>
          </cell>
          <cell r="C177" t="str">
            <v>WH MAIN</v>
          </cell>
          <cell r="D177" t="str">
            <v>APTIV COMPONENTS</v>
          </cell>
          <cell r="E177">
            <v>3</v>
          </cell>
        </row>
        <row r="178">
          <cell r="B178">
            <v>544554630370</v>
          </cell>
          <cell r="C178" t="str">
            <v>WIRING HARNESS,CABIN</v>
          </cell>
          <cell r="D178" t="str">
            <v>APTIV COMPONENTS</v>
          </cell>
          <cell r="E178">
            <v>1</v>
          </cell>
        </row>
        <row r="179">
          <cell r="B179">
            <v>544554640109</v>
          </cell>
          <cell r="C179" t="str">
            <v>WH MAIN</v>
          </cell>
          <cell r="D179" t="str">
            <v>APTIV COMPONENTS</v>
          </cell>
          <cell r="E179">
            <v>0</v>
          </cell>
        </row>
        <row r="180">
          <cell r="B180">
            <v>544554630386</v>
          </cell>
          <cell r="C180" t="str">
            <v>WIRING HARNESS,CABIN</v>
          </cell>
          <cell r="D180" t="str">
            <v>APTIV COMPONENTS</v>
          </cell>
          <cell r="E180">
            <v>0</v>
          </cell>
        </row>
        <row r="181">
          <cell r="B181">
            <v>544554630385</v>
          </cell>
          <cell r="C181" t="str">
            <v>WIRING HARNESS,CABIN</v>
          </cell>
          <cell r="D181" t="str">
            <v>APTIV COMPONENTS</v>
          </cell>
          <cell r="E181">
            <v>0</v>
          </cell>
        </row>
        <row r="182">
          <cell r="B182">
            <v>544554630372</v>
          </cell>
          <cell r="C182" t="str">
            <v>WIRING HARNESS,CABIN</v>
          </cell>
          <cell r="D182" t="str">
            <v>APTIV COMPONENTS</v>
          </cell>
          <cell r="E182">
            <v>0</v>
          </cell>
        </row>
        <row r="183">
          <cell r="B183">
            <v>544554630382</v>
          </cell>
          <cell r="C183" t="str">
            <v>WIRING HARNESS,CABIN</v>
          </cell>
          <cell r="D183" t="str">
            <v>APTIV COMPONENTS</v>
          </cell>
          <cell r="E183">
            <v>4</v>
          </cell>
        </row>
        <row r="184">
          <cell r="B184">
            <v>544554630389</v>
          </cell>
          <cell r="C184" t="str">
            <v>WIRING HARNESS,CABIN</v>
          </cell>
          <cell r="D184" t="str">
            <v>APTIV COMPONENTS</v>
          </cell>
          <cell r="E184">
            <v>2</v>
          </cell>
        </row>
        <row r="185">
          <cell r="B185">
            <v>544554630391</v>
          </cell>
          <cell r="C185" t="str">
            <v>WIRING HARNESS,CABIN</v>
          </cell>
          <cell r="D185" t="str">
            <v>APTIV COMPONENTS</v>
          </cell>
          <cell r="E185">
            <v>0</v>
          </cell>
        </row>
        <row r="186">
          <cell r="B186">
            <v>544554640106</v>
          </cell>
          <cell r="C186" t="str">
            <v>WH MAIN</v>
          </cell>
          <cell r="D186" t="str">
            <v>APTIV COMPONENTS</v>
          </cell>
          <cell r="E186">
            <v>1</v>
          </cell>
        </row>
        <row r="187">
          <cell r="B187">
            <v>544554630387</v>
          </cell>
          <cell r="C187" t="str">
            <v>WIRING HARNESS,CABIN</v>
          </cell>
          <cell r="D187" t="str">
            <v>APTIV COMPONENTS</v>
          </cell>
          <cell r="E187">
            <v>1</v>
          </cell>
        </row>
        <row r="188">
          <cell r="B188">
            <v>544554630383</v>
          </cell>
          <cell r="C188" t="str">
            <v>WIRING HARNESS,CABIN</v>
          </cell>
          <cell r="D188" t="str">
            <v>APTIV COMPONENTS</v>
          </cell>
          <cell r="E188">
            <v>4</v>
          </cell>
        </row>
        <row r="189">
          <cell r="B189">
            <v>544554630390</v>
          </cell>
          <cell r="C189" t="str">
            <v>WIRING HARNESS,CABIN</v>
          </cell>
          <cell r="D189" t="str">
            <v>APTIV COMPONENTS</v>
          </cell>
          <cell r="E189">
            <v>0</v>
          </cell>
        </row>
        <row r="190">
          <cell r="B190">
            <v>544554630392</v>
          </cell>
          <cell r="C190" t="str">
            <v>WIRING HARNESS,CABIN</v>
          </cell>
          <cell r="D190" t="str">
            <v>APTIV COMPONENTS</v>
          </cell>
          <cell r="E190">
            <v>0</v>
          </cell>
        </row>
        <row r="191">
          <cell r="B191">
            <v>544554630397</v>
          </cell>
          <cell r="C191" t="str">
            <v>WIRING HARNESS,CABIN</v>
          </cell>
          <cell r="D191" t="str">
            <v>APTIV COMPONENTS</v>
          </cell>
          <cell r="E191">
            <v>0</v>
          </cell>
        </row>
        <row r="192">
          <cell r="B192">
            <v>544554630384</v>
          </cell>
          <cell r="C192" t="str">
            <v>WIRING HARNESS,CABIN</v>
          </cell>
          <cell r="D192" t="str">
            <v>APTIV COMPONENTS</v>
          </cell>
          <cell r="E192">
            <v>0</v>
          </cell>
        </row>
        <row r="193">
          <cell r="B193">
            <v>544554630394</v>
          </cell>
          <cell r="C193" t="str">
            <v>WIRING HARNESS,CABIN</v>
          </cell>
          <cell r="D193" t="str">
            <v>APTIV COMPONENTS</v>
          </cell>
          <cell r="E193">
            <v>0</v>
          </cell>
        </row>
        <row r="194">
          <cell r="B194">
            <v>544554630395</v>
          </cell>
          <cell r="C194" t="str">
            <v>WIRING HARNESS,CABIN</v>
          </cell>
          <cell r="D194" t="str">
            <v>APTIV COMPONENTS</v>
          </cell>
          <cell r="E194">
            <v>3</v>
          </cell>
        </row>
        <row r="195">
          <cell r="B195">
            <v>544554630396</v>
          </cell>
          <cell r="C195" t="str">
            <v>WIRING HARNESS,CABIN</v>
          </cell>
          <cell r="D195" t="str">
            <v>APTIV COMPONENTS</v>
          </cell>
          <cell r="E195">
            <v>0</v>
          </cell>
        </row>
        <row r="196">
          <cell r="B196">
            <v>544554630388</v>
          </cell>
          <cell r="C196" t="str">
            <v>WIRING HARNESS,CABIN</v>
          </cell>
          <cell r="D196" t="str">
            <v>APTIV COMPONENTS</v>
          </cell>
          <cell r="E196">
            <v>1</v>
          </cell>
        </row>
        <row r="197">
          <cell r="B197">
            <v>544554630393</v>
          </cell>
          <cell r="C197" t="str">
            <v>WIRING HARNESS,CABIN</v>
          </cell>
          <cell r="D197" t="str">
            <v>APTIV COMPONENTS</v>
          </cell>
          <cell r="E197">
            <v>1</v>
          </cell>
        </row>
        <row r="198">
          <cell r="B198">
            <v>544254640202</v>
          </cell>
          <cell r="C198" t="str">
            <v>WH MAIN</v>
          </cell>
          <cell r="D198" t="str">
            <v>APTIV COMPONENTS</v>
          </cell>
          <cell r="E198">
            <v>10</v>
          </cell>
        </row>
        <row r="199">
          <cell r="B199">
            <v>544254630871</v>
          </cell>
          <cell r="C199" t="str">
            <v>X451_MCE_WH MAIN_  ALTROZ SMART CNG MT</v>
          </cell>
          <cell r="D199" t="str">
            <v>APTIV COMPONENTS</v>
          </cell>
          <cell r="E199">
            <v>4</v>
          </cell>
        </row>
        <row r="200">
          <cell r="B200">
            <v>544254640216</v>
          </cell>
          <cell r="C200" t="str">
            <v>WH MAIN</v>
          </cell>
          <cell r="D200" t="str">
            <v>APTIV COMPONENTS</v>
          </cell>
          <cell r="E200">
            <v>3</v>
          </cell>
        </row>
        <row r="201">
          <cell r="B201">
            <v>544254640219</v>
          </cell>
          <cell r="C201" t="str">
            <v>WH MAIN</v>
          </cell>
          <cell r="D201" t="str">
            <v>APTIV COMPONENTS</v>
          </cell>
          <cell r="E201">
            <v>4</v>
          </cell>
        </row>
        <row r="202">
          <cell r="B202">
            <v>544254640203</v>
          </cell>
          <cell r="C202" t="str">
            <v>WH MAIN</v>
          </cell>
          <cell r="D202" t="str">
            <v>APTIV COMPONENTS</v>
          </cell>
          <cell r="E202">
            <v>11</v>
          </cell>
        </row>
        <row r="203">
          <cell r="B203">
            <v>544254640204</v>
          </cell>
          <cell r="C203" t="str">
            <v>WH MAIN</v>
          </cell>
          <cell r="D203" t="str">
            <v>APTIV COMPONENTS</v>
          </cell>
          <cell r="E203">
            <v>4</v>
          </cell>
        </row>
        <row r="204">
          <cell r="B204">
            <v>544254640241</v>
          </cell>
          <cell r="C204" t="str">
            <v>WH MAIN</v>
          </cell>
          <cell r="D204" t="str">
            <v>APTIV COMPONENTS</v>
          </cell>
          <cell r="E204">
            <v>0</v>
          </cell>
        </row>
        <row r="205">
          <cell r="B205">
            <v>544254640215</v>
          </cell>
          <cell r="C205" t="str">
            <v>WH MAIN</v>
          </cell>
          <cell r="D205" t="str">
            <v>APTIV COMPONENTS</v>
          </cell>
          <cell r="E205">
            <v>21</v>
          </cell>
        </row>
        <row r="206">
          <cell r="B206">
            <v>544254640205</v>
          </cell>
          <cell r="C206" t="str">
            <v>WH MAIN</v>
          </cell>
          <cell r="D206" t="str">
            <v>APTIV COMPONENTS</v>
          </cell>
          <cell r="E206">
            <v>5</v>
          </cell>
        </row>
        <row r="207">
          <cell r="B207">
            <v>544254640217</v>
          </cell>
          <cell r="C207" t="str">
            <v>WH MAIN</v>
          </cell>
          <cell r="D207" t="str">
            <v>APTIV COMPONENTS</v>
          </cell>
          <cell r="E207">
            <v>7</v>
          </cell>
        </row>
        <row r="208">
          <cell r="B208">
            <v>544254640218</v>
          </cell>
          <cell r="C208" t="str">
            <v>WH MAIN</v>
          </cell>
          <cell r="D208" t="str">
            <v>APTIV COMPONENTS</v>
          </cell>
          <cell r="E208">
            <v>12</v>
          </cell>
        </row>
        <row r="209">
          <cell r="B209">
            <v>544254640267</v>
          </cell>
          <cell r="C209" t="str">
            <v>WH MAIN</v>
          </cell>
          <cell r="D209" t="str">
            <v>APTIV COMPONENTS</v>
          </cell>
          <cell r="E209">
            <v>3</v>
          </cell>
        </row>
        <row r="210">
          <cell r="B210">
            <v>544254640251</v>
          </cell>
          <cell r="C210" t="str">
            <v>WH MAIN</v>
          </cell>
          <cell r="D210" t="str">
            <v>APTIV COMPONENTS</v>
          </cell>
          <cell r="E210">
            <v>4</v>
          </cell>
        </row>
        <row r="211">
          <cell r="B211">
            <v>544254630512</v>
          </cell>
          <cell r="C211" t="str">
            <v>WH MAIN</v>
          </cell>
          <cell r="D211" t="str">
            <v>APTIV COMPONENTS</v>
          </cell>
          <cell r="E211">
            <v>4</v>
          </cell>
        </row>
        <row r="212">
          <cell r="B212">
            <v>544254640213</v>
          </cell>
          <cell r="C212" t="str">
            <v>WH MAIN</v>
          </cell>
          <cell r="D212" t="str">
            <v>APTIV COMPONENTS</v>
          </cell>
          <cell r="E212">
            <v>6</v>
          </cell>
        </row>
        <row r="213">
          <cell r="B213">
            <v>544254610241</v>
          </cell>
          <cell r="C213" t="str">
            <v>WH MAIN_Accomplished + (NA+CNG)</v>
          </cell>
          <cell r="D213" t="str">
            <v>APTIV COMPONENTS</v>
          </cell>
          <cell r="E213">
            <v>23</v>
          </cell>
        </row>
        <row r="214">
          <cell r="B214">
            <v>544254630510</v>
          </cell>
          <cell r="C214" t="str">
            <v>WH MAIN</v>
          </cell>
          <cell r="D214" t="str">
            <v>APTIV COMPONENTS</v>
          </cell>
          <cell r="E214">
            <v>34</v>
          </cell>
        </row>
        <row r="215">
          <cell r="B215">
            <v>544254640248</v>
          </cell>
          <cell r="C215" t="str">
            <v>WH MAIN</v>
          </cell>
          <cell r="D215" t="str">
            <v>APTIV COMPONENTS</v>
          </cell>
          <cell r="E215">
            <v>48</v>
          </cell>
        </row>
        <row r="216">
          <cell r="B216">
            <v>544254640197</v>
          </cell>
          <cell r="C216" t="str">
            <v>WH MAIN</v>
          </cell>
          <cell r="D216" t="str">
            <v>APTIV COMPONENTS</v>
          </cell>
          <cell r="E216">
            <v>6</v>
          </cell>
        </row>
        <row r="217">
          <cell r="B217">
            <v>549754600173</v>
          </cell>
          <cell r="C217" t="e">
            <v>#N/A</v>
          </cell>
          <cell r="D217" t="str">
            <v>APTIV / YAZAKI</v>
          </cell>
          <cell r="E217">
            <v>24</v>
          </cell>
        </row>
        <row r="218">
          <cell r="B218">
            <v>549754600186</v>
          </cell>
          <cell r="C218" t="str">
            <v>WH MAIN</v>
          </cell>
          <cell r="D218" t="str">
            <v>APTIV / YAZAKI</v>
          </cell>
          <cell r="E218">
            <v>79</v>
          </cell>
        </row>
        <row r="219">
          <cell r="B219">
            <v>549754600113</v>
          </cell>
          <cell r="C219" t="str">
            <v>WH MAIN</v>
          </cell>
          <cell r="D219" t="str">
            <v>APTIV / YAZAKI</v>
          </cell>
          <cell r="E219">
            <v>11</v>
          </cell>
        </row>
        <row r="220">
          <cell r="B220">
            <v>549754600189</v>
          </cell>
          <cell r="C220" t="str">
            <v>WH MAIN</v>
          </cell>
          <cell r="D220" t="str">
            <v>APTIV / YAZAKI</v>
          </cell>
          <cell r="E220">
            <v>43</v>
          </cell>
        </row>
        <row r="221">
          <cell r="B221">
            <v>549754600188</v>
          </cell>
          <cell r="C221" t="str">
            <v>WH MAIN</v>
          </cell>
          <cell r="D221" t="str">
            <v>APTIV / YAZAKI</v>
          </cell>
          <cell r="E221">
            <v>96</v>
          </cell>
        </row>
        <row r="222">
          <cell r="B222">
            <v>549754610188</v>
          </cell>
          <cell r="C222" t="str">
            <v>WH MAIN</v>
          </cell>
          <cell r="D222" t="str">
            <v>APTIV / YAZAKI</v>
          </cell>
          <cell r="E222">
            <v>83</v>
          </cell>
        </row>
        <row r="223">
          <cell r="B223">
            <v>549754600227</v>
          </cell>
          <cell r="C223" t="str">
            <v>WH MAIN</v>
          </cell>
          <cell r="D223" t="str">
            <v>APTIV / YAZAKI</v>
          </cell>
          <cell r="E223">
            <v>19</v>
          </cell>
        </row>
        <row r="224">
          <cell r="B224">
            <v>549754610187</v>
          </cell>
          <cell r="C224" t="str">
            <v>WH MAIN</v>
          </cell>
          <cell r="D224" t="str">
            <v>APTIV / YAZAKI</v>
          </cell>
          <cell r="E224">
            <v>3</v>
          </cell>
        </row>
        <row r="225">
          <cell r="B225">
            <v>549754600124</v>
          </cell>
          <cell r="C225" t="str">
            <v>WH MAIN</v>
          </cell>
          <cell r="D225" t="str">
            <v>APTIV / YAZAKI</v>
          </cell>
          <cell r="E225">
            <v>1</v>
          </cell>
        </row>
        <row r="226">
          <cell r="B226">
            <v>549754610173</v>
          </cell>
          <cell r="C226" t="str">
            <v>WH MAIN</v>
          </cell>
          <cell r="D226" t="str">
            <v>APTIV / YAZAKI</v>
          </cell>
          <cell r="E226">
            <v>44</v>
          </cell>
        </row>
        <row r="227">
          <cell r="B227">
            <v>549754600108</v>
          </cell>
          <cell r="C227" t="e">
            <v>#N/A</v>
          </cell>
          <cell r="D227" t="str">
            <v>APTIV / YAZAKI</v>
          </cell>
          <cell r="E227">
            <v>0</v>
          </cell>
        </row>
        <row r="228">
          <cell r="B228">
            <v>549754600106</v>
          </cell>
          <cell r="C228" t="str">
            <v>WH MAIN</v>
          </cell>
          <cell r="D228" t="str">
            <v>APTIV / YAZAKI</v>
          </cell>
          <cell r="E228">
            <v>38</v>
          </cell>
        </row>
        <row r="229">
          <cell r="B229">
            <v>549754600119</v>
          </cell>
          <cell r="C229" t="e">
            <v>#N/A</v>
          </cell>
          <cell r="D229" t="str">
            <v>APTIV / YAZAKI</v>
          </cell>
          <cell r="E229">
            <v>0</v>
          </cell>
        </row>
        <row r="230">
          <cell r="B230">
            <v>549754600185</v>
          </cell>
          <cell r="C230" t="e">
            <v>#N/A</v>
          </cell>
          <cell r="D230" t="str">
            <v>APTIV / YAZAKI</v>
          </cell>
          <cell r="E230">
            <v>0</v>
          </cell>
        </row>
        <row r="231">
          <cell r="B231">
            <v>549754610186</v>
          </cell>
          <cell r="C231" t="e">
            <v>#N/A</v>
          </cell>
          <cell r="D231" t="str">
            <v>APTIV / YAZAKI</v>
          </cell>
          <cell r="E231">
            <v>1</v>
          </cell>
        </row>
        <row r="232">
          <cell r="B232">
            <v>549754600127</v>
          </cell>
          <cell r="C232" t="str">
            <v>WH MAIN</v>
          </cell>
          <cell r="D232" t="str">
            <v>APTIV / YAZAKI</v>
          </cell>
          <cell r="E232">
            <v>1</v>
          </cell>
        </row>
        <row r="233">
          <cell r="B233">
            <v>549754600110</v>
          </cell>
          <cell r="C233" t="e">
            <v>#N/A</v>
          </cell>
          <cell r="D233" t="str">
            <v>APTIV / YAZAKI</v>
          </cell>
          <cell r="E233">
            <v>0</v>
          </cell>
        </row>
        <row r="234">
          <cell r="B234">
            <v>549754600111</v>
          </cell>
          <cell r="C234" t="str">
            <v>WH MAIN</v>
          </cell>
          <cell r="D234" t="str">
            <v>APTIV / YAZAKI</v>
          </cell>
          <cell r="E234">
            <v>61</v>
          </cell>
        </row>
        <row r="235">
          <cell r="B235">
            <v>549754600112</v>
          </cell>
          <cell r="C235" t="e">
            <v>#N/A</v>
          </cell>
          <cell r="D235" t="str">
            <v>APTIV / YAZAKI</v>
          </cell>
          <cell r="E235">
            <v>0</v>
          </cell>
        </row>
        <row r="236">
          <cell r="B236">
            <v>549754600180</v>
          </cell>
          <cell r="C236" t="e">
            <v>#N/A</v>
          </cell>
          <cell r="D236" t="str">
            <v>APTIV / YAZAKI</v>
          </cell>
          <cell r="E236">
            <v>0</v>
          </cell>
        </row>
        <row r="237">
          <cell r="B237">
            <v>549754610185</v>
          </cell>
          <cell r="C237" t="str">
            <v>WH MAIN</v>
          </cell>
          <cell r="D237" t="str">
            <v>APTIV / YAZAKI</v>
          </cell>
          <cell r="E237">
            <v>3</v>
          </cell>
        </row>
        <row r="238">
          <cell r="B238">
            <v>549754600120</v>
          </cell>
          <cell r="C238" t="str">
            <v>WH MAIN</v>
          </cell>
          <cell r="D238" t="str">
            <v>APTIV / YAZAKI</v>
          </cell>
          <cell r="E238">
            <v>10</v>
          </cell>
        </row>
        <row r="239">
          <cell r="B239">
            <v>549754600102</v>
          </cell>
          <cell r="C239" t="str">
            <v>WH MAIN</v>
          </cell>
          <cell r="D239" t="str">
            <v>APTIV / YAZAKI</v>
          </cell>
          <cell r="E239">
            <v>226</v>
          </cell>
        </row>
        <row r="240">
          <cell r="B240">
            <v>549754600104</v>
          </cell>
          <cell r="C240" t="e">
            <v>#N/A</v>
          </cell>
          <cell r="D240" t="str">
            <v>APTIV / YAZAKI</v>
          </cell>
          <cell r="E240">
            <v>42</v>
          </cell>
        </row>
        <row r="241">
          <cell r="B241">
            <v>549754600231</v>
          </cell>
          <cell r="C241" t="str">
            <v>WH MAIN</v>
          </cell>
          <cell r="D241" t="str">
            <v>APTIV / YAZAKI</v>
          </cell>
          <cell r="E241">
            <v>27</v>
          </cell>
        </row>
        <row r="242">
          <cell r="B242">
            <v>549754600109</v>
          </cell>
          <cell r="C242" t="str">
            <v>WH MAIN</v>
          </cell>
          <cell r="D242" t="str">
            <v>APTIV / YAZAKI</v>
          </cell>
          <cell r="E242">
            <v>0</v>
          </cell>
        </row>
        <row r="243">
          <cell r="B243">
            <v>547954600131</v>
          </cell>
          <cell r="C243" t="e">
            <v>#N/A</v>
          </cell>
          <cell r="D243" t="str">
            <v>APTIV / YAZAKI</v>
          </cell>
          <cell r="E243">
            <v>0</v>
          </cell>
        </row>
        <row r="244">
          <cell r="B244">
            <v>549754600128</v>
          </cell>
          <cell r="C244" t="str">
            <v>WH MAIN</v>
          </cell>
          <cell r="D244" t="str">
            <v>APTIV / YAZAKI</v>
          </cell>
          <cell r="E244">
            <v>22</v>
          </cell>
        </row>
        <row r="245">
          <cell r="B245">
            <v>549754600233</v>
          </cell>
          <cell r="C245" t="str">
            <v>WH MAIN</v>
          </cell>
          <cell r="D245" t="str">
            <v>APTIV / YAZAKI</v>
          </cell>
          <cell r="E245">
            <v>4</v>
          </cell>
        </row>
        <row r="246">
          <cell r="B246">
            <v>549754600126</v>
          </cell>
          <cell r="C246" t="str">
            <v>WH MAIN</v>
          </cell>
          <cell r="D246" t="str">
            <v>APTIV / YAZAKI</v>
          </cell>
          <cell r="E246">
            <v>66</v>
          </cell>
        </row>
        <row r="247">
          <cell r="B247">
            <v>546854600102</v>
          </cell>
          <cell r="C247" t="str">
            <v>WIRING HARNESS,MAIN</v>
          </cell>
          <cell r="D247" t="str">
            <v>YAZAKI Sanad</v>
          </cell>
          <cell r="E247">
            <v>39</v>
          </cell>
        </row>
        <row r="248">
          <cell r="B248">
            <v>546854600167</v>
          </cell>
          <cell r="C248" t="str">
            <v>WIRING HARNESS,MAIN</v>
          </cell>
          <cell r="D248" t="str">
            <v>YAZAKI Sanad</v>
          </cell>
          <cell r="E248">
            <v>51</v>
          </cell>
        </row>
        <row r="249">
          <cell r="B249">
            <v>546854600163</v>
          </cell>
          <cell r="C249" t="str">
            <v>WIRING HARNESS,MAIN</v>
          </cell>
          <cell r="D249" t="str">
            <v>YAZAKI Sanad</v>
          </cell>
          <cell r="E249">
            <v>9</v>
          </cell>
        </row>
        <row r="250">
          <cell r="B250">
            <v>546854600231</v>
          </cell>
          <cell r="C250" t="str">
            <v>WIRING HARNESS,MAIN</v>
          </cell>
          <cell r="D250" t="str">
            <v>YAZAKI Sanad</v>
          </cell>
          <cell r="E250">
            <v>32</v>
          </cell>
        </row>
        <row r="251">
          <cell r="B251">
            <v>546854600204</v>
          </cell>
          <cell r="C251" t="str">
            <v>WIRING HARNESS,MAIN</v>
          </cell>
          <cell r="D251" t="str">
            <v>YAZAKI Sanad</v>
          </cell>
          <cell r="E251">
            <v>46</v>
          </cell>
        </row>
        <row r="252">
          <cell r="B252">
            <v>546854600180</v>
          </cell>
          <cell r="C252" t="str">
            <v>WIRING HARNESS,MAIN</v>
          </cell>
          <cell r="D252" t="str">
            <v>YAZAKI Sanad</v>
          </cell>
          <cell r="E252">
            <v>1</v>
          </cell>
        </row>
        <row r="253">
          <cell r="B253">
            <v>546854600166</v>
          </cell>
          <cell r="C253" t="str">
            <v>WIRING HARNESS,MAIN</v>
          </cell>
          <cell r="D253" t="str">
            <v>YAZAKI Sanad</v>
          </cell>
          <cell r="E253">
            <v>2</v>
          </cell>
        </row>
        <row r="254">
          <cell r="B254">
            <v>546854600104</v>
          </cell>
          <cell r="C254" t="str">
            <v>WIRING HARNESS,MAIN</v>
          </cell>
          <cell r="D254" t="str">
            <v>YAZAKI Sanad</v>
          </cell>
          <cell r="E254">
            <v>24</v>
          </cell>
        </row>
        <row r="255">
          <cell r="B255">
            <v>546854600230</v>
          </cell>
          <cell r="C255" t="str">
            <v>WIRING HARNESS,MAIN</v>
          </cell>
          <cell r="D255" t="str">
            <v>YAZAKI Sanad</v>
          </cell>
          <cell r="E255">
            <v>0</v>
          </cell>
        </row>
        <row r="256">
          <cell r="B256">
            <v>546854600171</v>
          </cell>
          <cell r="C256" t="str">
            <v>WIRING HARNESS,MAIN</v>
          </cell>
          <cell r="D256" t="str">
            <v>YAZAKI Sanad</v>
          </cell>
          <cell r="E256">
            <v>1</v>
          </cell>
        </row>
        <row r="257">
          <cell r="B257">
            <v>546854600160</v>
          </cell>
          <cell r="C257" t="str">
            <v>WIRING HARNESS,MAIN</v>
          </cell>
          <cell r="D257" t="str">
            <v>YAZAKI Sanad</v>
          </cell>
          <cell r="E257">
            <v>36</v>
          </cell>
        </row>
        <row r="258">
          <cell r="B258">
            <v>546854600119</v>
          </cell>
          <cell r="C258" t="str">
            <v>WIRING HARNESS,MAIN</v>
          </cell>
          <cell r="D258" t="str">
            <v>YAZAKI Sanad</v>
          </cell>
          <cell r="E258">
            <v>1</v>
          </cell>
        </row>
        <row r="259">
          <cell r="B259">
            <v>546854600210</v>
          </cell>
          <cell r="C259" t="str">
            <v>WIRING HARNESS,MAIN</v>
          </cell>
          <cell r="D259" t="str">
            <v>YAZAKI Sanad</v>
          </cell>
          <cell r="E259">
            <v>1</v>
          </cell>
        </row>
        <row r="260">
          <cell r="B260">
            <v>546854600164</v>
          </cell>
          <cell r="C260" t="str">
            <v>WIRING HARNESS,MAIN</v>
          </cell>
          <cell r="D260" t="str">
            <v>YAZAKI Sanad</v>
          </cell>
          <cell r="E260">
            <v>0</v>
          </cell>
        </row>
        <row r="261">
          <cell r="B261">
            <v>546854650116</v>
          </cell>
          <cell r="C261" t="str">
            <v>WH MAIN</v>
          </cell>
          <cell r="D261" t="str">
            <v>YAZAKI Sanad</v>
          </cell>
          <cell r="E261">
            <v>1</v>
          </cell>
        </row>
        <row r="262">
          <cell r="B262">
            <v>546854650101</v>
          </cell>
          <cell r="C262" t="e">
            <v>#N/A</v>
          </cell>
          <cell r="D262" t="str">
            <v>YAZAKI Sanad</v>
          </cell>
          <cell r="E262">
            <v>0</v>
          </cell>
        </row>
        <row r="263">
          <cell r="B263">
            <v>546854650102</v>
          </cell>
          <cell r="C263" t="str">
            <v>WH MAIN</v>
          </cell>
          <cell r="D263" t="str">
            <v>YAZAKI Sanad</v>
          </cell>
          <cell r="E263">
            <v>3</v>
          </cell>
        </row>
        <row r="264">
          <cell r="B264">
            <v>546554600284</v>
          </cell>
          <cell r="C264" t="str">
            <v>WIRING HARNESS,CABIN</v>
          </cell>
          <cell r="D264" t="str">
            <v>YAZAKI</v>
          </cell>
          <cell r="E264">
            <v>1</v>
          </cell>
        </row>
        <row r="265">
          <cell r="B265">
            <v>546554600307</v>
          </cell>
          <cell r="C265" t="str">
            <v>WIRING HARNESS,CABIN</v>
          </cell>
          <cell r="D265" t="str">
            <v>YAZAKI</v>
          </cell>
          <cell r="E265">
            <v>1</v>
          </cell>
        </row>
        <row r="266">
          <cell r="B266">
            <v>546554600348</v>
          </cell>
          <cell r="C266" t="str">
            <v>WIRING HARNESS,CABIN</v>
          </cell>
          <cell r="D266" t="str">
            <v>YAZAKI</v>
          </cell>
          <cell r="E266">
            <v>0</v>
          </cell>
        </row>
        <row r="267">
          <cell r="B267">
            <v>546554600351</v>
          </cell>
          <cell r="C267" t="str">
            <v>WIRING HARNESS,CABIN</v>
          </cell>
          <cell r="D267" t="str">
            <v>YAZAKI</v>
          </cell>
          <cell r="E267">
            <v>5</v>
          </cell>
        </row>
        <row r="268">
          <cell r="B268">
            <v>546554600353</v>
          </cell>
          <cell r="C268" t="str">
            <v>WIRING HARNESS,CABIN</v>
          </cell>
          <cell r="D268" t="str">
            <v>YAZAKI</v>
          </cell>
          <cell r="E268">
            <v>5</v>
          </cell>
        </row>
        <row r="269">
          <cell r="B269">
            <v>546554600355</v>
          </cell>
          <cell r="C269" t="str">
            <v>WIRING HARNESS,CABIN</v>
          </cell>
          <cell r="D269" t="str">
            <v>YAZAKI</v>
          </cell>
          <cell r="E269">
            <v>0</v>
          </cell>
        </row>
        <row r="270">
          <cell r="B270">
            <v>546554600356</v>
          </cell>
          <cell r="C270" t="str">
            <v>WIRING HARNESS,CABIN</v>
          </cell>
          <cell r="D270" t="str">
            <v>YAZAKI</v>
          </cell>
          <cell r="E270">
            <v>2</v>
          </cell>
        </row>
        <row r="271">
          <cell r="B271">
            <v>546554610260</v>
          </cell>
          <cell r="C271" t="str">
            <v>WIRING HARNESS,CABIN</v>
          </cell>
          <cell r="D271" t="str">
            <v>YAZAKI</v>
          </cell>
          <cell r="E271">
            <v>9</v>
          </cell>
        </row>
        <row r="272">
          <cell r="B272">
            <v>546554610261</v>
          </cell>
          <cell r="C272" t="str">
            <v>WIRING HARNESS,CABIN</v>
          </cell>
          <cell r="D272" t="str">
            <v>YAZAKI</v>
          </cell>
          <cell r="E272">
            <v>1</v>
          </cell>
        </row>
        <row r="273">
          <cell r="B273">
            <v>546554610270</v>
          </cell>
          <cell r="C273" t="str">
            <v>WIRING HARNESS,CABIN</v>
          </cell>
          <cell r="D273" t="str">
            <v>YAZAKI</v>
          </cell>
          <cell r="E273">
            <v>5</v>
          </cell>
        </row>
        <row r="274">
          <cell r="B274">
            <v>546554610275</v>
          </cell>
          <cell r="C274" t="e">
            <v>#N/A</v>
          </cell>
          <cell r="D274" t="str">
            <v>YAZAKI</v>
          </cell>
          <cell r="E274">
            <v>0</v>
          </cell>
        </row>
        <row r="275">
          <cell r="B275">
            <v>546554610276</v>
          </cell>
          <cell r="C275" t="str">
            <v>WIRING HARNESS,CABIN</v>
          </cell>
          <cell r="D275" t="str">
            <v>YAZAKI</v>
          </cell>
          <cell r="E275">
            <v>7</v>
          </cell>
        </row>
        <row r="276">
          <cell r="B276">
            <v>546554610285</v>
          </cell>
          <cell r="C276" t="e">
            <v>#N/A</v>
          </cell>
          <cell r="D276" t="str">
            <v>YAZAKI</v>
          </cell>
          <cell r="E276">
            <v>0</v>
          </cell>
        </row>
        <row r="277">
          <cell r="B277">
            <v>546554610289</v>
          </cell>
          <cell r="C277" t="str">
            <v>WIRING HARNESS,CABIN</v>
          </cell>
          <cell r="D277" t="str">
            <v>YAZAKI</v>
          </cell>
          <cell r="E277">
            <v>0</v>
          </cell>
        </row>
        <row r="278">
          <cell r="B278">
            <v>546554610294</v>
          </cell>
          <cell r="C278" t="str">
            <v>WIRING HARNESS,CABIN</v>
          </cell>
          <cell r="D278" t="str">
            <v>YAZAKI</v>
          </cell>
          <cell r="E278">
            <v>7</v>
          </cell>
        </row>
        <row r="279">
          <cell r="B279">
            <v>546554610295</v>
          </cell>
          <cell r="C279" t="str">
            <v>WIRING HARNESS,CABIN</v>
          </cell>
          <cell r="D279" t="str">
            <v>YAZAKI</v>
          </cell>
          <cell r="E279">
            <v>5</v>
          </cell>
        </row>
        <row r="280">
          <cell r="B280">
            <v>546654600119</v>
          </cell>
          <cell r="C280" t="str">
            <v>WIRING HARNESS,CABIN</v>
          </cell>
          <cell r="D280" t="str">
            <v>YAZAKI</v>
          </cell>
          <cell r="E280">
            <v>1</v>
          </cell>
        </row>
        <row r="281">
          <cell r="B281">
            <v>546654600248</v>
          </cell>
          <cell r="C281" t="str">
            <v>WIRING HARNESS,CABIN</v>
          </cell>
          <cell r="D281" t="str">
            <v>YAZAKI</v>
          </cell>
          <cell r="E281">
            <v>1</v>
          </cell>
        </row>
        <row r="282">
          <cell r="B282">
            <v>546654600260</v>
          </cell>
          <cell r="C282" t="str">
            <v>WIRING HARNESS,CABIN</v>
          </cell>
          <cell r="D282" t="str">
            <v>YAZAKI</v>
          </cell>
          <cell r="E282">
            <v>1</v>
          </cell>
        </row>
        <row r="283">
          <cell r="B283">
            <v>546654600261</v>
          </cell>
          <cell r="C283" t="str">
            <v>WIRING HARNESS,CABIN</v>
          </cell>
          <cell r="D283" t="str">
            <v>YAZAKI</v>
          </cell>
          <cell r="E283">
            <v>3</v>
          </cell>
        </row>
        <row r="284">
          <cell r="B284">
            <v>546654600262</v>
          </cell>
          <cell r="C284" t="str">
            <v>WIRING HARNESS,CABIN</v>
          </cell>
          <cell r="D284" t="str">
            <v>YAZAKI</v>
          </cell>
          <cell r="E284">
            <v>3</v>
          </cell>
        </row>
        <row r="285">
          <cell r="B285">
            <v>546654600265</v>
          </cell>
          <cell r="C285" t="str">
            <v>WIRING HARNESS,CABIN</v>
          </cell>
          <cell r="D285" t="str">
            <v>YAZAKI</v>
          </cell>
          <cell r="E285">
            <v>1</v>
          </cell>
        </row>
        <row r="286">
          <cell r="B286">
            <v>546654600266</v>
          </cell>
          <cell r="C286" t="str">
            <v>WIRING HARNESS,CABIN</v>
          </cell>
          <cell r="D286" t="str">
            <v>YAZAKI</v>
          </cell>
          <cell r="E286">
            <v>3</v>
          </cell>
        </row>
        <row r="287">
          <cell r="B287">
            <v>546654600267</v>
          </cell>
          <cell r="C287" t="str">
            <v>WIRING HARNESS,CABIN</v>
          </cell>
          <cell r="D287" t="str">
            <v>YAZAKI</v>
          </cell>
          <cell r="E287">
            <v>0</v>
          </cell>
        </row>
        <row r="288">
          <cell r="B288">
            <v>546654600268</v>
          </cell>
          <cell r="C288" t="str">
            <v>WIRING HARNESS,CABIN</v>
          </cell>
          <cell r="D288" t="str">
            <v>YAZAKI</v>
          </cell>
          <cell r="E288">
            <v>1</v>
          </cell>
        </row>
        <row r="289">
          <cell r="B289">
            <v>546654600270</v>
          </cell>
          <cell r="C289" t="str">
            <v>WIRING HARNESS,CABIN</v>
          </cell>
          <cell r="D289" t="str">
            <v>YAZAKI</v>
          </cell>
          <cell r="E289">
            <v>0</v>
          </cell>
        </row>
        <row r="290">
          <cell r="B290">
            <v>546654600326</v>
          </cell>
          <cell r="C290" t="str">
            <v>WIRING HARNESS,CABIN</v>
          </cell>
          <cell r="D290" t="str">
            <v>YAZAKI</v>
          </cell>
          <cell r="E290">
            <v>8</v>
          </cell>
        </row>
        <row r="291">
          <cell r="B291">
            <v>546654600327</v>
          </cell>
          <cell r="C291" t="e">
            <v>#N/A</v>
          </cell>
          <cell r="D291" t="str">
            <v>YAZAKI</v>
          </cell>
          <cell r="E291">
            <v>0</v>
          </cell>
        </row>
        <row r="292">
          <cell r="B292">
            <v>546654600332</v>
          </cell>
          <cell r="C292" t="str">
            <v>WIRING HARNESS,CABIN</v>
          </cell>
          <cell r="D292" t="str">
            <v>YAZAKI</v>
          </cell>
          <cell r="E292">
            <v>9</v>
          </cell>
        </row>
        <row r="293">
          <cell r="B293">
            <v>546654600335</v>
          </cell>
          <cell r="C293" t="str">
            <v>WIRING HARNESS,CABIN</v>
          </cell>
          <cell r="D293" t="str">
            <v>YAZAKI</v>
          </cell>
          <cell r="E293">
            <v>4</v>
          </cell>
        </row>
        <row r="294">
          <cell r="B294">
            <v>546654600336</v>
          </cell>
          <cell r="C294" t="str">
            <v>WIRING HARNESS,CABIN</v>
          </cell>
          <cell r="D294" t="str">
            <v>YAZAKI</v>
          </cell>
          <cell r="E294">
            <v>1</v>
          </cell>
        </row>
        <row r="295">
          <cell r="B295">
            <v>546654600347</v>
          </cell>
          <cell r="C295" t="str">
            <v>WIRING HARNESS,CABIN</v>
          </cell>
          <cell r="D295" t="str">
            <v>YAZAKI</v>
          </cell>
          <cell r="E295">
            <v>14</v>
          </cell>
        </row>
        <row r="296">
          <cell r="B296">
            <v>547354600105</v>
          </cell>
          <cell r="C296" t="str">
            <v>WIRING HARNESS MAIN ASSY</v>
          </cell>
          <cell r="D296" t="str">
            <v>YAZAKI</v>
          </cell>
          <cell r="E296">
            <v>16</v>
          </cell>
        </row>
        <row r="297">
          <cell r="B297">
            <v>547354600107</v>
          </cell>
          <cell r="C297" t="str">
            <v>WIRING HARNESS;MAIN_AWD_ETURNA</v>
          </cell>
          <cell r="D297" t="str">
            <v>YAZAKI</v>
          </cell>
          <cell r="E297">
            <v>0</v>
          </cell>
        </row>
        <row r="298">
          <cell r="B298">
            <v>547354600108</v>
          </cell>
          <cell r="C298" t="str">
            <v>WIRING HARNESS,CABIN</v>
          </cell>
          <cell r="D298" t="str">
            <v>YAZAKI</v>
          </cell>
          <cell r="E298">
            <v>0</v>
          </cell>
        </row>
        <row r="299">
          <cell r="B299">
            <v>547354600109</v>
          </cell>
          <cell r="C299" t="str">
            <v>WH MAIN PER B SUNROOF</v>
          </cell>
          <cell r="D299" t="str">
            <v>YAZAKI</v>
          </cell>
          <cell r="E299">
            <v>1</v>
          </cell>
        </row>
        <row r="300">
          <cell r="B300">
            <v>547354600110</v>
          </cell>
          <cell r="C300" t="str">
            <v>WH MAIN PER B ADAS</v>
          </cell>
          <cell r="D300" t="str">
            <v>YAZAKI</v>
          </cell>
          <cell r="E300">
            <v>0</v>
          </cell>
        </row>
        <row r="301">
          <cell r="B301">
            <v>547354600113</v>
          </cell>
          <cell r="C301" t="str">
            <v>WIRING HARNESS,CABIN</v>
          </cell>
          <cell r="D301" t="str">
            <v>YAZAKI</v>
          </cell>
          <cell r="E301">
            <v>12</v>
          </cell>
        </row>
        <row r="302">
          <cell r="B302">
            <v>547354600114</v>
          </cell>
          <cell r="C302" t="str">
            <v>WIRING HARNESS;MAIN_PER_B_C_ETURNA</v>
          </cell>
          <cell r="D302" t="str">
            <v>YAZAKI</v>
          </cell>
          <cell r="E302">
            <v>0</v>
          </cell>
        </row>
        <row r="303">
          <cell r="B303">
            <v>547354600194</v>
          </cell>
          <cell r="C303" t="str">
            <v>WIRING HARNESS,CABIN</v>
          </cell>
          <cell r="D303" t="str">
            <v>YAZAKI</v>
          </cell>
          <cell r="E303">
            <v>24</v>
          </cell>
        </row>
        <row r="304">
          <cell r="B304">
            <v>547854600107</v>
          </cell>
          <cell r="C304" t="e">
            <v>#N/A</v>
          </cell>
          <cell r="D304" t="str">
            <v>YAZAKI</v>
          </cell>
          <cell r="E304">
            <v>0</v>
          </cell>
        </row>
        <row r="305">
          <cell r="B305">
            <v>547854600111</v>
          </cell>
          <cell r="C305" t="str">
            <v>WIRING HARNESS,CABIN</v>
          </cell>
          <cell r="D305" t="str">
            <v>YAZAKI</v>
          </cell>
          <cell r="E305">
            <v>0</v>
          </cell>
        </row>
        <row r="306">
          <cell r="B306">
            <v>547854600147</v>
          </cell>
          <cell r="C306" t="str">
            <v>WIRING HARNESS,CABIN SAFARI_AT_PURE+</v>
          </cell>
          <cell r="D306" t="str">
            <v>YAZAKI</v>
          </cell>
          <cell r="E306">
            <v>0</v>
          </cell>
        </row>
        <row r="307">
          <cell r="B307">
            <v>547854600148</v>
          </cell>
          <cell r="C307" t="str">
            <v>WIRING HARNESS,CABIN HARRIER_AT_PUR+S</v>
          </cell>
          <cell r="D307" t="str">
            <v>YAZAKI</v>
          </cell>
          <cell r="E307">
            <v>0</v>
          </cell>
        </row>
        <row r="308">
          <cell r="B308">
            <v>547854600159</v>
          </cell>
          <cell r="C308" t="str">
            <v>WIRING HARNESS,CABIN</v>
          </cell>
          <cell r="D308" t="str">
            <v>YAZAKI</v>
          </cell>
          <cell r="E308">
            <v>0</v>
          </cell>
        </row>
        <row r="309">
          <cell r="B309">
            <v>547854600160</v>
          </cell>
          <cell r="C309" t="str">
            <v>WIRING HARNESS,CABIN</v>
          </cell>
          <cell r="D309" t="str">
            <v>YAZAKI</v>
          </cell>
          <cell r="E309">
            <v>0</v>
          </cell>
        </row>
        <row r="310">
          <cell r="B310">
            <v>547854600161</v>
          </cell>
          <cell r="C310" t="str">
            <v>WIRING HARNESS,CABIN SAFARI_MT_PURE</v>
          </cell>
          <cell r="D310" t="str">
            <v>YAZAKI</v>
          </cell>
          <cell r="E310">
            <v>0</v>
          </cell>
        </row>
        <row r="311">
          <cell r="B311">
            <v>547854600166</v>
          </cell>
          <cell r="C311" t="str">
            <v>WIRING HARNESS,CABIN</v>
          </cell>
          <cell r="D311" t="str">
            <v>YAZAKI</v>
          </cell>
          <cell r="E311">
            <v>0</v>
          </cell>
        </row>
        <row r="312">
          <cell r="B312">
            <v>547854600167</v>
          </cell>
          <cell r="C312" t="str">
            <v>WIRING HARNESS,CABIN</v>
          </cell>
          <cell r="D312" t="str">
            <v>YAZAKI</v>
          </cell>
          <cell r="E312">
            <v>1</v>
          </cell>
        </row>
        <row r="313">
          <cell r="B313">
            <v>547854600169</v>
          </cell>
          <cell r="C313" t="str">
            <v>WIRING HARNESS,CABIN</v>
          </cell>
          <cell r="D313" t="str">
            <v>YAZAKI</v>
          </cell>
          <cell r="E313">
            <v>0</v>
          </cell>
        </row>
        <row r="314">
          <cell r="B314">
            <v>547854600207</v>
          </cell>
          <cell r="C314" t="str">
            <v>WIRING HARNESS,CABIN</v>
          </cell>
          <cell r="D314" t="str">
            <v>YAZAKI</v>
          </cell>
          <cell r="E314">
            <v>3</v>
          </cell>
        </row>
        <row r="315">
          <cell r="B315">
            <v>547854600208</v>
          </cell>
          <cell r="C315" t="str">
            <v>WIRING HARNESS,CABIN</v>
          </cell>
          <cell r="D315" t="str">
            <v>YAZAKI</v>
          </cell>
          <cell r="E315">
            <v>2</v>
          </cell>
        </row>
        <row r="316">
          <cell r="B316">
            <v>547854600164</v>
          </cell>
          <cell r="C316" t="e">
            <v>#N/A</v>
          </cell>
          <cell r="D316" t="str">
            <v>YAZAKI</v>
          </cell>
          <cell r="E316">
            <v>0</v>
          </cell>
        </row>
        <row r="317">
          <cell r="B317">
            <v>547854600168</v>
          </cell>
          <cell r="C317" t="e">
            <v>#N/A</v>
          </cell>
          <cell r="D317" t="str">
            <v>YAZAKI</v>
          </cell>
          <cell r="E317">
            <v>0</v>
          </cell>
        </row>
        <row r="318">
          <cell r="B318">
            <v>547854600105</v>
          </cell>
          <cell r="C318" t="e">
            <v>#N/A</v>
          </cell>
          <cell r="D318" t="str">
            <v>YAZAKI</v>
          </cell>
          <cell r="E318">
            <v>0</v>
          </cell>
        </row>
        <row r="319">
          <cell r="B319">
            <v>547854600109</v>
          </cell>
          <cell r="C319" t="e">
            <v>#N/A</v>
          </cell>
          <cell r="D319" t="str">
            <v>YAZAKI</v>
          </cell>
          <cell r="E319">
            <v>0</v>
          </cell>
        </row>
        <row r="320">
          <cell r="B320">
            <v>547954600107</v>
          </cell>
          <cell r="C320" t="e">
            <v>#N/A</v>
          </cell>
          <cell r="D320" t="str">
            <v>YAZAKI</v>
          </cell>
          <cell r="E320">
            <v>0</v>
          </cell>
        </row>
        <row r="321">
          <cell r="B321">
            <v>547954600108</v>
          </cell>
          <cell r="C321" t="str">
            <v>WIRING HARNESS,CABIN</v>
          </cell>
          <cell r="D321" t="str">
            <v>YAZAKI</v>
          </cell>
          <cell r="E321">
            <v>1</v>
          </cell>
        </row>
        <row r="322">
          <cell r="B322">
            <v>547954600110</v>
          </cell>
          <cell r="C322" t="str">
            <v>WIRING HARNESS,CABIN</v>
          </cell>
          <cell r="D322" t="str">
            <v>YAZAKI</v>
          </cell>
          <cell r="E322">
            <v>3</v>
          </cell>
        </row>
        <row r="323">
          <cell r="B323">
            <v>547954600121</v>
          </cell>
          <cell r="C323" t="str">
            <v>WH CABIN Safari</v>
          </cell>
          <cell r="D323" t="str">
            <v>YAZAKI</v>
          </cell>
          <cell r="E323">
            <v>0</v>
          </cell>
        </row>
        <row r="324">
          <cell r="B324">
            <v>547954600122</v>
          </cell>
          <cell r="C324" t="str">
            <v>WIRING HARNESS</v>
          </cell>
          <cell r="D324" t="str">
            <v>YAZAKI</v>
          </cell>
          <cell r="E324">
            <v>0</v>
          </cell>
        </row>
        <row r="325">
          <cell r="B325">
            <v>547954600129</v>
          </cell>
          <cell r="C325" t="str">
            <v>WIRING HARNESS,CABIN</v>
          </cell>
          <cell r="D325" t="str">
            <v>YAZAKI</v>
          </cell>
          <cell r="E325">
            <v>0</v>
          </cell>
        </row>
        <row r="326">
          <cell r="B326">
            <v>547954600130</v>
          </cell>
          <cell r="C326" t="str">
            <v>WIRING HARNESS,CABIN</v>
          </cell>
          <cell r="D326" t="str">
            <v>YAZAKI</v>
          </cell>
          <cell r="E326">
            <v>4</v>
          </cell>
        </row>
        <row r="327">
          <cell r="B327">
            <v>547954600132</v>
          </cell>
          <cell r="C327" t="str">
            <v>WIRING HARNESS,CABIN</v>
          </cell>
          <cell r="D327" t="str">
            <v>YAZAKI</v>
          </cell>
          <cell r="E327">
            <v>1</v>
          </cell>
        </row>
        <row r="328">
          <cell r="B328">
            <v>547954600142</v>
          </cell>
          <cell r="C328" t="str">
            <v>WIRING HARNESS,CABIN</v>
          </cell>
          <cell r="D328" t="str">
            <v>YAZAKI</v>
          </cell>
          <cell r="E328">
            <v>7</v>
          </cell>
        </row>
        <row r="329">
          <cell r="B329">
            <v>547954600144</v>
          </cell>
          <cell r="C329" t="str">
            <v>WIRING HARNESS,CABIN</v>
          </cell>
          <cell r="D329" t="str">
            <v>YAZAKI</v>
          </cell>
          <cell r="E329">
            <v>1</v>
          </cell>
        </row>
        <row r="330">
          <cell r="B330">
            <v>547954600127</v>
          </cell>
          <cell r="C330" t="str">
            <v>WIRING HARNESS,CABIN</v>
          </cell>
          <cell r="D330" t="str">
            <v>YAZAKI</v>
          </cell>
          <cell r="E330">
            <v>1</v>
          </cell>
        </row>
        <row r="331">
          <cell r="B331">
            <v>548654600204</v>
          </cell>
          <cell r="C331" t="str">
            <v>WIRING HARNESS,CABIN SAFARI MT ACC+</v>
          </cell>
          <cell r="D331" t="str">
            <v>YAZAKI</v>
          </cell>
          <cell r="E331">
            <v>0</v>
          </cell>
        </row>
        <row r="332">
          <cell r="B332">
            <v>548654600206</v>
          </cell>
          <cell r="C332" t="str">
            <v>WIRING-HARNESS,CABIN SAFARI MT-ACC+</v>
          </cell>
          <cell r="D332" t="str">
            <v>YAZAKI</v>
          </cell>
          <cell r="E332">
            <v>0</v>
          </cell>
        </row>
        <row r="333">
          <cell r="B333">
            <v>549054600182</v>
          </cell>
          <cell r="C333" t="str">
            <v>WIRING HARNESS-CABIN HARRIER_AT_FEAR+</v>
          </cell>
          <cell r="D333" t="str">
            <v>YAZAKI</v>
          </cell>
          <cell r="E333">
            <v>0</v>
          </cell>
        </row>
        <row r="334">
          <cell r="B334">
            <v>546816251206</v>
          </cell>
          <cell r="C334" t="str">
            <v>CONTAINER ASSY,FATC</v>
          </cell>
          <cell r="D334"/>
          <cell r="E334">
            <v>9</v>
          </cell>
        </row>
        <row r="335">
          <cell r="B335">
            <v>547116121203</v>
          </cell>
          <cell r="C335" t="e">
            <v>#N/A</v>
          </cell>
          <cell r="D335"/>
          <cell r="E335">
            <v>0</v>
          </cell>
        </row>
        <row r="336">
          <cell r="B336">
            <v>547216272002</v>
          </cell>
          <cell r="C336" t="e">
            <v>#N/A</v>
          </cell>
          <cell r="D336"/>
          <cell r="E336">
            <v>0</v>
          </cell>
        </row>
        <row r="337">
          <cell r="B337">
            <v>544216211203</v>
          </cell>
          <cell r="C337" t="str">
            <v>CONTAINER,BODY CONTROL MODULE</v>
          </cell>
          <cell r="D337"/>
          <cell r="E337">
            <v>29</v>
          </cell>
        </row>
        <row r="338">
          <cell r="B338">
            <v>544216251203</v>
          </cell>
          <cell r="C338" t="str">
            <v>CONTAINER ASSY,FATC</v>
          </cell>
          <cell r="D338"/>
          <cell r="E338">
            <v>258</v>
          </cell>
        </row>
        <row r="339">
          <cell r="B339">
            <v>544216251208</v>
          </cell>
          <cell r="C339" t="str">
            <v>CONTAINER ASSY,FATC</v>
          </cell>
          <cell r="D339"/>
          <cell r="E339">
            <v>57</v>
          </cell>
        </row>
        <row r="340">
          <cell r="B340">
            <v>544216251213</v>
          </cell>
          <cell r="C340" t="str">
            <v>CONTAINER ASSY,FATC</v>
          </cell>
          <cell r="D340"/>
          <cell r="E340">
            <v>84</v>
          </cell>
        </row>
        <row r="341">
          <cell r="B341">
            <v>544216261207</v>
          </cell>
          <cell r="C341" t="str">
            <v>CONTAINER,INSTRUMENT PANEL CLUSTER</v>
          </cell>
          <cell r="D341"/>
          <cell r="E341">
            <v>1</v>
          </cell>
        </row>
        <row r="342">
          <cell r="B342">
            <v>544216261208</v>
          </cell>
          <cell r="C342" t="str">
            <v>CONTAINER,INSTRUMENT PANEL CLUSTER</v>
          </cell>
          <cell r="D342"/>
          <cell r="E342">
            <v>2</v>
          </cell>
        </row>
        <row r="343">
          <cell r="B343">
            <v>544216261231</v>
          </cell>
          <cell r="C343" t="str">
            <v>CONTAINER,INSTRUMENT PANEL CLUSTER</v>
          </cell>
          <cell r="D343"/>
          <cell r="E343">
            <v>80</v>
          </cell>
        </row>
        <row r="344">
          <cell r="B344">
            <v>544216262001</v>
          </cell>
          <cell r="C344" t="str">
            <v>INSTRUMENT CLUSTER INTERFACE HARDWARE</v>
          </cell>
          <cell r="D344"/>
          <cell r="E344">
            <v>5</v>
          </cell>
        </row>
        <row r="345">
          <cell r="B345">
            <v>544216272005</v>
          </cell>
          <cell r="C345" t="str">
            <v>HMI SWITCH BANK</v>
          </cell>
          <cell r="D345"/>
          <cell r="E345">
            <v>210</v>
          </cell>
        </row>
        <row r="346">
          <cell r="B346">
            <v>544216272007</v>
          </cell>
          <cell r="C346" t="str">
            <v>HMI SILVER BOX</v>
          </cell>
          <cell r="D346"/>
          <cell r="E346">
            <v>13</v>
          </cell>
        </row>
        <row r="347">
          <cell r="B347">
            <v>544254400178</v>
          </cell>
          <cell r="C347" t="str">
            <v>IP ILLUMINATION</v>
          </cell>
          <cell r="D347"/>
          <cell r="E347">
            <v>340</v>
          </cell>
        </row>
        <row r="348">
          <cell r="B348">
            <v>544254400203</v>
          </cell>
          <cell r="C348" t="str">
            <v>MOOD LAMP ASSY</v>
          </cell>
          <cell r="D348"/>
          <cell r="E348">
            <v>376</v>
          </cell>
        </row>
        <row r="349">
          <cell r="B349">
            <v>544254400224</v>
          </cell>
          <cell r="C349" t="str">
            <v>MOOD LAMP ASSY</v>
          </cell>
          <cell r="D349"/>
          <cell r="E349">
            <v>156</v>
          </cell>
        </row>
        <row r="350">
          <cell r="B350">
            <v>544254504924</v>
          </cell>
          <cell r="C350" t="str">
            <v>FACIA SWITCH BANK</v>
          </cell>
          <cell r="D350"/>
          <cell r="E350">
            <v>40</v>
          </cell>
        </row>
        <row r="351">
          <cell r="B351">
            <v>544254504959</v>
          </cell>
          <cell r="C351" t="str">
            <v>OUTBOARD FASCIA SWITCH BANK ONLY FF</v>
          </cell>
          <cell r="D351"/>
          <cell r="E351">
            <v>1</v>
          </cell>
        </row>
        <row r="352">
          <cell r="B352">
            <v>544254504980</v>
          </cell>
          <cell r="C352" t="str">
            <v>FASCIA SWITCH</v>
          </cell>
          <cell r="D352"/>
          <cell r="E352">
            <v>57</v>
          </cell>
        </row>
        <row r="353">
          <cell r="B353">
            <v>544254504988</v>
          </cell>
          <cell r="C353" t="str">
            <v>FACIA SWITCH BANK</v>
          </cell>
          <cell r="D353"/>
          <cell r="E353">
            <v>88</v>
          </cell>
        </row>
        <row r="354">
          <cell r="B354">
            <v>544254504992</v>
          </cell>
          <cell r="C354" t="str">
            <v>OUTBOARD FASCIA SWITCH BANK</v>
          </cell>
          <cell r="D354"/>
          <cell r="E354">
            <v>9</v>
          </cell>
        </row>
        <row r="355">
          <cell r="B355">
            <v>544254504993</v>
          </cell>
          <cell r="C355" t="str">
            <v>OUTBOARD FASCIA SWITCH BANK</v>
          </cell>
          <cell r="D355"/>
          <cell r="E355">
            <v>10</v>
          </cell>
        </row>
        <row r="356">
          <cell r="B356">
            <v>544254504994</v>
          </cell>
          <cell r="C356" t="str">
            <v>OUTBOARD FASCIA SWITCH BANK</v>
          </cell>
          <cell r="D356"/>
          <cell r="E356">
            <v>183</v>
          </cell>
        </row>
        <row r="357">
          <cell r="B357">
            <v>544254509901</v>
          </cell>
          <cell r="C357" t="e">
            <v>#N/A</v>
          </cell>
          <cell r="D357"/>
          <cell r="E357">
            <v>1</v>
          </cell>
        </row>
        <row r="358">
          <cell r="B358">
            <v>544254509903</v>
          </cell>
          <cell r="C358" t="e">
            <v>#N/A</v>
          </cell>
          <cell r="D358"/>
          <cell r="E358">
            <v>9</v>
          </cell>
        </row>
        <row r="359">
          <cell r="B359">
            <v>544254509923</v>
          </cell>
          <cell r="C359" t="e">
            <v>#N/A</v>
          </cell>
          <cell r="D359"/>
          <cell r="E359">
            <v>5</v>
          </cell>
        </row>
        <row r="360">
          <cell r="B360">
            <v>544554509905</v>
          </cell>
          <cell r="C360" t="str">
            <v>OUTBOARD FASCIA SWITCH BANK</v>
          </cell>
          <cell r="D360"/>
          <cell r="E360">
            <v>192</v>
          </cell>
        </row>
        <row r="361">
          <cell r="B361">
            <v>546816261201</v>
          </cell>
          <cell r="C361" t="str">
            <v>CONTAINER,INSTRUMENT PANEL CLUSTER 7"</v>
          </cell>
          <cell r="D361"/>
          <cell r="E361">
            <v>17</v>
          </cell>
        </row>
        <row r="362">
          <cell r="B362">
            <v>546854600189</v>
          </cell>
          <cell r="C362" t="str">
            <v>WH ASSY ANTENNA &amp; GPS COCKPIT</v>
          </cell>
          <cell r="D362"/>
          <cell r="E362">
            <v>50</v>
          </cell>
        </row>
        <row r="363">
          <cell r="B363">
            <v>544254504991</v>
          </cell>
          <cell r="C363" t="str">
            <v>FACIA SWITCH BANK</v>
          </cell>
          <cell r="D363"/>
          <cell r="E363">
            <v>98</v>
          </cell>
        </row>
        <row r="364">
          <cell r="B364">
            <v>544516261212</v>
          </cell>
          <cell r="C364" t="str">
            <v>CONTAINER,INSTRUMENT PANEL CLUSTER</v>
          </cell>
          <cell r="D364"/>
          <cell r="E364">
            <v>11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ck File Feb-26"/>
      <sheetName val="JULY-26"/>
      <sheetName val="BOP"/>
      <sheetName val="JBM TTR"/>
      <sheetName val="WH PRINT"/>
      <sheetName val="WH Wht"/>
      <sheetName val="WH PRINT (2)"/>
    </sheetNames>
    <sheetDataSet>
      <sheetData sheetId="0"/>
      <sheetData sheetId="1">
        <row r="1">
          <cell r="B1" t="str">
            <v>Part No</v>
          </cell>
          <cell r="E1" t="str">
            <v>01.07.2026</v>
          </cell>
        </row>
        <row r="2">
          <cell r="B2">
            <v>287154209967</v>
          </cell>
          <cell r="E2">
            <v>1640</v>
          </cell>
        </row>
        <row r="3">
          <cell r="B3">
            <v>287154209988</v>
          </cell>
          <cell r="E3">
            <v>389</v>
          </cell>
        </row>
        <row r="4">
          <cell r="B4">
            <v>541254509908</v>
          </cell>
          <cell r="E4">
            <v>763</v>
          </cell>
        </row>
        <row r="5">
          <cell r="B5">
            <v>542754209960</v>
          </cell>
          <cell r="E5">
            <v>2179</v>
          </cell>
        </row>
        <row r="6">
          <cell r="B6">
            <v>543854509907</v>
          </cell>
          <cell r="E6">
            <v>1715</v>
          </cell>
        </row>
        <row r="7">
          <cell r="B7">
            <v>541254509907</v>
          </cell>
          <cell r="E7">
            <v>260</v>
          </cell>
        </row>
        <row r="8">
          <cell r="B8">
            <v>541254209966</v>
          </cell>
          <cell r="E8">
            <v>344</v>
          </cell>
        </row>
        <row r="9">
          <cell r="B9">
            <v>546454209913</v>
          </cell>
          <cell r="E9">
            <v>2470</v>
          </cell>
        </row>
        <row r="10">
          <cell r="B10">
            <v>547454809901</v>
          </cell>
          <cell r="E10">
            <v>1383</v>
          </cell>
        </row>
        <row r="11">
          <cell r="B11">
            <v>512354509909</v>
          </cell>
          <cell r="E11">
            <v>1089</v>
          </cell>
        </row>
        <row r="12">
          <cell r="B12">
            <v>546816211201</v>
          </cell>
          <cell r="E12">
            <v>0</v>
          </cell>
        </row>
        <row r="13">
          <cell r="B13">
            <v>512354509930</v>
          </cell>
          <cell r="E13">
            <v>201</v>
          </cell>
        </row>
        <row r="14">
          <cell r="B14">
            <v>544254209933</v>
          </cell>
          <cell r="E14">
            <v>304</v>
          </cell>
        </row>
        <row r="15">
          <cell r="B15">
            <v>546554809916</v>
          </cell>
          <cell r="E15">
            <v>114</v>
          </cell>
        </row>
        <row r="16">
          <cell r="B16">
            <v>549716211203</v>
          </cell>
          <cell r="E16">
            <v>934</v>
          </cell>
        </row>
        <row r="17">
          <cell r="B17">
            <v>546816211203</v>
          </cell>
          <cell r="E17">
            <v>532</v>
          </cell>
        </row>
        <row r="18">
          <cell r="B18">
            <v>287154409930</v>
          </cell>
          <cell r="E18">
            <v>2217</v>
          </cell>
        </row>
        <row r="19">
          <cell r="B19">
            <v>546854400111</v>
          </cell>
          <cell r="E19">
            <v>0</v>
          </cell>
        </row>
        <row r="20">
          <cell r="B20">
            <v>544254400204</v>
          </cell>
          <cell r="E20">
            <v>465</v>
          </cell>
        </row>
        <row r="21">
          <cell r="B21">
            <v>546816251204</v>
          </cell>
          <cell r="E21">
            <v>0</v>
          </cell>
        </row>
        <row r="22">
          <cell r="B22">
            <v>549716251202</v>
          </cell>
          <cell r="E22">
            <v>355</v>
          </cell>
        </row>
        <row r="23">
          <cell r="B23">
            <v>549716251201</v>
          </cell>
          <cell r="E23">
            <v>642</v>
          </cell>
        </row>
        <row r="24">
          <cell r="B24">
            <v>549716251203</v>
          </cell>
          <cell r="E24">
            <v>896</v>
          </cell>
        </row>
        <row r="25">
          <cell r="B25">
            <v>544216252005</v>
          </cell>
          <cell r="E25">
            <v>397</v>
          </cell>
        </row>
        <row r="26">
          <cell r="B26">
            <v>546816251206</v>
          </cell>
          <cell r="E26">
            <v>270</v>
          </cell>
        </row>
        <row r="27">
          <cell r="B27">
            <v>546516261201</v>
          </cell>
          <cell r="E27">
            <v>69</v>
          </cell>
        </row>
        <row r="28">
          <cell r="B28">
            <v>546816261206</v>
          </cell>
          <cell r="E28">
            <v>0</v>
          </cell>
        </row>
        <row r="29">
          <cell r="B29">
            <v>549716261206</v>
          </cell>
          <cell r="E29">
            <v>970</v>
          </cell>
        </row>
        <row r="30">
          <cell r="B30">
            <v>548516271202</v>
          </cell>
          <cell r="E30">
            <v>397</v>
          </cell>
        </row>
        <row r="31">
          <cell r="B31">
            <v>548516271201</v>
          </cell>
          <cell r="E31">
            <v>231</v>
          </cell>
        </row>
        <row r="32">
          <cell r="B32">
            <v>549716272002</v>
          </cell>
          <cell r="E32">
            <v>531</v>
          </cell>
        </row>
        <row r="33">
          <cell r="B33">
            <v>549716261202</v>
          </cell>
          <cell r="E33">
            <v>301</v>
          </cell>
        </row>
        <row r="34">
          <cell r="B34">
            <v>547816261201</v>
          </cell>
          <cell r="E34">
            <v>183</v>
          </cell>
        </row>
        <row r="35">
          <cell r="B35">
            <v>544516261206</v>
          </cell>
          <cell r="E35">
            <v>724</v>
          </cell>
        </row>
        <row r="36">
          <cell r="B36">
            <v>544216261221</v>
          </cell>
          <cell r="E36">
            <v>1210</v>
          </cell>
        </row>
        <row r="37">
          <cell r="B37">
            <v>546816261205</v>
          </cell>
          <cell r="E37">
            <v>55</v>
          </cell>
        </row>
        <row r="38">
          <cell r="B38">
            <v>546816261200</v>
          </cell>
          <cell r="E38">
            <v>459</v>
          </cell>
        </row>
        <row r="39">
          <cell r="B39">
            <v>549716261201</v>
          </cell>
          <cell r="E39">
            <v>397</v>
          </cell>
        </row>
        <row r="40">
          <cell r="B40">
            <v>549716261204</v>
          </cell>
          <cell r="E40">
            <v>255</v>
          </cell>
        </row>
        <row r="41">
          <cell r="B41">
            <v>546154600117</v>
          </cell>
          <cell r="E41">
            <v>200</v>
          </cell>
        </row>
        <row r="42">
          <cell r="B42">
            <v>546854600134</v>
          </cell>
          <cell r="E42">
            <v>1450</v>
          </cell>
        </row>
        <row r="43">
          <cell r="B43">
            <v>549054600159</v>
          </cell>
          <cell r="E43">
            <v>1000</v>
          </cell>
        </row>
        <row r="44">
          <cell r="B44">
            <v>544597314001</v>
          </cell>
          <cell r="E44">
            <v>1530</v>
          </cell>
        </row>
        <row r="45">
          <cell r="B45">
            <v>546597314001</v>
          </cell>
          <cell r="E45">
            <v>560</v>
          </cell>
        </row>
        <row r="46">
          <cell r="B46">
            <v>546897310101</v>
          </cell>
          <cell r="E46">
            <v>540</v>
          </cell>
        </row>
        <row r="47">
          <cell r="B47">
            <v>546597610101</v>
          </cell>
          <cell r="E47">
            <v>477</v>
          </cell>
        </row>
        <row r="48">
          <cell r="B48">
            <v>546816211204</v>
          </cell>
          <cell r="E48">
            <v>371</v>
          </cell>
        </row>
        <row r="49">
          <cell r="B49">
            <v>546816211205</v>
          </cell>
          <cell r="E49">
            <v>582</v>
          </cell>
        </row>
        <row r="50">
          <cell r="B50">
            <v>549716211202</v>
          </cell>
          <cell r="E50">
            <v>422</v>
          </cell>
        </row>
        <row r="51">
          <cell r="B51">
            <v>549716211201</v>
          </cell>
          <cell r="E51">
            <v>798</v>
          </cell>
        </row>
        <row r="52">
          <cell r="B52">
            <v>541216262016</v>
          </cell>
          <cell r="E52">
            <v>161</v>
          </cell>
        </row>
        <row r="53">
          <cell r="B53">
            <v>541216272022</v>
          </cell>
          <cell r="E53">
            <v>189</v>
          </cell>
        </row>
        <row r="54">
          <cell r="B54">
            <v>541216272025</v>
          </cell>
          <cell r="E54">
            <v>133</v>
          </cell>
        </row>
        <row r="55">
          <cell r="B55">
            <v>541216272026</v>
          </cell>
          <cell r="E55">
            <v>4</v>
          </cell>
        </row>
        <row r="56">
          <cell r="B56">
            <v>541254809948</v>
          </cell>
          <cell r="E56">
            <v>504</v>
          </cell>
        </row>
        <row r="57">
          <cell r="B57">
            <v>544516271226</v>
          </cell>
          <cell r="E57">
            <v>363</v>
          </cell>
        </row>
        <row r="58">
          <cell r="B58">
            <v>544516271227</v>
          </cell>
          <cell r="E58">
            <v>185</v>
          </cell>
        </row>
        <row r="59">
          <cell r="B59">
            <v>544516272013</v>
          </cell>
          <cell r="E59">
            <v>1290</v>
          </cell>
        </row>
        <row r="60">
          <cell r="B60">
            <v>546516262003</v>
          </cell>
          <cell r="E60">
            <v>650</v>
          </cell>
        </row>
        <row r="61">
          <cell r="B61">
            <v>546516272005</v>
          </cell>
          <cell r="E61">
            <v>168</v>
          </cell>
        </row>
        <row r="62">
          <cell r="B62">
            <v>546516272008</v>
          </cell>
          <cell r="E62">
            <v>286</v>
          </cell>
        </row>
        <row r="63">
          <cell r="B63">
            <v>546516272009</v>
          </cell>
          <cell r="E63">
            <v>366</v>
          </cell>
        </row>
        <row r="64">
          <cell r="B64">
            <v>546816271227</v>
          </cell>
          <cell r="E64">
            <v>329</v>
          </cell>
        </row>
        <row r="65">
          <cell r="B65">
            <v>546816271225</v>
          </cell>
          <cell r="E65">
            <v>81</v>
          </cell>
        </row>
        <row r="66">
          <cell r="B66">
            <v>547216262001</v>
          </cell>
          <cell r="E66">
            <v>87</v>
          </cell>
        </row>
        <row r="67">
          <cell r="B67">
            <v>547216262002</v>
          </cell>
          <cell r="E67">
            <v>595</v>
          </cell>
        </row>
        <row r="68">
          <cell r="B68">
            <v>547316271201</v>
          </cell>
          <cell r="E68">
            <v>67</v>
          </cell>
        </row>
        <row r="69">
          <cell r="B69">
            <v>547316271203</v>
          </cell>
          <cell r="E69">
            <v>72</v>
          </cell>
        </row>
        <row r="70">
          <cell r="B70">
            <v>547316271205</v>
          </cell>
          <cell r="E70">
            <v>382</v>
          </cell>
        </row>
        <row r="71">
          <cell r="B71">
            <v>547316272008</v>
          </cell>
          <cell r="E71">
            <v>279</v>
          </cell>
        </row>
        <row r="72">
          <cell r="B72">
            <v>546516272007</v>
          </cell>
          <cell r="E72">
            <v>131</v>
          </cell>
        </row>
        <row r="73">
          <cell r="B73">
            <v>544254504916</v>
          </cell>
          <cell r="E73">
            <v>2808</v>
          </cell>
        </row>
        <row r="74">
          <cell r="B74">
            <v>544283300103</v>
          </cell>
          <cell r="E74">
            <v>975</v>
          </cell>
        </row>
        <row r="75">
          <cell r="B75">
            <v>544554509904</v>
          </cell>
          <cell r="E75">
            <v>678</v>
          </cell>
        </row>
        <row r="76">
          <cell r="B76">
            <v>544254504990</v>
          </cell>
          <cell r="E76">
            <v>1304</v>
          </cell>
        </row>
        <row r="77">
          <cell r="B77">
            <v>546854509905</v>
          </cell>
          <cell r="E77">
            <v>0</v>
          </cell>
        </row>
        <row r="78">
          <cell r="B78">
            <v>544254500129</v>
          </cell>
          <cell r="E78">
            <v>0</v>
          </cell>
        </row>
        <row r="79">
          <cell r="B79">
            <v>549754509905</v>
          </cell>
          <cell r="E79">
            <v>646</v>
          </cell>
        </row>
        <row r="80">
          <cell r="B80">
            <v>549754509902</v>
          </cell>
          <cell r="E80">
            <v>1035</v>
          </cell>
        </row>
        <row r="81">
          <cell r="B81">
            <v>549754509909</v>
          </cell>
          <cell r="E81">
            <v>192</v>
          </cell>
        </row>
        <row r="82">
          <cell r="B82">
            <v>549754509908</v>
          </cell>
          <cell r="E82">
            <v>91</v>
          </cell>
        </row>
        <row r="83">
          <cell r="B83">
            <v>549754509910</v>
          </cell>
          <cell r="E83">
            <v>78</v>
          </cell>
        </row>
        <row r="84">
          <cell r="B84">
            <v>549754509903</v>
          </cell>
          <cell r="E84">
            <v>223</v>
          </cell>
        </row>
        <row r="85">
          <cell r="B85">
            <v>549754509904</v>
          </cell>
          <cell r="E85">
            <v>289</v>
          </cell>
        </row>
        <row r="86">
          <cell r="B86">
            <v>549754509916</v>
          </cell>
          <cell r="E86">
            <v>217</v>
          </cell>
        </row>
        <row r="87">
          <cell r="B87">
            <v>549754509917</v>
          </cell>
          <cell r="E87">
            <v>260</v>
          </cell>
        </row>
        <row r="88">
          <cell r="B88">
            <v>549754509913</v>
          </cell>
          <cell r="E88">
            <v>19</v>
          </cell>
        </row>
        <row r="89">
          <cell r="B89">
            <v>546854509919</v>
          </cell>
          <cell r="E89">
            <v>125</v>
          </cell>
        </row>
        <row r="90">
          <cell r="B90">
            <v>544546100105</v>
          </cell>
          <cell r="E90">
            <v>652</v>
          </cell>
        </row>
        <row r="91">
          <cell r="B91" t="str">
            <v>546568900102ZZ</v>
          </cell>
          <cell r="E91">
            <v>59</v>
          </cell>
        </row>
        <row r="92">
          <cell r="B92" t="str">
            <v>546568900207ZZ</v>
          </cell>
          <cell r="E92">
            <v>138</v>
          </cell>
        </row>
        <row r="93">
          <cell r="B93" t="str">
            <v>546568900135ZZ</v>
          </cell>
          <cell r="E93">
            <v>108</v>
          </cell>
        </row>
        <row r="94">
          <cell r="B94" t="str">
            <v>546668900101ZZ</v>
          </cell>
          <cell r="E94">
            <v>55</v>
          </cell>
        </row>
        <row r="95">
          <cell r="B95" t="str">
            <v>546668900103ZZ</v>
          </cell>
          <cell r="E95">
            <v>133</v>
          </cell>
        </row>
        <row r="96">
          <cell r="B96" t="str">
            <v>546668900102ZZ</v>
          </cell>
          <cell r="E96">
            <v>158</v>
          </cell>
        </row>
        <row r="97">
          <cell r="B97" t="str">
            <v>546568900132ZZ</v>
          </cell>
          <cell r="E97">
            <v>314</v>
          </cell>
        </row>
        <row r="98">
          <cell r="B98" t="str">
            <v>546568900133ZZ</v>
          </cell>
          <cell r="E98">
            <v>192</v>
          </cell>
        </row>
        <row r="99">
          <cell r="B99">
            <v>546816251200</v>
          </cell>
          <cell r="E99">
            <v>180</v>
          </cell>
        </row>
        <row r="100">
          <cell r="B100" t="str">
            <v>547368900133ZZ</v>
          </cell>
          <cell r="E100">
            <v>34</v>
          </cell>
        </row>
        <row r="101">
          <cell r="B101" t="str">
            <v>547368900102ZZ</v>
          </cell>
          <cell r="E101">
            <v>125</v>
          </cell>
        </row>
        <row r="102">
          <cell r="B102">
            <v>546546100104</v>
          </cell>
          <cell r="E102">
            <v>733</v>
          </cell>
        </row>
        <row r="103">
          <cell r="B103">
            <v>544246100119</v>
          </cell>
          <cell r="E103">
            <v>0</v>
          </cell>
        </row>
        <row r="104">
          <cell r="B104">
            <v>544546100101</v>
          </cell>
          <cell r="E104">
            <v>72</v>
          </cell>
        </row>
        <row r="105">
          <cell r="B105">
            <v>546546100101</v>
          </cell>
          <cell r="E105">
            <v>99</v>
          </cell>
        </row>
        <row r="106">
          <cell r="B106">
            <v>544546100104</v>
          </cell>
          <cell r="E106">
            <v>160</v>
          </cell>
        </row>
        <row r="107">
          <cell r="B107">
            <v>547846100101</v>
          </cell>
          <cell r="E107">
            <v>63</v>
          </cell>
        </row>
        <row r="108">
          <cell r="B108">
            <v>546554600112</v>
          </cell>
          <cell r="E108">
            <v>300</v>
          </cell>
        </row>
        <row r="109">
          <cell r="B109">
            <v>546854600235</v>
          </cell>
          <cell r="E109">
            <v>650</v>
          </cell>
        </row>
        <row r="110">
          <cell r="B110">
            <v>544254400233</v>
          </cell>
          <cell r="E110">
            <v>610</v>
          </cell>
        </row>
        <row r="111">
          <cell r="B111">
            <v>546568900106</v>
          </cell>
          <cell r="E111">
            <v>59</v>
          </cell>
        </row>
        <row r="112">
          <cell r="B112">
            <v>544568900249</v>
          </cell>
          <cell r="E112">
            <v>55</v>
          </cell>
        </row>
        <row r="113">
          <cell r="B113">
            <v>544583400212</v>
          </cell>
          <cell r="E113">
            <v>63</v>
          </cell>
        </row>
        <row r="114">
          <cell r="B114">
            <v>544283400218</v>
          </cell>
          <cell r="E114">
            <v>29</v>
          </cell>
        </row>
        <row r="115">
          <cell r="B115">
            <v>544283407704</v>
          </cell>
          <cell r="E115">
            <v>470</v>
          </cell>
        </row>
        <row r="116">
          <cell r="B116">
            <v>546883400102</v>
          </cell>
          <cell r="E116">
            <v>96</v>
          </cell>
        </row>
        <row r="117">
          <cell r="B117">
            <v>544583400202</v>
          </cell>
          <cell r="E117">
            <v>18</v>
          </cell>
        </row>
        <row r="118">
          <cell r="B118">
            <v>544583400203</v>
          </cell>
          <cell r="E118">
            <v>92</v>
          </cell>
        </row>
        <row r="119">
          <cell r="B119">
            <v>544583400210</v>
          </cell>
          <cell r="E119">
            <v>88</v>
          </cell>
        </row>
        <row r="120">
          <cell r="B120">
            <v>547383406305</v>
          </cell>
          <cell r="E120">
            <v>19</v>
          </cell>
        </row>
        <row r="121">
          <cell r="B121">
            <v>547383406306</v>
          </cell>
          <cell r="E121">
            <v>39</v>
          </cell>
        </row>
        <row r="122">
          <cell r="B122">
            <v>541283400223</v>
          </cell>
          <cell r="E122">
            <v>15</v>
          </cell>
        </row>
        <row r="123">
          <cell r="B123">
            <v>546583406302</v>
          </cell>
          <cell r="E123">
            <v>45</v>
          </cell>
        </row>
        <row r="124">
          <cell r="B124">
            <v>546583406308</v>
          </cell>
          <cell r="E124">
            <v>58</v>
          </cell>
        </row>
        <row r="125">
          <cell r="B125">
            <v>541283400224</v>
          </cell>
          <cell r="E125">
            <v>16</v>
          </cell>
        </row>
        <row r="126">
          <cell r="B126">
            <v>546583406310</v>
          </cell>
          <cell r="E126">
            <v>36</v>
          </cell>
        </row>
        <row r="127">
          <cell r="B127">
            <v>549754600173</v>
          </cell>
          <cell r="E127">
            <v>107</v>
          </cell>
        </row>
        <row r="128">
          <cell r="B128">
            <v>549754600111</v>
          </cell>
          <cell r="E128">
            <v>44</v>
          </cell>
        </row>
        <row r="129">
          <cell r="B129">
            <v>549754610173</v>
          </cell>
          <cell r="E129">
            <v>26</v>
          </cell>
        </row>
        <row r="130">
          <cell r="B130">
            <v>549754600113</v>
          </cell>
          <cell r="E130">
            <v>11</v>
          </cell>
        </row>
        <row r="131">
          <cell r="B131">
            <v>549754600104</v>
          </cell>
          <cell r="E131">
            <v>19</v>
          </cell>
        </row>
        <row r="132">
          <cell r="B132">
            <v>549754600180</v>
          </cell>
          <cell r="E132">
            <v>26</v>
          </cell>
        </row>
        <row r="133">
          <cell r="B133">
            <v>549754600102</v>
          </cell>
          <cell r="E133">
            <v>26</v>
          </cell>
        </row>
        <row r="134">
          <cell r="B134">
            <v>549754600106</v>
          </cell>
          <cell r="E134">
            <v>73</v>
          </cell>
        </row>
        <row r="135">
          <cell r="B135">
            <v>549754600128</v>
          </cell>
          <cell r="E135">
            <v>13</v>
          </cell>
        </row>
        <row r="136">
          <cell r="B136">
            <v>549754600124</v>
          </cell>
          <cell r="E136">
            <v>26</v>
          </cell>
        </row>
        <row r="137">
          <cell r="B137">
            <v>549754600231</v>
          </cell>
          <cell r="E137">
            <v>21</v>
          </cell>
        </row>
        <row r="138">
          <cell r="B138">
            <v>549754610188</v>
          </cell>
          <cell r="E138">
            <v>38</v>
          </cell>
        </row>
        <row r="139">
          <cell r="B139">
            <v>549754600108</v>
          </cell>
          <cell r="E139">
            <v>14</v>
          </cell>
        </row>
        <row r="140">
          <cell r="B140">
            <v>549754600120</v>
          </cell>
          <cell r="E140">
            <v>20</v>
          </cell>
        </row>
        <row r="141">
          <cell r="B141">
            <v>549754600126</v>
          </cell>
          <cell r="E141">
            <v>13</v>
          </cell>
        </row>
        <row r="142">
          <cell r="B142">
            <v>549754600189</v>
          </cell>
          <cell r="E142">
            <v>3</v>
          </cell>
        </row>
        <row r="143">
          <cell r="B143">
            <v>549754600119</v>
          </cell>
          <cell r="E143">
            <v>38</v>
          </cell>
        </row>
        <row r="144">
          <cell r="B144">
            <v>549754600227</v>
          </cell>
          <cell r="E144">
            <v>23</v>
          </cell>
        </row>
        <row r="145">
          <cell r="B145">
            <v>549754600188</v>
          </cell>
          <cell r="E145">
            <v>9</v>
          </cell>
        </row>
        <row r="146">
          <cell r="B146">
            <v>549754600127</v>
          </cell>
          <cell r="E146">
            <v>16</v>
          </cell>
        </row>
        <row r="147">
          <cell r="B147">
            <v>549754600109</v>
          </cell>
          <cell r="E147">
            <v>32</v>
          </cell>
        </row>
        <row r="148">
          <cell r="B148">
            <v>549754600110</v>
          </cell>
          <cell r="E148">
            <v>10</v>
          </cell>
        </row>
        <row r="149">
          <cell r="B149">
            <v>549754610185</v>
          </cell>
          <cell r="E149">
            <v>24</v>
          </cell>
        </row>
        <row r="150">
          <cell r="B150">
            <v>549754600186</v>
          </cell>
          <cell r="E150">
            <v>18</v>
          </cell>
        </row>
        <row r="151">
          <cell r="B151">
            <v>549754600112</v>
          </cell>
          <cell r="E151">
            <v>21</v>
          </cell>
        </row>
        <row r="152">
          <cell r="B152">
            <v>549754600233</v>
          </cell>
          <cell r="E152">
            <v>12</v>
          </cell>
        </row>
        <row r="153">
          <cell r="B153">
            <v>549754610187</v>
          </cell>
          <cell r="E153">
            <v>3</v>
          </cell>
        </row>
        <row r="154">
          <cell r="B154">
            <v>549754620179</v>
          </cell>
          <cell r="E154">
            <v>0</v>
          </cell>
        </row>
        <row r="155">
          <cell r="B155">
            <v>544554640104</v>
          </cell>
          <cell r="E155">
            <v>1</v>
          </cell>
        </row>
        <row r="156">
          <cell r="B156">
            <v>544254640388</v>
          </cell>
          <cell r="E156">
            <v>1</v>
          </cell>
        </row>
        <row r="157">
          <cell r="B157">
            <v>544254640389</v>
          </cell>
          <cell r="E157">
            <v>1</v>
          </cell>
        </row>
        <row r="158">
          <cell r="B158">
            <v>544254640390</v>
          </cell>
          <cell r="E158">
            <v>1</v>
          </cell>
        </row>
        <row r="159">
          <cell r="B159">
            <v>544254640270</v>
          </cell>
          <cell r="E159">
            <v>1</v>
          </cell>
        </row>
        <row r="160">
          <cell r="B160">
            <v>544254640386</v>
          </cell>
          <cell r="E160">
            <v>2</v>
          </cell>
        </row>
        <row r="161">
          <cell r="B161">
            <v>544254640391</v>
          </cell>
          <cell r="E161">
            <v>1</v>
          </cell>
        </row>
        <row r="162">
          <cell r="B162">
            <v>544254640253</v>
          </cell>
          <cell r="E162">
            <v>1</v>
          </cell>
        </row>
        <row r="163">
          <cell r="B163">
            <v>544254640276</v>
          </cell>
          <cell r="E163">
            <v>1</v>
          </cell>
        </row>
        <row r="164">
          <cell r="B164">
            <v>544254640268</v>
          </cell>
          <cell r="E164">
            <v>1</v>
          </cell>
        </row>
        <row r="165">
          <cell r="B165">
            <v>544254640203</v>
          </cell>
          <cell r="E165">
            <v>6</v>
          </cell>
        </row>
        <row r="166">
          <cell r="B166">
            <v>544254640205</v>
          </cell>
          <cell r="E166">
            <v>5</v>
          </cell>
        </row>
        <row r="167">
          <cell r="B167">
            <v>544254640217</v>
          </cell>
          <cell r="E167">
            <v>7</v>
          </cell>
        </row>
        <row r="168">
          <cell r="B168">
            <v>544254640216</v>
          </cell>
          <cell r="E168">
            <v>14</v>
          </cell>
        </row>
        <row r="169">
          <cell r="B169">
            <v>544254640267</v>
          </cell>
          <cell r="E169">
            <v>4</v>
          </cell>
        </row>
        <row r="170">
          <cell r="B170">
            <v>544254640251</v>
          </cell>
          <cell r="E170">
            <v>4</v>
          </cell>
        </row>
        <row r="171">
          <cell r="B171">
            <v>544254640202</v>
          </cell>
          <cell r="E171">
            <v>6</v>
          </cell>
        </row>
        <row r="172">
          <cell r="B172">
            <v>546854600163</v>
          </cell>
          <cell r="E172">
            <v>9</v>
          </cell>
        </row>
        <row r="173">
          <cell r="B173">
            <v>546854600104</v>
          </cell>
          <cell r="E173">
            <v>15</v>
          </cell>
        </row>
        <row r="174">
          <cell r="B174">
            <v>546854600231</v>
          </cell>
          <cell r="E174">
            <v>10</v>
          </cell>
        </row>
        <row r="175">
          <cell r="B175">
            <v>546854600160</v>
          </cell>
          <cell r="E175">
            <v>8</v>
          </cell>
        </row>
        <row r="176">
          <cell r="B176">
            <v>546854600167</v>
          </cell>
          <cell r="E176">
            <v>26</v>
          </cell>
        </row>
        <row r="177">
          <cell r="B177">
            <v>546854600210</v>
          </cell>
          <cell r="E177">
            <v>1</v>
          </cell>
        </row>
        <row r="178">
          <cell r="B178">
            <v>546854600119</v>
          </cell>
          <cell r="E178">
            <v>1</v>
          </cell>
        </row>
        <row r="179">
          <cell r="B179">
            <v>546854600171</v>
          </cell>
          <cell r="E179">
            <v>1</v>
          </cell>
        </row>
        <row r="180">
          <cell r="B180">
            <v>546854600180</v>
          </cell>
          <cell r="E180">
            <v>1</v>
          </cell>
        </row>
        <row r="181">
          <cell r="B181">
            <v>546854600102</v>
          </cell>
          <cell r="E181">
            <v>12</v>
          </cell>
        </row>
        <row r="182">
          <cell r="B182">
            <v>546854650116</v>
          </cell>
          <cell r="E182">
            <v>107</v>
          </cell>
        </row>
        <row r="183">
          <cell r="B183">
            <v>546854650111</v>
          </cell>
          <cell r="E183">
            <v>122</v>
          </cell>
        </row>
        <row r="184">
          <cell r="B184">
            <v>546854650110</v>
          </cell>
          <cell r="E184">
            <v>14</v>
          </cell>
        </row>
        <row r="185">
          <cell r="B185">
            <v>546854650101</v>
          </cell>
          <cell r="E185">
            <v>6</v>
          </cell>
        </row>
        <row r="186">
          <cell r="B186">
            <v>546854650102</v>
          </cell>
          <cell r="E186">
            <v>7</v>
          </cell>
        </row>
        <row r="187">
          <cell r="B187">
            <v>546854650115</v>
          </cell>
          <cell r="E187">
            <v>41</v>
          </cell>
        </row>
        <row r="188">
          <cell r="B188">
            <v>546854600101</v>
          </cell>
          <cell r="E188">
            <v>1</v>
          </cell>
        </row>
        <row r="189">
          <cell r="B189">
            <v>547354600105</v>
          </cell>
          <cell r="E189">
            <v>11</v>
          </cell>
        </row>
        <row r="190">
          <cell r="B190">
            <v>547354600109</v>
          </cell>
          <cell r="E190">
            <v>1</v>
          </cell>
        </row>
        <row r="191">
          <cell r="B191">
            <v>547354600113</v>
          </cell>
          <cell r="E191">
            <v>26</v>
          </cell>
        </row>
        <row r="192">
          <cell r="B192">
            <v>547354600114</v>
          </cell>
          <cell r="E192">
            <v>0</v>
          </cell>
        </row>
        <row r="193">
          <cell r="B193">
            <v>547354600194</v>
          </cell>
          <cell r="E193">
            <v>2</v>
          </cell>
        </row>
        <row r="194">
          <cell r="B194">
            <v>547354600107</v>
          </cell>
          <cell r="E194">
            <v>0</v>
          </cell>
        </row>
        <row r="195">
          <cell r="B195">
            <v>547354600108</v>
          </cell>
          <cell r="E195">
            <v>3</v>
          </cell>
        </row>
        <row r="196">
          <cell r="B196">
            <v>547354600110</v>
          </cell>
          <cell r="E196">
            <v>0</v>
          </cell>
        </row>
        <row r="197">
          <cell r="B197">
            <v>547854600107</v>
          </cell>
          <cell r="E197">
            <v>0</v>
          </cell>
        </row>
        <row r="198">
          <cell r="B198">
            <v>547854600148</v>
          </cell>
          <cell r="E198">
            <v>0</v>
          </cell>
        </row>
        <row r="199">
          <cell r="B199">
            <v>547854600167</v>
          </cell>
          <cell r="E199">
            <v>1</v>
          </cell>
        </row>
        <row r="200">
          <cell r="B200">
            <v>547854600169</v>
          </cell>
          <cell r="E200">
            <v>0</v>
          </cell>
        </row>
        <row r="201">
          <cell r="B201">
            <v>547854600208</v>
          </cell>
          <cell r="E201">
            <v>0</v>
          </cell>
        </row>
        <row r="202">
          <cell r="B202">
            <v>547854600164</v>
          </cell>
          <cell r="E202">
            <v>0</v>
          </cell>
        </row>
        <row r="203">
          <cell r="B203">
            <v>547854600207</v>
          </cell>
          <cell r="E203">
            <v>0</v>
          </cell>
        </row>
        <row r="204">
          <cell r="B204">
            <v>547854600168</v>
          </cell>
          <cell r="E204">
            <v>0</v>
          </cell>
        </row>
        <row r="205">
          <cell r="B205">
            <v>547854600105</v>
          </cell>
          <cell r="E205">
            <v>2</v>
          </cell>
        </row>
        <row r="206">
          <cell r="B206">
            <v>547854600109</v>
          </cell>
          <cell r="E206">
            <v>0</v>
          </cell>
        </row>
        <row r="207">
          <cell r="B207">
            <v>547854600160</v>
          </cell>
          <cell r="E207">
            <v>1</v>
          </cell>
        </row>
        <row r="208">
          <cell r="B208">
            <v>547854600166</v>
          </cell>
          <cell r="E208">
            <v>0</v>
          </cell>
        </row>
        <row r="209">
          <cell r="B209">
            <v>547854600111</v>
          </cell>
          <cell r="E209">
            <v>0</v>
          </cell>
        </row>
        <row r="210">
          <cell r="B210">
            <v>547954600107</v>
          </cell>
          <cell r="E210">
            <v>1</v>
          </cell>
        </row>
        <row r="211">
          <cell r="B211">
            <v>547954600121</v>
          </cell>
          <cell r="E211">
            <v>0</v>
          </cell>
        </row>
        <row r="212">
          <cell r="B212">
            <v>547954600122</v>
          </cell>
          <cell r="E212">
            <v>0</v>
          </cell>
        </row>
        <row r="213">
          <cell r="B213">
            <v>547954600130</v>
          </cell>
          <cell r="E213">
            <v>0</v>
          </cell>
        </row>
        <row r="214">
          <cell r="B214">
            <v>547954600132</v>
          </cell>
          <cell r="E214">
            <v>2</v>
          </cell>
        </row>
        <row r="215">
          <cell r="B215">
            <v>547954600144</v>
          </cell>
          <cell r="E215">
            <v>2</v>
          </cell>
        </row>
        <row r="216">
          <cell r="B216">
            <v>547954600127</v>
          </cell>
          <cell r="E216">
            <v>0</v>
          </cell>
        </row>
        <row r="217">
          <cell r="B217">
            <v>547954600116</v>
          </cell>
          <cell r="E217">
            <v>0</v>
          </cell>
        </row>
        <row r="218">
          <cell r="B218">
            <v>547954600108</v>
          </cell>
          <cell r="E218">
            <v>3</v>
          </cell>
        </row>
        <row r="219">
          <cell r="B219">
            <v>547954600110</v>
          </cell>
          <cell r="E219">
            <v>2</v>
          </cell>
        </row>
        <row r="220">
          <cell r="B220">
            <v>547954600142</v>
          </cell>
          <cell r="E220">
            <v>0</v>
          </cell>
        </row>
        <row r="221">
          <cell r="B221">
            <v>547954600131</v>
          </cell>
          <cell r="E221">
            <v>0</v>
          </cell>
        </row>
        <row r="222">
          <cell r="B222">
            <v>547954600123</v>
          </cell>
          <cell r="E222">
            <v>0</v>
          </cell>
        </row>
        <row r="223">
          <cell r="B223">
            <v>547954600145</v>
          </cell>
          <cell r="E223">
            <v>0</v>
          </cell>
        </row>
        <row r="224">
          <cell r="B224">
            <v>547954600143</v>
          </cell>
          <cell r="E224">
            <v>2</v>
          </cell>
        </row>
        <row r="225">
          <cell r="B225">
            <v>547954600133</v>
          </cell>
          <cell r="E225">
            <v>4</v>
          </cell>
        </row>
        <row r="226">
          <cell r="B226">
            <v>547954600174</v>
          </cell>
          <cell r="E226">
            <v>1</v>
          </cell>
        </row>
        <row r="227">
          <cell r="B227">
            <v>548654600113</v>
          </cell>
          <cell r="E227">
            <v>3</v>
          </cell>
        </row>
        <row r="228">
          <cell r="B228">
            <v>548654600114</v>
          </cell>
          <cell r="E228">
            <v>0</v>
          </cell>
        </row>
        <row r="229">
          <cell r="B229">
            <v>548654600118</v>
          </cell>
          <cell r="E229">
            <v>23</v>
          </cell>
        </row>
        <row r="230">
          <cell r="B230">
            <v>548654600119</v>
          </cell>
          <cell r="E230">
            <v>1</v>
          </cell>
        </row>
        <row r="231">
          <cell r="B231">
            <v>548654600206</v>
          </cell>
          <cell r="E231">
            <v>1</v>
          </cell>
        </row>
        <row r="232">
          <cell r="B232">
            <v>548654600234</v>
          </cell>
          <cell r="E232">
            <v>0</v>
          </cell>
        </row>
        <row r="233">
          <cell r="B233">
            <v>548654600236</v>
          </cell>
          <cell r="E233">
            <v>0</v>
          </cell>
        </row>
        <row r="234">
          <cell r="B234">
            <v>548654600233</v>
          </cell>
          <cell r="E234">
            <v>0</v>
          </cell>
        </row>
        <row r="235">
          <cell r="B235">
            <v>548654600107</v>
          </cell>
          <cell r="E235">
            <v>5</v>
          </cell>
        </row>
        <row r="236">
          <cell r="B236">
            <v>548654600106</v>
          </cell>
          <cell r="E236">
            <v>2</v>
          </cell>
        </row>
        <row r="237">
          <cell r="B237">
            <v>548654600109</v>
          </cell>
          <cell r="E237">
            <v>5</v>
          </cell>
        </row>
        <row r="238">
          <cell r="B238">
            <v>548654600235</v>
          </cell>
          <cell r="E238">
            <v>0</v>
          </cell>
        </row>
        <row r="239">
          <cell r="B239">
            <v>548654600205</v>
          </cell>
          <cell r="E239">
            <v>4</v>
          </cell>
        </row>
        <row r="240">
          <cell r="B240">
            <v>548654600108</v>
          </cell>
          <cell r="E240">
            <v>2</v>
          </cell>
        </row>
        <row r="241">
          <cell r="B241">
            <v>548654600112</v>
          </cell>
          <cell r="E241">
            <v>3</v>
          </cell>
        </row>
        <row r="242">
          <cell r="B242">
            <v>548654600207</v>
          </cell>
          <cell r="E242">
            <v>0</v>
          </cell>
        </row>
        <row r="243">
          <cell r="B243">
            <v>548654600204</v>
          </cell>
          <cell r="E243">
            <v>1</v>
          </cell>
        </row>
        <row r="244">
          <cell r="B244">
            <v>548654600117</v>
          </cell>
          <cell r="E244">
            <v>0</v>
          </cell>
        </row>
        <row r="245">
          <cell r="B245">
            <v>549054600181</v>
          </cell>
          <cell r="E245">
            <v>1</v>
          </cell>
        </row>
        <row r="246">
          <cell r="B246">
            <v>549054600182</v>
          </cell>
          <cell r="E246">
            <v>2</v>
          </cell>
        </row>
        <row r="247">
          <cell r="B247">
            <v>549054600117</v>
          </cell>
          <cell r="E247">
            <v>2</v>
          </cell>
        </row>
        <row r="248">
          <cell r="B248">
            <v>549054600113</v>
          </cell>
          <cell r="E248">
            <v>0</v>
          </cell>
        </row>
        <row r="249">
          <cell r="B249">
            <v>549054600216</v>
          </cell>
          <cell r="E249">
            <v>0</v>
          </cell>
        </row>
        <row r="250">
          <cell r="B250">
            <v>549054600219</v>
          </cell>
          <cell r="E250">
            <v>0</v>
          </cell>
        </row>
        <row r="251">
          <cell r="B251">
            <v>549054600107</v>
          </cell>
          <cell r="E251">
            <v>16</v>
          </cell>
        </row>
        <row r="252">
          <cell r="B252">
            <v>549054600115</v>
          </cell>
          <cell r="E252">
            <v>1</v>
          </cell>
        </row>
        <row r="253">
          <cell r="B253">
            <v>549054600108</v>
          </cell>
          <cell r="E253">
            <v>1</v>
          </cell>
        </row>
        <row r="254">
          <cell r="B254">
            <v>549054600111</v>
          </cell>
          <cell r="E254">
            <v>2</v>
          </cell>
        </row>
        <row r="255">
          <cell r="B255">
            <v>549054600109</v>
          </cell>
          <cell r="E255">
            <v>2</v>
          </cell>
        </row>
        <row r="256">
          <cell r="B256">
            <v>549054600112</v>
          </cell>
          <cell r="E256">
            <v>0</v>
          </cell>
        </row>
        <row r="257">
          <cell r="B257">
            <v>549054600116</v>
          </cell>
          <cell r="E257">
            <v>0</v>
          </cell>
        </row>
        <row r="258">
          <cell r="B258">
            <v>549054600106</v>
          </cell>
          <cell r="E258">
            <v>4</v>
          </cell>
        </row>
        <row r="259">
          <cell r="B259">
            <v>549054600110</v>
          </cell>
          <cell r="E259">
            <v>0</v>
          </cell>
        </row>
        <row r="260">
          <cell r="B260">
            <v>546654600332</v>
          </cell>
          <cell r="E260">
            <v>8</v>
          </cell>
        </row>
        <row r="261">
          <cell r="B261">
            <v>546654600266</v>
          </cell>
          <cell r="E261">
            <v>1</v>
          </cell>
        </row>
        <row r="262">
          <cell r="B262">
            <v>546654600261</v>
          </cell>
          <cell r="E262">
            <v>1</v>
          </cell>
        </row>
        <row r="263">
          <cell r="B263">
            <v>546654600270</v>
          </cell>
          <cell r="E263">
            <v>47</v>
          </cell>
        </row>
        <row r="264">
          <cell r="B264">
            <v>546554600356</v>
          </cell>
          <cell r="E264">
            <v>12</v>
          </cell>
        </row>
        <row r="265">
          <cell r="B265">
            <v>546554610260</v>
          </cell>
          <cell r="E265">
            <v>4</v>
          </cell>
        </row>
        <row r="266">
          <cell r="B266">
            <v>546554610261</v>
          </cell>
          <cell r="E266">
            <v>2</v>
          </cell>
        </row>
        <row r="267">
          <cell r="B267">
            <v>546554610270</v>
          </cell>
          <cell r="E267">
            <v>4</v>
          </cell>
        </row>
        <row r="268">
          <cell r="B268">
            <v>546554610276</v>
          </cell>
          <cell r="E268">
            <v>1</v>
          </cell>
        </row>
        <row r="269">
          <cell r="B269">
            <v>546554610295</v>
          </cell>
          <cell r="E269">
            <v>0</v>
          </cell>
        </row>
        <row r="270">
          <cell r="B270">
            <v>546554610285</v>
          </cell>
          <cell r="E270">
            <v>0</v>
          </cell>
        </row>
        <row r="271">
          <cell r="B271">
            <v>546554600353</v>
          </cell>
          <cell r="E271">
            <v>2</v>
          </cell>
        </row>
        <row r="272">
          <cell r="B272">
            <v>546554600351</v>
          </cell>
          <cell r="E272">
            <v>0</v>
          </cell>
        </row>
        <row r="273">
          <cell r="B273">
            <v>546554600348</v>
          </cell>
          <cell r="E273">
            <v>5</v>
          </cell>
        </row>
        <row r="274">
          <cell r="B274">
            <v>546554600307</v>
          </cell>
          <cell r="E274">
            <v>0</v>
          </cell>
        </row>
        <row r="275">
          <cell r="B275">
            <v>544283400237</v>
          </cell>
          <cell r="E275">
            <v>3</v>
          </cell>
        </row>
        <row r="276">
          <cell r="B276">
            <v>544283400189</v>
          </cell>
          <cell r="E276">
            <v>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 Punch"/>
      <sheetName val="Sheet1"/>
      <sheetName val="BIW Lifting A Shift"/>
      <sheetName val="BIW Lifting B Shift"/>
      <sheetName val="Daywise Dispatch"/>
      <sheetName val="3 D P"/>
      <sheetName val="FLOAT"/>
      <sheetName val="Consumption MTD"/>
      <sheetName val="Fresh VIN Gen"/>
    </sheetNames>
    <sheetDataSet>
      <sheetData sheetId="0" refreshError="1"/>
      <sheetData sheetId="1" refreshError="1">
        <row r="4">
          <cell r="D4" t="str">
            <v>AB12 Part No</v>
          </cell>
          <cell r="E4" t="str">
            <v>VC No</v>
          </cell>
          <cell r="F4" t="str">
            <v>Model</v>
          </cell>
          <cell r="G4" t="str">
            <v>PLAN</v>
          </cell>
        </row>
        <row r="5">
          <cell r="D5">
            <v>544254630390</v>
          </cell>
          <cell r="E5" t="str">
            <v>54425125A</v>
          </cell>
          <cell r="F5" t="str">
            <v>ALTROZ XE 1.2P BS6GEN1+</v>
          </cell>
          <cell r="G5">
            <v>0</v>
          </cell>
        </row>
        <row r="6">
          <cell r="D6">
            <v>544254600375</v>
          </cell>
          <cell r="E6" t="str">
            <v>54421826A</v>
          </cell>
          <cell r="F6" t="str">
            <v>ALTROZ XE 1.2 P BS6 PH2 (REVARIANT)</v>
          </cell>
          <cell r="G6">
            <v>0</v>
          </cell>
        </row>
        <row r="7">
          <cell r="D7">
            <v>544254630392</v>
          </cell>
          <cell r="E7" t="str">
            <v>54420225A</v>
          </cell>
          <cell r="F7" t="str">
            <v>Altroz XE+ Diesel</v>
          </cell>
          <cell r="G7">
            <v>0</v>
          </cell>
        </row>
        <row r="8">
          <cell r="D8"/>
          <cell r="E8" t="str">
            <v>54426225A</v>
          </cell>
          <cell r="F8" t="str">
            <v>ALTROZ XE+ 1.2P BS6GEN1+</v>
          </cell>
          <cell r="G8">
            <v>0</v>
          </cell>
        </row>
        <row r="9">
          <cell r="D9">
            <v>544254600376</v>
          </cell>
          <cell r="E9" t="str">
            <v>54422126A</v>
          </cell>
          <cell r="F9" t="str">
            <v>ALTROZ XM 1.2P BS6 PH2(REVARIANT)</v>
          </cell>
          <cell r="G9">
            <v>0</v>
          </cell>
        </row>
        <row r="10">
          <cell r="D10">
            <v>544254600377</v>
          </cell>
          <cell r="E10" t="str">
            <v>54422026A</v>
          </cell>
          <cell r="F10" t="str">
            <v>ALTROZ XM (S)1.2P  BS6 PH2(REVARIANT)</v>
          </cell>
          <cell r="G10">
            <v>0</v>
          </cell>
        </row>
        <row r="11">
          <cell r="D11">
            <v>544254630391</v>
          </cell>
          <cell r="E11" t="str">
            <v>54426325A</v>
          </cell>
          <cell r="F11" t="str">
            <v>ALTROZ XM+ 1.2P BS6GEN1+</v>
          </cell>
          <cell r="G11">
            <v>0</v>
          </cell>
        </row>
        <row r="12">
          <cell r="D12"/>
          <cell r="E12" t="str">
            <v>54420425A</v>
          </cell>
          <cell r="F12" t="str">
            <v>Altroz XM + Diesel</v>
          </cell>
          <cell r="G12">
            <v>0</v>
          </cell>
        </row>
        <row r="13">
          <cell r="D13">
            <v>544254600378</v>
          </cell>
          <cell r="E13" t="str">
            <v>54422226A</v>
          </cell>
          <cell r="F13" t="str">
            <v>ALTROZ XM+ 1.2P BS6 PH2(REVARIANT)</v>
          </cell>
          <cell r="G13">
            <v>0</v>
          </cell>
        </row>
        <row r="14">
          <cell r="D14">
            <v>544254630393</v>
          </cell>
          <cell r="E14" t="str">
            <v>54421625A</v>
          </cell>
          <cell r="F14" t="str">
            <v>Altroz XM + DCT</v>
          </cell>
          <cell r="G14">
            <v>0</v>
          </cell>
        </row>
        <row r="15">
          <cell r="D15">
            <v>544254630414</v>
          </cell>
          <cell r="E15" t="str">
            <v>54420226A</v>
          </cell>
          <cell r="F15" t="str">
            <v>Altroz XM + Diesel Sun-roof</v>
          </cell>
          <cell r="G15">
            <v>0</v>
          </cell>
        </row>
        <row r="16">
          <cell r="D16"/>
          <cell r="E16" t="str">
            <v>54426326A</v>
          </cell>
          <cell r="F16" t="str">
            <v>ALTROZ XM+(S) 1.2P MT BS6</v>
          </cell>
          <cell r="G16">
            <v>0</v>
          </cell>
        </row>
        <row r="17">
          <cell r="D17">
            <v>544254600508</v>
          </cell>
          <cell r="E17" t="str">
            <v>54422326A</v>
          </cell>
          <cell r="F17" t="str">
            <v>ALTROZ XM + (S)1.2P  BS6 PH2(REVARIANT)</v>
          </cell>
          <cell r="G17">
            <v>0</v>
          </cell>
        </row>
        <row r="18">
          <cell r="D18">
            <v>544254630421</v>
          </cell>
          <cell r="E18" t="str">
            <v>54426526A</v>
          </cell>
          <cell r="F18" t="str">
            <v>ALTROZ DCA XM+(S)1.2P BS6PH2</v>
          </cell>
          <cell r="G18">
            <v>0</v>
          </cell>
        </row>
        <row r="19">
          <cell r="D19">
            <v>544254630255</v>
          </cell>
          <cell r="E19" t="str">
            <v>54420525A</v>
          </cell>
          <cell r="F19" t="str">
            <v>Altroz XT with FATC</v>
          </cell>
          <cell r="G19">
            <v>0</v>
          </cell>
        </row>
        <row r="20">
          <cell r="D20"/>
          <cell r="E20" t="str">
            <v>54420925A</v>
          </cell>
          <cell r="F20"/>
          <cell r="G20">
            <v>0</v>
          </cell>
        </row>
        <row r="21">
          <cell r="D21"/>
          <cell r="E21" t="str">
            <v>54422125A</v>
          </cell>
          <cell r="F21"/>
          <cell r="G21">
            <v>0</v>
          </cell>
        </row>
        <row r="22">
          <cell r="D22"/>
          <cell r="E22" t="str">
            <v>54425325A</v>
          </cell>
          <cell r="F22"/>
          <cell r="G22">
            <v>0</v>
          </cell>
        </row>
        <row r="23">
          <cell r="D23">
            <v>544254600510</v>
          </cell>
          <cell r="E23" t="str">
            <v>54421926A</v>
          </cell>
          <cell r="F23" t="str">
            <v>ALTROZ XT 1.2 P BS6 PH2 (REVARIANT)</v>
          </cell>
          <cell r="G23">
            <v>0</v>
          </cell>
        </row>
        <row r="24">
          <cell r="D24">
            <v>544254630265</v>
          </cell>
          <cell r="E24" t="str">
            <v>54421725A</v>
          </cell>
          <cell r="F24" t="str">
            <v>Altroz XT DCT, XT DCT DARK</v>
          </cell>
          <cell r="G24">
            <v>0</v>
          </cell>
        </row>
        <row r="25">
          <cell r="D25"/>
          <cell r="E25" t="str">
            <v>54425525A</v>
          </cell>
          <cell r="F25"/>
          <cell r="G25">
            <v>0</v>
          </cell>
        </row>
        <row r="26">
          <cell r="D26">
            <v>544254630254</v>
          </cell>
          <cell r="E26" t="str">
            <v>54420625A</v>
          </cell>
          <cell r="F26" t="str">
            <v>ALTROZ XZ1.5RTQ MT BS6PH2</v>
          </cell>
          <cell r="G26">
            <v>0</v>
          </cell>
        </row>
        <row r="27">
          <cell r="D27"/>
          <cell r="E27" t="str">
            <v>54425425A</v>
          </cell>
          <cell r="F27"/>
          <cell r="G27">
            <v>0</v>
          </cell>
        </row>
        <row r="28">
          <cell r="D28"/>
          <cell r="E28" t="str">
            <v>54425925A</v>
          </cell>
          <cell r="F28"/>
          <cell r="G28">
            <v>0</v>
          </cell>
        </row>
        <row r="29">
          <cell r="D29">
            <v>544254630264</v>
          </cell>
          <cell r="E29" t="str">
            <v>54425625A</v>
          </cell>
          <cell r="F29" t="str">
            <v>Altroz XZ DCT</v>
          </cell>
          <cell r="G29">
            <v>0</v>
          </cell>
        </row>
        <row r="30">
          <cell r="D30">
            <v>544254630435</v>
          </cell>
          <cell r="E30" t="str">
            <v>54420825A</v>
          </cell>
          <cell r="F30" t="str">
            <v xml:space="preserve">Altroz XZ+, XZ+ DARK, XZ+ TC </v>
          </cell>
          <cell r="G30">
            <v>0</v>
          </cell>
        </row>
        <row r="31">
          <cell r="D31"/>
          <cell r="E31" t="str">
            <v>54420725A</v>
          </cell>
          <cell r="F31"/>
          <cell r="G31">
            <v>0</v>
          </cell>
        </row>
        <row r="32">
          <cell r="D32"/>
          <cell r="E32" t="str">
            <v>54427725A</v>
          </cell>
          <cell r="F32"/>
          <cell r="G32">
            <v>0</v>
          </cell>
        </row>
        <row r="33">
          <cell r="D33"/>
          <cell r="E33" t="str">
            <v>54422225A</v>
          </cell>
          <cell r="F33"/>
          <cell r="G33">
            <v>0</v>
          </cell>
        </row>
        <row r="34">
          <cell r="D34"/>
          <cell r="E34" t="str">
            <v>54427625A</v>
          </cell>
          <cell r="F34"/>
          <cell r="G34">
            <v>0</v>
          </cell>
        </row>
        <row r="35">
          <cell r="D35"/>
          <cell r="E35" t="str">
            <v>54426125B</v>
          </cell>
          <cell r="F35"/>
          <cell r="G35">
            <v>0</v>
          </cell>
        </row>
        <row r="36">
          <cell r="D36"/>
          <cell r="E36" t="str">
            <v>54426125A</v>
          </cell>
          <cell r="F36"/>
          <cell r="G36">
            <v>0</v>
          </cell>
        </row>
        <row r="37">
          <cell r="D37">
            <v>544254630419</v>
          </cell>
          <cell r="E37" t="str">
            <v>54423425A</v>
          </cell>
          <cell r="F37" t="str">
            <v>ALTROZ XZ+(S) 1.5 RTQ BS6</v>
          </cell>
          <cell r="G37">
            <v>0</v>
          </cell>
        </row>
        <row r="38">
          <cell r="D38"/>
          <cell r="E38" t="str">
            <v>54420126A</v>
          </cell>
          <cell r="F38" t="str">
            <v>ALTROZ XZ+(S) 1.5 RTQ BS6 DARK</v>
          </cell>
          <cell r="G38">
            <v>0</v>
          </cell>
        </row>
        <row r="39">
          <cell r="D39"/>
          <cell r="E39" t="str">
            <v>54423125A</v>
          </cell>
          <cell r="F39" t="str">
            <v>ALTROZ XZ+(S) 1.2P MT BS6</v>
          </cell>
          <cell r="G39">
            <v>0</v>
          </cell>
        </row>
        <row r="40">
          <cell r="D40"/>
          <cell r="E40" t="str">
            <v>54425126A</v>
          </cell>
          <cell r="F40" t="str">
            <v>ALTROZ XZ+(S) 1.2P MT BS6 DARK</v>
          </cell>
          <cell r="G40">
            <v>0</v>
          </cell>
        </row>
        <row r="41">
          <cell r="D41"/>
          <cell r="E41" t="str">
            <v>54423225A</v>
          </cell>
          <cell r="F41" t="str">
            <v>ALTROZ XZ+1.2P TC MT BS6PH2</v>
          </cell>
          <cell r="G41">
            <v>0</v>
          </cell>
        </row>
        <row r="42">
          <cell r="D42"/>
          <cell r="E42" t="str">
            <v>54425226A</v>
          </cell>
          <cell r="F42" t="str">
            <v>ALTROZ XZ+1.2P TC MT DRK BS6PH2</v>
          </cell>
          <cell r="G42">
            <v>0</v>
          </cell>
        </row>
        <row r="43">
          <cell r="D43">
            <v>544254630436</v>
          </cell>
          <cell r="E43" t="str">
            <v>54425725A</v>
          </cell>
          <cell r="F43" t="str">
            <v>Altroz XZ+ DCT, XZ+ DCT DARK</v>
          </cell>
          <cell r="G43">
            <v>0</v>
          </cell>
        </row>
        <row r="44">
          <cell r="D44"/>
          <cell r="E44" t="str">
            <v>54421825A</v>
          </cell>
          <cell r="F44"/>
          <cell r="G44">
            <v>0</v>
          </cell>
        </row>
        <row r="45">
          <cell r="D45">
            <v>544254630420</v>
          </cell>
          <cell r="E45" t="str">
            <v>54423325A</v>
          </cell>
          <cell r="F45" t="str">
            <v>ALTROZ DCA XZ+ (S) 1.2P BS6PH2</v>
          </cell>
          <cell r="G45">
            <v>0</v>
          </cell>
        </row>
        <row r="46">
          <cell r="D46"/>
          <cell r="E46" t="str">
            <v>54425326A</v>
          </cell>
          <cell r="F46" t="str">
            <v>ALTROZ DCA XZ+ (S) 1.2P DRK BS6PH2</v>
          </cell>
          <cell r="G46">
            <v>0</v>
          </cell>
        </row>
        <row r="47">
          <cell r="D47">
            <v>544254630247</v>
          </cell>
          <cell r="E47" t="str">
            <v>54429125A</v>
          </cell>
          <cell r="F47" t="str">
            <v>ALTROZ XZ+O(S) 1.2 P MT BS6</v>
          </cell>
          <cell r="G47">
            <v>0</v>
          </cell>
        </row>
        <row r="48">
          <cell r="D48"/>
          <cell r="E48" t="str">
            <v>54429025A</v>
          </cell>
          <cell r="F48" t="str">
            <v>ALTROZ XZ+(O) (S) 1.2P TC MT BS6PH2</v>
          </cell>
          <cell r="G48">
            <v>0</v>
          </cell>
        </row>
        <row r="49">
          <cell r="D49">
            <v>544254630262</v>
          </cell>
          <cell r="E49" t="str">
            <v>54428925A</v>
          </cell>
          <cell r="F49" t="str">
            <v>ALTROZ DCA XZ+(O) (S)1.2P BS6PH2</v>
          </cell>
          <cell r="G49">
            <v>0</v>
          </cell>
        </row>
        <row r="50">
          <cell r="D50">
            <v>544254630347</v>
          </cell>
          <cell r="E50" t="str">
            <v>54426126A</v>
          </cell>
          <cell r="F50" t="str">
            <v>ALTROZ XZ+S1.2 CNG</v>
          </cell>
          <cell r="G50">
            <v>232</v>
          </cell>
        </row>
        <row r="51">
          <cell r="D51">
            <v>544254630353</v>
          </cell>
          <cell r="E51" t="str">
            <v>54426226A</v>
          </cell>
          <cell r="F51" t="str">
            <v>ALTROZ XZ+OS 1.2 CNG BS6PH2</v>
          </cell>
          <cell r="G51">
            <v>0</v>
          </cell>
        </row>
        <row r="52">
          <cell r="D52">
            <v>544254630399</v>
          </cell>
          <cell r="E52" t="str">
            <v>54427425A</v>
          </cell>
          <cell r="F52" t="str">
            <v>ALTROZ XM+ 1.2 CNG BS6PH2</v>
          </cell>
          <cell r="G52">
            <v>337</v>
          </cell>
        </row>
        <row r="53">
          <cell r="D53">
            <v>544254630346</v>
          </cell>
          <cell r="E53" t="str">
            <v>54426026A</v>
          </cell>
          <cell r="F53" t="str">
            <v>ALTROZ XM+S1.2 CNG</v>
          </cell>
          <cell r="G53">
            <v>175</v>
          </cell>
        </row>
        <row r="54">
          <cell r="D54">
            <v>544254630397</v>
          </cell>
          <cell r="E54" t="str">
            <v>54427825A</v>
          </cell>
          <cell r="F54" t="str">
            <v>ALTROZ XZ 1.2 CNG BS6PH2</v>
          </cell>
          <cell r="G54">
            <v>274</v>
          </cell>
        </row>
        <row r="55">
          <cell r="D55">
            <v>544254630344</v>
          </cell>
          <cell r="E55" t="str">
            <v>54425926A</v>
          </cell>
          <cell r="F55" t="str">
            <v>ALTROZ XE 1.2 CNG BS6PH2</v>
          </cell>
          <cell r="G55">
            <v>42</v>
          </cell>
        </row>
        <row r="56">
          <cell r="D56">
            <v>544254630611</v>
          </cell>
          <cell r="E56" t="str">
            <v>54429126A</v>
          </cell>
          <cell r="F56" t="str">
            <v>XZ+OS-Petrol</v>
          </cell>
          <cell r="G56">
            <v>90</v>
          </cell>
        </row>
        <row r="57">
          <cell r="D57">
            <v>544254630601</v>
          </cell>
          <cell r="E57" t="str">
            <v>54429226A</v>
          </cell>
          <cell r="F57" t="str">
            <v>XZ+OS-DCA</v>
          </cell>
          <cell r="G57">
            <v>60</v>
          </cell>
        </row>
        <row r="58">
          <cell r="D58">
            <v>544254630705</v>
          </cell>
          <cell r="E58" t="str">
            <v>54422426A</v>
          </cell>
          <cell r="F58" t="str">
            <v>ZX+OS+CNG</v>
          </cell>
          <cell r="G58">
            <v>150</v>
          </cell>
        </row>
        <row r="59">
          <cell r="D59">
            <v>544254630600</v>
          </cell>
          <cell r="E59" t="str">
            <v>54428726A</v>
          </cell>
          <cell r="F59" t="str">
            <v>XZ+S LUX DARK+Petrol</v>
          </cell>
          <cell r="G59">
            <v>20</v>
          </cell>
        </row>
        <row r="60">
          <cell r="D60"/>
          <cell r="E60" t="str">
            <v>54429026A</v>
          </cell>
          <cell r="F60" t="str">
            <v>XZ+S LUX-DCA</v>
          </cell>
          <cell r="G60">
            <v>65</v>
          </cell>
        </row>
        <row r="61">
          <cell r="D61">
            <v>544254630610</v>
          </cell>
          <cell r="E61" t="str">
            <v>54428626A</v>
          </cell>
          <cell r="F61" t="str">
            <v>XZ+S LUX DARK+Diesel</v>
          </cell>
          <cell r="G61">
            <v>30</v>
          </cell>
        </row>
        <row r="62">
          <cell r="D62"/>
          <cell r="E62" t="str">
            <v>54428826A</v>
          </cell>
          <cell r="F62" t="str">
            <v>XZ+S LUX-Petrol</v>
          </cell>
          <cell r="G62">
            <v>115</v>
          </cell>
        </row>
        <row r="63">
          <cell r="D63"/>
          <cell r="E63" t="str">
            <v>54428926A</v>
          </cell>
          <cell r="F63" t="str">
            <v>XZ+S LUX-Diesel</v>
          </cell>
          <cell r="G63">
            <v>40</v>
          </cell>
        </row>
        <row r="64">
          <cell r="D64"/>
          <cell r="E64" t="str">
            <v>54421426A</v>
          </cell>
          <cell r="F64" t="str">
            <v>Racer2-TC</v>
          </cell>
          <cell r="G64">
            <v>200</v>
          </cell>
        </row>
        <row r="65">
          <cell r="D65"/>
          <cell r="E65" t="str">
            <v>54428526A</v>
          </cell>
          <cell r="F65" t="str">
            <v>COSMO_DARK-ALTROZ XZ+S LUX D 1.2P 6AB</v>
          </cell>
          <cell r="G65">
            <v>30</v>
          </cell>
        </row>
        <row r="66">
          <cell r="D66">
            <v>544254630703</v>
          </cell>
          <cell r="E66" t="str">
            <v>54422526A</v>
          </cell>
          <cell r="F66" t="str">
            <v>XZ+S LUX-CNG</v>
          </cell>
          <cell r="G66">
            <v>100</v>
          </cell>
        </row>
        <row r="67">
          <cell r="D67">
            <v>544254630609</v>
          </cell>
          <cell r="E67" t="str">
            <v>54421526A</v>
          </cell>
          <cell r="F67" t="str">
            <v>Racer1-TC</v>
          </cell>
          <cell r="G67">
            <v>100</v>
          </cell>
        </row>
        <row r="68">
          <cell r="D68">
            <v>544254630455</v>
          </cell>
          <cell r="E68" t="str">
            <v>54427026A</v>
          </cell>
          <cell r="F68" t="str">
            <v>Racer3-TC</v>
          </cell>
          <cell r="G68">
            <v>300</v>
          </cell>
        </row>
        <row r="69">
          <cell r="D69" t="str">
            <v>TOTAL</v>
          </cell>
          <cell r="E69"/>
          <cell r="F69"/>
          <cell r="G69">
            <v>2360</v>
          </cell>
        </row>
        <row r="70">
          <cell r="D70"/>
          <cell r="E70"/>
          <cell r="F70"/>
          <cell r="G70"/>
        </row>
        <row r="71">
          <cell r="D71"/>
          <cell r="E71"/>
          <cell r="F71"/>
          <cell r="G71"/>
        </row>
        <row r="72">
          <cell r="D72" t="str">
            <v>New Part No</v>
          </cell>
          <cell r="E72" t="str">
            <v>VC No</v>
          </cell>
          <cell r="F72" t="str">
            <v>Model</v>
          </cell>
          <cell r="G72" t="str">
            <v>PLAN</v>
          </cell>
        </row>
        <row r="73">
          <cell r="D73">
            <v>544554630328</v>
          </cell>
          <cell r="E73" t="str">
            <v>54853124A</v>
          </cell>
          <cell r="F73" t="str">
            <v>DAYTONA_GREY-PUNCH ACC DZ1.2 CNG S BS6 PH2</v>
          </cell>
          <cell r="G73">
            <v>777</v>
          </cell>
        </row>
        <row r="74">
          <cell r="D74">
            <v>544554630329</v>
          </cell>
          <cell r="E74" t="str">
            <v>54853524A</v>
          </cell>
          <cell r="F74" t="str">
            <v>PUNCH ACC 1.2 CNG BS6 PH2</v>
          </cell>
          <cell r="G74">
            <v>551</v>
          </cell>
        </row>
        <row r="75">
          <cell r="D75">
            <v>544554630331</v>
          </cell>
          <cell r="E75" t="str">
            <v>54853224A</v>
          </cell>
          <cell r="F75" t="str">
            <v>PUNCH ADV RT 1.2 CNG BS6PH2</v>
          </cell>
          <cell r="G75">
            <v>2330</v>
          </cell>
        </row>
        <row r="76">
          <cell r="D76">
            <v>544554630332</v>
          </cell>
          <cell r="E76" t="str">
            <v>54853624A</v>
          </cell>
          <cell r="F76" t="str">
            <v>PUNCH ADV 1.2 CNG BS6 PH2</v>
          </cell>
          <cell r="G76">
            <v>1245</v>
          </cell>
        </row>
        <row r="77">
          <cell r="D77">
            <v>544554630333</v>
          </cell>
          <cell r="E77" t="str">
            <v>54853324A</v>
          </cell>
          <cell r="F77" t="str">
            <v>PUNCH PUR 1.2 CNG BS6PH2</v>
          </cell>
          <cell r="G77">
            <v>1273</v>
          </cell>
        </row>
        <row r="78">
          <cell r="D78">
            <v>544554600569</v>
          </cell>
          <cell r="E78" t="str">
            <v>54850324A</v>
          </cell>
          <cell r="F78" t="str">
            <v>ACC MT SR SR</v>
          </cell>
          <cell r="G78">
            <v>253</v>
          </cell>
        </row>
        <row r="79">
          <cell r="D79"/>
          <cell r="E79" t="str">
            <v>54459824A</v>
          </cell>
          <cell r="F79" t="str">
            <v>ACC MT  DZ  SR</v>
          </cell>
          <cell r="G79">
            <v>128</v>
          </cell>
        </row>
        <row r="80">
          <cell r="D80">
            <v>544554600573</v>
          </cell>
          <cell r="E80" t="str">
            <v>54458924A</v>
          </cell>
          <cell r="F80" t="str">
            <v>CRE MT SR JB SR</v>
          </cell>
          <cell r="G80">
            <v>121</v>
          </cell>
        </row>
        <row r="81">
          <cell r="D81"/>
          <cell r="E81" t="str">
            <v>54454524A</v>
          </cell>
          <cell r="F81" t="str">
            <v>CRE MT JG  SR</v>
          </cell>
          <cell r="G81">
            <v>74</v>
          </cell>
        </row>
        <row r="82">
          <cell r="D82">
            <v>544554600570</v>
          </cell>
          <cell r="E82" t="str">
            <v>54458724A</v>
          </cell>
          <cell r="F82" t="str">
            <v>ACC AMT DZ SR</v>
          </cell>
          <cell r="G82">
            <v>87</v>
          </cell>
        </row>
        <row r="83">
          <cell r="D83"/>
          <cell r="E83" t="str">
            <v>54850424A</v>
          </cell>
          <cell r="F83" t="str">
            <v>ACC AMT SR SR</v>
          </cell>
          <cell r="G83">
            <v>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kpit Main"/>
      <sheetName val="Sheet1"/>
      <sheetName val="Summary"/>
      <sheetName val="BIW Lifting A Shift"/>
      <sheetName val="BIW Lifting B Shift"/>
      <sheetName val="Daywise Dispatch"/>
      <sheetName val="3 D P"/>
      <sheetName val="FLOAT"/>
      <sheetName val="Consumption MTD"/>
      <sheetName val="Alt Punch"/>
      <sheetName val="Fresh VIN Gen"/>
    </sheetNames>
    <sheetDataSet>
      <sheetData sheetId="0">
        <row r="4">
          <cell r="D4" t="str">
            <v>AB12 Part No</v>
          </cell>
          <cell r="E4" t="str">
            <v>VC No</v>
          </cell>
          <cell r="F4" t="str">
            <v>Model</v>
          </cell>
          <cell r="G4" t="str">
            <v>PLAN</v>
          </cell>
        </row>
        <row r="5">
          <cell r="D5">
            <v>544254630390</v>
          </cell>
          <cell r="E5" t="str">
            <v>54425125A</v>
          </cell>
          <cell r="F5" t="str">
            <v>ALTROZ XE 1.2P BS6GEN1+</v>
          </cell>
          <cell r="G5">
            <v>0</v>
          </cell>
        </row>
        <row r="6">
          <cell r="D6">
            <v>544254600375</v>
          </cell>
          <cell r="E6" t="str">
            <v>54421826A</v>
          </cell>
          <cell r="F6" t="str">
            <v>ALTROZ XE 1.2 P BS6 PH2 (REVARIANT)</v>
          </cell>
          <cell r="G6">
            <v>0</v>
          </cell>
        </row>
        <row r="7">
          <cell r="D7">
            <v>544254630392</v>
          </cell>
          <cell r="E7" t="str">
            <v>54420225A</v>
          </cell>
          <cell r="F7" t="str">
            <v>Altroz XE+ Diesel</v>
          </cell>
          <cell r="G7">
            <v>0</v>
          </cell>
        </row>
        <row r="8">
          <cell r="D8"/>
          <cell r="E8" t="str">
            <v>54426225A</v>
          </cell>
          <cell r="F8" t="str">
            <v>ALTROZ XE+ 1.2P BS6GEN1+</v>
          </cell>
          <cell r="G8">
            <v>0</v>
          </cell>
        </row>
        <row r="9">
          <cell r="D9">
            <v>544254600376</v>
          </cell>
          <cell r="E9" t="str">
            <v>54422126A</v>
          </cell>
          <cell r="F9" t="str">
            <v>ALTROZ XM 1.2P BS6 PH2(REVARIANT)</v>
          </cell>
          <cell r="G9">
            <v>0</v>
          </cell>
        </row>
        <row r="10">
          <cell r="D10">
            <v>544254600377</v>
          </cell>
          <cell r="E10" t="str">
            <v>54422026A</v>
          </cell>
          <cell r="F10" t="str">
            <v>ALTROZ XM (S)1.2P  BS6 PH2(REVARIANT)</v>
          </cell>
          <cell r="G10">
            <v>0</v>
          </cell>
        </row>
        <row r="11">
          <cell r="D11">
            <v>544254630391</v>
          </cell>
          <cell r="E11" t="str">
            <v>54426325A</v>
          </cell>
          <cell r="F11" t="str">
            <v>ALTROZ XM+ 1.2P BS6GEN1+</v>
          </cell>
          <cell r="G11">
            <v>0</v>
          </cell>
        </row>
        <row r="12">
          <cell r="D12"/>
          <cell r="E12" t="str">
            <v>54420425A</v>
          </cell>
          <cell r="F12" t="str">
            <v>Altroz XM + Diesel</v>
          </cell>
          <cell r="G12">
            <v>0</v>
          </cell>
        </row>
        <row r="13">
          <cell r="D13">
            <v>544254600378</v>
          </cell>
          <cell r="E13" t="str">
            <v>54422226A</v>
          </cell>
          <cell r="F13" t="str">
            <v>ALTROZ XM+ 1.2P BS6 PH2(REVARIANT)</v>
          </cell>
          <cell r="G13">
            <v>280</v>
          </cell>
        </row>
        <row r="14">
          <cell r="D14">
            <v>544254630393</v>
          </cell>
          <cell r="E14" t="str">
            <v>54421625A</v>
          </cell>
          <cell r="F14" t="str">
            <v>Altroz XM + DCT</v>
          </cell>
          <cell r="G14">
            <v>0</v>
          </cell>
        </row>
        <row r="15">
          <cell r="D15">
            <v>544254630414</v>
          </cell>
          <cell r="E15" t="str">
            <v>54420226A</v>
          </cell>
          <cell r="F15" t="str">
            <v>Altroz XM + Diesel Sun-roof</v>
          </cell>
          <cell r="G15">
            <v>0</v>
          </cell>
        </row>
        <row r="16">
          <cell r="D16"/>
          <cell r="E16" t="str">
            <v>54426326A</v>
          </cell>
          <cell r="F16" t="str">
            <v>ALTROZ XM+(S) 1.2P MT BS6</v>
          </cell>
          <cell r="G16">
            <v>0</v>
          </cell>
        </row>
        <row r="17">
          <cell r="D17">
            <v>544254600508</v>
          </cell>
          <cell r="E17" t="str">
            <v>54422326A</v>
          </cell>
          <cell r="F17" t="str">
            <v>ALTROZ XM + (S)1.2P  BS6 PH2(REVARIANT)</v>
          </cell>
          <cell r="G17">
            <v>0</v>
          </cell>
        </row>
        <row r="18">
          <cell r="D18">
            <v>544254630421</v>
          </cell>
          <cell r="E18" t="str">
            <v>54426526A</v>
          </cell>
          <cell r="F18" t="str">
            <v>ALTROZ DCA XM+(S)1.2P BS6PH2</v>
          </cell>
          <cell r="G18">
            <v>0</v>
          </cell>
        </row>
        <row r="19">
          <cell r="D19">
            <v>544254630255</v>
          </cell>
          <cell r="E19" t="str">
            <v>54420525A</v>
          </cell>
          <cell r="F19" t="str">
            <v>Altroz XT with FATC</v>
          </cell>
          <cell r="G19">
            <v>0</v>
          </cell>
        </row>
        <row r="20">
          <cell r="D20"/>
          <cell r="E20" t="str">
            <v>54420925A</v>
          </cell>
          <cell r="F20"/>
          <cell r="G20">
            <v>0</v>
          </cell>
        </row>
        <row r="21">
          <cell r="D21"/>
          <cell r="E21" t="str">
            <v>54422125A</v>
          </cell>
          <cell r="F21"/>
          <cell r="G21">
            <v>0</v>
          </cell>
        </row>
        <row r="22">
          <cell r="D22"/>
          <cell r="E22" t="str">
            <v>54425325A</v>
          </cell>
          <cell r="F22"/>
          <cell r="G22">
            <v>0</v>
          </cell>
        </row>
        <row r="23">
          <cell r="D23">
            <v>544254600510</v>
          </cell>
          <cell r="E23" t="str">
            <v>54421926A</v>
          </cell>
          <cell r="F23" t="str">
            <v>ALTROZ XT 1.2 P BS6 PH2 (REVARIANT)</v>
          </cell>
          <cell r="G23">
            <v>0</v>
          </cell>
        </row>
        <row r="24">
          <cell r="D24">
            <v>544254630265</v>
          </cell>
          <cell r="E24" t="str">
            <v>54421725A</v>
          </cell>
          <cell r="F24" t="str">
            <v>Altroz XT DCT, XT DCT DARK</v>
          </cell>
          <cell r="G24">
            <v>0</v>
          </cell>
        </row>
        <row r="25">
          <cell r="D25"/>
          <cell r="E25" t="str">
            <v>54425525A</v>
          </cell>
          <cell r="F25"/>
          <cell r="G25">
            <v>0</v>
          </cell>
        </row>
        <row r="26">
          <cell r="D26">
            <v>544254630254</v>
          </cell>
          <cell r="E26" t="str">
            <v>54420625A</v>
          </cell>
          <cell r="F26" t="str">
            <v>ALTROZ XZ1.5RTQ MT BS6PH2</v>
          </cell>
          <cell r="G26">
            <v>25</v>
          </cell>
        </row>
        <row r="27">
          <cell r="D27"/>
          <cell r="E27" t="str">
            <v>54425425A</v>
          </cell>
          <cell r="F27"/>
          <cell r="G27">
            <v>207</v>
          </cell>
        </row>
        <row r="28">
          <cell r="D28"/>
          <cell r="E28" t="str">
            <v>54425925A</v>
          </cell>
          <cell r="F28"/>
          <cell r="G28">
            <v>0</v>
          </cell>
        </row>
        <row r="29">
          <cell r="D29">
            <v>544254630264</v>
          </cell>
          <cell r="E29" t="str">
            <v>54425625A</v>
          </cell>
          <cell r="F29" t="str">
            <v>Altroz XZ DCT</v>
          </cell>
          <cell r="G29">
            <v>10</v>
          </cell>
        </row>
        <row r="30">
          <cell r="D30">
            <v>544254630435</v>
          </cell>
          <cell r="E30" t="str">
            <v>54420825A</v>
          </cell>
          <cell r="F30" t="str">
            <v xml:space="preserve">Altroz XZ+, XZ+ DARK, XZ+ TC </v>
          </cell>
          <cell r="G30">
            <v>0</v>
          </cell>
        </row>
        <row r="31">
          <cell r="D31"/>
          <cell r="E31" t="str">
            <v>54420725A</v>
          </cell>
          <cell r="F31"/>
          <cell r="G31">
            <v>0</v>
          </cell>
        </row>
        <row r="32">
          <cell r="D32"/>
          <cell r="E32" t="str">
            <v>54427725A</v>
          </cell>
          <cell r="F32"/>
          <cell r="G32">
            <v>0</v>
          </cell>
        </row>
        <row r="33">
          <cell r="D33"/>
          <cell r="E33" t="str">
            <v>54422225A</v>
          </cell>
          <cell r="F33"/>
          <cell r="G33">
            <v>0</v>
          </cell>
        </row>
        <row r="34">
          <cell r="D34"/>
          <cell r="E34" t="str">
            <v>54427625A</v>
          </cell>
          <cell r="F34"/>
          <cell r="G34">
            <v>0</v>
          </cell>
        </row>
        <row r="35">
          <cell r="D35"/>
          <cell r="E35" t="str">
            <v>54426125B</v>
          </cell>
          <cell r="F35"/>
          <cell r="G35">
            <v>0</v>
          </cell>
        </row>
        <row r="36">
          <cell r="D36"/>
          <cell r="E36" t="str">
            <v>54426125A</v>
          </cell>
          <cell r="F36"/>
          <cell r="G36">
            <v>0</v>
          </cell>
        </row>
        <row r="37">
          <cell r="D37">
            <v>544254630419</v>
          </cell>
          <cell r="E37" t="str">
            <v>54423425A</v>
          </cell>
          <cell r="F37" t="str">
            <v>ALTROZ XZ+(S) 1.5 RTQ BS6</v>
          </cell>
          <cell r="G37">
            <v>0</v>
          </cell>
        </row>
        <row r="38">
          <cell r="D38"/>
          <cell r="E38" t="str">
            <v>54420126A</v>
          </cell>
          <cell r="F38" t="str">
            <v>ALTROZ XZ+(S) 1.5 RTQ BS6 DARK</v>
          </cell>
          <cell r="G38">
            <v>25</v>
          </cell>
        </row>
        <row r="39">
          <cell r="D39"/>
          <cell r="E39" t="str">
            <v>54423125A</v>
          </cell>
          <cell r="F39" t="str">
            <v>ALTROZ XZ+(S) 1.2P MT BS6</v>
          </cell>
          <cell r="G39">
            <v>52</v>
          </cell>
        </row>
        <row r="40">
          <cell r="D40"/>
          <cell r="E40" t="str">
            <v>54425126A</v>
          </cell>
          <cell r="F40" t="str">
            <v>ALTROZ XZ+(S) 1.2P MT BS6 DARK</v>
          </cell>
          <cell r="G40">
            <v>50</v>
          </cell>
        </row>
        <row r="41">
          <cell r="D41"/>
          <cell r="E41" t="str">
            <v>54423225A</v>
          </cell>
          <cell r="F41" t="str">
            <v>ALTROZ XZ+1.2P TC MT BS6PH2</v>
          </cell>
          <cell r="G41">
            <v>0</v>
          </cell>
        </row>
        <row r="42">
          <cell r="D42"/>
          <cell r="E42" t="str">
            <v>54425226A</v>
          </cell>
          <cell r="F42" t="str">
            <v>ALTROZ XZ+1.2P TC MT DRK BS6PH2</v>
          </cell>
          <cell r="G42">
            <v>0</v>
          </cell>
        </row>
        <row r="43">
          <cell r="D43">
            <v>544254630436</v>
          </cell>
          <cell r="E43" t="str">
            <v>54425725A</v>
          </cell>
          <cell r="F43" t="str">
            <v>Altroz XZ+ DCT, XZ+ DCT DARK</v>
          </cell>
          <cell r="G43">
            <v>0</v>
          </cell>
        </row>
        <row r="44">
          <cell r="D44"/>
          <cell r="E44" t="str">
            <v>54421825A</v>
          </cell>
          <cell r="F44"/>
          <cell r="G44">
            <v>0</v>
          </cell>
        </row>
        <row r="45">
          <cell r="D45">
            <v>544254630420</v>
          </cell>
          <cell r="E45" t="str">
            <v>54423325A</v>
          </cell>
          <cell r="F45" t="str">
            <v>ALTROZ DCA XZ+ (S) 1.2P BS6PH2</v>
          </cell>
          <cell r="G45">
            <v>0</v>
          </cell>
        </row>
        <row r="46">
          <cell r="D46"/>
          <cell r="E46" t="str">
            <v>54425326A</v>
          </cell>
          <cell r="F46" t="str">
            <v>ALTROZ DCA XZ+ (S) 1.2P DRK BS6PH2</v>
          </cell>
          <cell r="G46">
            <v>0</v>
          </cell>
        </row>
        <row r="47">
          <cell r="D47">
            <v>544254630247</v>
          </cell>
          <cell r="E47" t="str">
            <v>54429125A</v>
          </cell>
          <cell r="F47" t="str">
            <v>ALTROZ XZ+O(S) 1.2 P MT BS6</v>
          </cell>
          <cell r="G47">
            <v>0</v>
          </cell>
        </row>
        <row r="48">
          <cell r="D48"/>
          <cell r="E48" t="str">
            <v>54429025A</v>
          </cell>
          <cell r="F48" t="str">
            <v>ALTROZ XZ+(O) (S) 1.2P TC MT BS6PH2</v>
          </cell>
          <cell r="G48">
            <v>0</v>
          </cell>
        </row>
        <row r="49">
          <cell r="D49">
            <v>544254630262</v>
          </cell>
          <cell r="E49" t="str">
            <v>54428925A</v>
          </cell>
          <cell r="F49" t="str">
            <v>ALTROZ DCA XZ+(O) (S)1.2P BS6PH2</v>
          </cell>
          <cell r="G49">
            <v>0</v>
          </cell>
        </row>
        <row r="50">
          <cell r="D50">
            <v>544254630347</v>
          </cell>
          <cell r="E50" t="str">
            <v>54426126A</v>
          </cell>
          <cell r="F50" t="str">
            <v>ALTROZ XZ+S1.2 CNG</v>
          </cell>
          <cell r="G50">
            <v>0</v>
          </cell>
        </row>
        <row r="51">
          <cell r="D51">
            <v>544254630353</v>
          </cell>
          <cell r="E51" t="str">
            <v>54426226A</v>
          </cell>
          <cell r="F51" t="str">
            <v>ALTROZ XZ+OS 1.2 CNG BS6PH2</v>
          </cell>
          <cell r="G51">
            <v>0</v>
          </cell>
        </row>
        <row r="52">
          <cell r="D52">
            <v>544254630399</v>
          </cell>
          <cell r="E52" t="str">
            <v>54427425A</v>
          </cell>
          <cell r="F52" t="str">
            <v>ALTROZ XM+ 1.2 CNG BS6PH2</v>
          </cell>
          <cell r="G52">
            <v>0</v>
          </cell>
        </row>
        <row r="53">
          <cell r="D53">
            <v>544254630346</v>
          </cell>
          <cell r="E53" t="str">
            <v>54426026A</v>
          </cell>
          <cell r="F53" t="str">
            <v>ALTROZ XM+S1.2 CNG</v>
          </cell>
          <cell r="G53">
            <v>0</v>
          </cell>
        </row>
        <row r="54">
          <cell r="D54">
            <v>544254630397</v>
          </cell>
          <cell r="E54" t="str">
            <v>54427825A</v>
          </cell>
          <cell r="F54" t="str">
            <v>ALTROZ XZ 1.2 CNG BS6PH2</v>
          </cell>
          <cell r="G54">
            <v>0</v>
          </cell>
        </row>
        <row r="55">
          <cell r="D55">
            <v>544254630344</v>
          </cell>
          <cell r="E55" t="str">
            <v>54425926A</v>
          </cell>
          <cell r="F55" t="str">
            <v>ALTROZ XE 1.2 CNG BS6PH2</v>
          </cell>
          <cell r="G55">
            <v>0</v>
          </cell>
        </row>
        <row r="56">
          <cell r="D56">
            <v>544254630611</v>
          </cell>
          <cell r="E56" t="str">
            <v>54429126A</v>
          </cell>
          <cell r="F56" t="str">
            <v>XZ+OS-Petrol</v>
          </cell>
          <cell r="G56">
            <v>35</v>
          </cell>
        </row>
        <row r="57">
          <cell r="D57">
            <v>544254630601</v>
          </cell>
          <cell r="E57" t="str">
            <v>54429226A</v>
          </cell>
          <cell r="F57" t="str">
            <v>XZ+OS-DCA</v>
          </cell>
          <cell r="G57">
            <v>5</v>
          </cell>
        </row>
        <row r="58">
          <cell r="D58">
            <v>544254630705</v>
          </cell>
          <cell r="E58" t="str">
            <v>54422426A</v>
          </cell>
          <cell r="F58" t="str">
            <v>ZX+OS+CNG</v>
          </cell>
          <cell r="G58">
            <v>30</v>
          </cell>
        </row>
        <row r="59">
          <cell r="D59">
            <v>544254630600</v>
          </cell>
          <cell r="E59" t="str">
            <v>54428726A</v>
          </cell>
          <cell r="F59" t="str">
            <v>XZ+S LUX DARK+Petrol</v>
          </cell>
          <cell r="G59">
            <v>11</v>
          </cell>
        </row>
        <row r="60">
          <cell r="D60"/>
          <cell r="E60" t="str">
            <v>54429026A</v>
          </cell>
          <cell r="F60" t="str">
            <v>XZ+S LUX-DCA</v>
          </cell>
          <cell r="G60">
            <v>24</v>
          </cell>
        </row>
        <row r="61">
          <cell r="D61">
            <v>544254630610</v>
          </cell>
          <cell r="E61" t="str">
            <v>54428626A</v>
          </cell>
          <cell r="F61" t="str">
            <v>XZ+S LUX DARK+Diesel</v>
          </cell>
          <cell r="G61">
            <v>0</v>
          </cell>
        </row>
        <row r="62">
          <cell r="D62"/>
          <cell r="E62" t="str">
            <v>54428826A</v>
          </cell>
          <cell r="F62" t="str">
            <v>XZ+S LUX-Petrol</v>
          </cell>
          <cell r="G62">
            <v>74</v>
          </cell>
        </row>
        <row r="63">
          <cell r="D63"/>
          <cell r="E63" t="str">
            <v>54428926A</v>
          </cell>
          <cell r="F63" t="str">
            <v>XZ+S LUX-Diesel</v>
          </cell>
          <cell r="G63">
            <v>0</v>
          </cell>
        </row>
        <row r="64">
          <cell r="D64"/>
          <cell r="E64" t="str">
            <v>54428526A</v>
          </cell>
          <cell r="F64" t="str">
            <v>COSMO_DARK-ALTROZ XZ+S LUX D 1.2P 6AB</v>
          </cell>
          <cell r="G64">
            <v>0</v>
          </cell>
        </row>
        <row r="65">
          <cell r="D65">
            <v>544254630812</v>
          </cell>
          <cell r="E65" t="str">
            <v>54421426A</v>
          </cell>
          <cell r="F65" t="str">
            <v>Racer2-TC</v>
          </cell>
          <cell r="G65">
            <v>22</v>
          </cell>
        </row>
        <row r="66">
          <cell r="D66">
            <v>544254630703</v>
          </cell>
          <cell r="E66" t="str">
            <v>54422526A</v>
          </cell>
          <cell r="F66" t="str">
            <v>XZ+S LUX-CNG</v>
          </cell>
          <cell r="G66">
            <v>57</v>
          </cell>
        </row>
        <row r="67">
          <cell r="D67">
            <v>544254630811</v>
          </cell>
          <cell r="E67" t="str">
            <v>54421526A</v>
          </cell>
          <cell r="F67" t="str">
            <v>Racer1-TC</v>
          </cell>
          <cell r="G67">
            <v>13</v>
          </cell>
        </row>
        <row r="68">
          <cell r="D68">
            <v>544254630455</v>
          </cell>
          <cell r="E68" t="str">
            <v>54427026A</v>
          </cell>
          <cell r="F68" t="str">
            <v>Racer3-TC</v>
          </cell>
          <cell r="G68">
            <v>80</v>
          </cell>
        </row>
        <row r="69">
          <cell r="D69">
            <v>544254630808</v>
          </cell>
          <cell r="E69" t="str">
            <v>54421927A</v>
          </cell>
          <cell r="F69" t="str">
            <v>ALTROZ XZ LUX 1.2P</v>
          </cell>
          <cell r="G69">
            <v>15</v>
          </cell>
        </row>
        <row r="70">
          <cell r="D70"/>
          <cell r="E70" t="str">
            <v>54422027A</v>
          </cell>
          <cell r="F70" t="str">
            <v>ALTROZ XZ LUX 1.5 RTQ</v>
          </cell>
          <cell r="G70">
            <v>0</v>
          </cell>
        </row>
        <row r="71">
          <cell r="D71">
            <v>544254630810</v>
          </cell>
          <cell r="E71" t="str">
            <v>54422127A</v>
          </cell>
          <cell r="F71" t="str">
            <v>ALTROZ XZ LUX DCA 1.2P</v>
          </cell>
          <cell r="G71">
            <v>0</v>
          </cell>
        </row>
        <row r="72">
          <cell r="D72">
            <v>544254630809</v>
          </cell>
          <cell r="E72" t="str">
            <v>54422227A</v>
          </cell>
          <cell r="F72" t="str">
            <v>ALTROZ XZ LUX 1.2 CNG</v>
          </cell>
          <cell r="G72">
            <v>10</v>
          </cell>
        </row>
        <row r="73">
          <cell r="D73" t="str">
            <v>TOTAL</v>
          </cell>
          <cell r="E73"/>
          <cell r="F73"/>
          <cell r="G73">
            <v>1000</v>
          </cell>
        </row>
        <row r="74">
          <cell r="D74"/>
          <cell r="E74"/>
          <cell r="F74"/>
          <cell r="G74"/>
        </row>
        <row r="75">
          <cell r="D75"/>
          <cell r="E75"/>
          <cell r="F75"/>
          <cell r="G75"/>
        </row>
        <row r="76">
          <cell r="D76" t="str">
            <v>New Part No</v>
          </cell>
          <cell r="E76" t="str">
            <v>VC No</v>
          </cell>
          <cell r="F76" t="str">
            <v>Model</v>
          </cell>
          <cell r="G76" t="str">
            <v>PLAN</v>
          </cell>
        </row>
        <row r="77">
          <cell r="D77">
            <v>544554630328</v>
          </cell>
          <cell r="E77" t="str">
            <v>54853124A</v>
          </cell>
          <cell r="F77" t="str">
            <v>DAYTONA_GREY-PUNCH ACC DZ1.2 CNG S BS6 PH2</v>
          </cell>
          <cell r="G77">
            <v>884</v>
          </cell>
        </row>
        <row r="78">
          <cell r="D78">
            <v>544554630329</v>
          </cell>
          <cell r="E78" t="str">
            <v>54853524A</v>
          </cell>
          <cell r="F78" t="str">
            <v>PUNCH ACC 1.2 CNG BS6 PH2</v>
          </cell>
          <cell r="G78">
            <v>605</v>
          </cell>
        </row>
        <row r="79">
          <cell r="D79">
            <v>544554630331</v>
          </cell>
          <cell r="E79" t="str">
            <v>54853224A</v>
          </cell>
          <cell r="F79" t="str">
            <v>PUNCH ADV RT 1.2 CNG BS6PH2</v>
          </cell>
          <cell r="G79">
            <v>2592</v>
          </cell>
        </row>
        <row r="80">
          <cell r="D80">
            <v>544554630332</v>
          </cell>
          <cell r="E80" t="str">
            <v>54853624A</v>
          </cell>
          <cell r="F80" t="str">
            <v>PUNCH ADV 1.2 CNG BS6 PH2</v>
          </cell>
          <cell r="G80">
            <v>1356</v>
          </cell>
        </row>
        <row r="81">
          <cell r="D81">
            <v>544554630333</v>
          </cell>
          <cell r="E81" t="str">
            <v>54853324A</v>
          </cell>
          <cell r="F81" t="str">
            <v>PUNCH PUR 1.2 CNG BS6PH2</v>
          </cell>
          <cell r="G81">
            <v>1270</v>
          </cell>
        </row>
        <row r="82">
          <cell r="D82">
            <v>544554600569</v>
          </cell>
          <cell r="E82" t="str">
            <v>54850324A</v>
          </cell>
          <cell r="F82" t="str">
            <v>ACC MT SR SR</v>
          </cell>
          <cell r="G82">
            <v>219</v>
          </cell>
        </row>
        <row r="83">
          <cell r="D83"/>
          <cell r="E83" t="str">
            <v>54459824A</v>
          </cell>
          <cell r="F83" t="str">
            <v>ACC MT  DZ  SR</v>
          </cell>
          <cell r="G83">
            <v>135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C Wise"/>
      <sheetName val="Sheet2"/>
      <sheetName val="Sheet1"/>
    </sheetNames>
    <sheetDataSet>
      <sheetData sheetId="0"/>
      <sheetData sheetId="1">
        <row r="1">
          <cell r="A1" t="str">
            <v xml:space="preserve">  </v>
          </cell>
        </row>
        <row r="3">
          <cell r="A3" t="str">
            <v>Row Labels</v>
          </cell>
          <cell r="B3" t="str">
            <v>Sum of Balance to VIN from 06:30AM</v>
          </cell>
        </row>
        <row r="4">
          <cell r="A4" t="str">
            <v>54453724A</v>
          </cell>
          <cell r="B4">
            <v>0</v>
          </cell>
        </row>
        <row r="5">
          <cell r="A5" t="str">
            <v>54453824A</v>
          </cell>
          <cell r="B5">
            <v>0</v>
          </cell>
        </row>
        <row r="6">
          <cell r="A6" t="str">
            <v>54453924A</v>
          </cell>
          <cell r="B6">
            <v>0</v>
          </cell>
        </row>
        <row r="7">
          <cell r="A7" t="str">
            <v>54454024A</v>
          </cell>
          <cell r="B7">
            <v>0</v>
          </cell>
        </row>
        <row r="8">
          <cell r="A8" t="str">
            <v>54454124A</v>
          </cell>
          <cell r="B8">
            <v>0</v>
          </cell>
        </row>
        <row r="9">
          <cell r="A9" t="str">
            <v>54454224A</v>
          </cell>
          <cell r="B9">
            <v>0</v>
          </cell>
        </row>
        <row r="10">
          <cell r="A10" t="str">
            <v>54454324A</v>
          </cell>
          <cell r="B10">
            <v>0</v>
          </cell>
        </row>
        <row r="11">
          <cell r="A11" t="str">
            <v>54454424A</v>
          </cell>
          <cell r="B11">
            <v>0</v>
          </cell>
        </row>
        <row r="12">
          <cell r="A12" t="str">
            <v>54454524A</v>
          </cell>
          <cell r="B12">
            <v>0</v>
          </cell>
        </row>
        <row r="13">
          <cell r="A13" t="str">
            <v>54454624A</v>
          </cell>
          <cell r="B13">
            <v>0</v>
          </cell>
        </row>
        <row r="14">
          <cell r="A14" t="str">
            <v>54457024A</v>
          </cell>
          <cell r="B14">
            <v>0</v>
          </cell>
        </row>
        <row r="15">
          <cell r="A15" t="str">
            <v>54457424A</v>
          </cell>
          <cell r="B15">
            <v>0</v>
          </cell>
        </row>
        <row r="16">
          <cell r="A16" t="str">
            <v>54457524A</v>
          </cell>
          <cell r="B16">
            <v>0</v>
          </cell>
        </row>
        <row r="17">
          <cell r="A17" t="str">
            <v>54457624A</v>
          </cell>
          <cell r="B17">
            <v>0</v>
          </cell>
        </row>
        <row r="18">
          <cell r="A18" t="str">
            <v>54457724A</v>
          </cell>
          <cell r="B18">
            <v>0</v>
          </cell>
        </row>
        <row r="19">
          <cell r="A19" t="str">
            <v>54457824A</v>
          </cell>
          <cell r="B19">
            <v>0</v>
          </cell>
        </row>
        <row r="20">
          <cell r="A20" t="str">
            <v>54457924A</v>
          </cell>
          <cell r="B20">
            <v>0</v>
          </cell>
        </row>
        <row r="21">
          <cell r="A21" t="str">
            <v>54458724A</v>
          </cell>
          <cell r="B21">
            <v>0</v>
          </cell>
        </row>
        <row r="22">
          <cell r="A22" t="str">
            <v>54458924A</v>
          </cell>
          <cell r="B22">
            <v>0</v>
          </cell>
        </row>
        <row r="23">
          <cell r="A23" t="str">
            <v>54459024A</v>
          </cell>
          <cell r="B23">
            <v>0</v>
          </cell>
        </row>
        <row r="24">
          <cell r="A24" t="str">
            <v>54459724A</v>
          </cell>
          <cell r="B24">
            <v>0</v>
          </cell>
        </row>
        <row r="25">
          <cell r="A25" t="str">
            <v>54459824A</v>
          </cell>
          <cell r="B25">
            <v>0</v>
          </cell>
        </row>
        <row r="26">
          <cell r="A26" t="str">
            <v>54850124A</v>
          </cell>
          <cell r="B26">
            <v>0</v>
          </cell>
        </row>
        <row r="27">
          <cell r="A27" t="str">
            <v>54850224A</v>
          </cell>
          <cell r="B27">
            <v>0</v>
          </cell>
        </row>
        <row r="28">
          <cell r="A28" t="str">
            <v>54850324A</v>
          </cell>
          <cell r="B28">
            <v>0</v>
          </cell>
        </row>
        <row r="29">
          <cell r="A29" t="str">
            <v>54850424A</v>
          </cell>
          <cell r="B29">
            <v>0</v>
          </cell>
        </row>
        <row r="30">
          <cell r="A30" t="str">
            <v>54853124A</v>
          </cell>
          <cell r="B30">
            <v>0</v>
          </cell>
        </row>
        <row r="31">
          <cell r="A31" t="str">
            <v>54853224A</v>
          </cell>
          <cell r="B31">
            <v>0</v>
          </cell>
        </row>
        <row r="32">
          <cell r="A32" t="str">
            <v>54853324A</v>
          </cell>
          <cell r="B32">
            <v>0</v>
          </cell>
        </row>
        <row r="33">
          <cell r="A33" t="str">
            <v>54853524A</v>
          </cell>
          <cell r="B33">
            <v>0</v>
          </cell>
        </row>
        <row r="34">
          <cell r="A34" t="str">
            <v>54853624A</v>
          </cell>
          <cell r="B34">
            <v>0</v>
          </cell>
        </row>
        <row r="35">
          <cell r="A35" t="str">
            <v>54854224A</v>
          </cell>
          <cell r="B35">
            <v>3644</v>
          </cell>
        </row>
        <row r="36">
          <cell r="A36" t="str">
            <v>54854324A</v>
          </cell>
          <cell r="B36">
            <v>226</v>
          </cell>
        </row>
        <row r="37">
          <cell r="A37" t="str">
            <v>54854424A</v>
          </cell>
          <cell r="B37">
            <v>0</v>
          </cell>
        </row>
        <row r="38">
          <cell r="A38" t="str">
            <v>54854524A</v>
          </cell>
          <cell r="B38">
            <v>0</v>
          </cell>
        </row>
        <row r="39">
          <cell r="A39" t="str">
            <v>54854624A</v>
          </cell>
          <cell r="B39">
            <v>3590</v>
          </cell>
        </row>
        <row r="40">
          <cell r="A40" t="str">
            <v>54854724A</v>
          </cell>
          <cell r="B40">
            <v>727</v>
          </cell>
        </row>
        <row r="41">
          <cell r="A41" t="str">
            <v>54854824A</v>
          </cell>
          <cell r="B41">
            <v>0</v>
          </cell>
        </row>
        <row r="42">
          <cell r="A42" t="str">
            <v>54854924A</v>
          </cell>
          <cell r="B42">
            <v>0</v>
          </cell>
        </row>
        <row r="43">
          <cell r="A43" t="str">
            <v>54855024A</v>
          </cell>
          <cell r="B43">
            <v>414</v>
          </cell>
        </row>
        <row r="44">
          <cell r="A44" t="str">
            <v>54855124A</v>
          </cell>
          <cell r="B44">
            <v>101</v>
          </cell>
        </row>
        <row r="45">
          <cell r="A45" t="str">
            <v>54855224A</v>
          </cell>
          <cell r="B45">
            <v>182</v>
          </cell>
        </row>
        <row r="46">
          <cell r="A46" t="str">
            <v>54855324A</v>
          </cell>
          <cell r="B46">
            <v>111</v>
          </cell>
        </row>
        <row r="47">
          <cell r="A47" t="str">
            <v>54855424A</v>
          </cell>
          <cell r="B47">
            <v>43</v>
          </cell>
        </row>
        <row r="48">
          <cell r="A48" t="str">
            <v>54855524A</v>
          </cell>
          <cell r="B48">
            <v>23</v>
          </cell>
        </row>
        <row r="49">
          <cell r="A49" t="str">
            <v>54855624A</v>
          </cell>
          <cell r="B49">
            <v>171</v>
          </cell>
        </row>
        <row r="50">
          <cell r="A50" t="str">
            <v>54855724A</v>
          </cell>
          <cell r="B50">
            <v>160</v>
          </cell>
        </row>
        <row r="51">
          <cell r="A51" t="str">
            <v>54855824A</v>
          </cell>
          <cell r="B51">
            <v>81</v>
          </cell>
        </row>
        <row r="52">
          <cell r="A52" t="str">
            <v>54855924A</v>
          </cell>
          <cell r="B52">
            <v>57</v>
          </cell>
        </row>
        <row r="53">
          <cell r="A53" t="str">
            <v>54856024A</v>
          </cell>
          <cell r="B53">
            <v>1045</v>
          </cell>
        </row>
        <row r="54">
          <cell r="A54" t="str">
            <v>54856124A</v>
          </cell>
          <cell r="B54">
            <v>0</v>
          </cell>
        </row>
        <row r="55">
          <cell r="A55" t="str">
            <v>54856224A</v>
          </cell>
          <cell r="B55">
            <v>2869</v>
          </cell>
        </row>
        <row r="56">
          <cell r="A56" t="str">
            <v>54856324A</v>
          </cell>
          <cell r="B56">
            <v>0</v>
          </cell>
        </row>
        <row r="57">
          <cell r="A57" t="str">
            <v>54856424A</v>
          </cell>
          <cell r="B57">
            <v>306</v>
          </cell>
        </row>
        <row r="58">
          <cell r="A58" t="str">
            <v>54856524A</v>
          </cell>
          <cell r="B58">
            <v>152</v>
          </cell>
        </row>
        <row r="59">
          <cell r="A59" t="str">
            <v>54856624A</v>
          </cell>
          <cell r="B59">
            <v>79</v>
          </cell>
        </row>
        <row r="60">
          <cell r="A60" t="str">
            <v>54856724A</v>
          </cell>
          <cell r="B60">
            <v>5</v>
          </cell>
        </row>
        <row r="61">
          <cell r="A61" t="str">
            <v>54856824A</v>
          </cell>
          <cell r="B61">
            <v>7</v>
          </cell>
        </row>
        <row r="62">
          <cell r="A62" t="str">
            <v>54856924A</v>
          </cell>
          <cell r="B62">
            <v>0</v>
          </cell>
        </row>
        <row r="63">
          <cell r="A63" t="str">
            <v>54857024A</v>
          </cell>
          <cell r="B63">
            <v>0</v>
          </cell>
        </row>
        <row r="64">
          <cell r="A64" t="str">
            <v>54857124A</v>
          </cell>
          <cell r="B64">
            <v>0</v>
          </cell>
        </row>
        <row r="65">
          <cell r="A65" t="str">
            <v>54857224A</v>
          </cell>
          <cell r="B65">
            <v>0</v>
          </cell>
        </row>
        <row r="66">
          <cell r="A66" t="str">
            <v>54857324A</v>
          </cell>
          <cell r="B66">
            <v>6</v>
          </cell>
        </row>
        <row r="67">
          <cell r="A67" t="str">
            <v>54857424A</v>
          </cell>
          <cell r="B67">
            <v>7</v>
          </cell>
        </row>
        <row r="68">
          <cell r="A68" t="str">
            <v>54857524A</v>
          </cell>
          <cell r="B68">
            <v>0</v>
          </cell>
        </row>
        <row r="69">
          <cell r="A69" t="str">
            <v>54857624A</v>
          </cell>
          <cell r="B69">
            <v>2</v>
          </cell>
        </row>
        <row r="70">
          <cell r="A70" t="str">
            <v>(blank)</v>
          </cell>
          <cell r="B70"/>
        </row>
        <row r="71">
          <cell r="A71" t="str">
            <v>Grand Total</v>
          </cell>
          <cell r="B71">
            <v>14008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Summary"/>
      <sheetName val="Pivot Seq"/>
      <sheetName val="Day 1 Sequence"/>
      <sheetName val="VIN Color Plan"/>
      <sheetName val="Stage wise Float"/>
      <sheetName val="Vin Plan Check"/>
      <sheetName val="biw Next 2 days"/>
      <sheetName val="Vin Month"/>
      <sheetName val="pivot vin color"/>
      <sheetName val="VIN Color Plan (2)"/>
    </sheetNames>
    <sheetDataSet>
      <sheetData sheetId="0">
        <row r="5">
          <cell r="D5" t="str">
            <v>54420000PTD003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TML TCF Requirement Vs Actual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 filterMode="1"/>
  <dimension ref="A1:J53"/>
  <sheetViews>
    <sheetView workbookViewId="0">
      <selection activeCell="B4" sqref="B4"/>
    </sheetView>
  </sheetViews>
  <sheetFormatPr defaultRowHeight="15" x14ac:dyDescent="0.25"/>
  <cols>
    <col min="1" max="1" width="7.140625" bestFit="1" customWidth="1"/>
    <col min="2" max="2" width="18.42578125" bestFit="1" customWidth="1"/>
    <col min="3" max="3" width="38.85546875" bestFit="1" customWidth="1"/>
    <col min="4" max="4" width="5.140625" bestFit="1" customWidth="1"/>
    <col min="5" max="9" width="5.140625" customWidth="1"/>
    <col min="10" max="10" width="97.5703125" bestFit="1" customWidth="1"/>
  </cols>
  <sheetData>
    <row r="1" spans="1:10" ht="16.5" thickBot="1" x14ac:dyDescent="0.3">
      <c r="A1" s="269" t="s">
        <v>540</v>
      </c>
      <c r="B1" s="270" t="s">
        <v>541</v>
      </c>
      <c r="C1" s="270" t="s">
        <v>542</v>
      </c>
      <c r="D1" s="270" t="s">
        <v>543</v>
      </c>
      <c r="E1" s="270" t="s">
        <v>551</v>
      </c>
      <c r="F1" s="270" t="s">
        <v>552</v>
      </c>
      <c r="G1" s="270" t="s">
        <v>553</v>
      </c>
      <c r="H1" s="270" t="s">
        <v>554</v>
      </c>
      <c r="I1" s="270" t="s">
        <v>555</v>
      </c>
      <c r="J1" s="270" t="s">
        <v>544</v>
      </c>
    </row>
    <row r="2" spans="1:10" ht="30" customHeight="1" thickBot="1" x14ac:dyDescent="0.3">
      <c r="A2" s="271">
        <v>1</v>
      </c>
      <c r="B2" s="275">
        <v>544254610241</v>
      </c>
      <c r="C2" s="272" t="s">
        <v>545</v>
      </c>
      <c r="D2" s="272">
        <v>15</v>
      </c>
      <c r="E2" s="272">
        <v>2</v>
      </c>
      <c r="F2" s="272">
        <f>D2-E2</f>
        <v>13</v>
      </c>
      <c r="G2" s="272">
        <v>0</v>
      </c>
      <c r="H2" s="272">
        <f>10</f>
        <v>10</v>
      </c>
      <c r="I2" s="272">
        <f>F2+G2-H2</f>
        <v>3</v>
      </c>
      <c r="J2" s="273" t="s">
        <v>546</v>
      </c>
    </row>
    <row r="3" spans="1:10" ht="30" hidden="1" customHeight="1" thickBot="1" x14ac:dyDescent="0.3">
      <c r="A3" s="271">
        <v>2</v>
      </c>
      <c r="B3" s="275">
        <v>544254640254</v>
      </c>
      <c r="C3" s="272" t="s">
        <v>547</v>
      </c>
      <c r="D3" s="272">
        <v>0</v>
      </c>
      <c r="E3" s="272">
        <v>0</v>
      </c>
      <c r="F3" s="272">
        <f t="shared" ref="F3:F18" si="0">D3-E3</f>
        <v>0</v>
      </c>
      <c r="G3" s="272">
        <v>0</v>
      </c>
      <c r="H3" s="272"/>
      <c r="I3" s="272">
        <f t="shared" ref="I3:I18" si="1">F3+G3-H3</f>
        <v>0</v>
      </c>
      <c r="J3" s="272"/>
    </row>
    <row r="4" spans="1:10" ht="30" customHeight="1" thickBot="1" x14ac:dyDescent="0.3">
      <c r="A4" s="271">
        <v>3</v>
      </c>
      <c r="B4" s="275">
        <v>544254630510</v>
      </c>
      <c r="C4" s="272" t="s">
        <v>547</v>
      </c>
      <c r="D4" s="272">
        <v>40</v>
      </c>
      <c r="E4" s="272">
        <v>9</v>
      </c>
      <c r="F4" s="272">
        <f t="shared" si="0"/>
        <v>31</v>
      </c>
      <c r="G4" s="272">
        <v>0</v>
      </c>
      <c r="H4" s="272">
        <v>10</v>
      </c>
      <c r="I4" s="272">
        <f t="shared" si="1"/>
        <v>21</v>
      </c>
      <c r="J4" s="273" t="s">
        <v>548</v>
      </c>
    </row>
    <row r="5" spans="1:10" ht="30" customHeight="1" thickBot="1" x14ac:dyDescent="0.3">
      <c r="A5" s="271">
        <v>4</v>
      </c>
      <c r="B5" s="275">
        <v>544254640219</v>
      </c>
      <c r="C5" s="272" t="s">
        <v>547</v>
      </c>
      <c r="D5" s="272">
        <v>28</v>
      </c>
      <c r="E5" s="272">
        <v>12</v>
      </c>
      <c r="F5" s="272">
        <f t="shared" si="0"/>
        <v>16</v>
      </c>
      <c r="G5" s="272">
        <v>0</v>
      </c>
      <c r="H5" s="272">
        <v>10</v>
      </c>
      <c r="I5" s="272">
        <f t="shared" si="1"/>
        <v>6</v>
      </c>
      <c r="J5" s="273" t="s">
        <v>549</v>
      </c>
    </row>
    <row r="6" spans="1:10" ht="30" hidden="1" customHeight="1" thickBot="1" x14ac:dyDescent="0.3">
      <c r="A6" s="271">
        <v>5</v>
      </c>
      <c r="B6" s="275">
        <v>544254630512</v>
      </c>
      <c r="C6" s="272" t="s">
        <v>547</v>
      </c>
      <c r="D6" s="272">
        <v>1</v>
      </c>
      <c r="E6" s="272">
        <v>1</v>
      </c>
      <c r="F6" s="272">
        <f t="shared" si="0"/>
        <v>0</v>
      </c>
      <c r="G6" s="272">
        <v>0</v>
      </c>
      <c r="H6" s="272"/>
      <c r="I6" s="272">
        <f t="shared" si="1"/>
        <v>0</v>
      </c>
      <c r="J6" s="272" t="s">
        <v>550</v>
      </c>
    </row>
    <row r="7" spans="1:10" ht="30" hidden="1" customHeight="1" thickBot="1" x14ac:dyDescent="0.3">
      <c r="A7" s="271">
        <v>6</v>
      </c>
      <c r="B7" s="275">
        <v>544254630499</v>
      </c>
      <c r="C7" s="272" t="s">
        <v>547</v>
      </c>
      <c r="D7" s="272">
        <v>3</v>
      </c>
      <c r="E7" s="272">
        <v>3</v>
      </c>
      <c r="F7" s="272">
        <f t="shared" si="0"/>
        <v>0</v>
      </c>
      <c r="G7" s="272">
        <v>0</v>
      </c>
      <c r="H7" s="272"/>
      <c r="I7" s="272">
        <f t="shared" si="1"/>
        <v>0</v>
      </c>
      <c r="J7" s="272" t="s">
        <v>550</v>
      </c>
    </row>
    <row r="8" spans="1:10" ht="30" hidden="1" customHeight="1" thickBot="1" x14ac:dyDescent="0.3">
      <c r="A8" s="271">
        <v>7</v>
      </c>
      <c r="B8" s="275">
        <v>544254610239</v>
      </c>
      <c r="C8" s="272" t="s">
        <v>547</v>
      </c>
      <c r="D8" s="272">
        <v>0</v>
      </c>
      <c r="E8" s="272">
        <v>0</v>
      </c>
      <c r="F8" s="272">
        <f t="shared" si="0"/>
        <v>0</v>
      </c>
      <c r="G8" s="272">
        <v>0</v>
      </c>
      <c r="H8" s="272"/>
      <c r="I8" s="272">
        <f t="shared" si="1"/>
        <v>0</v>
      </c>
      <c r="J8" s="272"/>
    </row>
    <row r="9" spans="1:10" ht="30" hidden="1" customHeight="1" thickBot="1" x14ac:dyDescent="0.3">
      <c r="A9" s="271">
        <v>8</v>
      </c>
      <c r="B9" s="275">
        <v>544254640251</v>
      </c>
      <c r="C9" s="272" t="s">
        <v>547</v>
      </c>
      <c r="D9" s="272">
        <v>0</v>
      </c>
      <c r="E9" s="272">
        <v>0</v>
      </c>
      <c r="F9" s="272">
        <f t="shared" si="0"/>
        <v>0</v>
      </c>
      <c r="G9" s="272">
        <v>0</v>
      </c>
      <c r="H9" s="272"/>
      <c r="I9" s="272">
        <f t="shared" si="1"/>
        <v>0</v>
      </c>
      <c r="J9" s="272"/>
    </row>
    <row r="10" spans="1:10" ht="30" hidden="1" customHeight="1" thickBot="1" x14ac:dyDescent="0.3">
      <c r="A10" s="271">
        <v>9</v>
      </c>
      <c r="B10" s="275">
        <v>544254630476</v>
      </c>
      <c r="C10" s="272" t="s">
        <v>547</v>
      </c>
      <c r="D10" s="272">
        <v>0</v>
      </c>
      <c r="E10" s="272">
        <v>0</v>
      </c>
      <c r="F10" s="272">
        <f t="shared" si="0"/>
        <v>0</v>
      </c>
      <c r="G10" s="272">
        <v>0</v>
      </c>
      <c r="H10" s="272"/>
      <c r="I10" s="272">
        <f t="shared" si="1"/>
        <v>0</v>
      </c>
      <c r="J10" s="272"/>
    </row>
    <row r="11" spans="1:10" ht="30" hidden="1" customHeight="1" thickBot="1" x14ac:dyDescent="0.3">
      <c r="A11" s="271">
        <v>10</v>
      </c>
      <c r="B11" s="275">
        <v>544254630490</v>
      </c>
      <c r="C11" s="272" t="s">
        <v>547</v>
      </c>
      <c r="D11" s="272">
        <v>0</v>
      </c>
      <c r="E11" s="272">
        <v>0</v>
      </c>
      <c r="F11" s="272">
        <f t="shared" si="0"/>
        <v>0</v>
      </c>
      <c r="G11" s="272">
        <v>0</v>
      </c>
      <c r="H11" s="272"/>
      <c r="I11" s="272">
        <f t="shared" si="1"/>
        <v>0</v>
      </c>
      <c r="J11" s="272"/>
    </row>
    <row r="12" spans="1:10" ht="30" hidden="1" customHeight="1" thickBot="1" x14ac:dyDescent="0.3">
      <c r="A12" s="271">
        <v>11</v>
      </c>
      <c r="B12" s="275">
        <v>544254630871</v>
      </c>
      <c r="C12" s="272" t="s">
        <v>547</v>
      </c>
      <c r="D12" s="272">
        <v>0</v>
      </c>
      <c r="E12" s="272">
        <v>0</v>
      </c>
      <c r="F12" s="272">
        <f t="shared" si="0"/>
        <v>0</v>
      </c>
      <c r="G12" s="272">
        <v>0</v>
      </c>
      <c r="H12" s="272"/>
      <c r="I12" s="272">
        <f t="shared" si="1"/>
        <v>0</v>
      </c>
      <c r="J12" s="272"/>
    </row>
    <row r="13" spans="1:10" ht="30" customHeight="1" thickBot="1" x14ac:dyDescent="0.3">
      <c r="A13" s="271">
        <v>12</v>
      </c>
      <c r="B13" s="275">
        <v>544254640267</v>
      </c>
      <c r="C13" s="272" t="s">
        <v>547</v>
      </c>
      <c r="D13" s="272">
        <v>7</v>
      </c>
      <c r="E13" s="272">
        <v>0</v>
      </c>
      <c r="F13" s="272">
        <f t="shared" si="0"/>
        <v>7</v>
      </c>
      <c r="G13" s="272">
        <v>0</v>
      </c>
      <c r="H13" s="272">
        <v>5</v>
      </c>
      <c r="I13" s="272">
        <f t="shared" si="1"/>
        <v>2</v>
      </c>
      <c r="J13" s="272"/>
    </row>
    <row r="14" spans="1:10" ht="30" hidden="1" customHeight="1" thickBot="1" x14ac:dyDescent="0.3">
      <c r="A14" s="271">
        <v>13</v>
      </c>
      <c r="B14" s="275">
        <v>544254640203</v>
      </c>
      <c r="C14" s="272" t="s">
        <v>547</v>
      </c>
      <c r="D14" s="272">
        <v>0</v>
      </c>
      <c r="E14" s="272">
        <v>0</v>
      </c>
      <c r="F14" s="272">
        <f t="shared" si="0"/>
        <v>0</v>
      </c>
      <c r="G14" s="272">
        <v>0</v>
      </c>
      <c r="H14" s="272"/>
      <c r="I14" s="272">
        <f t="shared" si="1"/>
        <v>0</v>
      </c>
      <c r="J14" s="272"/>
    </row>
    <row r="15" spans="1:10" ht="30" hidden="1" customHeight="1" thickBot="1" x14ac:dyDescent="0.3">
      <c r="A15" s="271">
        <v>14</v>
      </c>
      <c r="B15" s="275">
        <v>544254640202</v>
      </c>
      <c r="C15" s="272" t="s">
        <v>547</v>
      </c>
      <c r="D15" s="272">
        <v>0</v>
      </c>
      <c r="E15" s="272">
        <v>0</v>
      </c>
      <c r="F15" s="272">
        <f t="shared" si="0"/>
        <v>0</v>
      </c>
      <c r="G15" s="272">
        <v>0</v>
      </c>
      <c r="H15" s="272"/>
      <c r="I15" s="272">
        <f t="shared" si="1"/>
        <v>0</v>
      </c>
      <c r="J15" s="272"/>
    </row>
    <row r="16" spans="1:10" ht="30" customHeight="1" thickBot="1" x14ac:dyDescent="0.3">
      <c r="A16" s="271">
        <v>15</v>
      </c>
      <c r="B16" s="275">
        <v>544254640248</v>
      </c>
      <c r="C16" s="272" t="s">
        <v>547</v>
      </c>
      <c r="D16" s="272">
        <v>7</v>
      </c>
      <c r="E16" s="272">
        <v>0</v>
      </c>
      <c r="F16" s="272">
        <f t="shared" si="0"/>
        <v>7</v>
      </c>
      <c r="G16" s="272">
        <v>0</v>
      </c>
      <c r="H16" s="272">
        <f>5</f>
        <v>5</v>
      </c>
      <c r="I16" s="272">
        <f t="shared" si="1"/>
        <v>2</v>
      </c>
      <c r="J16" s="272"/>
    </row>
    <row r="17" spans="1:10" ht="30" customHeight="1" thickBot="1" x14ac:dyDescent="0.3">
      <c r="A17" s="271">
        <v>16</v>
      </c>
      <c r="B17" s="275">
        <v>544254640213</v>
      </c>
      <c r="C17" s="272" t="s">
        <v>547</v>
      </c>
      <c r="D17" s="272">
        <v>7</v>
      </c>
      <c r="E17" s="272">
        <v>0</v>
      </c>
      <c r="F17" s="272">
        <f t="shared" si="0"/>
        <v>7</v>
      </c>
      <c r="G17" s="272">
        <v>0</v>
      </c>
      <c r="H17" s="272">
        <v>5</v>
      </c>
      <c r="I17" s="272">
        <f t="shared" si="1"/>
        <v>2</v>
      </c>
      <c r="J17" s="272"/>
    </row>
    <row r="18" spans="1:10" ht="30" customHeight="1" thickBot="1" x14ac:dyDescent="0.3">
      <c r="A18" s="271">
        <v>17</v>
      </c>
      <c r="B18" s="275">
        <v>544254640197</v>
      </c>
      <c r="C18" s="272" t="s">
        <v>547</v>
      </c>
      <c r="D18" s="272">
        <v>10</v>
      </c>
      <c r="E18" s="272">
        <v>0</v>
      </c>
      <c r="F18" s="272">
        <f t="shared" si="0"/>
        <v>10</v>
      </c>
      <c r="G18" s="272">
        <v>0</v>
      </c>
      <c r="H18" s="272">
        <v>5</v>
      </c>
      <c r="I18" s="272">
        <f t="shared" si="1"/>
        <v>5</v>
      </c>
      <c r="J18" s="272"/>
    </row>
    <row r="19" spans="1:10" ht="15.75" x14ac:dyDescent="0.25">
      <c r="A19" s="274"/>
    </row>
    <row r="20" spans="1:10" ht="15.75" x14ac:dyDescent="0.25">
      <c r="A20" s="274"/>
    </row>
    <row r="21" spans="1:10" ht="18.75" x14ac:dyDescent="0.25">
      <c r="B21" s="262">
        <v>544254630512</v>
      </c>
    </row>
    <row r="22" spans="1:10" ht="18.75" x14ac:dyDescent="0.25">
      <c r="B22" s="262">
        <v>544254630510</v>
      </c>
    </row>
    <row r="23" spans="1:10" ht="18.75" x14ac:dyDescent="0.25">
      <c r="B23" s="262">
        <v>544254640219</v>
      </c>
    </row>
    <row r="24" spans="1:10" ht="18.75" x14ac:dyDescent="0.25">
      <c r="B24" s="262">
        <v>544254630499</v>
      </c>
    </row>
    <row r="25" spans="1:10" ht="18.75" x14ac:dyDescent="0.25">
      <c r="B25" s="262">
        <v>544254640202</v>
      </c>
    </row>
    <row r="26" spans="1:10" ht="18.75" x14ac:dyDescent="0.25">
      <c r="B26" s="262">
        <v>544254640207</v>
      </c>
    </row>
    <row r="27" spans="1:10" ht="18.75" x14ac:dyDescent="0.25">
      <c r="B27" s="262">
        <v>544254610240</v>
      </c>
    </row>
    <row r="28" spans="1:10" ht="18.75" x14ac:dyDescent="0.25">
      <c r="B28" s="262">
        <v>544254630486</v>
      </c>
    </row>
    <row r="29" spans="1:10" ht="18.75" x14ac:dyDescent="0.25">
      <c r="B29" s="262">
        <v>544254610239</v>
      </c>
    </row>
    <row r="30" spans="1:10" ht="18.75" x14ac:dyDescent="0.25">
      <c r="B30" s="262">
        <v>544254630490</v>
      </c>
    </row>
    <row r="31" spans="1:10" ht="18.75" x14ac:dyDescent="0.25">
      <c r="B31" s="262">
        <v>544254630503</v>
      </c>
    </row>
    <row r="32" spans="1:10" ht="18.75" x14ac:dyDescent="0.25">
      <c r="B32" s="262">
        <v>544254630476</v>
      </c>
    </row>
    <row r="33" spans="2:2" ht="18.75" x14ac:dyDescent="0.25">
      <c r="B33" s="262">
        <v>544254630481</v>
      </c>
    </row>
    <row r="34" spans="2:2" ht="18.75" x14ac:dyDescent="0.25">
      <c r="B34" s="262">
        <v>544254630477</v>
      </c>
    </row>
    <row r="35" spans="2:2" ht="18.75" x14ac:dyDescent="0.25">
      <c r="B35" s="262">
        <v>544254630473</v>
      </c>
    </row>
    <row r="36" spans="2:2" ht="18.75" x14ac:dyDescent="0.25">
      <c r="B36" s="262">
        <v>544254630474</v>
      </c>
    </row>
    <row r="37" spans="2:2" ht="18.75" x14ac:dyDescent="0.25">
      <c r="B37" s="262">
        <v>544254640216</v>
      </c>
    </row>
    <row r="38" spans="2:2" ht="18.75" x14ac:dyDescent="0.25">
      <c r="B38" s="262">
        <v>544254640218</v>
      </c>
    </row>
    <row r="39" spans="2:2" ht="18.75" x14ac:dyDescent="0.25">
      <c r="B39" s="262">
        <v>544254640214</v>
      </c>
    </row>
    <row r="40" spans="2:2" ht="18.75" x14ac:dyDescent="0.25">
      <c r="B40" s="262">
        <v>544254640213</v>
      </c>
    </row>
    <row r="41" spans="2:2" ht="18.75" x14ac:dyDescent="0.25">
      <c r="B41" s="262">
        <v>544254640210</v>
      </c>
    </row>
    <row r="42" spans="2:2" ht="18.75" x14ac:dyDescent="0.25">
      <c r="B42" s="262">
        <v>544254640209</v>
      </c>
    </row>
    <row r="43" spans="2:2" ht="18.75" x14ac:dyDescent="0.25">
      <c r="B43" s="262">
        <v>544254640204</v>
      </c>
    </row>
    <row r="44" spans="2:2" ht="18.75" x14ac:dyDescent="0.25">
      <c r="B44" s="262">
        <v>544254640203</v>
      </c>
    </row>
    <row r="45" spans="2:2" ht="18.75" x14ac:dyDescent="0.25">
      <c r="B45" s="262">
        <v>544254640205</v>
      </c>
    </row>
    <row r="46" spans="2:2" ht="18.75" x14ac:dyDescent="0.25">
      <c r="B46" s="262">
        <v>544254640198</v>
      </c>
    </row>
    <row r="47" spans="2:2" ht="18.75" x14ac:dyDescent="0.25">
      <c r="B47" s="262">
        <v>544254640197</v>
      </c>
    </row>
    <row r="48" spans="2:2" ht="18.75" x14ac:dyDescent="0.25">
      <c r="B48" s="262">
        <v>544254640199</v>
      </c>
    </row>
    <row r="49" spans="2:2" ht="18.75" x14ac:dyDescent="0.25">
      <c r="B49" s="262">
        <v>544254640217</v>
      </c>
    </row>
    <row r="50" spans="2:2" ht="18.75" x14ac:dyDescent="0.25">
      <c r="B50" s="262">
        <v>544254630871</v>
      </c>
    </row>
    <row r="51" spans="2:2" ht="18.75" x14ac:dyDescent="0.25">
      <c r="B51" s="262">
        <v>544254640267</v>
      </c>
    </row>
    <row r="52" spans="2:2" ht="18.75" x14ac:dyDescent="0.25">
      <c r="B52" s="262">
        <v>544254610241</v>
      </c>
    </row>
    <row r="53" spans="2:2" ht="18.75" x14ac:dyDescent="0.25">
      <c r="B53" s="262">
        <v>544254640251</v>
      </c>
    </row>
  </sheetData>
  <autoFilter ref="A1:J18" xr:uid="{00000000-0009-0000-0000-000000000000}">
    <filterColumn colId="8">
      <filters>
        <filter val="2"/>
        <filter val="21"/>
        <filter val="3"/>
        <filter val="5"/>
        <filter val="6"/>
      </filters>
    </filterColumn>
  </autoFilter>
  <conditionalFormatting sqref="B21:B53">
    <cfRule type="duplicateValues" dxfId="640" priority="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A1:AQ186"/>
  <sheetViews>
    <sheetView topLeftCell="D1" zoomScale="70" zoomScaleNormal="70" workbookViewId="0">
      <pane xSplit="4" ySplit="4" topLeftCell="H141" activePane="bottomRight" state="frozen"/>
      <selection activeCell="D1" sqref="D1"/>
      <selection pane="topRight" activeCell="H1" sqref="H1"/>
      <selection pane="bottomLeft" activeCell="D5" sqref="D5"/>
      <selection pane="bottomRight" activeCell="E164" sqref="E164"/>
    </sheetView>
  </sheetViews>
  <sheetFormatPr defaultColWidth="9.140625" defaultRowHeight="18.75" x14ac:dyDescent="0.3"/>
  <cols>
    <col min="1" max="1" width="25.28515625" style="17" hidden="1" customWidth="1"/>
    <col min="2" max="2" width="17.42578125" style="17" hidden="1" customWidth="1"/>
    <col min="3" max="3" width="24" style="17" hidden="1" customWidth="1"/>
    <col min="4" max="4" width="28.7109375" style="38" bestFit="1" customWidth="1"/>
    <col min="5" max="5" width="17.28515625" style="15" bestFit="1" customWidth="1"/>
    <col min="6" max="6" width="42.5703125" style="17" customWidth="1"/>
    <col min="7" max="7" width="12.7109375" style="17" hidden="1" customWidth="1"/>
    <col min="8" max="8" width="12.5703125" style="17" hidden="1" customWidth="1"/>
    <col min="9" max="9" width="12.42578125" style="17" hidden="1" customWidth="1"/>
    <col min="10" max="10" width="13.7109375" style="17" hidden="1" customWidth="1"/>
    <col min="11" max="11" width="11.42578125" style="17" hidden="1" customWidth="1"/>
    <col min="12" max="12" width="12.5703125" style="17" hidden="1" customWidth="1"/>
    <col min="13" max="13" width="15.85546875" style="17" customWidth="1"/>
    <col min="14" max="14" width="12.42578125" style="15" customWidth="1"/>
    <col min="15" max="15" width="11.28515625" style="15" customWidth="1"/>
    <col min="16" max="16" width="12.5703125" style="15" customWidth="1"/>
    <col min="17" max="17" width="13.7109375" style="17" customWidth="1"/>
    <col min="18" max="18" width="13.42578125" style="17" customWidth="1"/>
    <col min="19" max="19" width="10.28515625" style="17" customWidth="1"/>
    <col min="20" max="20" width="11.42578125" style="17" customWidth="1"/>
    <col min="21" max="21" width="15" style="17" customWidth="1"/>
    <col min="22" max="22" width="13" style="17" customWidth="1"/>
    <col min="23" max="23" width="14" style="17" customWidth="1"/>
    <col min="24" max="24" width="16.140625" style="17" customWidth="1"/>
    <col min="25" max="25" width="14.140625" style="17" hidden="1" customWidth="1"/>
    <col min="26" max="26" width="14.85546875" style="17" hidden="1" customWidth="1"/>
    <col min="27" max="27" width="20" style="17" hidden="1" customWidth="1"/>
    <col min="28" max="28" width="3.42578125" style="54" hidden="1" customWidth="1"/>
    <col min="29" max="29" width="17" style="17" customWidth="1"/>
    <col min="30" max="30" width="3" style="17" hidden="1" customWidth="1"/>
    <col min="31" max="31" width="9.140625" style="17" hidden="1" customWidth="1"/>
    <col min="32" max="32" width="7.42578125" style="17" customWidth="1"/>
    <col min="33" max="37" width="9.140625" style="17"/>
    <col min="38" max="38" width="9.140625" style="17" hidden="1" customWidth="1"/>
    <col min="39" max="16384" width="9.140625" style="17"/>
  </cols>
  <sheetData>
    <row r="1" spans="1:42" hidden="1" x14ac:dyDescent="0.3">
      <c r="A1" s="14" t="s">
        <v>0</v>
      </c>
      <c r="B1" s="14"/>
      <c r="C1" s="14" t="str">
        <f>'3 D P'!P1</f>
        <v>Date</v>
      </c>
      <c r="D1" s="760">
        <v>549754600102</v>
      </c>
      <c r="F1" s="16"/>
      <c r="G1" s="16"/>
    </row>
    <row r="2" spans="1:42" hidden="1" x14ac:dyDescent="0.3">
      <c r="A2" s="14"/>
      <c r="B2" s="14"/>
      <c r="M2" s="246">
        <f>SUM(M140,M146)</f>
        <v>401</v>
      </c>
      <c r="S2" s="82">
        <f>+S140+S146</f>
        <v>0</v>
      </c>
      <c r="T2" s="82" t="e">
        <f>T140+T146</f>
        <v>#REF!</v>
      </c>
      <c r="AC2" s="41" t="s">
        <v>157</v>
      </c>
    </row>
    <row r="3" spans="1:42" ht="18.75" hidden="1" customHeight="1" thickBot="1" x14ac:dyDescent="0.35">
      <c r="M3" s="16"/>
      <c r="X3" s="18">
        <f>SUM(X140,X146)</f>
        <v>0</v>
      </c>
      <c r="AC3" s="16"/>
    </row>
    <row r="4" spans="1:42" ht="77.25" hidden="1" thickBot="1" x14ac:dyDescent="0.35">
      <c r="A4" s="1" t="s">
        <v>1</v>
      </c>
      <c r="B4" s="13" t="s">
        <v>115</v>
      </c>
      <c r="C4" s="133" t="s">
        <v>156</v>
      </c>
      <c r="D4" s="518" t="s">
        <v>2</v>
      </c>
      <c r="E4" s="422" t="s">
        <v>3</v>
      </c>
      <c r="F4" s="519" t="s">
        <v>4</v>
      </c>
      <c r="G4" s="422" t="s">
        <v>5</v>
      </c>
      <c r="H4" s="422" t="s">
        <v>117</v>
      </c>
      <c r="I4" s="520" t="s">
        <v>67</v>
      </c>
      <c r="J4" s="422" t="s">
        <v>7</v>
      </c>
      <c r="K4" s="422" t="s">
        <v>8</v>
      </c>
      <c r="L4" s="422" t="s">
        <v>135</v>
      </c>
      <c r="M4" s="423" t="s">
        <v>9</v>
      </c>
      <c r="N4" s="424">
        <f ca="1">'3 D P'!L2</f>
        <v>46221</v>
      </c>
      <c r="O4" s="424">
        <f ca="1">'3 D P'!M2</f>
        <v>46222</v>
      </c>
      <c r="P4" s="424">
        <f ca="1">'3 D P'!N2</f>
        <v>46223</v>
      </c>
      <c r="Q4" s="422" t="s">
        <v>69</v>
      </c>
      <c r="R4" s="422" t="s">
        <v>8</v>
      </c>
      <c r="S4" s="523" t="s">
        <v>121</v>
      </c>
      <c r="T4" s="524" t="s">
        <v>122</v>
      </c>
      <c r="U4" s="437" t="s">
        <v>146</v>
      </c>
      <c r="V4" s="437" t="s">
        <v>148</v>
      </c>
      <c r="W4" s="437" t="s">
        <v>147</v>
      </c>
      <c r="X4" s="427" t="s">
        <v>144</v>
      </c>
      <c r="Y4" s="441" t="s">
        <v>600</v>
      </c>
      <c r="AA4" s="48" t="s">
        <v>155</v>
      </c>
      <c r="AC4" s="19"/>
      <c r="AF4" s="80" t="s">
        <v>171</v>
      </c>
      <c r="AG4" s="79" t="s">
        <v>172</v>
      </c>
      <c r="AH4" s="79" t="s">
        <v>173</v>
      </c>
      <c r="AI4" s="79" t="s">
        <v>174</v>
      </c>
      <c r="AJ4" s="79" t="s">
        <v>175</v>
      </c>
      <c r="AK4" s="79" t="s">
        <v>176</v>
      </c>
      <c r="AL4" s="79" t="s">
        <v>177</v>
      </c>
      <c r="AM4" s="79" t="s">
        <v>178</v>
      </c>
      <c r="AN4" s="79" t="s">
        <v>179</v>
      </c>
      <c r="AO4" s="79" t="s">
        <v>180</v>
      </c>
      <c r="AP4" s="81" t="s">
        <v>162</v>
      </c>
    </row>
    <row r="5" spans="1:42" ht="21" hidden="1" x14ac:dyDescent="0.3">
      <c r="A5" s="292"/>
      <c r="B5" s="293">
        <v>544254630181</v>
      </c>
      <c r="C5" s="294">
        <v>544254630390</v>
      </c>
      <c r="D5" s="747">
        <v>544254630390</v>
      </c>
      <c r="E5" s="338" t="s">
        <v>10</v>
      </c>
      <c r="F5" s="339" t="s">
        <v>11</v>
      </c>
      <c r="G5" s="184">
        <v>0</v>
      </c>
      <c r="H5" s="130">
        <f>G5</f>
        <v>0</v>
      </c>
      <c r="I5" s="134">
        <v>22</v>
      </c>
      <c r="J5" s="126">
        <f>Q5</f>
        <v>0</v>
      </c>
      <c r="K5" s="128">
        <f>R5</f>
        <v>0</v>
      </c>
      <c r="L5" s="130">
        <f>H5-K5</f>
        <v>0</v>
      </c>
      <c r="M5" s="131">
        <f>I5+J5-K5</f>
        <v>22</v>
      </c>
      <c r="N5" s="30">
        <f>SUMIF('3 D P'!$D:$D,Cockpit!$E$5:$E$146,'3 D P'!L:L)</f>
        <v>0</v>
      </c>
      <c r="O5" s="30">
        <f>SUMIF('3 D P'!$D:$D,Cockpit!$E$5:$E$146,'3 D P'!M:M)</f>
        <v>0</v>
      </c>
      <c r="P5" s="30">
        <f>SUMIF('3 D P'!$D:$D,Cockpit!$E$5:$E$146,'3 D P'!N:N)</f>
        <v>0</v>
      </c>
      <c r="Q5" s="132">
        <f>IFERROR(VLOOKUP($D5,'Aptiv Dispatch'!$A:$B,2,FALSE),0)</f>
        <v>0</v>
      </c>
      <c r="R5" s="34">
        <f>SUMIF('Consumption MTD'!B:B,Cockpit!$E$5:$E$146,'Consumption MTD'!C:C)</f>
        <v>0</v>
      </c>
      <c r="S5" s="34">
        <f>SUMIF('BIW Lifting A Shift'!$B:$B,Cockpit!$E$5:$E$146,'BIW Lifting A Shift'!C:C)</f>
        <v>0</v>
      </c>
      <c r="T5" s="34" t="e">
        <f>SUMIF('BIW Lifting A Shift'!$B:$B,Cockpit!$E$5:$E$146,'BIW Lifting A Shift'!#REF!)</f>
        <v>#REF!</v>
      </c>
      <c r="U5" s="73">
        <f>M5-X5</f>
        <v>22</v>
      </c>
      <c r="V5" s="73">
        <f>M5-S5-X5</f>
        <v>22</v>
      </c>
      <c r="W5" s="73" t="e">
        <f>V5-T5</f>
        <v>#REF!</v>
      </c>
      <c r="X5" s="135">
        <f>SUMIF(FLOAT!$D:$D,Cockpit!$E$5:$E$146,FLOAT!F:F)</f>
        <v>0</v>
      </c>
      <c r="Y5" s="38">
        <f>IFERROR(VLOOKUP(E5,[4]Sheet1!$D$4:$G$83,4,0),0)</f>
        <v>0</v>
      </c>
      <c r="Z5" s="17">
        <f>IFERROR(VLOOKUP(E5,'[5]Cockpit Main'!$D$4:$G$83,4,0),0)</f>
        <v>0</v>
      </c>
      <c r="AA5" s="49">
        <v>0</v>
      </c>
      <c r="AC5" s="77">
        <v>19</v>
      </c>
      <c r="AE5" s="134"/>
      <c r="AF5" s="62">
        <f>SUMIF(FLOAT!$D:$D,Cockpit!$E5:$E146,FLOAT!G:G)</f>
        <v>0</v>
      </c>
      <c r="AG5" s="62">
        <f>SUMIF(FLOAT!$D:$D,Cockpit!$E5:$E146,FLOAT!H:H)</f>
        <v>0</v>
      </c>
      <c r="AH5" s="62">
        <f>SUMIF(FLOAT!$D:$D,Cockpit!$E5:$E146,FLOAT!I:I)</f>
        <v>0</v>
      </c>
      <c r="AI5" s="62">
        <f>SUMIF(FLOAT!$D:$D,Cockpit!$E5:$E146,FLOAT!J:J)</f>
        <v>0</v>
      </c>
      <c r="AJ5" s="62">
        <f>SUMIF(FLOAT!$D:$D,Cockpit!$E5:$E146,FLOAT!K:K)</f>
        <v>0</v>
      </c>
      <c r="AK5" s="62">
        <f>SUMIF(FLOAT!$D:$D,Cockpit!$E5:$E146,FLOAT!L:L)</f>
        <v>0</v>
      </c>
      <c r="AL5" s="62">
        <f>SUMIF(FLOAT!$D:$D,Cockpit!$E5:$E146,FLOAT!M:M)</f>
        <v>0</v>
      </c>
      <c r="AM5" s="62">
        <f>SUMIF(FLOAT!$D:$D,Cockpit!$E5:$E146,FLOAT!N:N)</f>
        <v>0</v>
      </c>
      <c r="AN5" s="62">
        <f>SUMIF(FLOAT!$D:$D,Cockpit!$E5:$E146,FLOAT!O:O)</f>
        <v>0</v>
      </c>
      <c r="AO5" s="62">
        <f>SUMIF(FLOAT!$D:$D,Cockpit!$E5:$E146,FLOAT!P:P)</f>
        <v>0</v>
      </c>
      <c r="AP5" s="60">
        <f>AF5+AG5+AH5+AI5+AJ5+AK5+AM5+AN5+AO5</f>
        <v>0</v>
      </c>
    </row>
    <row r="6" spans="1:42" ht="19.5" hidden="1" customHeight="1" x14ac:dyDescent="0.3">
      <c r="A6" s="292"/>
      <c r="B6" s="293"/>
      <c r="C6" s="295">
        <v>544254600375</v>
      </c>
      <c r="D6" s="748">
        <v>544254600108</v>
      </c>
      <c r="E6" s="296" t="s">
        <v>123</v>
      </c>
      <c r="F6" s="287" t="s">
        <v>124</v>
      </c>
      <c r="G6" s="184">
        <v>0</v>
      </c>
      <c r="H6" s="45">
        <f>G6</f>
        <v>0</v>
      </c>
      <c r="I6" s="164">
        <v>0</v>
      </c>
      <c r="J6" s="75">
        <f>Q6</f>
        <v>0</v>
      </c>
      <c r="K6" s="76">
        <f>R6</f>
        <v>0</v>
      </c>
      <c r="L6" s="45">
        <f>H6-K6</f>
        <v>0</v>
      </c>
      <c r="M6" s="77">
        <f>I6+J6-K6</f>
        <v>0</v>
      </c>
      <c r="N6" s="30">
        <f>SUMIF('3 D P'!$D:$D,Cockpit!$E$5:$E$146,'3 D P'!L:L)</f>
        <v>0</v>
      </c>
      <c r="O6" s="30">
        <f>SUMIF('3 D P'!$D:$D,Cockpit!$E$5:$E$146,'3 D P'!M:M)</f>
        <v>0</v>
      </c>
      <c r="P6" s="30">
        <f>SUMIF('3 D P'!$D:$D,Cockpit!$E$5:$E$146,'3 D P'!N:N)</f>
        <v>0</v>
      </c>
      <c r="Q6" s="132">
        <f>IFERROR(VLOOKUP($D6,'Aptiv Dispatch'!$A:$B,2,FALSE),0)</f>
        <v>0</v>
      </c>
      <c r="R6" s="34">
        <f>SUMIF('Consumption MTD'!B:B,Cockpit!$E$5:$E$146,'Consumption MTD'!C:C)</f>
        <v>0</v>
      </c>
      <c r="S6" s="34">
        <f>SUMIF('BIW Lifting A Shift'!$B:$B,Cockpit!$E$5:$E$146,'BIW Lifting A Shift'!C:C)</f>
        <v>0</v>
      </c>
      <c r="T6" s="34" t="e">
        <f>SUMIF('BIW Lifting A Shift'!$B:$B,Cockpit!$E$5:$E$146,'BIW Lifting A Shift'!#REF!)</f>
        <v>#REF!</v>
      </c>
      <c r="U6" s="74">
        <f>M6-X6</f>
        <v>0</v>
      </c>
      <c r="V6" s="74">
        <f>M6-S6-X6</f>
        <v>0</v>
      </c>
      <c r="W6" s="74" t="e">
        <f>V6-T6</f>
        <v>#REF!</v>
      </c>
      <c r="X6" s="135">
        <f>SUMIF(FLOAT!$D:$D,Cockpit!$E$5:$E$146,FLOAT!F:F)</f>
        <v>0</v>
      </c>
      <c r="Y6" s="38">
        <f>IFERROR(VLOOKUP(E6,[4]Sheet1!$D$4:$G$83,4,0),0)</f>
        <v>0</v>
      </c>
      <c r="Z6" s="17">
        <f>IFERROR(VLOOKUP(E6,'[5]Cockpit Main'!$D$4:$G$83,4,0),0)</f>
        <v>0</v>
      </c>
      <c r="AA6" s="49">
        <v>3</v>
      </c>
      <c r="AC6" s="77">
        <v>13</v>
      </c>
      <c r="AE6" s="164"/>
      <c r="AF6" s="62">
        <f>SUMIF(FLOAT!$D:$D,Cockpit!$E6:$E150,FLOAT!G:G)</f>
        <v>0</v>
      </c>
      <c r="AG6" s="62">
        <f>SUMIF(FLOAT!$D:$D,Cockpit!$E6:$E150,FLOAT!H:H)</f>
        <v>0</v>
      </c>
      <c r="AH6" s="62">
        <f>SUMIF(FLOAT!$D:$D,Cockpit!$E6:$E150,FLOAT!I:I)</f>
        <v>0</v>
      </c>
      <c r="AI6" s="62">
        <f>SUMIF(FLOAT!$D:$D,Cockpit!$E6:$E150,FLOAT!J:J)</f>
        <v>0</v>
      </c>
      <c r="AJ6" s="62">
        <f>SUMIF(FLOAT!$D:$D,Cockpit!$E6:$E150,FLOAT!K:K)</f>
        <v>0</v>
      </c>
      <c r="AK6" s="62">
        <f>SUMIF(FLOAT!$D:$D,Cockpit!$E6:$E150,FLOAT!L:L)</f>
        <v>0</v>
      </c>
      <c r="AL6" s="62">
        <f>SUMIF(FLOAT!$D:$D,Cockpit!$E6:$E150,FLOAT!M:M)</f>
        <v>0</v>
      </c>
      <c r="AM6" s="62">
        <f>SUMIF(FLOAT!$D:$D,Cockpit!$E6:$E150,FLOAT!N:N)</f>
        <v>0</v>
      </c>
      <c r="AN6" s="62">
        <f>SUMIF(FLOAT!$D:$D,Cockpit!$E6:$E150,FLOAT!O:O)</f>
        <v>0</v>
      </c>
      <c r="AO6" s="62">
        <f>SUMIF(FLOAT!$D:$D,Cockpit!$E6:$E150,FLOAT!P:P)</f>
        <v>0</v>
      </c>
      <c r="AP6" s="60">
        <f t="shared" ref="AP6:AP69" si="0">AF6+AG6+AH6+AI6+AJ6+AK6+AM6+AN6+AO6</f>
        <v>0</v>
      </c>
    </row>
    <row r="7" spans="1:42" ht="15.75" hidden="1" customHeight="1" x14ac:dyDescent="0.3">
      <c r="A7" s="297">
        <v>544254620249</v>
      </c>
      <c r="B7" s="298">
        <v>544254630159</v>
      </c>
      <c r="C7" s="921">
        <v>544254630392</v>
      </c>
      <c r="D7" s="937">
        <v>544254630392</v>
      </c>
      <c r="E7" s="292" t="s">
        <v>12</v>
      </c>
      <c r="F7" s="286" t="s">
        <v>13</v>
      </c>
      <c r="G7" s="184">
        <v>0</v>
      </c>
      <c r="H7" s="824">
        <f>SUM(G7:G8)</f>
        <v>0</v>
      </c>
      <c r="I7" s="822">
        <v>43</v>
      </c>
      <c r="J7" s="932">
        <f>Q7</f>
        <v>0</v>
      </c>
      <c r="K7" s="832">
        <f>SUM(R7:R8)</f>
        <v>0</v>
      </c>
      <c r="L7" s="824">
        <f>H7-K7</f>
        <v>0</v>
      </c>
      <c r="M7" s="816">
        <f>I7+J7-K7</f>
        <v>43</v>
      </c>
      <c r="N7" s="30">
        <f>SUMIF('3 D P'!$D:$D,Cockpit!$E$5:$E$146,'3 D P'!L:L)</f>
        <v>0</v>
      </c>
      <c r="O7" s="30">
        <f>SUMIF('3 D P'!$D:$D,Cockpit!$E$5:$E$146,'3 D P'!M:M)</f>
        <v>0</v>
      </c>
      <c r="P7" s="30">
        <f>SUMIF('3 D P'!$D:$D,Cockpit!$E$5:$E$146,'3 D P'!N:N)</f>
        <v>0</v>
      </c>
      <c r="Q7" s="132">
        <f>IFERROR(VLOOKUP($D7,'Aptiv Dispatch'!$A:$B,2,FALSE),0)</f>
        <v>0</v>
      </c>
      <c r="R7" s="34">
        <f>SUMIF('Consumption MTD'!B:B,Cockpit!$E$5:$E$146,'Consumption MTD'!C:C)</f>
        <v>0</v>
      </c>
      <c r="S7" s="34">
        <f>SUMIF('BIW Lifting A Shift'!$B:$B,Cockpit!$E$5:$E$146,'BIW Lifting A Shift'!C:C)</f>
        <v>0</v>
      </c>
      <c r="T7" s="34" t="e">
        <f>SUMIF('BIW Lifting A Shift'!$B:$B,Cockpit!$E$5:$E$146,'BIW Lifting A Shift'!#REF!)</f>
        <v>#REF!</v>
      </c>
      <c r="U7" s="818">
        <f>M7-X7-X8</f>
        <v>43</v>
      </c>
      <c r="V7" s="818">
        <f>M7-X7-X8-S7-S8</f>
        <v>43</v>
      </c>
      <c r="W7" s="818" t="e">
        <f>V7-SUM(T7:T8)</f>
        <v>#REF!</v>
      </c>
      <c r="X7" s="135">
        <f>SUMIF(FLOAT!$D:$D,Cockpit!$E$5:$E$146,FLOAT!F:F)</f>
        <v>0</v>
      </c>
      <c r="Y7" s="38">
        <f>IFERROR(VLOOKUP(E7,[4]Sheet1!$D$4:$G$83,4,0),0)</f>
        <v>0</v>
      </c>
      <c r="Z7" s="17">
        <f>IFERROR(VLOOKUP(E7,'[5]Cockpit Main'!$D$4:$G$83,4,0),0)</f>
        <v>0</v>
      </c>
      <c r="AA7" s="49">
        <v>3</v>
      </c>
      <c r="AC7" s="816">
        <v>27</v>
      </c>
      <c r="AE7" s="832"/>
      <c r="AF7" s="62">
        <f>SUMIF(FLOAT!$D:$D,Cockpit!$E7:$E151,FLOAT!G:G)</f>
        <v>0</v>
      </c>
      <c r="AG7" s="62">
        <f>SUMIF(FLOAT!$D:$D,Cockpit!$E7:$E151,FLOAT!H:H)</f>
        <v>0</v>
      </c>
      <c r="AH7" s="62">
        <f>SUMIF(FLOAT!$D:$D,Cockpit!$E7:$E151,FLOAT!I:I)</f>
        <v>0</v>
      </c>
      <c r="AI7" s="62">
        <f>SUMIF(FLOAT!$D:$D,Cockpit!$E7:$E151,FLOAT!J:J)</f>
        <v>0</v>
      </c>
      <c r="AJ7" s="62">
        <f>SUMIF(FLOAT!$D:$D,Cockpit!$E7:$E151,FLOAT!K:K)</f>
        <v>0</v>
      </c>
      <c r="AK7" s="62">
        <f>SUMIF(FLOAT!$D:$D,Cockpit!$E7:$E151,FLOAT!L:L)</f>
        <v>0</v>
      </c>
      <c r="AL7" s="62">
        <f>SUMIF(FLOAT!$D:$D,Cockpit!$E7:$E151,FLOAT!M:M)</f>
        <v>0</v>
      </c>
      <c r="AM7" s="62">
        <f>SUMIF(FLOAT!$D:$D,Cockpit!$E7:$E151,FLOAT!N:N)</f>
        <v>0</v>
      </c>
      <c r="AN7" s="62">
        <f>SUMIF(FLOAT!$D:$D,Cockpit!$E7:$E151,FLOAT!O:O)</f>
        <v>0</v>
      </c>
      <c r="AO7" s="62">
        <f>SUMIF(FLOAT!$D:$D,Cockpit!$E7:$E151,FLOAT!P:P)</f>
        <v>0</v>
      </c>
      <c r="AP7" s="60">
        <f t="shared" si="0"/>
        <v>0</v>
      </c>
    </row>
    <row r="8" spans="1:42" ht="15.75" hidden="1" customHeight="1" x14ac:dyDescent="0.3">
      <c r="A8" s="297"/>
      <c r="B8" s="293">
        <v>544254630186</v>
      </c>
      <c r="C8" s="921"/>
      <c r="D8" s="937"/>
      <c r="E8" s="292" t="s">
        <v>14</v>
      </c>
      <c r="F8" s="286" t="s">
        <v>15</v>
      </c>
      <c r="G8" s="184">
        <v>0</v>
      </c>
      <c r="H8" s="825"/>
      <c r="I8" s="823"/>
      <c r="J8" s="932"/>
      <c r="K8" s="832"/>
      <c r="L8" s="825"/>
      <c r="M8" s="816"/>
      <c r="N8" s="30">
        <f>SUMIF('3 D P'!$D:$D,Cockpit!$E$5:$E$146,'3 D P'!L:L)</f>
        <v>0</v>
      </c>
      <c r="O8" s="30">
        <f>SUMIF('3 D P'!$D:$D,Cockpit!$E$5:$E$146,'3 D P'!M:M)</f>
        <v>0</v>
      </c>
      <c r="P8" s="30">
        <f>SUMIF('3 D P'!$D:$D,Cockpit!$E$5:$E$146,'3 D P'!N:N)</f>
        <v>0</v>
      </c>
      <c r="Q8" s="132">
        <f>IFERROR(VLOOKUP($D8,'Aptiv Dispatch'!$A:$B,2,FALSE),0)</f>
        <v>0</v>
      </c>
      <c r="R8" s="34">
        <f>SUMIF('Consumption MTD'!B:B,Cockpit!$E$5:$E$146,'Consumption MTD'!C:C)</f>
        <v>0</v>
      </c>
      <c r="S8" s="34">
        <f>SUMIF('BIW Lifting A Shift'!$B:$B,Cockpit!$E$5:$E$146,'BIW Lifting A Shift'!C:C)</f>
        <v>0</v>
      </c>
      <c r="T8" s="34" t="e">
        <f>SUMIF('BIW Lifting A Shift'!$B:$B,Cockpit!$E$5:$E$146,'BIW Lifting A Shift'!#REF!)</f>
        <v>#REF!</v>
      </c>
      <c r="U8" s="818"/>
      <c r="V8" s="818"/>
      <c r="W8" s="818"/>
      <c r="X8" s="135">
        <f>SUMIF(FLOAT!$D:$D,Cockpit!$E$5:$E$146,FLOAT!F:F)</f>
        <v>0</v>
      </c>
      <c r="Y8" s="38">
        <f>IFERROR(VLOOKUP(E8,[4]Sheet1!$D$4:$G$83,4,0),0)</f>
        <v>0</v>
      </c>
      <c r="Z8" s="17">
        <f>IFERROR(VLOOKUP(E8,'[5]Cockpit Main'!$D$4:$G$83,4,0),0)</f>
        <v>0</v>
      </c>
      <c r="AA8" s="49">
        <v>0</v>
      </c>
      <c r="AC8" s="816"/>
      <c r="AE8" s="832"/>
      <c r="AF8" s="62">
        <f>SUMIF(FLOAT!$D:$D,Cockpit!$E8:$E152,FLOAT!G:G)</f>
        <v>0</v>
      </c>
      <c r="AG8" s="62">
        <f>SUMIF(FLOAT!$D:$D,Cockpit!$E8:$E152,FLOAT!H:H)</f>
        <v>0</v>
      </c>
      <c r="AH8" s="62">
        <f>SUMIF(FLOAT!$D:$D,Cockpit!$E8:$E152,FLOAT!I:I)</f>
        <v>0</v>
      </c>
      <c r="AI8" s="62">
        <f>SUMIF(FLOAT!$D:$D,Cockpit!$E8:$E152,FLOAT!J:J)</f>
        <v>0</v>
      </c>
      <c r="AJ8" s="62">
        <f>SUMIF(FLOAT!$D:$D,Cockpit!$E8:$E152,FLOAT!K:K)</f>
        <v>0</v>
      </c>
      <c r="AK8" s="62">
        <f>SUMIF(FLOAT!$D:$D,Cockpit!$E8:$E152,FLOAT!L:L)</f>
        <v>0</v>
      </c>
      <c r="AL8" s="62">
        <f>SUMIF(FLOAT!$D:$D,Cockpit!$E8:$E152,FLOAT!M:M)</f>
        <v>0</v>
      </c>
      <c r="AM8" s="62">
        <f>SUMIF(FLOAT!$D:$D,Cockpit!$E8:$E152,FLOAT!N:N)</f>
        <v>0</v>
      </c>
      <c r="AN8" s="62">
        <f>SUMIF(FLOAT!$D:$D,Cockpit!$E8:$E152,FLOAT!O:O)</f>
        <v>0</v>
      </c>
      <c r="AO8" s="62">
        <f>SUMIF(FLOAT!$D:$D,Cockpit!$E8:$E152,FLOAT!P:P)</f>
        <v>0</v>
      </c>
      <c r="AP8" s="60">
        <f t="shared" si="0"/>
        <v>0</v>
      </c>
    </row>
    <row r="9" spans="1:42" ht="21" hidden="1" x14ac:dyDescent="0.3">
      <c r="A9" s="297"/>
      <c r="B9" s="293"/>
      <c r="C9" s="295">
        <v>544254600376</v>
      </c>
      <c r="D9" s="748">
        <v>544254600109</v>
      </c>
      <c r="E9" s="296" t="s">
        <v>125</v>
      </c>
      <c r="F9" s="287" t="s">
        <v>126</v>
      </c>
      <c r="G9" s="184">
        <v>0</v>
      </c>
      <c r="H9" s="45">
        <f>G9</f>
        <v>0</v>
      </c>
      <c r="I9" s="76">
        <v>0</v>
      </c>
      <c r="J9" s="75">
        <f>Q9</f>
        <v>0</v>
      </c>
      <c r="K9" s="76">
        <f>R9</f>
        <v>0</v>
      </c>
      <c r="L9" s="45">
        <f>H9-K9</f>
        <v>0</v>
      </c>
      <c r="M9" s="77">
        <f>I9+J9-K9</f>
        <v>0</v>
      </c>
      <c r="N9" s="30">
        <f>SUMIF('3 D P'!$D:$D,Cockpit!$E$5:$E$146,'3 D P'!L:L)</f>
        <v>0</v>
      </c>
      <c r="O9" s="30">
        <f>SUMIF('3 D P'!$D:$D,Cockpit!$E$5:$E$146,'3 D P'!M:M)</f>
        <v>0</v>
      </c>
      <c r="P9" s="30">
        <f>SUMIF('3 D P'!$D:$D,Cockpit!$E$5:$E$146,'3 D P'!N:N)</f>
        <v>0</v>
      </c>
      <c r="Q9" s="132">
        <f>IFERROR(VLOOKUP($D9,'Aptiv Dispatch'!$A:$B,2,FALSE),0)</f>
        <v>0</v>
      </c>
      <c r="R9" s="34">
        <f>SUMIF('Consumption MTD'!B:B,Cockpit!$E$5:$E$146,'Consumption MTD'!C:C)</f>
        <v>0</v>
      </c>
      <c r="S9" s="34">
        <f>SUMIF('BIW Lifting A Shift'!$B:$B,Cockpit!$E$5:$E$146,'BIW Lifting A Shift'!C:C)</f>
        <v>0</v>
      </c>
      <c r="T9" s="34" t="e">
        <f>SUMIF('BIW Lifting A Shift'!$B:$B,Cockpit!$E$5:$E$146,'BIW Lifting A Shift'!#REF!)</f>
        <v>#REF!</v>
      </c>
      <c r="U9" s="74">
        <f>M9-X9</f>
        <v>0</v>
      </c>
      <c r="V9" s="74">
        <f>M9-S9-X9</f>
        <v>0</v>
      </c>
      <c r="W9" s="74" t="e">
        <f>V9-T9</f>
        <v>#REF!</v>
      </c>
      <c r="X9" s="135">
        <f>SUMIF(FLOAT!$D:$D,Cockpit!$E$5:$E$146,FLOAT!F:F)</f>
        <v>0</v>
      </c>
      <c r="Y9" s="38">
        <f>IFERROR(VLOOKUP(E9,[4]Sheet1!$D$4:$G$83,4,0),0)</f>
        <v>0</v>
      </c>
      <c r="Z9" s="17">
        <f>IFERROR(VLOOKUP(E9,'[5]Cockpit Main'!$D$4:$G$83,4,0),0)</f>
        <v>0</v>
      </c>
      <c r="AA9" s="49">
        <v>3</v>
      </c>
      <c r="AC9" s="77">
        <v>42</v>
      </c>
      <c r="AE9" s="76"/>
      <c r="AF9" s="62">
        <f>SUMIF(FLOAT!$D:$D,Cockpit!$E9:$E153,FLOAT!G:G)</f>
        <v>0</v>
      </c>
      <c r="AG9" s="62">
        <f>SUMIF(FLOAT!$D:$D,Cockpit!$E9:$E153,FLOAT!H:H)</f>
        <v>0</v>
      </c>
      <c r="AH9" s="62">
        <f>SUMIF(FLOAT!$D:$D,Cockpit!$E9:$E153,FLOAT!I:I)</f>
        <v>0</v>
      </c>
      <c r="AI9" s="62">
        <f>SUMIF(FLOAT!$D:$D,Cockpit!$E9:$E153,FLOAT!J:J)</f>
        <v>0</v>
      </c>
      <c r="AJ9" s="62">
        <f>SUMIF(FLOAT!$D:$D,Cockpit!$E9:$E153,FLOAT!K:K)</f>
        <v>0</v>
      </c>
      <c r="AK9" s="62">
        <f>SUMIF(FLOAT!$D:$D,Cockpit!$E9:$E153,FLOAT!L:L)</f>
        <v>0</v>
      </c>
      <c r="AL9" s="62">
        <f>SUMIF(FLOAT!$D:$D,Cockpit!$E9:$E153,FLOAT!M:M)</f>
        <v>0</v>
      </c>
      <c r="AM9" s="62">
        <f>SUMIF(FLOAT!$D:$D,Cockpit!$E9:$E153,FLOAT!N:N)</f>
        <v>0</v>
      </c>
      <c r="AN9" s="62">
        <f>SUMIF(FLOAT!$D:$D,Cockpit!$E9:$E153,FLOAT!O:O)</f>
        <v>0</v>
      </c>
      <c r="AO9" s="62">
        <f>SUMIF(FLOAT!$D:$D,Cockpit!$E9:$E153,FLOAT!P:P)</f>
        <v>0</v>
      </c>
      <c r="AP9" s="60">
        <f t="shared" si="0"/>
        <v>0</v>
      </c>
    </row>
    <row r="10" spans="1:42" ht="21" hidden="1" x14ac:dyDescent="0.3">
      <c r="A10" s="297"/>
      <c r="B10" s="293"/>
      <c r="C10" s="295">
        <v>544254600377</v>
      </c>
      <c r="D10" s="748">
        <v>544254600110</v>
      </c>
      <c r="E10" s="296" t="s">
        <v>127</v>
      </c>
      <c r="F10" s="287" t="s">
        <v>128</v>
      </c>
      <c r="G10" s="184">
        <v>0</v>
      </c>
      <c r="H10" s="45">
        <f>G10</f>
        <v>0</v>
      </c>
      <c r="I10" s="76">
        <v>0</v>
      </c>
      <c r="J10" s="75">
        <f>Q10</f>
        <v>0</v>
      </c>
      <c r="K10" s="76">
        <f>R10</f>
        <v>0</v>
      </c>
      <c r="L10" s="45">
        <f>H10-K10</f>
        <v>0</v>
      </c>
      <c r="M10" s="77">
        <f>I10+J10-K10</f>
        <v>0</v>
      </c>
      <c r="N10" s="30">
        <f>SUMIF('3 D P'!$D:$D,Cockpit!$E$5:$E$146,'3 D P'!L:L)</f>
        <v>0</v>
      </c>
      <c r="O10" s="30">
        <f>SUMIF('3 D P'!$D:$D,Cockpit!$E$5:$E$146,'3 D P'!M:M)</f>
        <v>0</v>
      </c>
      <c r="P10" s="30">
        <f>SUMIF('3 D P'!$D:$D,Cockpit!$E$5:$E$146,'3 D P'!N:N)</f>
        <v>0</v>
      </c>
      <c r="Q10" s="132">
        <f>IFERROR(VLOOKUP($D10,'Aptiv Dispatch'!$A:$B,2,FALSE),0)</f>
        <v>0</v>
      </c>
      <c r="R10" s="34">
        <f>SUMIF('Consumption MTD'!B:B,Cockpit!$E$5:$E$146,'Consumption MTD'!C:C)</f>
        <v>0</v>
      </c>
      <c r="S10" s="34">
        <f>SUMIF('BIW Lifting A Shift'!$B:$B,Cockpit!$E$5:$E$146,'BIW Lifting A Shift'!C:C)</f>
        <v>0</v>
      </c>
      <c r="T10" s="34" t="e">
        <f>SUMIF('BIW Lifting A Shift'!$B:$B,Cockpit!$E$5:$E$146,'BIW Lifting A Shift'!#REF!)</f>
        <v>#REF!</v>
      </c>
      <c r="U10" s="74">
        <f>M10-X10</f>
        <v>0</v>
      </c>
      <c r="V10" s="74">
        <f>M10-S10-X10</f>
        <v>0</v>
      </c>
      <c r="W10" s="74" t="e">
        <f>V10-T10</f>
        <v>#REF!</v>
      </c>
      <c r="X10" s="135">
        <f>SUMIF(FLOAT!$D:$D,Cockpit!$E$5:$E$146,FLOAT!F:F)</f>
        <v>0</v>
      </c>
      <c r="Y10" s="38">
        <f>IFERROR(VLOOKUP(E10,[4]Sheet1!$D$4:$G$83,4,0),0)</f>
        <v>0</v>
      </c>
      <c r="Z10" s="17">
        <f>IFERROR(VLOOKUP(E10,'[5]Cockpit Main'!$D$4:$G$83,4,0),0)</f>
        <v>0</v>
      </c>
      <c r="AA10" s="49">
        <v>3</v>
      </c>
      <c r="AC10" s="77">
        <v>10</v>
      </c>
      <c r="AE10" s="76"/>
      <c r="AF10" s="62">
        <f>SUMIF(FLOAT!$D:$D,Cockpit!$E10:$E154,FLOAT!G:G)</f>
        <v>0</v>
      </c>
      <c r="AG10" s="62">
        <f>SUMIF(FLOAT!$D:$D,Cockpit!$E10:$E154,FLOAT!H:H)</f>
        <v>0</v>
      </c>
      <c r="AH10" s="62">
        <f>SUMIF(FLOAT!$D:$D,Cockpit!$E10:$E154,FLOAT!I:I)</f>
        <v>0</v>
      </c>
      <c r="AI10" s="62">
        <f>SUMIF(FLOAT!$D:$D,Cockpit!$E10:$E154,FLOAT!J:J)</f>
        <v>0</v>
      </c>
      <c r="AJ10" s="62">
        <f>SUMIF(FLOAT!$D:$D,Cockpit!$E10:$E154,FLOAT!K:K)</f>
        <v>0</v>
      </c>
      <c r="AK10" s="62">
        <f>SUMIF(FLOAT!$D:$D,Cockpit!$E10:$E154,FLOAT!L:L)</f>
        <v>0</v>
      </c>
      <c r="AL10" s="62">
        <f>SUMIF(FLOAT!$D:$D,Cockpit!$E10:$E154,FLOAT!M:M)</f>
        <v>0</v>
      </c>
      <c r="AM10" s="62">
        <f>SUMIF(FLOAT!$D:$D,Cockpit!$E10:$E154,FLOAT!N:N)</f>
        <v>0</v>
      </c>
      <c r="AN10" s="62">
        <f>SUMIF(FLOAT!$D:$D,Cockpit!$E10:$E154,FLOAT!O:O)</f>
        <v>0</v>
      </c>
      <c r="AO10" s="62">
        <f>SUMIF(FLOAT!$D:$D,Cockpit!$E10:$E154,FLOAT!P:P)</f>
        <v>0</v>
      </c>
      <c r="AP10" s="60">
        <f t="shared" si="0"/>
        <v>0</v>
      </c>
    </row>
    <row r="11" spans="1:42" ht="22.5" hidden="1" customHeight="1" x14ac:dyDescent="0.3">
      <c r="A11" s="299"/>
      <c r="B11" s="293">
        <v>544254630185</v>
      </c>
      <c r="C11" s="921">
        <v>544254630391</v>
      </c>
      <c r="D11" s="938">
        <v>544254600212</v>
      </c>
      <c r="E11" s="296" t="s">
        <v>18</v>
      </c>
      <c r="F11" s="287" t="s">
        <v>19</v>
      </c>
      <c r="G11" s="184">
        <v>0</v>
      </c>
      <c r="H11" s="824">
        <f>SUM(G11:G12)</f>
        <v>0</v>
      </c>
      <c r="I11" s="822">
        <v>0</v>
      </c>
      <c r="J11" s="932">
        <f>Q11</f>
        <v>0</v>
      </c>
      <c r="K11" s="832">
        <f>SUM(R11:R12)</f>
        <v>0</v>
      </c>
      <c r="L11" s="824">
        <f>H11-K11</f>
        <v>0</v>
      </c>
      <c r="M11" s="816">
        <f>I11+J11-K11</f>
        <v>0</v>
      </c>
      <c r="N11" s="30">
        <f>SUMIF('3 D P'!$D:$D,Cockpit!$E$5:$E$146,'3 D P'!L:L)</f>
        <v>0</v>
      </c>
      <c r="O11" s="30">
        <f>SUMIF('3 D P'!$D:$D,Cockpit!$E$5:$E$146,'3 D P'!M:M)</f>
        <v>0</v>
      </c>
      <c r="P11" s="30">
        <f>SUMIF('3 D P'!$D:$D,Cockpit!$E$5:$E$146,'3 D P'!N:N)</f>
        <v>0</v>
      </c>
      <c r="Q11" s="132">
        <f>IFERROR(VLOOKUP($D11,'Aptiv Dispatch'!$A:$B,2,FALSE),0)</f>
        <v>0</v>
      </c>
      <c r="R11" s="34">
        <f>SUMIF('Consumption MTD'!B:B,Cockpit!$E$5:$E$146,'Consumption MTD'!C:C)</f>
        <v>0</v>
      </c>
      <c r="S11" s="34">
        <f>SUMIF('BIW Lifting A Shift'!$B:$B,Cockpit!$E$5:$E$146,'BIW Lifting A Shift'!C:C)</f>
        <v>0</v>
      </c>
      <c r="T11" s="34" t="e">
        <f>SUMIF('BIW Lifting A Shift'!$B:$B,Cockpit!$E$5:$E$146,'BIW Lifting A Shift'!#REF!)</f>
        <v>#REF!</v>
      </c>
      <c r="U11" s="818">
        <f>M11-X11-X12</f>
        <v>0</v>
      </c>
      <c r="V11" s="818">
        <f>M11-X11-X12-S11-S12</f>
        <v>0</v>
      </c>
      <c r="W11" s="818" t="e">
        <f>V11-SUM(T11:T12)</f>
        <v>#REF!</v>
      </c>
      <c r="X11" s="135">
        <f>SUMIF(FLOAT!$D:$D,Cockpit!$E$5:$E$146,FLOAT!F:F)</f>
        <v>0</v>
      </c>
      <c r="Y11" s="38">
        <f>IFERROR(VLOOKUP(E11,[4]Sheet1!$D$4:$G$83,4,0),0)</f>
        <v>0</v>
      </c>
      <c r="Z11" s="17">
        <f>IFERROR(VLOOKUP(E11,'[5]Cockpit Main'!$D$4:$G$83,4,0),0)</f>
        <v>0</v>
      </c>
      <c r="AA11" s="49">
        <v>3</v>
      </c>
      <c r="AC11" s="816">
        <v>16</v>
      </c>
      <c r="AE11" s="832"/>
      <c r="AF11" s="62">
        <f>SUMIF(FLOAT!$D:$D,Cockpit!$E11:$E155,FLOAT!G:G)</f>
        <v>0</v>
      </c>
      <c r="AG11" s="62">
        <f>SUMIF(FLOAT!$D:$D,Cockpit!$E11:$E155,FLOAT!H:H)</f>
        <v>0</v>
      </c>
      <c r="AH11" s="62">
        <f>SUMIF(FLOAT!$D:$D,Cockpit!$E11:$E155,FLOAT!I:I)</f>
        <v>0</v>
      </c>
      <c r="AI11" s="62">
        <f>SUMIF(FLOAT!$D:$D,Cockpit!$E11:$E155,FLOAT!J:J)</f>
        <v>0</v>
      </c>
      <c r="AJ11" s="62">
        <f>SUMIF(FLOAT!$D:$D,Cockpit!$E11:$E155,FLOAT!K:K)</f>
        <v>0</v>
      </c>
      <c r="AK11" s="62">
        <f>SUMIF(FLOAT!$D:$D,Cockpit!$E11:$E155,FLOAT!L:L)</f>
        <v>0</v>
      </c>
      <c r="AL11" s="62">
        <f>SUMIF(FLOAT!$D:$D,Cockpit!$E11:$E155,FLOAT!M:M)</f>
        <v>0</v>
      </c>
      <c r="AM11" s="62">
        <f>SUMIF(FLOAT!$D:$D,Cockpit!$E11:$E155,FLOAT!N:N)</f>
        <v>0</v>
      </c>
      <c r="AN11" s="62">
        <f>SUMIF(FLOAT!$D:$D,Cockpit!$E11:$E155,FLOAT!O:O)</f>
        <v>0</v>
      </c>
      <c r="AO11" s="62">
        <f>SUMIF(FLOAT!$D:$D,Cockpit!$E11:$E155,FLOAT!P:P)</f>
        <v>0</v>
      </c>
      <c r="AP11" s="60">
        <f t="shared" si="0"/>
        <v>0</v>
      </c>
    </row>
    <row r="12" spans="1:42" ht="21.75" hidden="1" customHeight="1" x14ac:dyDescent="0.3">
      <c r="A12" s="299">
        <v>544254620251</v>
      </c>
      <c r="B12" s="293"/>
      <c r="C12" s="921"/>
      <c r="D12" s="939"/>
      <c r="E12" s="296" t="s">
        <v>16</v>
      </c>
      <c r="F12" s="287" t="s">
        <v>17</v>
      </c>
      <c r="G12" s="184">
        <v>0</v>
      </c>
      <c r="H12" s="825"/>
      <c r="I12" s="823"/>
      <c r="J12" s="932"/>
      <c r="K12" s="832"/>
      <c r="L12" s="825"/>
      <c r="M12" s="816"/>
      <c r="N12" s="30">
        <f>SUMIF('3 D P'!$D:$D,Cockpit!$E$5:$E$146,'3 D P'!L:L)</f>
        <v>0</v>
      </c>
      <c r="O12" s="30">
        <f>SUMIF('3 D P'!$D:$D,Cockpit!$E$5:$E$146,'3 D P'!M:M)</f>
        <v>0</v>
      </c>
      <c r="P12" s="30">
        <f>SUMIF('3 D P'!$D:$D,Cockpit!$E$5:$E$146,'3 D P'!N:N)</f>
        <v>0</v>
      </c>
      <c r="Q12" s="132">
        <f>IFERROR(VLOOKUP($D12,'Aptiv Dispatch'!$A:$B,2,FALSE),0)</f>
        <v>0</v>
      </c>
      <c r="R12" s="34">
        <f>SUMIF('Consumption MTD'!B:B,Cockpit!$E$5:$E$146,'Consumption MTD'!C:C)</f>
        <v>0</v>
      </c>
      <c r="S12" s="34">
        <f>SUMIF('BIW Lifting A Shift'!$B:$B,Cockpit!$E$5:$E$146,'BIW Lifting A Shift'!C:C)</f>
        <v>0</v>
      </c>
      <c r="T12" s="34" t="e">
        <f>SUMIF('BIW Lifting A Shift'!$B:$B,Cockpit!$E$5:$E$146,'BIW Lifting A Shift'!#REF!)</f>
        <v>#REF!</v>
      </c>
      <c r="U12" s="818"/>
      <c r="V12" s="818"/>
      <c r="W12" s="818"/>
      <c r="X12" s="135">
        <f>SUMIF(FLOAT!$D:$D,Cockpit!$E$5:$E$146,FLOAT!F:F)</f>
        <v>0</v>
      </c>
      <c r="Y12" s="38">
        <f>IFERROR(VLOOKUP(E12,[4]Sheet1!$D$4:$G$83,4,0),0)</f>
        <v>0</v>
      </c>
      <c r="Z12" s="17">
        <f>IFERROR(VLOOKUP(E12,'[5]Cockpit Main'!$D$4:$G$83,4,0),0)</f>
        <v>0</v>
      </c>
      <c r="AA12" s="49">
        <v>0</v>
      </c>
      <c r="AC12" s="816"/>
      <c r="AE12" s="832"/>
      <c r="AF12" s="62">
        <f>SUMIF(FLOAT!$D:$D,Cockpit!$E12:$E156,FLOAT!G:G)</f>
        <v>0</v>
      </c>
      <c r="AG12" s="62">
        <f>SUMIF(FLOAT!$D:$D,Cockpit!$E12:$E156,FLOAT!H:H)</f>
        <v>0</v>
      </c>
      <c r="AH12" s="62">
        <f>SUMIF(FLOAT!$D:$D,Cockpit!$E12:$E156,FLOAT!I:I)</f>
        <v>0</v>
      </c>
      <c r="AI12" s="62">
        <f>SUMIF(FLOAT!$D:$D,Cockpit!$E12:$E156,FLOAT!J:J)</f>
        <v>0</v>
      </c>
      <c r="AJ12" s="62">
        <f>SUMIF(FLOAT!$D:$D,Cockpit!$E12:$E156,FLOAT!K:K)</f>
        <v>0</v>
      </c>
      <c r="AK12" s="62">
        <f>SUMIF(FLOAT!$D:$D,Cockpit!$E12:$E156,FLOAT!L:L)</f>
        <v>0</v>
      </c>
      <c r="AL12" s="62">
        <f>SUMIF(FLOAT!$D:$D,Cockpit!$E12:$E156,FLOAT!M:M)</f>
        <v>0</v>
      </c>
      <c r="AM12" s="62">
        <f>SUMIF(FLOAT!$D:$D,Cockpit!$E12:$E156,FLOAT!N:N)</f>
        <v>0</v>
      </c>
      <c r="AN12" s="62">
        <f>SUMIF(FLOAT!$D:$D,Cockpit!$E12:$E156,FLOAT!O:O)</f>
        <v>0</v>
      </c>
      <c r="AO12" s="62">
        <f>SUMIF(FLOAT!$D:$D,Cockpit!$E12:$E156,FLOAT!P:P)</f>
        <v>0</v>
      </c>
      <c r="AP12" s="60">
        <f t="shared" si="0"/>
        <v>0</v>
      </c>
    </row>
    <row r="13" spans="1:42" ht="33" hidden="1" customHeight="1" x14ac:dyDescent="0.3">
      <c r="A13" s="299"/>
      <c r="B13" s="293"/>
      <c r="C13" s="295">
        <v>544254600378</v>
      </c>
      <c r="D13" s="748">
        <v>544254600111</v>
      </c>
      <c r="E13" s="296" t="s">
        <v>130</v>
      </c>
      <c r="F13" s="287" t="s">
        <v>131</v>
      </c>
      <c r="G13" s="184">
        <v>0</v>
      </c>
      <c r="H13" s="45">
        <f>G13</f>
        <v>0</v>
      </c>
      <c r="I13" s="164">
        <v>0</v>
      </c>
      <c r="J13" s="75">
        <f>Q13</f>
        <v>0</v>
      </c>
      <c r="K13" s="76">
        <f>R13</f>
        <v>0</v>
      </c>
      <c r="L13" s="45">
        <f>H13-K13</f>
        <v>0</v>
      </c>
      <c r="M13" s="77">
        <f>I13+J13-K13</f>
        <v>0</v>
      </c>
      <c r="N13" s="30">
        <f>SUMIF('3 D P'!$D:$D,Cockpit!$E$5:$E$146,'3 D P'!L:L)</f>
        <v>0</v>
      </c>
      <c r="O13" s="30">
        <f>SUMIF('3 D P'!$D:$D,Cockpit!$E$5:$E$146,'3 D P'!M:M)</f>
        <v>0</v>
      </c>
      <c r="P13" s="30">
        <f>SUMIF('3 D P'!$D:$D,Cockpit!$E$5:$E$146,'3 D P'!N:N)</f>
        <v>0</v>
      </c>
      <c r="Q13" s="132">
        <f>IFERROR(VLOOKUP($D13,'Aptiv Dispatch'!$A:$B,2,FALSE),0)</f>
        <v>0</v>
      </c>
      <c r="R13" s="34">
        <f>SUMIF('Consumption MTD'!B:B,Cockpit!$E$5:$E$146,'Consumption MTD'!C:C)</f>
        <v>0</v>
      </c>
      <c r="S13" s="34">
        <f>SUMIF('BIW Lifting A Shift'!$B:$B,Cockpit!$E$5:$E$146,'BIW Lifting A Shift'!C:C)</f>
        <v>0</v>
      </c>
      <c r="T13" s="34" t="e">
        <f>SUMIF('BIW Lifting A Shift'!$B:$B,Cockpit!$E$5:$E$146,'BIW Lifting A Shift'!#REF!)</f>
        <v>#REF!</v>
      </c>
      <c r="U13" s="74">
        <f>M13-X13</f>
        <v>0</v>
      </c>
      <c r="V13" s="74">
        <f>M13-S13-X13</f>
        <v>0</v>
      </c>
      <c r="W13" s="74" t="e">
        <f>V13-T13</f>
        <v>#REF!</v>
      </c>
      <c r="X13" s="135">
        <f>SUMIF(FLOAT!$D:$D,Cockpit!$E$5:$E$146,FLOAT!F:F)</f>
        <v>0</v>
      </c>
      <c r="Y13" s="38">
        <f>IFERROR(VLOOKUP(E13,[4]Sheet1!$D$4:$G$83,4,0),0)</f>
        <v>0</v>
      </c>
      <c r="Z13" s="17">
        <f>IFERROR(VLOOKUP(E13,'[5]Cockpit Main'!$D$4:$G$83,4,0),0)</f>
        <v>0</v>
      </c>
      <c r="AA13" s="49">
        <v>5</v>
      </c>
      <c r="AC13" s="77">
        <v>81</v>
      </c>
      <c r="AE13" s="164"/>
      <c r="AF13" s="62">
        <f>SUMIF(FLOAT!$D:$D,Cockpit!$E13:$E157,FLOAT!G:G)</f>
        <v>0</v>
      </c>
      <c r="AG13" s="62">
        <f>SUMIF(FLOAT!$D:$D,Cockpit!$E13:$E157,FLOAT!H:H)</f>
        <v>0</v>
      </c>
      <c r="AH13" s="62">
        <f>SUMIF(FLOAT!$D:$D,Cockpit!$E13:$E157,FLOAT!I:I)</f>
        <v>0</v>
      </c>
      <c r="AI13" s="62">
        <f>SUMIF(FLOAT!$D:$D,Cockpit!$E13:$E157,FLOAT!J:J)</f>
        <v>0</v>
      </c>
      <c r="AJ13" s="62">
        <f>SUMIF(FLOAT!$D:$D,Cockpit!$E13:$E157,FLOAT!K:K)</f>
        <v>0</v>
      </c>
      <c r="AK13" s="62">
        <f>SUMIF(FLOAT!$D:$D,Cockpit!$E13:$E157,FLOAT!L:L)</f>
        <v>0</v>
      </c>
      <c r="AL13" s="62">
        <f>SUMIF(FLOAT!$D:$D,Cockpit!$E13:$E157,FLOAT!M:M)</f>
        <v>0</v>
      </c>
      <c r="AM13" s="62">
        <f>SUMIF(FLOAT!$D:$D,Cockpit!$E13:$E157,FLOAT!N:N)</f>
        <v>0</v>
      </c>
      <c r="AN13" s="62">
        <f>SUMIF(FLOAT!$D:$D,Cockpit!$E13:$E157,FLOAT!O:O)</f>
        <v>0</v>
      </c>
      <c r="AO13" s="62">
        <f>SUMIF(FLOAT!$D:$D,Cockpit!$E13:$E157,FLOAT!P:P)</f>
        <v>0</v>
      </c>
      <c r="AP13" s="60">
        <f t="shared" si="0"/>
        <v>0</v>
      </c>
    </row>
    <row r="14" spans="1:42" ht="21" hidden="1" x14ac:dyDescent="0.3">
      <c r="A14" s="299"/>
      <c r="B14" s="298">
        <v>544254630266</v>
      </c>
      <c r="C14" s="294">
        <v>544254630393</v>
      </c>
      <c r="D14" s="748">
        <v>544254600213</v>
      </c>
      <c r="E14" s="296" t="s">
        <v>20</v>
      </c>
      <c r="F14" s="287" t="s">
        <v>21</v>
      </c>
      <c r="G14" s="184">
        <v>0</v>
      </c>
      <c r="H14" s="45">
        <f>G14</f>
        <v>0</v>
      </c>
      <c r="I14" s="76">
        <v>5</v>
      </c>
      <c r="J14" s="75">
        <f>Q14</f>
        <v>0</v>
      </c>
      <c r="K14" s="76">
        <f>R14</f>
        <v>0</v>
      </c>
      <c r="L14" s="45">
        <f>H14-K14</f>
        <v>0</v>
      </c>
      <c r="M14" s="77">
        <f>I14+J14-K14</f>
        <v>5</v>
      </c>
      <c r="N14" s="30">
        <f>SUMIF('3 D P'!$D:$D,Cockpit!$E$5:$E$146,'3 D P'!L:L)</f>
        <v>0</v>
      </c>
      <c r="O14" s="30">
        <f>SUMIF('3 D P'!$D:$D,Cockpit!$E$5:$E$146,'3 D P'!M:M)</f>
        <v>0</v>
      </c>
      <c r="P14" s="30">
        <f>SUMIF('3 D P'!$D:$D,Cockpit!$E$5:$E$146,'3 D P'!N:N)</f>
        <v>0</v>
      </c>
      <c r="Q14" s="132">
        <f>IFERROR(VLOOKUP($D14,'Aptiv Dispatch'!$A:$B,2,FALSE),0)</f>
        <v>0</v>
      </c>
      <c r="R14" s="34">
        <f>SUMIF('Consumption MTD'!B:B,Cockpit!$E$5:$E$146,'Consumption MTD'!C:C)</f>
        <v>0</v>
      </c>
      <c r="S14" s="34">
        <f>SUMIF('BIW Lifting A Shift'!$B:$B,Cockpit!$E$5:$E$146,'BIW Lifting A Shift'!C:C)</f>
        <v>0</v>
      </c>
      <c r="T14" s="34" t="e">
        <f>SUMIF('BIW Lifting A Shift'!$B:$B,Cockpit!$E$5:$E$146,'BIW Lifting A Shift'!#REF!)</f>
        <v>#REF!</v>
      </c>
      <c r="U14" s="74">
        <f>M14-X14</f>
        <v>5</v>
      </c>
      <c r="V14" s="74">
        <f>M14-S14-X14</f>
        <v>5</v>
      </c>
      <c r="W14" s="74" t="e">
        <f>V14-T14</f>
        <v>#REF!</v>
      </c>
      <c r="X14" s="135">
        <f>SUMIF(FLOAT!$D:$D,Cockpit!$E$5:$E$146,FLOAT!F:F)</f>
        <v>0</v>
      </c>
      <c r="Y14" s="38">
        <f>IFERROR(VLOOKUP(E14,[4]Sheet1!$D$4:$G$83,4,0),0)</f>
        <v>0</v>
      </c>
      <c r="Z14" s="17">
        <f>IFERROR(VLOOKUP(E14,'[5]Cockpit Main'!$D$4:$G$83,4,0),0)</f>
        <v>0</v>
      </c>
      <c r="AA14" s="49">
        <v>1</v>
      </c>
      <c r="AC14" s="77">
        <v>15</v>
      </c>
      <c r="AE14" s="76"/>
      <c r="AF14" s="62">
        <f>SUMIF(FLOAT!$D:$D,Cockpit!$E14:$E158,FLOAT!G:G)</f>
        <v>0</v>
      </c>
      <c r="AG14" s="62">
        <f>SUMIF(FLOAT!$D:$D,Cockpit!$E14:$E158,FLOAT!H:H)</f>
        <v>0</v>
      </c>
      <c r="AH14" s="62">
        <f>SUMIF(FLOAT!$D:$D,Cockpit!$E14:$E158,FLOAT!I:I)</f>
        <v>0</v>
      </c>
      <c r="AI14" s="62">
        <f>SUMIF(FLOAT!$D:$D,Cockpit!$E14:$E158,FLOAT!J:J)</f>
        <v>0</v>
      </c>
      <c r="AJ14" s="62">
        <f>SUMIF(FLOAT!$D:$D,Cockpit!$E14:$E158,FLOAT!K:K)</f>
        <v>0</v>
      </c>
      <c r="AK14" s="62">
        <f>SUMIF(FLOAT!$D:$D,Cockpit!$E14:$E158,FLOAT!L:L)</f>
        <v>0</v>
      </c>
      <c r="AL14" s="62">
        <f>SUMIF(FLOAT!$D:$D,Cockpit!$E14:$E158,FLOAT!M:M)</f>
        <v>0</v>
      </c>
      <c r="AM14" s="62">
        <f>SUMIF(FLOAT!$D:$D,Cockpit!$E14:$E158,FLOAT!N:N)</f>
        <v>0</v>
      </c>
      <c r="AN14" s="62">
        <f>SUMIF(FLOAT!$D:$D,Cockpit!$E14:$E158,FLOAT!O:O)</f>
        <v>0</v>
      </c>
      <c r="AO14" s="62">
        <f>SUMIF(FLOAT!$D:$D,Cockpit!$E14:$E158,FLOAT!P:P)</f>
        <v>0</v>
      </c>
      <c r="AP14" s="60">
        <f t="shared" si="0"/>
        <v>0</v>
      </c>
    </row>
    <row r="15" spans="1:42" ht="15.75" hidden="1" customHeight="1" x14ac:dyDescent="0.3">
      <c r="A15" s="299"/>
      <c r="B15" s="293"/>
      <c r="C15" s="921">
        <v>544254630414</v>
      </c>
      <c r="D15" s="938">
        <v>544254600215</v>
      </c>
      <c r="E15" s="296" t="s">
        <v>92</v>
      </c>
      <c r="F15" s="287" t="s">
        <v>93</v>
      </c>
      <c r="G15" s="184">
        <v>0</v>
      </c>
      <c r="H15" s="824">
        <f>SUM(G15:G16)</f>
        <v>0</v>
      </c>
      <c r="I15" s="822">
        <v>11</v>
      </c>
      <c r="J15" s="932">
        <f>Q15</f>
        <v>0</v>
      </c>
      <c r="K15" s="832">
        <f>SUM(R15:R16)</f>
        <v>0</v>
      </c>
      <c r="L15" s="824">
        <f>H15-K15</f>
        <v>0</v>
      </c>
      <c r="M15" s="816">
        <f>I15+J15-K15</f>
        <v>11</v>
      </c>
      <c r="N15" s="30">
        <f>SUMIF('3 D P'!$D:$D,Cockpit!$E$5:$E$146,'3 D P'!L:L)</f>
        <v>0</v>
      </c>
      <c r="O15" s="30">
        <f>SUMIF('3 D P'!$D:$D,Cockpit!$E$5:$E$146,'3 D P'!M:M)</f>
        <v>0</v>
      </c>
      <c r="P15" s="30">
        <f>SUMIF('3 D P'!$D:$D,Cockpit!$E$5:$E$146,'3 D P'!N:N)</f>
        <v>0</v>
      </c>
      <c r="Q15" s="132">
        <f>IFERROR(VLOOKUP($D15,'Aptiv Dispatch'!$A:$B,2,FALSE),0)</f>
        <v>0</v>
      </c>
      <c r="R15" s="34">
        <f>SUMIF('Consumption MTD'!B:B,Cockpit!$E$5:$E$146,'Consumption MTD'!C:C)</f>
        <v>0</v>
      </c>
      <c r="S15" s="34">
        <f>SUMIF('BIW Lifting A Shift'!$B:$B,Cockpit!$E$5:$E$146,'BIW Lifting A Shift'!C:C)</f>
        <v>0</v>
      </c>
      <c r="T15" s="34" t="e">
        <f>SUMIF('BIW Lifting A Shift'!$B:$B,Cockpit!$E$5:$E$146,'BIW Lifting A Shift'!#REF!)</f>
        <v>#REF!</v>
      </c>
      <c r="U15" s="818">
        <f>M15-X15-X16</f>
        <v>11</v>
      </c>
      <c r="V15" s="818">
        <f>M15-X15-X16-S15-S16</f>
        <v>11</v>
      </c>
      <c r="W15" s="818" t="e">
        <f>V15-SUM(T15:T16)</f>
        <v>#REF!</v>
      </c>
      <c r="X15" s="135">
        <f>SUMIF(FLOAT!$D:$D,Cockpit!$E$5:$E$146,FLOAT!F:F)</f>
        <v>0</v>
      </c>
      <c r="Y15" s="38">
        <f>IFERROR(VLOOKUP(E15,[4]Sheet1!$D$4:$G$83,4,0),0)</f>
        <v>0</v>
      </c>
      <c r="Z15" s="17">
        <f>IFERROR(VLOOKUP(E15,'[5]Cockpit Main'!$D$4:$G$83,4,0),0)</f>
        <v>0</v>
      </c>
      <c r="AA15" s="49">
        <v>3</v>
      </c>
      <c r="AC15" s="816">
        <v>21</v>
      </c>
      <c r="AE15" s="832"/>
      <c r="AF15" s="62">
        <f>SUMIF(FLOAT!$D:$D,Cockpit!$E15:$E159,FLOAT!G:G)</f>
        <v>0</v>
      </c>
      <c r="AG15" s="62">
        <f>SUMIF(FLOAT!$D:$D,Cockpit!$E15:$E159,FLOAT!H:H)</f>
        <v>0</v>
      </c>
      <c r="AH15" s="62">
        <f>SUMIF(FLOAT!$D:$D,Cockpit!$E15:$E159,FLOAT!I:I)</f>
        <v>0</v>
      </c>
      <c r="AI15" s="62">
        <f>SUMIF(FLOAT!$D:$D,Cockpit!$E15:$E159,FLOAT!J:J)</f>
        <v>0</v>
      </c>
      <c r="AJ15" s="62">
        <f>SUMIF(FLOAT!$D:$D,Cockpit!$E15:$E159,FLOAT!K:K)</f>
        <v>0</v>
      </c>
      <c r="AK15" s="62">
        <f>SUMIF(FLOAT!$D:$D,Cockpit!$E15:$E159,FLOAT!L:L)</f>
        <v>0</v>
      </c>
      <c r="AL15" s="62">
        <f>SUMIF(FLOAT!$D:$D,Cockpit!$E15:$E159,FLOAT!M:M)</f>
        <v>0</v>
      </c>
      <c r="AM15" s="62">
        <f>SUMIF(FLOAT!$D:$D,Cockpit!$E15:$E159,FLOAT!N:N)</f>
        <v>0</v>
      </c>
      <c r="AN15" s="62">
        <f>SUMIF(FLOAT!$D:$D,Cockpit!$E15:$E159,FLOAT!O:O)</f>
        <v>0</v>
      </c>
      <c r="AO15" s="62">
        <f>SUMIF(FLOAT!$D:$D,Cockpit!$E15:$E159,FLOAT!P:P)</f>
        <v>0</v>
      </c>
      <c r="AP15" s="60">
        <f t="shared" si="0"/>
        <v>0</v>
      </c>
    </row>
    <row r="16" spans="1:42" ht="21.75" hidden="1" customHeight="1" x14ac:dyDescent="0.3">
      <c r="A16" s="299"/>
      <c r="B16" s="293"/>
      <c r="C16" s="921"/>
      <c r="D16" s="939"/>
      <c r="E16" s="296" t="s">
        <v>101</v>
      </c>
      <c r="F16" s="287" t="s">
        <v>100</v>
      </c>
      <c r="G16" s="184">
        <v>0</v>
      </c>
      <c r="H16" s="825"/>
      <c r="I16" s="823"/>
      <c r="J16" s="932"/>
      <c r="K16" s="832"/>
      <c r="L16" s="825"/>
      <c r="M16" s="816"/>
      <c r="N16" s="30">
        <f>SUMIF('3 D P'!$D:$D,Cockpit!$E$5:$E$146,'3 D P'!L:L)</f>
        <v>0</v>
      </c>
      <c r="O16" s="30">
        <f>SUMIF('3 D P'!$D:$D,Cockpit!$E$5:$E$146,'3 D P'!M:M)</f>
        <v>0</v>
      </c>
      <c r="P16" s="30">
        <f>SUMIF('3 D P'!$D:$D,Cockpit!$E$5:$E$146,'3 D P'!N:N)</f>
        <v>0</v>
      </c>
      <c r="Q16" s="132">
        <f>IFERROR(VLOOKUP($D16,'Aptiv Dispatch'!$A:$B,2,FALSE),0)</f>
        <v>0</v>
      </c>
      <c r="R16" s="34">
        <f>SUMIF('Consumption MTD'!B:B,Cockpit!$E$5:$E$146,'Consumption MTD'!C:C)</f>
        <v>0</v>
      </c>
      <c r="S16" s="34">
        <f>SUMIF('BIW Lifting A Shift'!$B:$B,Cockpit!$E$5:$E$146,'BIW Lifting A Shift'!C:C)</f>
        <v>0</v>
      </c>
      <c r="T16" s="34" t="e">
        <f>SUMIF('BIW Lifting A Shift'!$B:$B,Cockpit!$E$5:$E$146,'BIW Lifting A Shift'!#REF!)</f>
        <v>#REF!</v>
      </c>
      <c r="U16" s="818"/>
      <c r="V16" s="818"/>
      <c r="W16" s="818"/>
      <c r="X16" s="135">
        <f>SUMIF(FLOAT!$D:$D,Cockpit!$E$5:$E$146,FLOAT!F:F)</f>
        <v>0</v>
      </c>
      <c r="Y16" s="38">
        <f>IFERROR(VLOOKUP(E16,[4]Sheet1!$D$4:$G$83,4,0),0)</f>
        <v>0</v>
      </c>
      <c r="Z16" s="17">
        <f>IFERROR(VLOOKUP(E16,'[5]Cockpit Main'!$D$4:$G$83,4,0),0)</f>
        <v>0</v>
      </c>
      <c r="AA16" s="49">
        <v>0</v>
      </c>
      <c r="AC16" s="816"/>
      <c r="AE16" s="832"/>
      <c r="AF16" s="62">
        <f>SUMIF(FLOAT!$D:$D,Cockpit!$E16:$E160,FLOAT!G:G)</f>
        <v>0</v>
      </c>
      <c r="AG16" s="62">
        <f>SUMIF(FLOAT!$D:$D,Cockpit!$E16:$E160,FLOAT!H:H)</f>
        <v>0</v>
      </c>
      <c r="AH16" s="62">
        <f>SUMIF(FLOAT!$D:$D,Cockpit!$E16:$E160,FLOAT!I:I)</f>
        <v>0</v>
      </c>
      <c r="AI16" s="62">
        <f>SUMIF(FLOAT!$D:$D,Cockpit!$E16:$E160,FLOAT!J:J)</f>
        <v>0</v>
      </c>
      <c r="AJ16" s="62">
        <f>SUMIF(FLOAT!$D:$D,Cockpit!$E16:$E160,FLOAT!K:K)</f>
        <v>0</v>
      </c>
      <c r="AK16" s="62">
        <f>SUMIF(FLOAT!$D:$D,Cockpit!$E16:$E160,FLOAT!L:L)</f>
        <v>0</v>
      </c>
      <c r="AL16" s="62">
        <f>SUMIF(FLOAT!$D:$D,Cockpit!$E16:$E160,FLOAT!M:M)</f>
        <v>0</v>
      </c>
      <c r="AM16" s="62">
        <f>SUMIF(FLOAT!$D:$D,Cockpit!$E16:$E160,FLOAT!N:N)</f>
        <v>0</v>
      </c>
      <c r="AN16" s="62">
        <f>SUMIF(FLOAT!$D:$D,Cockpit!$E16:$E160,FLOAT!O:O)</f>
        <v>0</v>
      </c>
      <c r="AO16" s="62">
        <f>SUMIF(FLOAT!$D:$D,Cockpit!$E16:$E160,FLOAT!P:P)</f>
        <v>0</v>
      </c>
      <c r="AP16" s="60">
        <f t="shared" si="0"/>
        <v>0</v>
      </c>
    </row>
    <row r="17" spans="1:42" ht="21.75" hidden="1" customHeight="1" x14ac:dyDescent="0.3">
      <c r="A17" s="299"/>
      <c r="B17" s="293"/>
      <c r="C17" s="295">
        <v>544254600508</v>
      </c>
      <c r="D17" s="748">
        <v>544254600214</v>
      </c>
      <c r="E17" s="296" t="s">
        <v>129</v>
      </c>
      <c r="F17" s="287" t="s">
        <v>132</v>
      </c>
      <c r="G17" s="184">
        <v>0</v>
      </c>
      <c r="H17" s="45">
        <f>G17</f>
        <v>0</v>
      </c>
      <c r="I17" s="164">
        <v>0</v>
      </c>
      <c r="J17" s="75">
        <f>Q17</f>
        <v>0</v>
      </c>
      <c r="K17" s="76">
        <f>R17</f>
        <v>0</v>
      </c>
      <c r="L17" s="45">
        <f>H17-K17</f>
        <v>0</v>
      </c>
      <c r="M17" s="77">
        <f>I17+J17-K17</f>
        <v>0</v>
      </c>
      <c r="N17" s="30">
        <f>SUMIF('3 D P'!$D:$D,Cockpit!$E$5:$E$146,'3 D P'!L:L)</f>
        <v>0</v>
      </c>
      <c r="O17" s="30">
        <f>SUMIF('3 D P'!$D:$D,Cockpit!$E$5:$E$146,'3 D P'!M:M)</f>
        <v>0</v>
      </c>
      <c r="P17" s="30">
        <f>SUMIF('3 D P'!$D:$D,Cockpit!$E$5:$E$146,'3 D P'!N:N)</f>
        <v>0</v>
      </c>
      <c r="Q17" s="132">
        <f>IFERROR(VLOOKUP($D17,'Aptiv Dispatch'!$A:$B,2,FALSE),0)</f>
        <v>0</v>
      </c>
      <c r="R17" s="34">
        <f>SUMIF('Consumption MTD'!B:B,Cockpit!$E$5:$E$146,'Consumption MTD'!C:C)</f>
        <v>0</v>
      </c>
      <c r="S17" s="34">
        <f>SUMIF('BIW Lifting A Shift'!$B:$B,Cockpit!$E$5:$E$146,'BIW Lifting A Shift'!C:C)</f>
        <v>0</v>
      </c>
      <c r="T17" s="34" t="e">
        <f>SUMIF('BIW Lifting A Shift'!$B:$B,Cockpit!$E$5:$E$146,'BIW Lifting A Shift'!#REF!)</f>
        <v>#REF!</v>
      </c>
      <c r="U17" s="74">
        <f>M17-X17</f>
        <v>0</v>
      </c>
      <c r="V17" s="74">
        <f>M17-S17-X17</f>
        <v>0</v>
      </c>
      <c r="W17" s="74" t="e">
        <f>V17-T17</f>
        <v>#REF!</v>
      </c>
      <c r="X17" s="135">
        <f>SUMIF(FLOAT!$D:$D,Cockpit!$E$5:$E$146,FLOAT!F:F)</f>
        <v>0</v>
      </c>
      <c r="Y17" s="38">
        <f>IFERROR(VLOOKUP(E17,[4]Sheet1!$D$4:$G$83,4,0),0)</f>
        <v>0</v>
      </c>
      <c r="Z17" s="17">
        <f>IFERROR(VLOOKUP(E17,'[5]Cockpit Main'!$D$4:$G$83,4,0),0)</f>
        <v>0</v>
      </c>
      <c r="AA17" s="49">
        <v>0</v>
      </c>
      <c r="AC17" s="77">
        <v>26</v>
      </c>
      <c r="AE17" s="164"/>
      <c r="AF17" s="62">
        <f>SUMIF(FLOAT!$D:$D,Cockpit!$E17:$E161,FLOAT!G:G)</f>
        <v>0</v>
      </c>
      <c r="AG17" s="62">
        <f>SUMIF(FLOAT!$D:$D,Cockpit!$E17:$E161,FLOAT!H:H)</f>
        <v>0</v>
      </c>
      <c r="AH17" s="62">
        <f>SUMIF(FLOAT!$D:$D,Cockpit!$E17:$E161,FLOAT!I:I)</f>
        <v>0</v>
      </c>
      <c r="AI17" s="62">
        <f>SUMIF(FLOAT!$D:$D,Cockpit!$E17:$E161,FLOAT!J:J)</f>
        <v>0</v>
      </c>
      <c r="AJ17" s="62">
        <f>SUMIF(FLOAT!$D:$D,Cockpit!$E17:$E161,FLOAT!K:K)</f>
        <v>0</v>
      </c>
      <c r="AK17" s="62">
        <f>SUMIF(FLOAT!$D:$D,Cockpit!$E17:$E161,FLOAT!L:L)</f>
        <v>0</v>
      </c>
      <c r="AL17" s="62">
        <f>SUMIF(FLOAT!$D:$D,Cockpit!$E17:$E161,FLOAT!M:M)</f>
        <v>0</v>
      </c>
      <c r="AM17" s="62">
        <f>SUMIF(FLOAT!$D:$D,Cockpit!$E17:$E161,FLOAT!N:N)</f>
        <v>0</v>
      </c>
      <c r="AN17" s="62">
        <f>SUMIF(FLOAT!$D:$D,Cockpit!$E17:$E161,FLOAT!O:O)</f>
        <v>0</v>
      </c>
      <c r="AO17" s="62">
        <f>SUMIF(FLOAT!$D:$D,Cockpit!$E17:$E161,FLOAT!P:P)</f>
        <v>0</v>
      </c>
      <c r="AP17" s="60">
        <f t="shared" si="0"/>
        <v>0</v>
      </c>
    </row>
    <row r="18" spans="1:42" ht="21" hidden="1" x14ac:dyDescent="0.3">
      <c r="A18" s="299"/>
      <c r="B18" s="293"/>
      <c r="C18" s="294">
        <v>544254630421</v>
      </c>
      <c r="D18" s="749">
        <v>544254600216</v>
      </c>
      <c r="E18" s="296" t="s">
        <v>104</v>
      </c>
      <c r="F18" s="287" t="s">
        <v>105</v>
      </c>
      <c r="G18" s="184">
        <v>0</v>
      </c>
      <c r="H18" s="45">
        <f>G18</f>
        <v>0</v>
      </c>
      <c r="I18" s="164">
        <v>0</v>
      </c>
      <c r="J18" s="75">
        <f>Q18</f>
        <v>0</v>
      </c>
      <c r="K18" s="76">
        <f>R18</f>
        <v>0</v>
      </c>
      <c r="L18" s="45">
        <f>H18-K18</f>
        <v>0</v>
      </c>
      <c r="M18" s="77">
        <f>I18+J18-K18</f>
        <v>0</v>
      </c>
      <c r="N18" s="30">
        <f>SUMIF('3 D P'!$D:$D,Cockpit!$E$5:$E$146,'3 D P'!L:L)</f>
        <v>0</v>
      </c>
      <c r="O18" s="30">
        <f>SUMIF('3 D P'!$D:$D,Cockpit!$E$5:$E$146,'3 D P'!M:M)</f>
        <v>0</v>
      </c>
      <c r="P18" s="30">
        <f>SUMIF('3 D P'!$D:$D,Cockpit!$E$5:$E$146,'3 D P'!N:N)</f>
        <v>0</v>
      </c>
      <c r="Q18" s="132">
        <f>IFERROR(VLOOKUP($D18,'Aptiv Dispatch'!$A:$B,2,FALSE),0)</f>
        <v>0</v>
      </c>
      <c r="R18" s="34">
        <f>SUMIF('Consumption MTD'!B:B,Cockpit!$E$5:$E$146,'Consumption MTD'!C:C)</f>
        <v>0</v>
      </c>
      <c r="S18" s="34">
        <f>SUMIF('BIW Lifting A Shift'!$B:$B,Cockpit!$E$5:$E$146,'BIW Lifting A Shift'!C:C)</f>
        <v>0</v>
      </c>
      <c r="T18" s="34" t="e">
        <f>SUMIF('BIW Lifting A Shift'!$B:$B,Cockpit!$E$5:$E$146,'BIW Lifting A Shift'!#REF!)</f>
        <v>#REF!</v>
      </c>
      <c r="U18" s="74">
        <f>M18-X18</f>
        <v>0</v>
      </c>
      <c r="V18" s="74">
        <f>M18-S18-X18</f>
        <v>0</v>
      </c>
      <c r="W18" s="74" t="e">
        <f>V18-T18</f>
        <v>#REF!</v>
      </c>
      <c r="X18" s="135">
        <f>SUMIF(FLOAT!$D:$D,Cockpit!$E$5:$E$146,FLOAT!F:F)</f>
        <v>0</v>
      </c>
      <c r="Y18" s="38">
        <f>IFERROR(VLOOKUP(E18,[4]Sheet1!$D$4:$G$83,4,0),0)</f>
        <v>0</v>
      </c>
      <c r="Z18" s="17">
        <f>IFERROR(VLOOKUP(E18,'[5]Cockpit Main'!$D$4:$G$83,4,0),0)</f>
        <v>0</v>
      </c>
      <c r="AA18" s="49">
        <v>2</v>
      </c>
      <c r="AC18" s="77">
        <v>15</v>
      </c>
      <c r="AE18" s="164"/>
      <c r="AF18" s="62">
        <f>SUMIF(FLOAT!$D:$D,Cockpit!$E18:$E162,FLOAT!G:G)</f>
        <v>0</v>
      </c>
      <c r="AG18" s="62">
        <f>SUMIF(FLOAT!$D:$D,Cockpit!$E18:$E162,FLOAT!H:H)</f>
        <v>0</v>
      </c>
      <c r="AH18" s="62">
        <f>SUMIF(FLOAT!$D:$D,Cockpit!$E18:$E162,FLOAT!I:I)</f>
        <v>0</v>
      </c>
      <c r="AI18" s="62">
        <f>SUMIF(FLOAT!$D:$D,Cockpit!$E18:$E162,FLOAT!J:J)</f>
        <v>0</v>
      </c>
      <c r="AJ18" s="62">
        <f>SUMIF(FLOAT!$D:$D,Cockpit!$E18:$E162,FLOAT!K:K)</f>
        <v>0</v>
      </c>
      <c r="AK18" s="62">
        <f>SUMIF(FLOAT!$D:$D,Cockpit!$E18:$E162,FLOAT!L:L)</f>
        <v>0</v>
      </c>
      <c r="AL18" s="62">
        <f>SUMIF(FLOAT!$D:$D,Cockpit!$E18:$E162,FLOAT!M:M)</f>
        <v>0</v>
      </c>
      <c r="AM18" s="62">
        <f>SUMIF(FLOAT!$D:$D,Cockpit!$E18:$E162,FLOAT!N:N)</f>
        <v>0</v>
      </c>
      <c r="AN18" s="62">
        <f>SUMIF(FLOAT!$D:$D,Cockpit!$E18:$E162,FLOAT!O:O)</f>
        <v>0</v>
      </c>
      <c r="AO18" s="62">
        <f>SUMIF(FLOAT!$D:$D,Cockpit!$E18:$E162,FLOAT!P:P)</f>
        <v>0</v>
      </c>
      <c r="AP18" s="60">
        <f t="shared" si="0"/>
        <v>0</v>
      </c>
    </row>
    <row r="19" spans="1:42" ht="18" hidden="1" customHeight="1" x14ac:dyDescent="0.3">
      <c r="A19" s="297">
        <v>544254620253</v>
      </c>
      <c r="B19" s="298">
        <v>544254630163</v>
      </c>
      <c r="C19" s="922">
        <v>544254630255</v>
      </c>
      <c r="D19" s="929">
        <v>544254650108</v>
      </c>
      <c r="E19" s="300" t="s">
        <v>30</v>
      </c>
      <c r="F19" s="927" t="s">
        <v>22</v>
      </c>
      <c r="G19" s="184">
        <v>0</v>
      </c>
      <c r="H19" s="824">
        <f>SUM(G19:G22)</f>
        <v>0</v>
      </c>
      <c r="I19" s="869">
        <v>0</v>
      </c>
      <c r="J19" s="932">
        <f>Q19</f>
        <v>0</v>
      </c>
      <c r="K19" s="832">
        <f>SUM(R19:R22)</f>
        <v>0</v>
      </c>
      <c r="L19" s="824">
        <f>H19-K19</f>
        <v>0</v>
      </c>
      <c r="M19" s="816">
        <f>I19+J19-K19</f>
        <v>0</v>
      </c>
      <c r="N19" s="30">
        <f>SUMIF('3 D P'!$D:$D,Cockpit!$E$5:$E$146,'3 D P'!L:L)</f>
        <v>0</v>
      </c>
      <c r="O19" s="30">
        <f>SUMIF('3 D P'!$D:$D,Cockpit!$E$5:$E$146,'3 D P'!M:M)</f>
        <v>0</v>
      </c>
      <c r="P19" s="30">
        <f>SUMIF('3 D P'!$D:$D,Cockpit!$E$5:$E$146,'3 D P'!N:N)</f>
        <v>0</v>
      </c>
      <c r="Q19" s="132">
        <f>IFERROR(VLOOKUP($D19,'Aptiv Dispatch'!$A:$B,2,FALSE),0)</f>
        <v>0</v>
      </c>
      <c r="R19" s="34">
        <f>SUMIF('Consumption MTD'!B:B,Cockpit!$E$5:$E$146,'Consumption MTD'!C:C)</f>
        <v>0</v>
      </c>
      <c r="S19" s="34">
        <f>SUMIF('BIW Lifting A Shift'!$B:$B,Cockpit!$E$5:$E$146,'BIW Lifting A Shift'!C:C)</f>
        <v>0</v>
      </c>
      <c r="T19" s="34" t="e">
        <f>SUMIF('BIW Lifting A Shift'!$B:$B,Cockpit!$E$5:$E$146,'BIW Lifting A Shift'!#REF!)</f>
        <v>#REF!</v>
      </c>
      <c r="U19" s="818">
        <f>M19-X19-X20-X21-X22</f>
        <v>0</v>
      </c>
      <c r="V19" s="851">
        <f>M19-X19-X20-X21-X22-S19-S20-S21-S22</f>
        <v>0</v>
      </c>
      <c r="W19" s="851" t="e">
        <f>V19-SUM(T19:T22)</f>
        <v>#REF!</v>
      </c>
      <c r="X19" s="135">
        <f>SUMIF(FLOAT!$D:$D,Cockpit!$E$5:$E$146,FLOAT!F:F)</f>
        <v>0</v>
      </c>
      <c r="Y19" s="38">
        <f>IFERROR(VLOOKUP(E19,[4]Sheet1!$D$4:$G$83,4,0),0)</f>
        <v>0</v>
      </c>
      <c r="Z19" s="17">
        <f>IFERROR(VLOOKUP(E19,'[5]Cockpit Main'!$D$4:$G$83,4,0),0)</f>
        <v>0</v>
      </c>
      <c r="AA19" s="49">
        <v>2</v>
      </c>
      <c r="AC19" s="816">
        <v>1</v>
      </c>
      <c r="AE19" s="832"/>
      <c r="AF19" s="62">
        <f>SUMIF(FLOAT!$D:$D,Cockpit!$E19:$E163,FLOAT!G:G)</f>
        <v>0</v>
      </c>
      <c r="AG19" s="62">
        <f>SUMIF(FLOAT!$D:$D,Cockpit!$E19:$E163,FLOAT!H:H)</f>
        <v>0</v>
      </c>
      <c r="AH19" s="62">
        <f>SUMIF(FLOAT!$D:$D,Cockpit!$E19:$E163,FLOAT!I:I)</f>
        <v>0</v>
      </c>
      <c r="AI19" s="62">
        <f>SUMIF(FLOAT!$D:$D,Cockpit!$E19:$E163,FLOAT!J:J)</f>
        <v>0</v>
      </c>
      <c r="AJ19" s="62">
        <f>SUMIF(FLOAT!$D:$D,Cockpit!$E19:$E163,FLOAT!K:K)</f>
        <v>0</v>
      </c>
      <c r="AK19" s="62">
        <f>SUMIF(FLOAT!$D:$D,Cockpit!$E19:$E163,FLOAT!L:L)</f>
        <v>0</v>
      </c>
      <c r="AL19" s="62">
        <f>SUMIF(FLOAT!$D:$D,Cockpit!$E19:$E163,FLOAT!M:M)</f>
        <v>0</v>
      </c>
      <c r="AM19" s="62">
        <f>SUMIF(FLOAT!$D:$D,Cockpit!$E19:$E163,FLOAT!N:N)</f>
        <v>0</v>
      </c>
      <c r="AN19" s="62">
        <f>SUMIF(FLOAT!$D:$D,Cockpit!$E19:$E163,FLOAT!O:O)</f>
        <v>0</v>
      </c>
      <c r="AO19" s="62">
        <f>SUMIF(FLOAT!$D:$D,Cockpit!$E19:$E163,FLOAT!P:P)</f>
        <v>0</v>
      </c>
      <c r="AP19" s="60">
        <f t="shared" si="0"/>
        <v>0</v>
      </c>
    </row>
    <row r="20" spans="1:42" ht="15.75" hidden="1" customHeight="1" x14ac:dyDescent="0.3">
      <c r="A20" s="297"/>
      <c r="B20" s="298"/>
      <c r="C20" s="923"/>
      <c r="D20" s="930"/>
      <c r="E20" s="300" t="s">
        <v>31</v>
      </c>
      <c r="F20" s="927"/>
      <c r="G20" s="184">
        <v>0</v>
      </c>
      <c r="H20" s="868"/>
      <c r="I20" s="870"/>
      <c r="J20" s="932"/>
      <c r="K20" s="832"/>
      <c r="L20" s="868"/>
      <c r="M20" s="816"/>
      <c r="N20" s="30">
        <f>SUMIF('3 D P'!$D:$D,Cockpit!$E$5:$E$146,'3 D P'!L:L)</f>
        <v>0</v>
      </c>
      <c r="O20" s="30">
        <f>SUMIF('3 D P'!$D:$D,Cockpit!$E$5:$E$146,'3 D P'!M:M)</f>
        <v>0</v>
      </c>
      <c r="P20" s="30">
        <f>SUMIF('3 D P'!$D:$D,Cockpit!$E$5:$E$146,'3 D P'!N:N)</f>
        <v>0</v>
      </c>
      <c r="Q20" s="132">
        <f>IFERROR(VLOOKUP($D20,'Aptiv Dispatch'!$A:$B,2,FALSE),0)</f>
        <v>0</v>
      </c>
      <c r="R20" s="34">
        <f>SUMIF('Consumption MTD'!B:B,Cockpit!$E$5:$E$146,'Consumption MTD'!C:C)</f>
        <v>0</v>
      </c>
      <c r="S20" s="34">
        <f>SUMIF('BIW Lifting A Shift'!$B:$B,Cockpit!$E$5:$E$146,'BIW Lifting A Shift'!C:C)</f>
        <v>0</v>
      </c>
      <c r="T20" s="34" t="e">
        <f>SUMIF('BIW Lifting A Shift'!$B:$B,Cockpit!$E$5:$E$146,'BIW Lifting A Shift'!#REF!)</f>
        <v>#REF!</v>
      </c>
      <c r="U20" s="818"/>
      <c r="V20" s="852"/>
      <c r="W20" s="852"/>
      <c r="X20" s="135">
        <f>SUMIF(FLOAT!$D:$D,Cockpit!$E$5:$E$146,FLOAT!F:F)</f>
        <v>0</v>
      </c>
      <c r="Y20" s="38">
        <f>IFERROR(VLOOKUP(E20,[4]Sheet1!$D$4:$G$83,4,0),0)</f>
        <v>0</v>
      </c>
      <c r="Z20" s="17">
        <f>IFERROR(VLOOKUP(E20,'[5]Cockpit Main'!$D$4:$G$83,4,0),0)</f>
        <v>0</v>
      </c>
      <c r="AA20" s="49">
        <v>0</v>
      </c>
      <c r="AC20" s="816"/>
      <c r="AE20" s="832"/>
      <c r="AF20" s="62">
        <f>SUMIF(FLOAT!$D:$D,Cockpit!$E20:$E164,FLOAT!G:G)</f>
        <v>0</v>
      </c>
      <c r="AG20" s="62">
        <f>SUMIF(FLOAT!$D:$D,Cockpit!$E20:$E164,FLOAT!H:H)</f>
        <v>0</v>
      </c>
      <c r="AH20" s="62">
        <f>SUMIF(FLOAT!$D:$D,Cockpit!$E20:$E164,FLOAT!I:I)</f>
        <v>0</v>
      </c>
      <c r="AI20" s="62">
        <f>SUMIF(FLOAT!$D:$D,Cockpit!$E20:$E164,FLOAT!J:J)</f>
        <v>0</v>
      </c>
      <c r="AJ20" s="62">
        <f>SUMIF(FLOAT!$D:$D,Cockpit!$E20:$E164,FLOAT!K:K)</f>
        <v>0</v>
      </c>
      <c r="AK20" s="62">
        <f>SUMIF(FLOAT!$D:$D,Cockpit!$E20:$E164,FLOAT!L:L)</f>
        <v>0</v>
      </c>
      <c r="AL20" s="62">
        <f>SUMIF(FLOAT!$D:$D,Cockpit!$E20:$E164,FLOAT!M:M)</f>
        <v>0</v>
      </c>
      <c r="AM20" s="62">
        <f>SUMIF(FLOAT!$D:$D,Cockpit!$E20:$E164,FLOAT!N:N)</f>
        <v>0</v>
      </c>
      <c r="AN20" s="62">
        <f>SUMIF(FLOAT!$D:$D,Cockpit!$E20:$E164,FLOAT!O:O)</f>
        <v>0</v>
      </c>
      <c r="AO20" s="62">
        <f>SUMIF(FLOAT!$D:$D,Cockpit!$E20:$E164,FLOAT!P:P)</f>
        <v>0</v>
      </c>
      <c r="AP20" s="60">
        <f t="shared" si="0"/>
        <v>0</v>
      </c>
    </row>
    <row r="21" spans="1:42" ht="15.75" hidden="1" customHeight="1" x14ac:dyDescent="0.3">
      <c r="A21" s="297"/>
      <c r="B21" s="298"/>
      <c r="C21" s="923"/>
      <c r="D21" s="930"/>
      <c r="E21" s="301" t="s">
        <v>33</v>
      </c>
      <c r="F21" s="927"/>
      <c r="G21" s="184">
        <v>0</v>
      </c>
      <c r="H21" s="868"/>
      <c r="I21" s="870"/>
      <c r="J21" s="932"/>
      <c r="K21" s="832"/>
      <c r="L21" s="868"/>
      <c r="M21" s="816"/>
      <c r="N21" s="30">
        <f>SUMIF('3 D P'!$D:$D,Cockpit!$E$5:$E$146,'3 D P'!L:L)</f>
        <v>0</v>
      </c>
      <c r="O21" s="30">
        <f>SUMIF('3 D P'!$D:$D,Cockpit!$E$5:$E$146,'3 D P'!M:M)</f>
        <v>0</v>
      </c>
      <c r="P21" s="30">
        <f>SUMIF('3 D P'!$D:$D,Cockpit!$E$5:$E$146,'3 D P'!N:N)</f>
        <v>0</v>
      </c>
      <c r="Q21" s="132">
        <f>IFERROR(VLOOKUP($D21,'Aptiv Dispatch'!$A:$B,2,FALSE),0)</f>
        <v>0</v>
      </c>
      <c r="R21" s="34">
        <f>SUMIF('Consumption MTD'!B:B,Cockpit!$E$5:$E$146,'Consumption MTD'!C:C)</f>
        <v>0</v>
      </c>
      <c r="S21" s="34">
        <f>SUMIF('BIW Lifting A Shift'!$B:$B,Cockpit!$E$5:$E$146,'BIW Lifting A Shift'!C:C)</f>
        <v>0</v>
      </c>
      <c r="T21" s="34" t="e">
        <f>SUMIF('BIW Lifting A Shift'!$B:$B,Cockpit!$E$5:$E$146,'BIW Lifting A Shift'!#REF!)</f>
        <v>#REF!</v>
      </c>
      <c r="U21" s="818"/>
      <c r="V21" s="852"/>
      <c r="W21" s="852"/>
      <c r="X21" s="135">
        <f>SUMIF(FLOAT!$D:$D,Cockpit!$E$5:$E$146,FLOAT!F:F)</f>
        <v>0</v>
      </c>
      <c r="Y21" s="38">
        <f>IFERROR(VLOOKUP(E21,[4]Sheet1!$D$4:$G$83,4,0),0)</f>
        <v>0</v>
      </c>
      <c r="Z21" s="17">
        <f>IFERROR(VLOOKUP(E21,'[5]Cockpit Main'!$D$4:$G$83,4,0),0)</f>
        <v>0</v>
      </c>
      <c r="AA21" s="49">
        <v>0</v>
      </c>
      <c r="AC21" s="816"/>
      <c r="AE21" s="832"/>
      <c r="AF21" s="62">
        <f>SUMIF(FLOAT!$D:$D,Cockpit!$E21:$E165,FLOAT!G:G)</f>
        <v>0</v>
      </c>
      <c r="AG21" s="62">
        <f>SUMIF(FLOAT!$D:$D,Cockpit!$E21:$E165,FLOAT!H:H)</f>
        <v>0</v>
      </c>
      <c r="AH21" s="62">
        <f>SUMIF(FLOAT!$D:$D,Cockpit!$E21:$E165,FLOAT!I:I)</f>
        <v>0</v>
      </c>
      <c r="AI21" s="62">
        <f>SUMIF(FLOAT!$D:$D,Cockpit!$E21:$E165,FLOAT!J:J)</f>
        <v>0</v>
      </c>
      <c r="AJ21" s="62">
        <f>SUMIF(FLOAT!$D:$D,Cockpit!$E21:$E165,FLOAT!K:K)</f>
        <v>0</v>
      </c>
      <c r="AK21" s="62">
        <f>SUMIF(FLOAT!$D:$D,Cockpit!$E21:$E165,FLOAT!L:L)</f>
        <v>0</v>
      </c>
      <c r="AL21" s="62">
        <f>SUMIF(FLOAT!$D:$D,Cockpit!$E21:$E165,FLOAT!M:M)</f>
        <v>0</v>
      </c>
      <c r="AM21" s="62">
        <f>SUMIF(FLOAT!$D:$D,Cockpit!$E21:$E165,FLOAT!N:N)</f>
        <v>0</v>
      </c>
      <c r="AN21" s="62">
        <f>SUMIF(FLOAT!$D:$D,Cockpit!$E21:$E165,FLOAT!O:O)</f>
        <v>0</v>
      </c>
      <c r="AO21" s="62">
        <f>SUMIF(FLOAT!$D:$D,Cockpit!$E21:$E165,FLOAT!P:P)</f>
        <v>0</v>
      </c>
      <c r="AP21" s="60">
        <f t="shared" si="0"/>
        <v>0</v>
      </c>
    </row>
    <row r="22" spans="1:42" ht="15.75" hidden="1" customHeight="1" x14ac:dyDescent="0.3">
      <c r="A22" s="297"/>
      <c r="B22" s="298"/>
      <c r="C22" s="923"/>
      <c r="D22" s="931"/>
      <c r="E22" s="300" t="s">
        <v>32</v>
      </c>
      <c r="F22" s="927"/>
      <c r="G22" s="184">
        <v>0</v>
      </c>
      <c r="H22" s="825"/>
      <c r="I22" s="871"/>
      <c r="J22" s="932"/>
      <c r="K22" s="832"/>
      <c r="L22" s="825"/>
      <c r="M22" s="816"/>
      <c r="N22" s="30">
        <f>SUMIF('3 D P'!$D:$D,Cockpit!$E$5:$E$146,'3 D P'!L:L)</f>
        <v>0</v>
      </c>
      <c r="O22" s="30">
        <f>SUMIF('3 D P'!$D:$D,Cockpit!$E$5:$E$146,'3 D P'!M:M)</f>
        <v>0</v>
      </c>
      <c r="P22" s="30">
        <f>SUMIF('3 D P'!$D:$D,Cockpit!$E$5:$E$146,'3 D P'!N:N)</f>
        <v>0</v>
      </c>
      <c r="Q22" s="132">
        <f>IFERROR(VLOOKUP($D22,'Aptiv Dispatch'!$A:$B,2,FALSE),0)</f>
        <v>0</v>
      </c>
      <c r="R22" s="34">
        <f>SUMIF('Consumption MTD'!B:B,Cockpit!$E$5:$E$146,'Consumption MTD'!C:C)</f>
        <v>0</v>
      </c>
      <c r="S22" s="34">
        <f>SUMIF('BIW Lifting A Shift'!$B:$B,Cockpit!$E$5:$E$146,'BIW Lifting A Shift'!C:C)</f>
        <v>0</v>
      </c>
      <c r="T22" s="34" t="e">
        <f>SUMIF('BIW Lifting A Shift'!$B:$B,Cockpit!$E$5:$E$146,'BIW Lifting A Shift'!#REF!)</f>
        <v>#REF!</v>
      </c>
      <c r="U22" s="818"/>
      <c r="V22" s="853"/>
      <c r="W22" s="853"/>
      <c r="X22" s="135">
        <f>SUMIF(FLOAT!$D:$D,Cockpit!$E$5:$E$146,FLOAT!F:F)</f>
        <v>0</v>
      </c>
      <c r="Y22" s="38">
        <f>IFERROR(VLOOKUP(E22,[4]Sheet1!$D$4:$G$83,4,0),0)</f>
        <v>0</v>
      </c>
      <c r="Z22" s="17">
        <f>IFERROR(VLOOKUP(E22,'[5]Cockpit Main'!$D$4:$G$83,4,0),0)</f>
        <v>0</v>
      </c>
      <c r="AA22" s="49">
        <v>0</v>
      </c>
      <c r="AC22" s="816"/>
      <c r="AE22" s="832"/>
      <c r="AF22" s="62">
        <f>SUMIF(FLOAT!$D:$D,Cockpit!$E22:$E166,FLOAT!G:G)</f>
        <v>0</v>
      </c>
      <c r="AG22" s="62">
        <f>SUMIF(FLOAT!$D:$D,Cockpit!$E22:$E166,FLOAT!H:H)</f>
        <v>0</v>
      </c>
      <c r="AH22" s="62">
        <f>SUMIF(FLOAT!$D:$D,Cockpit!$E22:$E166,FLOAT!I:I)</f>
        <v>0</v>
      </c>
      <c r="AI22" s="62">
        <f>SUMIF(FLOAT!$D:$D,Cockpit!$E22:$E166,FLOAT!J:J)</f>
        <v>0</v>
      </c>
      <c r="AJ22" s="62">
        <f>SUMIF(FLOAT!$D:$D,Cockpit!$E22:$E166,FLOAT!K:K)</f>
        <v>0</v>
      </c>
      <c r="AK22" s="62">
        <f>SUMIF(FLOAT!$D:$D,Cockpit!$E22:$E166,FLOAT!L:L)</f>
        <v>0</v>
      </c>
      <c r="AL22" s="62">
        <f>SUMIF(FLOAT!$D:$D,Cockpit!$E22:$E166,FLOAT!M:M)</f>
        <v>0</v>
      </c>
      <c r="AM22" s="62">
        <f>SUMIF(FLOAT!$D:$D,Cockpit!$E22:$E166,FLOAT!N:N)</f>
        <v>0</v>
      </c>
      <c r="AN22" s="62">
        <f>SUMIF(FLOAT!$D:$D,Cockpit!$E22:$E166,FLOAT!O:O)</f>
        <v>0</v>
      </c>
      <c r="AO22" s="62">
        <f>SUMIF(FLOAT!$D:$D,Cockpit!$E22:$E166,FLOAT!P:P)</f>
        <v>0</v>
      </c>
      <c r="AP22" s="60">
        <f t="shared" si="0"/>
        <v>0</v>
      </c>
    </row>
    <row r="23" spans="1:42" ht="21" hidden="1" x14ac:dyDescent="0.3">
      <c r="A23" s="297"/>
      <c r="B23" s="298"/>
      <c r="C23" s="295">
        <v>544254600510</v>
      </c>
      <c r="D23" s="750">
        <v>544254650107</v>
      </c>
      <c r="E23" s="302" t="s">
        <v>133</v>
      </c>
      <c r="F23" s="288" t="s">
        <v>134</v>
      </c>
      <c r="G23" s="184">
        <v>0</v>
      </c>
      <c r="H23" s="45">
        <f>G23</f>
        <v>0</v>
      </c>
      <c r="I23" s="357">
        <v>0</v>
      </c>
      <c r="J23" s="75">
        <f>Q23</f>
        <v>0</v>
      </c>
      <c r="K23" s="76">
        <f>R23</f>
        <v>0</v>
      </c>
      <c r="L23" s="45">
        <f>H23-K23</f>
        <v>0</v>
      </c>
      <c r="M23" s="77">
        <f>I23+J23-K23</f>
        <v>0</v>
      </c>
      <c r="N23" s="30">
        <f>SUMIF('3 D P'!$D:$D,Cockpit!$E$5:$E$146,'3 D P'!L:L)</f>
        <v>0</v>
      </c>
      <c r="O23" s="30">
        <f>SUMIF('3 D P'!$D:$D,Cockpit!$E$5:$E$146,'3 D P'!M:M)</f>
        <v>0</v>
      </c>
      <c r="P23" s="30">
        <f>SUMIF('3 D P'!$D:$D,Cockpit!$E$5:$E$146,'3 D P'!N:N)</f>
        <v>0</v>
      </c>
      <c r="Q23" s="132">
        <f>IFERROR(VLOOKUP($D23,'Aptiv Dispatch'!$A:$B,2,FALSE),0)</f>
        <v>0</v>
      </c>
      <c r="R23" s="34">
        <f>SUMIF('Consumption MTD'!B:B,Cockpit!$E$5:$E$146,'Consumption MTD'!C:C)</f>
        <v>0</v>
      </c>
      <c r="S23" s="34">
        <f>SUMIF('BIW Lifting A Shift'!$B:$B,Cockpit!$E$5:$E$146,'BIW Lifting A Shift'!C:C)</f>
        <v>0</v>
      </c>
      <c r="T23" s="34" t="e">
        <f>SUMIF('BIW Lifting A Shift'!$B:$B,Cockpit!$E$5:$E$146,'BIW Lifting A Shift'!#REF!)</f>
        <v>#REF!</v>
      </c>
      <c r="U23" s="74">
        <f>M23-X23</f>
        <v>0</v>
      </c>
      <c r="V23" s="74">
        <f>M23-S23-X23</f>
        <v>0</v>
      </c>
      <c r="W23" s="74" t="e">
        <f>V23-T23</f>
        <v>#REF!</v>
      </c>
      <c r="X23" s="135">
        <f>SUMIF(FLOAT!$D:$D,Cockpit!$E$5:$E$146,FLOAT!F:F)</f>
        <v>0</v>
      </c>
      <c r="Y23" s="38">
        <f>IFERROR(VLOOKUP(E23,[4]Sheet1!$D$4:$G$83,4,0),0)</f>
        <v>0</v>
      </c>
      <c r="Z23" s="17">
        <f>IFERROR(VLOOKUP(E23,'[5]Cockpit Main'!$D$4:$G$83,4,0),0)</f>
        <v>0</v>
      </c>
      <c r="AA23" s="49">
        <v>3</v>
      </c>
      <c r="AC23" s="77">
        <v>5</v>
      </c>
      <c r="AE23" s="164"/>
      <c r="AF23" s="62">
        <f>SUMIF(FLOAT!$D:$D,Cockpit!$E23:$E167,FLOAT!G:G)</f>
        <v>0</v>
      </c>
      <c r="AG23" s="62">
        <f>SUMIF(FLOAT!$D:$D,Cockpit!$E23:$E167,FLOAT!H:H)</f>
        <v>0</v>
      </c>
      <c r="AH23" s="62">
        <f>SUMIF(FLOAT!$D:$D,Cockpit!$E23:$E167,FLOAT!I:I)</f>
        <v>0</v>
      </c>
      <c r="AI23" s="62">
        <f>SUMIF(FLOAT!$D:$D,Cockpit!$E23:$E167,FLOAT!J:J)</f>
        <v>0</v>
      </c>
      <c r="AJ23" s="62">
        <f>SUMIF(FLOAT!$D:$D,Cockpit!$E23:$E167,FLOAT!K:K)</f>
        <v>0</v>
      </c>
      <c r="AK23" s="62">
        <f>SUMIF(FLOAT!$D:$D,Cockpit!$E23:$E167,FLOAT!L:L)</f>
        <v>0</v>
      </c>
      <c r="AL23" s="62">
        <f>SUMIF(FLOAT!$D:$D,Cockpit!$E23:$E167,FLOAT!M:M)</f>
        <v>0</v>
      </c>
      <c r="AM23" s="62">
        <f>SUMIF(FLOAT!$D:$D,Cockpit!$E23:$E167,FLOAT!N:N)</f>
        <v>0</v>
      </c>
      <c r="AN23" s="62">
        <f>SUMIF(FLOAT!$D:$D,Cockpit!$E23:$E167,FLOAT!O:O)</f>
        <v>0</v>
      </c>
      <c r="AO23" s="62">
        <f>SUMIF(FLOAT!$D:$D,Cockpit!$E23:$E167,FLOAT!P:P)</f>
        <v>0</v>
      </c>
      <c r="AP23" s="60">
        <f t="shared" si="0"/>
        <v>0</v>
      </c>
    </row>
    <row r="24" spans="1:42" ht="15.75" hidden="1" customHeight="1" x14ac:dyDescent="0.3">
      <c r="A24" s="297">
        <v>544246200392</v>
      </c>
      <c r="B24" s="928">
        <v>544254630258</v>
      </c>
      <c r="C24" s="924">
        <v>544254630265</v>
      </c>
      <c r="D24" s="929">
        <v>544254650109</v>
      </c>
      <c r="E24" s="303" t="s">
        <v>34</v>
      </c>
      <c r="F24" s="927" t="s">
        <v>23</v>
      </c>
      <c r="G24" s="184">
        <v>0</v>
      </c>
      <c r="H24" s="824">
        <f>SUM(G24:G25)</f>
        <v>0</v>
      </c>
      <c r="I24" s="869">
        <v>0</v>
      </c>
      <c r="J24" s="932">
        <f>Q24</f>
        <v>0</v>
      </c>
      <c r="K24" s="832">
        <f>SUM(R24:R25)</f>
        <v>0</v>
      </c>
      <c r="L24" s="824">
        <f>H24-K24</f>
        <v>0</v>
      </c>
      <c r="M24" s="816">
        <f>I24+J24-K24</f>
        <v>0</v>
      </c>
      <c r="N24" s="30">
        <f>SUMIF('3 D P'!$D:$D,Cockpit!$E$5:$E$146,'3 D P'!L:L)</f>
        <v>0</v>
      </c>
      <c r="O24" s="30">
        <f>SUMIF('3 D P'!$D:$D,Cockpit!$E$5:$E$146,'3 D P'!M:M)</f>
        <v>0</v>
      </c>
      <c r="P24" s="30">
        <f>SUMIF('3 D P'!$D:$D,Cockpit!$E$5:$E$146,'3 D P'!N:N)</f>
        <v>0</v>
      </c>
      <c r="Q24" s="132">
        <f>IFERROR(VLOOKUP($D24,'Aptiv Dispatch'!$A:$B,2,FALSE),0)</f>
        <v>0</v>
      </c>
      <c r="R24" s="34">
        <f>SUMIF('Consumption MTD'!B:B,Cockpit!$E$5:$E$146,'Consumption MTD'!C:C)</f>
        <v>0</v>
      </c>
      <c r="S24" s="34">
        <f>SUMIF('BIW Lifting A Shift'!$B:$B,Cockpit!$E$5:$E$146,'BIW Lifting A Shift'!C:C)</f>
        <v>0</v>
      </c>
      <c r="T24" s="34" t="e">
        <f>SUMIF('BIW Lifting A Shift'!$B:$B,Cockpit!$E$5:$E$146,'BIW Lifting A Shift'!#REF!)</f>
        <v>#REF!</v>
      </c>
      <c r="U24" s="818">
        <f>M24-X24-X25</f>
        <v>0</v>
      </c>
      <c r="V24" s="851">
        <f>M24-X24-X25-S24-S25</f>
        <v>0</v>
      </c>
      <c r="W24" s="851" t="e">
        <f>V24-SUM(T24:T25)</f>
        <v>#REF!</v>
      </c>
      <c r="X24" s="135">
        <f>SUMIF(FLOAT!$D:$D,Cockpit!$E$5:$E$146,FLOAT!F:F)</f>
        <v>0</v>
      </c>
      <c r="Y24" s="38">
        <f>IFERROR(VLOOKUP(E24,[4]Sheet1!$D$4:$G$83,4,0),0)</f>
        <v>0</v>
      </c>
      <c r="Z24" s="17">
        <f>IFERROR(VLOOKUP(E24,'[5]Cockpit Main'!$D$4:$G$83,4,0),0)</f>
        <v>0</v>
      </c>
      <c r="AA24" s="49">
        <v>3</v>
      </c>
      <c r="AC24" s="816">
        <v>33</v>
      </c>
      <c r="AE24" s="832"/>
      <c r="AF24" s="62">
        <f>SUMIF(FLOAT!$D:$D,Cockpit!$E24:$E168,FLOAT!G:G)</f>
        <v>0</v>
      </c>
      <c r="AG24" s="62">
        <f>SUMIF(FLOAT!$D:$D,Cockpit!$E24:$E168,FLOAT!H:H)</f>
        <v>0</v>
      </c>
      <c r="AH24" s="62">
        <f>SUMIF(FLOAT!$D:$D,Cockpit!$E24:$E168,FLOAT!I:I)</f>
        <v>0</v>
      </c>
      <c r="AI24" s="62">
        <f>SUMIF(FLOAT!$D:$D,Cockpit!$E24:$E168,FLOAT!J:J)</f>
        <v>0</v>
      </c>
      <c r="AJ24" s="62">
        <f>SUMIF(FLOAT!$D:$D,Cockpit!$E24:$E168,FLOAT!K:K)</f>
        <v>0</v>
      </c>
      <c r="AK24" s="62">
        <f>SUMIF(FLOAT!$D:$D,Cockpit!$E24:$E168,FLOAT!L:L)</f>
        <v>0</v>
      </c>
      <c r="AL24" s="62">
        <f>SUMIF(FLOAT!$D:$D,Cockpit!$E24:$E168,FLOAT!M:M)</f>
        <v>0</v>
      </c>
      <c r="AM24" s="62">
        <f>SUMIF(FLOAT!$D:$D,Cockpit!$E24:$E168,FLOAT!N:N)</f>
        <v>0</v>
      </c>
      <c r="AN24" s="62">
        <f>SUMIF(FLOAT!$D:$D,Cockpit!$E24:$E168,FLOAT!O:O)</f>
        <v>0</v>
      </c>
      <c r="AO24" s="62">
        <f>SUMIF(FLOAT!$D:$D,Cockpit!$E24:$E168,FLOAT!P:P)</f>
        <v>0</v>
      </c>
      <c r="AP24" s="60">
        <f t="shared" si="0"/>
        <v>0</v>
      </c>
    </row>
    <row r="25" spans="1:42" ht="15.75" hidden="1" customHeight="1" x14ac:dyDescent="0.3">
      <c r="A25" s="297"/>
      <c r="B25" s="928"/>
      <c r="C25" s="924"/>
      <c r="D25" s="931"/>
      <c r="E25" s="303" t="s">
        <v>35</v>
      </c>
      <c r="F25" s="927"/>
      <c r="G25" s="184">
        <v>0</v>
      </c>
      <c r="H25" s="825"/>
      <c r="I25" s="871"/>
      <c r="J25" s="932"/>
      <c r="K25" s="832"/>
      <c r="L25" s="825"/>
      <c r="M25" s="816"/>
      <c r="N25" s="30">
        <f>SUMIF('3 D P'!$D:$D,Cockpit!$E$5:$E$146,'3 D P'!L:L)</f>
        <v>0</v>
      </c>
      <c r="O25" s="30">
        <f>SUMIF('3 D P'!$D:$D,Cockpit!$E$5:$E$146,'3 D P'!M:M)</f>
        <v>0</v>
      </c>
      <c r="P25" s="30">
        <f>SUMIF('3 D P'!$D:$D,Cockpit!$E$5:$E$146,'3 D P'!N:N)</f>
        <v>0</v>
      </c>
      <c r="Q25" s="132">
        <f>IFERROR(VLOOKUP($D25,'Aptiv Dispatch'!$A:$B,2,FALSE),0)</f>
        <v>0</v>
      </c>
      <c r="R25" s="34">
        <f>SUMIF('Consumption MTD'!B:B,Cockpit!$E$5:$E$146,'Consumption MTD'!C:C)</f>
        <v>0</v>
      </c>
      <c r="S25" s="34">
        <f>SUMIF('BIW Lifting A Shift'!$B:$B,Cockpit!$E$5:$E$146,'BIW Lifting A Shift'!C:C)</f>
        <v>0</v>
      </c>
      <c r="T25" s="34" t="e">
        <f>SUMIF('BIW Lifting A Shift'!$B:$B,Cockpit!$E$5:$E$146,'BIW Lifting A Shift'!#REF!)</f>
        <v>#REF!</v>
      </c>
      <c r="U25" s="818"/>
      <c r="V25" s="853"/>
      <c r="W25" s="853"/>
      <c r="X25" s="135">
        <f>SUMIF(FLOAT!$D:$D,Cockpit!$E$5:$E$146,FLOAT!F:F)</f>
        <v>0</v>
      </c>
      <c r="Y25" s="38">
        <f>IFERROR(VLOOKUP(E25,[4]Sheet1!$D$4:$G$83,4,0),0)</f>
        <v>0</v>
      </c>
      <c r="Z25" s="17">
        <f>IFERROR(VLOOKUP(E25,'[5]Cockpit Main'!$D$4:$G$83,4,0),0)</f>
        <v>0</v>
      </c>
      <c r="AA25" s="49">
        <v>0</v>
      </c>
      <c r="AC25" s="816"/>
      <c r="AE25" s="832"/>
      <c r="AF25" s="62">
        <f>SUMIF(FLOAT!$D:$D,Cockpit!$E25:$E169,FLOAT!G:G)</f>
        <v>0</v>
      </c>
      <c r="AG25" s="62">
        <f>SUMIF(FLOAT!$D:$D,Cockpit!$E25:$E169,FLOAT!H:H)</f>
        <v>0</v>
      </c>
      <c r="AH25" s="62">
        <f>SUMIF(FLOAT!$D:$D,Cockpit!$E25:$E169,FLOAT!I:I)</f>
        <v>0</v>
      </c>
      <c r="AI25" s="62">
        <f>SUMIF(FLOAT!$D:$D,Cockpit!$E25:$E169,FLOAT!J:J)</f>
        <v>0</v>
      </c>
      <c r="AJ25" s="62">
        <f>SUMIF(FLOAT!$D:$D,Cockpit!$E25:$E169,FLOAT!K:K)</f>
        <v>0</v>
      </c>
      <c r="AK25" s="62">
        <f>SUMIF(FLOAT!$D:$D,Cockpit!$E25:$E169,FLOAT!L:L)</f>
        <v>0</v>
      </c>
      <c r="AL25" s="62">
        <f>SUMIF(FLOAT!$D:$D,Cockpit!$E25:$E169,FLOAT!M:M)</f>
        <v>0</v>
      </c>
      <c r="AM25" s="62">
        <f>SUMIF(FLOAT!$D:$D,Cockpit!$E25:$E169,FLOAT!N:N)</f>
        <v>0</v>
      </c>
      <c r="AN25" s="62">
        <f>SUMIF(FLOAT!$D:$D,Cockpit!$E25:$E169,FLOAT!O:O)</f>
        <v>0</v>
      </c>
      <c r="AO25" s="62">
        <f>SUMIF(FLOAT!$D:$D,Cockpit!$E25:$E169,FLOAT!P:P)</f>
        <v>0</v>
      </c>
      <c r="AP25" s="60">
        <f t="shared" si="0"/>
        <v>0</v>
      </c>
    </row>
    <row r="26" spans="1:42" ht="23.25" hidden="1" customHeight="1" x14ac:dyDescent="0.3">
      <c r="A26" s="297">
        <v>544254630222</v>
      </c>
      <c r="B26" s="298">
        <v>544254630165</v>
      </c>
      <c r="C26" s="923">
        <v>544254630254</v>
      </c>
      <c r="D26" s="929">
        <v>544254650110</v>
      </c>
      <c r="E26" s="300" t="s">
        <v>36</v>
      </c>
      <c r="F26" s="927" t="s">
        <v>159</v>
      </c>
      <c r="G26" s="184">
        <v>0</v>
      </c>
      <c r="H26" s="942">
        <f>SUM(G26:G28)</f>
        <v>0</v>
      </c>
      <c r="I26" s="882">
        <v>0</v>
      </c>
      <c r="J26" s="936">
        <f>Q26</f>
        <v>0</v>
      </c>
      <c r="K26" s="832">
        <f>SUM(R26:R28)</f>
        <v>0</v>
      </c>
      <c r="L26" s="942">
        <f>H26-K26</f>
        <v>0</v>
      </c>
      <c r="M26" s="816">
        <f>I26+J26-K26</f>
        <v>0</v>
      </c>
      <c r="N26" s="30">
        <f>SUMIF('3 D P'!$D:$D,Cockpit!$E$5:$E$146,'3 D P'!L:L)</f>
        <v>0</v>
      </c>
      <c r="O26" s="30">
        <f>SUMIF('3 D P'!$D:$D,Cockpit!$E$5:$E$146,'3 D P'!M:M)</f>
        <v>0</v>
      </c>
      <c r="P26" s="30">
        <f>SUMIF('3 D P'!$D:$D,Cockpit!$E$5:$E$146,'3 D P'!N:N)</f>
        <v>0</v>
      </c>
      <c r="Q26" s="132">
        <f>IFERROR(VLOOKUP($D26,'Aptiv Dispatch'!$A:$B,2,FALSE),0)</f>
        <v>0</v>
      </c>
      <c r="R26" s="34">
        <f>SUMIF('Consumption MTD'!B:B,Cockpit!$E$5:$E$146,'Consumption MTD'!C:C)</f>
        <v>0</v>
      </c>
      <c r="S26" s="34">
        <f>SUMIF('BIW Lifting A Shift'!$B:$B,Cockpit!$E$5:$E$146,'BIW Lifting A Shift'!C:C)</f>
        <v>0</v>
      </c>
      <c r="T26" s="34" t="e">
        <f>SUMIF('BIW Lifting A Shift'!$B:$B,Cockpit!$E$5:$E$146,'BIW Lifting A Shift'!#REF!)</f>
        <v>#REF!</v>
      </c>
      <c r="U26" s="818">
        <f>M26-X26-X27-X28</f>
        <v>0</v>
      </c>
      <c r="V26" s="851">
        <f>M26-X26-X27-X28-S26-S27-S28</f>
        <v>0</v>
      </c>
      <c r="W26" s="851" t="e">
        <f>V26-SUM(T26:T28)</f>
        <v>#REF!</v>
      </c>
      <c r="X26" s="135">
        <f>SUMIF(FLOAT!$D:$D,Cockpit!$E$5:$E$146,FLOAT!F:F)</f>
        <v>0</v>
      </c>
      <c r="Y26" s="38">
        <f>IFERROR(VLOOKUP(E26,[4]Sheet1!$D$4:$G$83,4,0),0)</f>
        <v>0</v>
      </c>
      <c r="Z26" s="17">
        <f>IFERROR(VLOOKUP(E26,'[5]Cockpit Main'!$D$4:$G$83,4,0),0)</f>
        <v>0</v>
      </c>
      <c r="AA26" s="49">
        <v>5</v>
      </c>
      <c r="AC26" s="816">
        <v>39</v>
      </c>
      <c r="AE26" s="919"/>
      <c r="AF26" s="62">
        <f>SUMIF(FLOAT!$D:$D,Cockpit!$E26:$E170,FLOAT!G:G)</f>
        <v>0</v>
      </c>
      <c r="AG26" s="62">
        <f>SUMIF(FLOAT!$D:$D,Cockpit!$E26:$E170,FLOAT!H:H)</f>
        <v>0</v>
      </c>
      <c r="AH26" s="62">
        <f>SUMIF(FLOAT!$D:$D,Cockpit!$E26:$E170,FLOAT!I:I)</f>
        <v>0</v>
      </c>
      <c r="AI26" s="62">
        <f>SUMIF(FLOAT!$D:$D,Cockpit!$E26:$E170,FLOAT!J:J)</f>
        <v>0</v>
      </c>
      <c r="AJ26" s="62">
        <f>SUMIF(FLOAT!$D:$D,Cockpit!$E26:$E170,FLOAT!K:K)</f>
        <v>0</v>
      </c>
      <c r="AK26" s="62">
        <f>SUMIF(FLOAT!$D:$D,Cockpit!$E26:$E170,FLOAT!L:L)</f>
        <v>0</v>
      </c>
      <c r="AL26" s="62">
        <f>SUMIF(FLOAT!$D:$D,Cockpit!$E26:$E170,FLOAT!M:M)</f>
        <v>0</v>
      </c>
      <c r="AM26" s="62">
        <f>SUMIF(FLOAT!$D:$D,Cockpit!$E26:$E170,FLOAT!N:N)</f>
        <v>0</v>
      </c>
      <c r="AN26" s="62">
        <f>SUMIF(FLOAT!$D:$D,Cockpit!$E26:$E170,FLOAT!O:O)</f>
        <v>0</v>
      </c>
      <c r="AO26" s="62">
        <f>SUMIF(FLOAT!$D:$D,Cockpit!$E26:$E170,FLOAT!P:P)</f>
        <v>0</v>
      </c>
      <c r="AP26" s="60">
        <f t="shared" si="0"/>
        <v>0</v>
      </c>
    </row>
    <row r="27" spans="1:42" ht="24.75" hidden="1" customHeight="1" x14ac:dyDescent="0.3">
      <c r="A27" s="297"/>
      <c r="B27" s="298"/>
      <c r="C27" s="923"/>
      <c r="D27" s="930"/>
      <c r="E27" s="300" t="s">
        <v>37</v>
      </c>
      <c r="F27" s="927"/>
      <c r="G27" s="184">
        <v>0</v>
      </c>
      <c r="H27" s="868"/>
      <c r="I27" s="883"/>
      <c r="J27" s="936"/>
      <c r="K27" s="832"/>
      <c r="L27" s="868"/>
      <c r="M27" s="816"/>
      <c r="N27" s="30">
        <f>SUMIF('3 D P'!$D:$D,Cockpit!$E$5:$E$146,'3 D P'!L:L)</f>
        <v>0</v>
      </c>
      <c r="O27" s="30">
        <f>SUMIF('3 D P'!$D:$D,Cockpit!$E$5:$E$146,'3 D P'!M:M)</f>
        <v>0</v>
      </c>
      <c r="P27" s="30">
        <f>SUMIF('3 D P'!$D:$D,Cockpit!$E$5:$E$146,'3 D P'!N:N)</f>
        <v>0</v>
      </c>
      <c r="Q27" s="132">
        <f>IFERROR(VLOOKUP($D27,'Aptiv Dispatch'!$A:$B,2,FALSE),0)</f>
        <v>0</v>
      </c>
      <c r="R27" s="34">
        <f>SUMIF('Consumption MTD'!B:B,Cockpit!$E$5:$E$146,'Consumption MTD'!C:C)</f>
        <v>0</v>
      </c>
      <c r="S27" s="34">
        <f>SUMIF('BIW Lifting A Shift'!$B:$B,Cockpit!$E$5:$E$146,'BIW Lifting A Shift'!C:C)</f>
        <v>0</v>
      </c>
      <c r="T27" s="34" t="e">
        <f>SUMIF('BIW Lifting A Shift'!$B:$B,Cockpit!$E$5:$E$146,'BIW Lifting A Shift'!#REF!)</f>
        <v>#REF!</v>
      </c>
      <c r="U27" s="818"/>
      <c r="V27" s="852"/>
      <c r="W27" s="852"/>
      <c r="X27" s="135">
        <f>SUMIF(FLOAT!$D:$D,Cockpit!$E$5:$E$146,FLOAT!F:F)</f>
        <v>0</v>
      </c>
      <c r="Y27" s="38">
        <f>IFERROR(VLOOKUP(E27,[4]Sheet1!$D$4:$G$83,4,0),0)</f>
        <v>0</v>
      </c>
      <c r="Z27" s="17">
        <f>IFERROR(VLOOKUP(E27,'[5]Cockpit Main'!$D$4:$G$83,4,0),0)</f>
        <v>0</v>
      </c>
      <c r="AA27" s="49">
        <v>0</v>
      </c>
      <c r="AC27" s="816"/>
      <c r="AE27" s="919"/>
      <c r="AF27" s="62">
        <f>SUMIF(FLOAT!$D:$D,Cockpit!$E27:$E171,FLOAT!G:G)</f>
        <v>0</v>
      </c>
      <c r="AG27" s="62">
        <f>SUMIF(FLOAT!$D:$D,Cockpit!$E27:$E171,FLOAT!H:H)</f>
        <v>0</v>
      </c>
      <c r="AH27" s="62">
        <f>SUMIF(FLOAT!$D:$D,Cockpit!$E27:$E171,FLOAT!I:I)</f>
        <v>0</v>
      </c>
      <c r="AI27" s="62">
        <f>SUMIF(FLOAT!$D:$D,Cockpit!$E27:$E171,FLOAT!J:J)</f>
        <v>0</v>
      </c>
      <c r="AJ27" s="62">
        <f>SUMIF(FLOAT!$D:$D,Cockpit!$E27:$E171,FLOAT!K:K)</f>
        <v>0</v>
      </c>
      <c r="AK27" s="62">
        <f>SUMIF(FLOAT!$D:$D,Cockpit!$E27:$E171,FLOAT!L:L)</f>
        <v>0</v>
      </c>
      <c r="AL27" s="62">
        <f>SUMIF(FLOAT!$D:$D,Cockpit!$E27:$E171,FLOAT!M:M)</f>
        <v>0</v>
      </c>
      <c r="AM27" s="62">
        <f>SUMIF(FLOAT!$D:$D,Cockpit!$E27:$E171,FLOAT!N:N)</f>
        <v>0</v>
      </c>
      <c r="AN27" s="62">
        <f>SUMIF(FLOAT!$D:$D,Cockpit!$E27:$E171,FLOAT!O:O)</f>
        <v>0</v>
      </c>
      <c r="AO27" s="62">
        <f>SUMIF(FLOAT!$D:$D,Cockpit!$E27:$E171,FLOAT!P:P)</f>
        <v>0</v>
      </c>
      <c r="AP27" s="60">
        <f t="shared" si="0"/>
        <v>0</v>
      </c>
    </row>
    <row r="28" spans="1:42" ht="24.75" hidden="1" customHeight="1" x14ac:dyDescent="0.3">
      <c r="A28" s="297"/>
      <c r="B28" s="298"/>
      <c r="C28" s="923"/>
      <c r="D28" s="930"/>
      <c r="E28" s="303" t="s">
        <v>38</v>
      </c>
      <c r="F28" s="927"/>
      <c r="G28" s="184">
        <v>0</v>
      </c>
      <c r="H28" s="825"/>
      <c r="I28" s="884"/>
      <c r="J28" s="936"/>
      <c r="K28" s="832"/>
      <c r="L28" s="825"/>
      <c r="M28" s="816"/>
      <c r="N28" s="30">
        <f>SUMIF('3 D P'!$D:$D,Cockpit!$E$5:$E$146,'3 D P'!L:L)</f>
        <v>0</v>
      </c>
      <c r="O28" s="30">
        <f>SUMIF('3 D P'!$D:$D,Cockpit!$E$5:$E$146,'3 D P'!M:M)</f>
        <v>0</v>
      </c>
      <c r="P28" s="30">
        <f>SUMIF('3 D P'!$D:$D,Cockpit!$E$5:$E$146,'3 D P'!N:N)</f>
        <v>0</v>
      </c>
      <c r="Q28" s="132">
        <f>IFERROR(VLOOKUP($D28,'Aptiv Dispatch'!$A:$B,2,FALSE),0)</f>
        <v>0</v>
      </c>
      <c r="R28" s="34">
        <f>SUMIF('Consumption MTD'!B:B,Cockpit!$E$5:$E$146,'Consumption MTD'!C:C)</f>
        <v>0</v>
      </c>
      <c r="S28" s="34">
        <f>SUMIF('BIW Lifting A Shift'!$B:$B,Cockpit!$E$5:$E$146,'BIW Lifting A Shift'!C:C)</f>
        <v>0</v>
      </c>
      <c r="T28" s="34" t="e">
        <f>SUMIF('BIW Lifting A Shift'!$B:$B,Cockpit!$E$5:$E$146,'BIW Lifting A Shift'!#REF!)</f>
        <v>#REF!</v>
      </c>
      <c r="U28" s="818"/>
      <c r="V28" s="853"/>
      <c r="W28" s="853"/>
      <c r="X28" s="135">
        <f>SUMIF(FLOAT!$D:$D,Cockpit!$E$5:$E$146,FLOAT!F:F)</f>
        <v>0</v>
      </c>
      <c r="Y28" s="38">
        <f>IFERROR(VLOOKUP(E28,[4]Sheet1!$D$4:$G$83,4,0),0)</f>
        <v>0</v>
      </c>
      <c r="Z28" s="17">
        <f>IFERROR(VLOOKUP(E28,'[5]Cockpit Main'!$D$4:$G$83,4,0),0)</f>
        <v>0</v>
      </c>
      <c r="AA28" s="49">
        <v>0</v>
      </c>
      <c r="AC28" s="816"/>
      <c r="AE28" s="919"/>
      <c r="AF28" s="62">
        <f>SUMIF(FLOAT!$D:$D,Cockpit!$E28:$E172,FLOAT!G:G)</f>
        <v>0</v>
      </c>
      <c r="AG28" s="62">
        <f>SUMIF(FLOAT!$D:$D,Cockpit!$E28:$E172,FLOAT!H:H)</f>
        <v>0</v>
      </c>
      <c r="AH28" s="62">
        <f>SUMIF(FLOAT!$D:$D,Cockpit!$E28:$E172,FLOAT!I:I)</f>
        <v>0</v>
      </c>
      <c r="AI28" s="62">
        <f>SUMIF(FLOAT!$D:$D,Cockpit!$E28:$E172,FLOAT!J:J)</f>
        <v>0</v>
      </c>
      <c r="AJ28" s="62">
        <f>SUMIF(FLOAT!$D:$D,Cockpit!$E28:$E172,FLOAT!K:K)</f>
        <v>0</v>
      </c>
      <c r="AK28" s="62">
        <f>SUMIF(FLOAT!$D:$D,Cockpit!$E28:$E172,FLOAT!L:L)</f>
        <v>0</v>
      </c>
      <c r="AL28" s="62">
        <f>SUMIF(FLOAT!$D:$D,Cockpit!$E28:$E172,FLOAT!M:M)</f>
        <v>0</v>
      </c>
      <c r="AM28" s="62">
        <f>SUMIF(FLOAT!$D:$D,Cockpit!$E28:$E172,FLOAT!N:N)</f>
        <v>0</v>
      </c>
      <c r="AN28" s="62">
        <f>SUMIF(FLOAT!$D:$D,Cockpit!$E28:$E172,FLOAT!O:O)</f>
        <v>0</v>
      </c>
      <c r="AO28" s="62">
        <f>SUMIF(FLOAT!$D:$D,Cockpit!$E28:$E172,FLOAT!P:P)</f>
        <v>0</v>
      </c>
      <c r="AP28" s="60">
        <f t="shared" si="0"/>
        <v>0</v>
      </c>
    </row>
    <row r="29" spans="1:42" ht="24.75" hidden="1" customHeight="1" x14ac:dyDescent="0.3">
      <c r="A29" s="297">
        <v>544246200220</v>
      </c>
      <c r="B29" s="298">
        <v>544254630259</v>
      </c>
      <c r="C29" s="304">
        <v>544254630264</v>
      </c>
      <c r="D29" s="750">
        <v>544254630115</v>
      </c>
      <c r="E29" s="303" t="s">
        <v>39</v>
      </c>
      <c r="F29" s="286" t="s">
        <v>24</v>
      </c>
      <c r="G29" s="184">
        <v>0</v>
      </c>
      <c r="H29" s="45">
        <f>G29</f>
        <v>0</v>
      </c>
      <c r="I29" s="76">
        <v>0</v>
      </c>
      <c r="J29" s="75">
        <f>Q29</f>
        <v>0</v>
      </c>
      <c r="K29" s="76">
        <f>R29</f>
        <v>0</v>
      </c>
      <c r="L29" s="45">
        <f>H29-K29</f>
        <v>0</v>
      </c>
      <c r="M29" s="77">
        <f>I29+J29-K29</f>
        <v>0</v>
      </c>
      <c r="N29" s="30">
        <f>SUMIF('3 D P'!$D:$D,Cockpit!$E$5:$E$146,'3 D P'!L:L)</f>
        <v>0</v>
      </c>
      <c r="O29" s="30">
        <f>SUMIF('3 D P'!$D:$D,Cockpit!$E$5:$E$146,'3 D P'!M:M)</f>
        <v>0</v>
      </c>
      <c r="P29" s="30">
        <f>SUMIF('3 D P'!$D:$D,Cockpit!$E$5:$E$146,'3 D P'!N:N)</f>
        <v>0</v>
      </c>
      <c r="Q29" s="132">
        <f>IFERROR(VLOOKUP($D29,'Aptiv Dispatch'!$A:$B,2,FALSE),0)</f>
        <v>0</v>
      </c>
      <c r="R29" s="34">
        <f>SUMIF('Consumption MTD'!B:B,Cockpit!$E$5:$E$146,'Consumption MTD'!C:C)</f>
        <v>0</v>
      </c>
      <c r="S29" s="34">
        <f>SUMIF('BIW Lifting A Shift'!$B:$B,Cockpit!$E$5:$E$146,'BIW Lifting A Shift'!C:C)</f>
        <v>0</v>
      </c>
      <c r="T29" s="34" t="e">
        <f>SUMIF('BIW Lifting A Shift'!$B:$B,Cockpit!$E$5:$E$146,'BIW Lifting A Shift'!#REF!)</f>
        <v>#REF!</v>
      </c>
      <c r="U29" s="74">
        <f>M29-X29</f>
        <v>0</v>
      </c>
      <c r="V29" s="74">
        <f>M29-S29-X29</f>
        <v>0</v>
      </c>
      <c r="W29" s="74" t="e">
        <f>V29-T29</f>
        <v>#REF!</v>
      </c>
      <c r="X29" s="135">
        <f>SUMIF(FLOAT!$D:$D,Cockpit!$E$5:$E$146,FLOAT!F:F)</f>
        <v>0</v>
      </c>
      <c r="Y29" s="38">
        <f>IFERROR(VLOOKUP(E29,[4]Sheet1!$D$4:$G$83,4,0),0)</f>
        <v>0</v>
      </c>
      <c r="Z29" s="17">
        <f>IFERROR(VLOOKUP(E29,'[5]Cockpit Main'!$D$4:$G$83,4,0),0)</f>
        <v>0</v>
      </c>
      <c r="AA29" s="49">
        <v>5</v>
      </c>
      <c r="AC29" s="77">
        <v>12</v>
      </c>
      <c r="AE29" s="76"/>
      <c r="AF29" s="62">
        <f>SUMIF(FLOAT!$D:$D,Cockpit!$E29:$E173,FLOAT!G:G)</f>
        <v>0</v>
      </c>
      <c r="AG29" s="62">
        <f>SUMIF(FLOAT!$D:$D,Cockpit!$E29:$E173,FLOAT!H:H)</f>
        <v>0</v>
      </c>
      <c r="AH29" s="62">
        <f>SUMIF(FLOAT!$D:$D,Cockpit!$E29:$E173,FLOAT!I:I)</f>
        <v>0</v>
      </c>
      <c r="AI29" s="62">
        <f>SUMIF(FLOAT!$D:$D,Cockpit!$E29:$E173,FLOAT!J:J)</f>
        <v>0</v>
      </c>
      <c r="AJ29" s="62">
        <f>SUMIF(FLOAT!$D:$D,Cockpit!$E29:$E173,FLOAT!K:K)</f>
        <v>0</v>
      </c>
      <c r="AK29" s="62">
        <f>SUMIF(FLOAT!$D:$D,Cockpit!$E29:$E173,FLOAT!L:L)</f>
        <v>0</v>
      </c>
      <c r="AL29" s="62">
        <f>SUMIF(FLOAT!$D:$D,Cockpit!$E29:$E173,FLOAT!M:M)</f>
        <v>0</v>
      </c>
      <c r="AM29" s="62">
        <f>SUMIF(FLOAT!$D:$D,Cockpit!$E29:$E173,FLOAT!N:N)</f>
        <v>0</v>
      </c>
      <c r="AN29" s="62">
        <f>SUMIF(FLOAT!$D:$D,Cockpit!$E29:$E173,FLOAT!O:O)</f>
        <v>0</v>
      </c>
      <c r="AO29" s="62">
        <f>SUMIF(FLOAT!$D:$D,Cockpit!$E29:$E173,FLOAT!P:P)</f>
        <v>0</v>
      </c>
      <c r="AP29" s="60">
        <f t="shared" si="0"/>
        <v>0</v>
      </c>
    </row>
    <row r="30" spans="1:42" s="24" customFormat="1" ht="15.75" hidden="1" customHeight="1" x14ac:dyDescent="0.3">
      <c r="A30" s="305">
        <v>544254620372</v>
      </c>
      <c r="B30" s="306"/>
      <c r="C30" s="925">
        <v>544254630435</v>
      </c>
      <c r="D30" s="934">
        <v>544254630435</v>
      </c>
      <c r="E30" s="300" t="s">
        <v>42</v>
      </c>
      <c r="F30" s="935" t="s">
        <v>565</v>
      </c>
      <c r="G30" s="184">
        <v>0</v>
      </c>
      <c r="H30" s="824">
        <f>SUM(G30:G36)</f>
        <v>0</v>
      </c>
      <c r="I30" s="822">
        <v>0</v>
      </c>
      <c r="J30" s="932">
        <f>Q30</f>
        <v>0</v>
      </c>
      <c r="K30" s="832">
        <f>SUM(R30:R36)</f>
        <v>0</v>
      </c>
      <c r="L30" s="824">
        <f>H30-K30</f>
        <v>0</v>
      </c>
      <c r="M30" s="816">
        <f>I30+J30-K30</f>
        <v>0</v>
      </c>
      <c r="N30" s="30">
        <f>SUMIF('3 D P'!$D:$D,Cockpit!$E$5:$E$146,'3 D P'!L:L)</f>
        <v>0</v>
      </c>
      <c r="O30" s="30">
        <f>SUMIF('3 D P'!$D:$D,Cockpit!$E$5:$E$146,'3 D P'!M:M)</f>
        <v>0</v>
      </c>
      <c r="P30" s="30">
        <f>SUMIF('3 D P'!$D:$D,Cockpit!$E$5:$E$146,'3 D P'!N:N)</f>
        <v>0</v>
      </c>
      <c r="Q30" s="132">
        <f>IFERROR(VLOOKUP($D30,'Aptiv Dispatch'!$A:$B,2,FALSE),0)</f>
        <v>0</v>
      </c>
      <c r="R30" s="34">
        <f>SUMIF('Consumption MTD'!B:B,Cockpit!$E$5:$E$146,'Consumption MTD'!C:C)</f>
        <v>0</v>
      </c>
      <c r="S30" s="34">
        <f>SUMIF('BIW Lifting A Shift'!$B:$B,Cockpit!$E$5:$E$146,'BIW Lifting A Shift'!C:C)</f>
        <v>0</v>
      </c>
      <c r="T30" s="34" t="e">
        <f>SUMIF('BIW Lifting A Shift'!$B:$B,Cockpit!$E$5:$E$146,'BIW Lifting A Shift'!#REF!)</f>
        <v>#REF!</v>
      </c>
      <c r="U30" s="818">
        <f>M30-X30-X31-X32-X33-X34-X35-X36</f>
        <v>0</v>
      </c>
      <c r="V30" s="851">
        <f>M30-SUM(X30:X36)-SUM(S30:S36)</f>
        <v>0</v>
      </c>
      <c r="W30" s="851" t="e">
        <f>V30-SUM(T30:T36)</f>
        <v>#REF!</v>
      </c>
      <c r="X30" s="135">
        <f>SUMIF(FLOAT!$D:$D,Cockpit!$E$5:$E$146,FLOAT!F:F)</f>
        <v>0</v>
      </c>
      <c r="Y30" s="38">
        <f>IFERROR(VLOOKUP(E30,[4]Sheet1!$D$4:$G$83,4,0),0)</f>
        <v>0</v>
      </c>
      <c r="Z30" s="17">
        <f>IFERROR(VLOOKUP(E30,'[5]Cockpit Main'!$D$4:$G$83,4,0),0)</f>
        <v>0</v>
      </c>
      <c r="AA30" s="49">
        <v>0</v>
      </c>
      <c r="AB30" s="54"/>
      <c r="AC30" s="816">
        <v>0</v>
      </c>
      <c r="AD30" s="17"/>
      <c r="AE30" s="832"/>
      <c r="AF30" s="62">
        <f>SUMIF(FLOAT!$D:$D,Cockpit!$E30:$E174,FLOAT!G:G)</f>
        <v>0</v>
      </c>
      <c r="AG30" s="62">
        <f>SUMIF(FLOAT!$D:$D,Cockpit!$E30:$E174,FLOAT!H:H)</f>
        <v>0</v>
      </c>
      <c r="AH30" s="62">
        <f>SUMIF(FLOAT!$D:$D,Cockpit!$E30:$E174,FLOAT!I:I)</f>
        <v>0</v>
      </c>
      <c r="AI30" s="62">
        <f>SUMIF(FLOAT!$D:$D,Cockpit!$E30:$E174,FLOAT!J:J)</f>
        <v>0</v>
      </c>
      <c r="AJ30" s="62">
        <f>SUMIF(FLOAT!$D:$D,Cockpit!$E30:$E174,FLOAT!K:K)</f>
        <v>0</v>
      </c>
      <c r="AK30" s="62">
        <f>SUMIF(FLOAT!$D:$D,Cockpit!$E30:$E174,FLOAT!L:L)</f>
        <v>0</v>
      </c>
      <c r="AL30" s="62">
        <f>SUMIF(FLOAT!$D:$D,Cockpit!$E30:$E174,FLOAT!M:M)</f>
        <v>0</v>
      </c>
      <c r="AM30" s="62">
        <f>SUMIF(FLOAT!$D:$D,Cockpit!$E30:$E174,FLOAT!N:N)</f>
        <v>0</v>
      </c>
      <c r="AN30" s="62">
        <f>SUMIF(FLOAT!$D:$D,Cockpit!$E30:$E174,FLOAT!O:O)</f>
        <v>0</v>
      </c>
      <c r="AO30" s="62">
        <f>SUMIF(FLOAT!$D:$D,Cockpit!$E30:$E174,FLOAT!P:P)</f>
        <v>0</v>
      </c>
      <c r="AP30" s="60">
        <f t="shared" si="0"/>
        <v>0</v>
      </c>
    </row>
    <row r="31" spans="1:42" s="24" customFormat="1" ht="15.75" hidden="1" customHeight="1" x14ac:dyDescent="0.3">
      <c r="A31" s="305"/>
      <c r="B31" s="306"/>
      <c r="C31" s="925"/>
      <c r="D31" s="934"/>
      <c r="E31" s="300" t="s">
        <v>43</v>
      </c>
      <c r="F31" s="935"/>
      <c r="G31" s="184">
        <v>0</v>
      </c>
      <c r="H31" s="868"/>
      <c r="I31" s="849"/>
      <c r="J31" s="932"/>
      <c r="K31" s="832"/>
      <c r="L31" s="868"/>
      <c r="M31" s="816"/>
      <c r="N31" s="30">
        <f>SUMIF('3 D P'!$D:$D,Cockpit!$E$5:$E$146,'3 D P'!L:L)</f>
        <v>0</v>
      </c>
      <c r="O31" s="30">
        <f>SUMIF('3 D P'!$D:$D,Cockpit!$E$5:$E$146,'3 D P'!M:M)</f>
        <v>0</v>
      </c>
      <c r="P31" s="30">
        <f>SUMIF('3 D P'!$D:$D,Cockpit!$E$5:$E$146,'3 D P'!N:N)</f>
        <v>0</v>
      </c>
      <c r="Q31" s="132">
        <f>IFERROR(VLOOKUP($D31,'Aptiv Dispatch'!$A:$B,2,FALSE),0)</f>
        <v>0</v>
      </c>
      <c r="R31" s="34">
        <f>SUMIF('Consumption MTD'!B:B,Cockpit!$E$5:$E$146,'Consumption MTD'!C:C)</f>
        <v>0</v>
      </c>
      <c r="S31" s="34">
        <f>SUMIF('BIW Lifting A Shift'!$B:$B,Cockpit!$E$5:$E$146,'BIW Lifting A Shift'!C:C)</f>
        <v>0</v>
      </c>
      <c r="T31" s="34" t="e">
        <f>SUMIF('BIW Lifting A Shift'!$B:$B,Cockpit!$E$5:$E$146,'BIW Lifting A Shift'!#REF!)</f>
        <v>#REF!</v>
      </c>
      <c r="U31" s="818"/>
      <c r="V31" s="852"/>
      <c r="W31" s="852"/>
      <c r="X31" s="135">
        <f>SUMIF(FLOAT!$D:$D,Cockpit!$E$5:$E$146,FLOAT!F:F)</f>
        <v>0</v>
      </c>
      <c r="Y31" s="38">
        <f>IFERROR(VLOOKUP(E31,[4]Sheet1!$D$4:$G$83,4,0),0)</f>
        <v>0</v>
      </c>
      <c r="Z31" s="17">
        <f>IFERROR(VLOOKUP(E31,'[5]Cockpit Main'!$D$4:$G$83,4,0),0)</f>
        <v>0</v>
      </c>
      <c r="AA31" s="49">
        <v>0</v>
      </c>
      <c r="AB31" s="54"/>
      <c r="AC31" s="816"/>
      <c r="AD31" s="17"/>
      <c r="AE31" s="832"/>
      <c r="AF31" s="62">
        <f>SUMIF(FLOAT!$D:$D,Cockpit!$E31:$E175,FLOAT!G:G)</f>
        <v>0</v>
      </c>
      <c r="AG31" s="62">
        <f>SUMIF(FLOAT!$D:$D,Cockpit!$E31:$E175,FLOAT!H:H)</f>
        <v>0</v>
      </c>
      <c r="AH31" s="62">
        <f>SUMIF(FLOAT!$D:$D,Cockpit!$E31:$E175,FLOAT!I:I)</f>
        <v>0</v>
      </c>
      <c r="AI31" s="62">
        <f>SUMIF(FLOAT!$D:$D,Cockpit!$E31:$E175,FLOAT!J:J)</f>
        <v>0</v>
      </c>
      <c r="AJ31" s="62">
        <f>SUMIF(FLOAT!$D:$D,Cockpit!$E31:$E175,FLOAT!K:K)</f>
        <v>0</v>
      </c>
      <c r="AK31" s="62">
        <f>SUMIF(FLOAT!$D:$D,Cockpit!$E31:$E175,FLOAT!L:L)</f>
        <v>0</v>
      </c>
      <c r="AL31" s="62">
        <f>SUMIF(FLOAT!$D:$D,Cockpit!$E31:$E175,FLOAT!M:M)</f>
        <v>0</v>
      </c>
      <c r="AM31" s="62">
        <f>SUMIF(FLOAT!$D:$D,Cockpit!$E31:$E175,FLOAT!N:N)</f>
        <v>0</v>
      </c>
      <c r="AN31" s="62">
        <f>SUMIF(FLOAT!$D:$D,Cockpit!$E31:$E175,FLOAT!O:O)</f>
        <v>0</v>
      </c>
      <c r="AO31" s="62">
        <f>SUMIF(FLOAT!$D:$D,Cockpit!$E31:$E175,FLOAT!P:P)</f>
        <v>0</v>
      </c>
      <c r="AP31" s="60">
        <f t="shared" si="0"/>
        <v>0</v>
      </c>
    </row>
    <row r="32" spans="1:42" s="24" customFormat="1" ht="15.75" hidden="1" customHeight="1" x14ac:dyDescent="0.3">
      <c r="A32" s="305"/>
      <c r="B32" s="306"/>
      <c r="C32" s="925"/>
      <c r="D32" s="934"/>
      <c r="E32" s="303" t="s">
        <v>44</v>
      </c>
      <c r="F32" s="935"/>
      <c r="G32" s="184">
        <v>0</v>
      </c>
      <c r="H32" s="868"/>
      <c r="I32" s="849"/>
      <c r="J32" s="932"/>
      <c r="K32" s="832"/>
      <c r="L32" s="868"/>
      <c r="M32" s="816"/>
      <c r="N32" s="30">
        <f>SUMIF('3 D P'!$D:$D,Cockpit!$E$5:$E$146,'3 D P'!L:L)</f>
        <v>0</v>
      </c>
      <c r="O32" s="30">
        <f>SUMIF('3 D P'!$D:$D,Cockpit!$E$5:$E$146,'3 D P'!M:M)</f>
        <v>0</v>
      </c>
      <c r="P32" s="30">
        <f>SUMIF('3 D P'!$D:$D,Cockpit!$E$5:$E$146,'3 D P'!N:N)</f>
        <v>0</v>
      </c>
      <c r="Q32" s="132">
        <f>IFERROR(VLOOKUP($D32,'Aptiv Dispatch'!$A:$B,2,FALSE),0)</f>
        <v>0</v>
      </c>
      <c r="R32" s="34">
        <f>SUMIF('Consumption MTD'!B:B,Cockpit!$E$5:$E$146,'Consumption MTD'!C:C)</f>
        <v>0</v>
      </c>
      <c r="S32" s="34">
        <f>SUMIF('BIW Lifting A Shift'!$B:$B,Cockpit!$E$5:$E$146,'BIW Lifting A Shift'!C:C)</f>
        <v>0</v>
      </c>
      <c r="T32" s="34" t="e">
        <f>SUMIF('BIW Lifting A Shift'!$B:$B,Cockpit!$E$5:$E$146,'BIW Lifting A Shift'!#REF!)</f>
        <v>#REF!</v>
      </c>
      <c r="U32" s="818"/>
      <c r="V32" s="852"/>
      <c r="W32" s="852"/>
      <c r="X32" s="135">
        <f>SUMIF(FLOAT!$D:$D,Cockpit!$E$5:$E$146,FLOAT!F:F)</f>
        <v>0</v>
      </c>
      <c r="Y32" s="38">
        <f>IFERROR(VLOOKUP(E32,[4]Sheet1!$D$4:$G$83,4,0),0)</f>
        <v>0</v>
      </c>
      <c r="Z32" s="17">
        <f>IFERROR(VLOOKUP(E32,'[5]Cockpit Main'!$D$4:$G$83,4,0),0)</f>
        <v>0</v>
      </c>
      <c r="AA32" s="49">
        <v>0</v>
      </c>
      <c r="AB32" s="54"/>
      <c r="AC32" s="816"/>
      <c r="AD32" s="17"/>
      <c r="AE32" s="832"/>
      <c r="AF32" s="62">
        <f>SUMIF(FLOAT!$D:$D,Cockpit!$E32:$E176,FLOAT!G:G)</f>
        <v>0</v>
      </c>
      <c r="AG32" s="62">
        <f>SUMIF(FLOAT!$D:$D,Cockpit!$E32:$E176,FLOAT!H:H)</f>
        <v>0</v>
      </c>
      <c r="AH32" s="62">
        <f>SUMIF(FLOAT!$D:$D,Cockpit!$E32:$E176,FLOAT!I:I)</f>
        <v>0</v>
      </c>
      <c r="AI32" s="62">
        <f>SUMIF(FLOAT!$D:$D,Cockpit!$E32:$E176,FLOAT!J:J)</f>
        <v>0</v>
      </c>
      <c r="AJ32" s="62">
        <f>SUMIF(FLOAT!$D:$D,Cockpit!$E32:$E176,FLOAT!K:K)</f>
        <v>0</v>
      </c>
      <c r="AK32" s="62">
        <f>SUMIF(FLOAT!$D:$D,Cockpit!$E32:$E176,FLOAT!L:L)</f>
        <v>0</v>
      </c>
      <c r="AL32" s="62">
        <f>SUMIF(FLOAT!$D:$D,Cockpit!$E32:$E176,FLOAT!M:M)</f>
        <v>0</v>
      </c>
      <c r="AM32" s="62">
        <f>SUMIF(FLOAT!$D:$D,Cockpit!$E32:$E176,FLOAT!N:N)</f>
        <v>0</v>
      </c>
      <c r="AN32" s="62">
        <f>SUMIF(FLOAT!$D:$D,Cockpit!$E32:$E176,FLOAT!O:O)</f>
        <v>0</v>
      </c>
      <c r="AO32" s="62">
        <f>SUMIF(FLOAT!$D:$D,Cockpit!$E32:$E176,FLOAT!P:P)</f>
        <v>0</v>
      </c>
      <c r="AP32" s="60">
        <f t="shared" si="0"/>
        <v>0</v>
      </c>
    </row>
    <row r="33" spans="1:42" s="24" customFormat="1" ht="15.75" hidden="1" customHeight="1" x14ac:dyDescent="0.3">
      <c r="A33" s="305"/>
      <c r="B33" s="306"/>
      <c r="C33" s="925"/>
      <c r="D33" s="934"/>
      <c r="E33" s="303" t="s">
        <v>45</v>
      </c>
      <c r="F33" s="935"/>
      <c r="G33" s="184">
        <v>0</v>
      </c>
      <c r="H33" s="868"/>
      <c r="I33" s="849"/>
      <c r="J33" s="932"/>
      <c r="K33" s="832"/>
      <c r="L33" s="868"/>
      <c r="M33" s="816"/>
      <c r="N33" s="30">
        <f>SUMIF('3 D P'!$D:$D,Cockpit!$E$5:$E$146,'3 D P'!L:L)</f>
        <v>0</v>
      </c>
      <c r="O33" s="30">
        <f>SUMIF('3 D P'!$D:$D,Cockpit!$E$5:$E$146,'3 D P'!M:M)</f>
        <v>0</v>
      </c>
      <c r="P33" s="30">
        <f>SUMIF('3 D P'!$D:$D,Cockpit!$E$5:$E$146,'3 D P'!N:N)</f>
        <v>0</v>
      </c>
      <c r="Q33" s="132">
        <f>IFERROR(VLOOKUP($D33,'Aptiv Dispatch'!$A:$B,2,FALSE),0)</f>
        <v>0</v>
      </c>
      <c r="R33" s="34">
        <f>SUMIF('Consumption MTD'!B:B,Cockpit!$E$5:$E$146,'Consumption MTD'!C:C)</f>
        <v>0</v>
      </c>
      <c r="S33" s="34">
        <f>SUMIF('BIW Lifting A Shift'!$B:$B,Cockpit!$E$5:$E$146,'BIW Lifting A Shift'!C:C)</f>
        <v>0</v>
      </c>
      <c r="T33" s="34" t="e">
        <f>SUMIF('BIW Lifting A Shift'!$B:$B,Cockpit!$E$5:$E$146,'BIW Lifting A Shift'!#REF!)</f>
        <v>#REF!</v>
      </c>
      <c r="U33" s="818"/>
      <c r="V33" s="852"/>
      <c r="W33" s="852"/>
      <c r="X33" s="135">
        <f>SUMIF(FLOAT!$D:$D,Cockpit!$E$5:$E$146,FLOAT!F:F)</f>
        <v>0</v>
      </c>
      <c r="Y33" s="38">
        <f>IFERROR(VLOOKUP(E33,[4]Sheet1!$D$4:$G$83,4,0),0)</f>
        <v>0</v>
      </c>
      <c r="Z33" s="17">
        <f>IFERROR(VLOOKUP(E33,'[5]Cockpit Main'!$D$4:$G$83,4,0),0)</f>
        <v>0</v>
      </c>
      <c r="AA33" s="49">
        <v>0</v>
      </c>
      <c r="AB33" s="54"/>
      <c r="AC33" s="816"/>
      <c r="AD33" s="17"/>
      <c r="AE33" s="832"/>
      <c r="AF33" s="62">
        <f>SUMIF(FLOAT!$D:$D,Cockpit!$E33:$E177,FLOAT!G:G)</f>
        <v>0</v>
      </c>
      <c r="AG33" s="62">
        <f>SUMIF(FLOAT!$D:$D,Cockpit!$E33:$E177,FLOAT!H:H)</f>
        <v>0</v>
      </c>
      <c r="AH33" s="62">
        <f>SUMIF(FLOAT!$D:$D,Cockpit!$E33:$E177,FLOAT!I:I)</f>
        <v>0</v>
      </c>
      <c r="AI33" s="62">
        <f>SUMIF(FLOAT!$D:$D,Cockpit!$E33:$E177,FLOAT!J:J)</f>
        <v>0</v>
      </c>
      <c r="AJ33" s="62">
        <f>SUMIF(FLOAT!$D:$D,Cockpit!$E33:$E177,FLOAT!K:K)</f>
        <v>0</v>
      </c>
      <c r="AK33" s="62">
        <f>SUMIF(FLOAT!$D:$D,Cockpit!$E33:$E177,FLOAT!L:L)</f>
        <v>0</v>
      </c>
      <c r="AL33" s="62">
        <f>SUMIF(FLOAT!$D:$D,Cockpit!$E33:$E177,FLOAT!M:M)</f>
        <v>0</v>
      </c>
      <c r="AM33" s="62">
        <f>SUMIF(FLOAT!$D:$D,Cockpit!$E33:$E177,FLOAT!N:N)</f>
        <v>0</v>
      </c>
      <c r="AN33" s="62">
        <f>SUMIF(FLOAT!$D:$D,Cockpit!$E33:$E177,FLOAT!O:O)</f>
        <v>0</v>
      </c>
      <c r="AO33" s="62">
        <f>SUMIF(FLOAT!$D:$D,Cockpit!$E33:$E177,FLOAT!P:P)</f>
        <v>0</v>
      </c>
      <c r="AP33" s="60">
        <f t="shared" si="0"/>
        <v>0</v>
      </c>
    </row>
    <row r="34" spans="1:42" s="24" customFormat="1" ht="15.75" hidden="1" customHeight="1" x14ac:dyDescent="0.3">
      <c r="A34" s="305"/>
      <c r="B34" s="306"/>
      <c r="C34" s="925"/>
      <c r="D34" s="934"/>
      <c r="E34" s="303" t="s">
        <v>46</v>
      </c>
      <c r="F34" s="935"/>
      <c r="G34" s="184">
        <v>0</v>
      </c>
      <c r="H34" s="868"/>
      <c r="I34" s="849"/>
      <c r="J34" s="932"/>
      <c r="K34" s="832"/>
      <c r="L34" s="868"/>
      <c r="M34" s="816"/>
      <c r="N34" s="30">
        <f>SUMIF('3 D P'!$D:$D,Cockpit!$E$5:$E$146,'3 D P'!L:L)</f>
        <v>0</v>
      </c>
      <c r="O34" s="30">
        <f>SUMIF('3 D P'!$D:$D,Cockpit!$E$5:$E$146,'3 D P'!M:M)</f>
        <v>0</v>
      </c>
      <c r="P34" s="30">
        <f>SUMIF('3 D P'!$D:$D,Cockpit!$E$5:$E$146,'3 D P'!N:N)</f>
        <v>0</v>
      </c>
      <c r="Q34" s="132">
        <f>IFERROR(VLOOKUP($D34,'Aptiv Dispatch'!$A:$B,2,FALSE),0)</f>
        <v>0</v>
      </c>
      <c r="R34" s="34">
        <f>SUMIF('Consumption MTD'!B:B,Cockpit!$E$5:$E$146,'Consumption MTD'!C:C)</f>
        <v>0</v>
      </c>
      <c r="S34" s="34">
        <f>SUMIF('BIW Lifting A Shift'!$B:$B,Cockpit!$E$5:$E$146,'BIW Lifting A Shift'!C:C)</f>
        <v>0</v>
      </c>
      <c r="T34" s="34" t="e">
        <f>SUMIF('BIW Lifting A Shift'!$B:$B,Cockpit!$E$5:$E$146,'BIW Lifting A Shift'!#REF!)</f>
        <v>#REF!</v>
      </c>
      <c r="U34" s="818"/>
      <c r="V34" s="852"/>
      <c r="W34" s="852"/>
      <c r="X34" s="135">
        <f>SUMIF(FLOAT!$D:$D,Cockpit!$E$5:$E$146,FLOAT!F:F)</f>
        <v>0</v>
      </c>
      <c r="Y34" s="38">
        <f>IFERROR(VLOOKUP(E34,[4]Sheet1!$D$4:$G$83,4,0),0)</f>
        <v>0</v>
      </c>
      <c r="Z34" s="17">
        <f>IFERROR(VLOOKUP(E34,'[5]Cockpit Main'!$D$4:$G$83,4,0),0)</f>
        <v>0</v>
      </c>
      <c r="AA34" s="49">
        <v>0</v>
      </c>
      <c r="AB34" s="54"/>
      <c r="AC34" s="816"/>
      <c r="AD34" s="17"/>
      <c r="AE34" s="832"/>
      <c r="AF34" s="62">
        <f>SUMIF(FLOAT!$D:$D,Cockpit!$E34:$E178,FLOAT!G:G)</f>
        <v>0</v>
      </c>
      <c r="AG34" s="62">
        <f>SUMIF(FLOAT!$D:$D,Cockpit!$E34:$E178,FLOAT!H:H)</f>
        <v>0</v>
      </c>
      <c r="AH34" s="62">
        <f>SUMIF(FLOAT!$D:$D,Cockpit!$E34:$E178,FLOAT!I:I)</f>
        <v>0</v>
      </c>
      <c r="AI34" s="62">
        <f>SUMIF(FLOAT!$D:$D,Cockpit!$E34:$E178,FLOAT!J:J)</f>
        <v>0</v>
      </c>
      <c r="AJ34" s="62">
        <f>SUMIF(FLOAT!$D:$D,Cockpit!$E34:$E178,FLOAT!K:K)</f>
        <v>0</v>
      </c>
      <c r="AK34" s="62">
        <f>SUMIF(FLOAT!$D:$D,Cockpit!$E34:$E178,FLOAT!L:L)</f>
        <v>0</v>
      </c>
      <c r="AL34" s="62">
        <f>SUMIF(FLOAT!$D:$D,Cockpit!$E34:$E178,FLOAT!M:M)</f>
        <v>0</v>
      </c>
      <c r="AM34" s="62">
        <f>SUMIF(FLOAT!$D:$D,Cockpit!$E34:$E178,FLOAT!N:N)</f>
        <v>0</v>
      </c>
      <c r="AN34" s="62">
        <f>SUMIF(FLOAT!$D:$D,Cockpit!$E34:$E178,FLOAT!O:O)</f>
        <v>0</v>
      </c>
      <c r="AO34" s="62">
        <f>SUMIF(FLOAT!$D:$D,Cockpit!$E34:$E178,FLOAT!P:P)</f>
        <v>0</v>
      </c>
      <c r="AP34" s="60">
        <f t="shared" si="0"/>
        <v>0</v>
      </c>
    </row>
    <row r="35" spans="1:42" s="24" customFormat="1" ht="15.75" hidden="1" customHeight="1" x14ac:dyDescent="0.3">
      <c r="A35" s="305"/>
      <c r="B35" s="306"/>
      <c r="C35" s="925"/>
      <c r="D35" s="934"/>
      <c r="E35" s="303" t="s">
        <v>47</v>
      </c>
      <c r="F35" s="935"/>
      <c r="G35" s="184">
        <v>0</v>
      </c>
      <c r="H35" s="868"/>
      <c r="I35" s="849"/>
      <c r="J35" s="932"/>
      <c r="K35" s="832"/>
      <c r="L35" s="868"/>
      <c r="M35" s="816"/>
      <c r="N35" s="30">
        <f>SUMIF('3 D P'!$D:$D,Cockpit!$E$5:$E$146,'3 D P'!L:L)</f>
        <v>0</v>
      </c>
      <c r="O35" s="30">
        <f>SUMIF('3 D P'!$D:$D,Cockpit!$E$5:$E$146,'3 D P'!M:M)</f>
        <v>0</v>
      </c>
      <c r="P35" s="30">
        <f>SUMIF('3 D P'!$D:$D,Cockpit!$E$5:$E$146,'3 D P'!N:N)</f>
        <v>0</v>
      </c>
      <c r="Q35" s="132">
        <f>IFERROR(VLOOKUP($D35,'Aptiv Dispatch'!$A:$B,2,FALSE),0)</f>
        <v>0</v>
      </c>
      <c r="R35" s="34">
        <f>SUMIF('Consumption MTD'!B:B,Cockpit!$E$5:$E$146,'Consumption MTD'!C:C)</f>
        <v>0</v>
      </c>
      <c r="S35" s="34">
        <f>SUMIF('BIW Lifting A Shift'!$B:$B,Cockpit!$E$5:$E$146,'BIW Lifting A Shift'!C:C)</f>
        <v>0</v>
      </c>
      <c r="T35" s="34" t="e">
        <f>SUMIF('BIW Lifting A Shift'!$B:$B,Cockpit!$E$5:$E$146,'BIW Lifting A Shift'!#REF!)</f>
        <v>#REF!</v>
      </c>
      <c r="U35" s="818"/>
      <c r="V35" s="852"/>
      <c r="W35" s="852"/>
      <c r="X35" s="135">
        <f>SUMIF(FLOAT!$D:$D,Cockpit!$E$5:$E$146,FLOAT!F:F)</f>
        <v>0</v>
      </c>
      <c r="Y35" s="38">
        <f>IFERROR(VLOOKUP(E35,[4]Sheet1!$D$4:$G$83,4,0),0)</f>
        <v>0</v>
      </c>
      <c r="Z35" s="17">
        <f>IFERROR(VLOOKUP(E35,'[5]Cockpit Main'!$D$4:$G$83,4,0),0)</f>
        <v>0</v>
      </c>
      <c r="AA35" s="49">
        <v>0</v>
      </c>
      <c r="AB35" s="54"/>
      <c r="AC35" s="816"/>
      <c r="AD35" s="17"/>
      <c r="AE35" s="832"/>
      <c r="AF35" s="62">
        <f>SUMIF(FLOAT!$D:$D,Cockpit!$E35:$E178,FLOAT!G:G)</f>
        <v>0</v>
      </c>
      <c r="AG35" s="62">
        <f>SUMIF(FLOAT!$D:$D,Cockpit!$E35:$E178,FLOAT!H:H)</f>
        <v>0</v>
      </c>
      <c r="AH35" s="62">
        <f>SUMIF(FLOAT!$D:$D,Cockpit!$E35:$E178,FLOAT!I:I)</f>
        <v>0</v>
      </c>
      <c r="AI35" s="62">
        <f>SUMIF(FLOAT!$D:$D,Cockpit!$E35:$E178,FLOAT!J:J)</f>
        <v>0</v>
      </c>
      <c r="AJ35" s="62">
        <f>SUMIF(FLOAT!$D:$D,Cockpit!$E35:$E178,FLOAT!K:K)</f>
        <v>0</v>
      </c>
      <c r="AK35" s="62">
        <f>SUMIF(FLOAT!$D:$D,Cockpit!$E35:$E178,FLOAT!L:L)</f>
        <v>0</v>
      </c>
      <c r="AL35" s="62">
        <f>SUMIF(FLOAT!$D:$D,Cockpit!$E35:$E178,FLOAT!M:M)</f>
        <v>0</v>
      </c>
      <c r="AM35" s="62">
        <f>SUMIF(FLOAT!$D:$D,Cockpit!$E35:$E178,FLOAT!N:N)</f>
        <v>0</v>
      </c>
      <c r="AN35" s="62">
        <f>SUMIF(FLOAT!$D:$D,Cockpit!$E35:$E178,FLOAT!O:O)</f>
        <v>0</v>
      </c>
      <c r="AO35" s="62">
        <f>SUMIF(FLOAT!$D:$D,Cockpit!$E35:$E178,FLOAT!P:P)</f>
        <v>0</v>
      </c>
      <c r="AP35" s="60">
        <f t="shared" si="0"/>
        <v>0</v>
      </c>
    </row>
    <row r="36" spans="1:42" s="24" customFormat="1" ht="24.75" hidden="1" customHeight="1" x14ac:dyDescent="0.3">
      <c r="A36" s="305"/>
      <c r="B36" s="306"/>
      <c r="C36" s="925"/>
      <c r="D36" s="934"/>
      <c r="E36" s="303" t="s">
        <v>48</v>
      </c>
      <c r="F36" s="935"/>
      <c r="G36" s="184">
        <v>0</v>
      </c>
      <c r="H36" s="825"/>
      <c r="I36" s="823"/>
      <c r="J36" s="932"/>
      <c r="K36" s="832"/>
      <c r="L36" s="825"/>
      <c r="M36" s="816"/>
      <c r="N36" s="30">
        <f>SUMIF('3 D P'!$D:$D,Cockpit!$E$5:$E$146,'3 D P'!L:L)</f>
        <v>0</v>
      </c>
      <c r="O36" s="30">
        <f>SUMIF('3 D P'!$D:$D,Cockpit!$E$5:$E$146,'3 D P'!M:M)</f>
        <v>0</v>
      </c>
      <c r="P36" s="30">
        <f>SUMIF('3 D P'!$D:$D,Cockpit!$E$5:$E$146,'3 D P'!N:N)</f>
        <v>0</v>
      </c>
      <c r="Q36" s="132">
        <f>IFERROR(VLOOKUP($D36,'Aptiv Dispatch'!$A:$B,2,FALSE),0)</f>
        <v>0</v>
      </c>
      <c r="R36" s="34">
        <f>SUMIF('Consumption MTD'!B:B,Cockpit!$E$5:$E$146,'Consumption MTD'!C:C)</f>
        <v>0</v>
      </c>
      <c r="S36" s="34">
        <f>SUMIF('BIW Lifting A Shift'!$B:$B,Cockpit!$E$5:$E$146,'BIW Lifting A Shift'!C:C)</f>
        <v>0</v>
      </c>
      <c r="T36" s="34" t="e">
        <f>SUMIF('BIW Lifting A Shift'!$B:$B,Cockpit!$E$5:$E$146,'BIW Lifting A Shift'!#REF!)</f>
        <v>#REF!</v>
      </c>
      <c r="U36" s="818"/>
      <c r="V36" s="853"/>
      <c r="W36" s="853"/>
      <c r="X36" s="135">
        <f>SUMIF(FLOAT!$D:$D,Cockpit!$E$5:$E$146,FLOAT!F:F)</f>
        <v>0</v>
      </c>
      <c r="Y36" s="38">
        <f>IFERROR(VLOOKUP(E36,[4]Sheet1!$D$4:$G$83,4,0),0)</f>
        <v>0</v>
      </c>
      <c r="Z36" s="17">
        <f>IFERROR(VLOOKUP(E36,'[5]Cockpit Main'!$D$4:$G$83,4,0),0)</f>
        <v>0</v>
      </c>
      <c r="AA36" s="49">
        <v>0</v>
      </c>
      <c r="AB36" s="54"/>
      <c r="AC36" s="816"/>
      <c r="AD36" s="17"/>
      <c r="AE36" s="832"/>
      <c r="AF36" s="62">
        <f>SUMIF(FLOAT!$D:$D,Cockpit!$E36:$E178,FLOAT!G:G)</f>
        <v>0</v>
      </c>
      <c r="AG36" s="62">
        <f>SUMIF(FLOAT!$D:$D,Cockpit!$E36:$E178,FLOAT!H:H)</f>
        <v>0</v>
      </c>
      <c r="AH36" s="62">
        <f>SUMIF(FLOAT!$D:$D,Cockpit!$E36:$E178,FLOAT!I:I)</f>
        <v>0</v>
      </c>
      <c r="AI36" s="62">
        <f>SUMIF(FLOAT!$D:$D,Cockpit!$E36:$E178,FLOAT!J:J)</f>
        <v>0</v>
      </c>
      <c r="AJ36" s="62">
        <f>SUMIF(FLOAT!$D:$D,Cockpit!$E36:$E178,FLOAT!K:K)</f>
        <v>0</v>
      </c>
      <c r="AK36" s="62">
        <f>SUMIF(FLOAT!$D:$D,Cockpit!$E36:$E178,FLOAT!L:L)</f>
        <v>0</v>
      </c>
      <c r="AL36" s="62">
        <f>SUMIF(FLOAT!$D:$D,Cockpit!$E36:$E178,FLOAT!M:M)</f>
        <v>0</v>
      </c>
      <c r="AM36" s="62">
        <f>SUMIF(FLOAT!$D:$D,Cockpit!$E36:$E178,FLOAT!N:N)</f>
        <v>0</v>
      </c>
      <c r="AN36" s="62">
        <f>SUMIF(FLOAT!$D:$D,Cockpit!$E36:$E178,FLOAT!O:O)</f>
        <v>0</v>
      </c>
      <c r="AO36" s="62">
        <f>SUMIF(FLOAT!$D:$D,Cockpit!$E36:$E178,FLOAT!P:P)</f>
        <v>0</v>
      </c>
      <c r="AP36" s="60">
        <f t="shared" si="0"/>
        <v>0</v>
      </c>
    </row>
    <row r="37" spans="1:42" s="24" customFormat="1" ht="15.75" hidden="1" customHeight="1" x14ac:dyDescent="0.3">
      <c r="A37" s="305"/>
      <c r="B37" s="306"/>
      <c r="C37" s="925">
        <v>544254630419</v>
      </c>
      <c r="D37" s="929">
        <v>544254640172</v>
      </c>
      <c r="E37" s="303" t="s">
        <v>96</v>
      </c>
      <c r="F37" s="289" t="s">
        <v>98</v>
      </c>
      <c r="G37" s="184">
        <v>0</v>
      </c>
      <c r="H37" s="824">
        <f>SUM(G37:G42)</f>
        <v>0</v>
      </c>
      <c r="I37" s="869">
        <v>0</v>
      </c>
      <c r="J37" s="932">
        <f>Q37</f>
        <v>0</v>
      </c>
      <c r="K37" s="832">
        <f>SUM(R37:R42)</f>
        <v>0</v>
      </c>
      <c r="L37" s="824">
        <f>H37-K37</f>
        <v>0</v>
      </c>
      <c r="M37" s="816">
        <f>I37+J37-K37</f>
        <v>0</v>
      </c>
      <c r="N37" s="30">
        <f>SUMIF('3 D P'!$D:$D,Cockpit!$E$5:$E$146,'3 D P'!L:L)</f>
        <v>0</v>
      </c>
      <c r="O37" s="30">
        <f>SUMIF('3 D P'!$D:$D,Cockpit!$E$5:$E$146,'3 D P'!M:M)</f>
        <v>0</v>
      </c>
      <c r="P37" s="30">
        <f>SUMIF('3 D P'!$D:$D,Cockpit!$E$5:$E$146,'3 D P'!N:N)</f>
        <v>0</v>
      </c>
      <c r="Q37" s="132">
        <f>IFERROR(VLOOKUP($D37,'Aptiv Dispatch'!$A:$B,2,FALSE),0)</f>
        <v>0</v>
      </c>
      <c r="R37" s="34">
        <f>SUMIF('Consumption MTD'!B:B,Cockpit!$E$5:$E$146,'Consumption MTD'!C:C)</f>
        <v>0</v>
      </c>
      <c r="S37" s="34">
        <f>SUMIF('BIW Lifting A Shift'!$B:$B,Cockpit!$E$5:$E$146,'BIW Lifting A Shift'!C:C)</f>
        <v>0</v>
      </c>
      <c r="T37" s="34" t="e">
        <f>SUMIF('BIW Lifting A Shift'!$B:$B,Cockpit!$E$5:$E$146,'BIW Lifting A Shift'!#REF!)</f>
        <v>#REF!</v>
      </c>
      <c r="U37" s="818">
        <f>M37-X37-X38-X39-X40-X41-X42</f>
        <v>0</v>
      </c>
      <c r="V37" s="818">
        <f>M37-SUM(X37:X42)-SUM(S37:S42)</f>
        <v>0</v>
      </c>
      <c r="W37" s="818" t="e">
        <f>V37-SUM(T37:T42)</f>
        <v>#REF!</v>
      </c>
      <c r="X37" s="135">
        <f>SUMIF(FLOAT!$D:$D,Cockpit!$E$5:$E$146,FLOAT!F:F)</f>
        <v>0</v>
      </c>
      <c r="Y37" s="38">
        <f>IFERROR(VLOOKUP(E37,[4]Sheet1!$D$4:$G$83,4,0),0)</f>
        <v>0</v>
      </c>
      <c r="Z37" s="17">
        <f>IFERROR(VLOOKUP(E37,'[5]Cockpit Main'!$D$4:$G$83,4,0),0)</f>
        <v>0</v>
      </c>
      <c r="AA37" s="49">
        <v>5</v>
      </c>
      <c r="AB37" s="54"/>
      <c r="AC37" s="816">
        <v>29</v>
      </c>
      <c r="AD37" s="17"/>
      <c r="AE37" s="832"/>
      <c r="AF37" s="62">
        <f>SUMIF(FLOAT!$D:$D,Cockpit!$E37:$E178,FLOAT!G:G)</f>
        <v>0</v>
      </c>
      <c r="AG37" s="62">
        <f>SUMIF(FLOAT!$D:$D,Cockpit!$E37:$E178,FLOAT!H:H)</f>
        <v>0</v>
      </c>
      <c r="AH37" s="62">
        <f>SUMIF(FLOAT!$D:$D,Cockpit!$E37:$E178,FLOAT!I:I)</f>
        <v>0</v>
      </c>
      <c r="AI37" s="62">
        <f>SUMIF(FLOAT!$D:$D,Cockpit!$E37:$E178,FLOAT!J:J)</f>
        <v>0</v>
      </c>
      <c r="AJ37" s="62">
        <f>SUMIF(FLOAT!$D:$D,Cockpit!$E37:$E178,FLOAT!K:K)</f>
        <v>0</v>
      </c>
      <c r="AK37" s="62">
        <f>SUMIF(FLOAT!$D:$D,Cockpit!$E37:$E178,FLOAT!L:L)</f>
        <v>0</v>
      </c>
      <c r="AL37" s="62">
        <f>SUMIF(FLOAT!$D:$D,Cockpit!$E37:$E178,FLOAT!M:M)</f>
        <v>0</v>
      </c>
      <c r="AM37" s="62">
        <f>SUMIF(FLOAT!$D:$D,Cockpit!$E37:$E178,FLOAT!N:N)</f>
        <v>0</v>
      </c>
      <c r="AN37" s="62">
        <f>SUMIF(FLOAT!$D:$D,Cockpit!$E37:$E178,FLOAT!O:O)</f>
        <v>0</v>
      </c>
      <c r="AO37" s="62">
        <f>SUMIF(FLOAT!$D:$D,Cockpit!$E37:$E178,FLOAT!P:P)</f>
        <v>0</v>
      </c>
      <c r="AP37" s="60">
        <f t="shared" si="0"/>
        <v>0</v>
      </c>
    </row>
    <row r="38" spans="1:42" s="24" customFormat="1" ht="15.75" hidden="1" customHeight="1" x14ac:dyDescent="0.3">
      <c r="A38" s="305"/>
      <c r="B38" s="306"/>
      <c r="C38" s="925"/>
      <c r="D38" s="930"/>
      <c r="E38" s="303" t="s">
        <v>97</v>
      </c>
      <c r="F38" s="289" t="s">
        <v>99</v>
      </c>
      <c r="G38" s="184">
        <v>0</v>
      </c>
      <c r="H38" s="868"/>
      <c r="I38" s="870"/>
      <c r="J38" s="932"/>
      <c r="K38" s="832"/>
      <c r="L38" s="868"/>
      <c r="M38" s="816"/>
      <c r="N38" s="30">
        <f>SUMIF('3 D P'!$D:$D,Cockpit!$E$5:$E$146,'3 D P'!L:L)</f>
        <v>0</v>
      </c>
      <c r="O38" s="30">
        <f>SUMIF('3 D P'!$D:$D,Cockpit!$E$5:$E$146,'3 D P'!M:M)</f>
        <v>0</v>
      </c>
      <c r="P38" s="30">
        <f>SUMIF('3 D P'!$D:$D,Cockpit!$E$5:$E$146,'3 D P'!N:N)</f>
        <v>0</v>
      </c>
      <c r="Q38" s="132">
        <f>IFERROR(VLOOKUP($D38,'Aptiv Dispatch'!$A:$B,2,FALSE),0)</f>
        <v>0</v>
      </c>
      <c r="R38" s="34">
        <f>SUMIF('Consumption MTD'!B:B,Cockpit!$E$5:$E$146,'Consumption MTD'!C:C)</f>
        <v>0</v>
      </c>
      <c r="S38" s="34">
        <f>SUMIF('BIW Lifting A Shift'!$B:$B,Cockpit!$E$5:$E$146,'BIW Lifting A Shift'!C:C)</f>
        <v>0</v>
      </c>
      <c r="T38" s="34" t="e">
        <f>SUMIF('BIW Lifting A Shift'!$B:$B,Cockpit!$E$5:$E$146,'BIW Lifting A Shift'!#REF!)</f>
        <v>#REF!</v>
      </c>
      <c r="U38" s="818"/>
      <c r="V38" s="818"/>
      <c r="W38" s="818"/>
      <c r="X38" s="135">
        <f>SUMIF(FLOAT!$D:$D,Cockpit!$E$5:$E$146,FLOAT!F:F)</f>
        <v>0</v>
      </c>
      <c r="Y38" s="38">
        <f>IFERROR(VLOOKUP(E38,[4]Sheet1!$D$4:$G$83,4,0),0)</f>
        <v>0</v>
      </c>
      <c r="Z38" s="17">
        <f>IFERROR(VLOOKUP(E38,'[5]Cockpit Main'!$D$4:$G$83,4,0),0)</f>
        <v>0</v>
      </c>
      <c r="AA38" s="49">
        <v>0</v>
      </c>
      <c r="AB38" s="54"/>
      <c r="AC38" s="816"/>
      <c r="AD38" s="17"/>
      <c r="AE38" s="832"/>
      <c r="AF38" s="62">
        <f>SUMIF(FLOAT!$D:$D,Cockpit!$E38:$E178,FLOAT!G:G)</f>
        <v>0</v>
      </c>
      <c r="AG38" s="62">
        <f>SUMIF(FLOAT!$D:$D,Cockpit!$E38:$E178,FLOAT!H:H)</f>
        <v>0</v>
      </c>
      <c r="AH38" s="62">
        <f>SUMIF(FLOAT!$D:$D,Cockpit!$E38:$E178,FLOAT!I:I)</f>
        <v>0</v>
      </c>
      <c r="AI38" s="62">
        <f>SUMIF(FLOAT!$D:$D,Cockpit!$E38:$E178,FLOAT!J:J)</f>
        <v>0</v>
      </c>
      <c r="AJ38" s="62">
        <f>SUMIF(FLOAT!$D:$D,Cockpit!$E38:$E178,FLOAT!K:K)</f>
        <v>0</v>
      </c>
      <c r="AK38" s="62">
        <f>SUMIF(FLOAT!$D:$D,Cockpit!$E38:$E178,FLOAT!L:L)</f>
        <v>0</v>
      </c>
      <c r="AL38" s="62">
        <f>SUMIF(FLOAT!$D:$D,Cockpit!$E38:$E178,FLOAT!M:M)</f>
        <v>0</v>
      </c>
      <c r="AM38" s="62">
        <f>SUMIF(FLOAT!$D:$D,Cockpit!$E38:$E178,FLOAT!N:N)</f>
        <v>0</v>
      </c>
      <c r="AN38" s="62">
        <f>SUMIF(FLOAT!$D:$D,Cockpit!$E38:$E178,FLOAT!O:O)</f>
        <v>0</v>
      </c>
      <c r="AO38" s="62">
        <f>SUMIF(FLOAT!$D:$D,Cockpit!$E38:$E178,FLOAT!P:P)</f>
        <v>0</v>
      </c>
      <c r="AP38" s="60">
        <f t="shared" si="0"/>
        <v>0</v>
      </c>
    </row>
    <row r="39" spans="1:42" s="24" customFormat="1" ht="15.75" hidden="1" customHeight="1" x14ac:dyDescent="0.3">
      <c r="A39" s="305"/>
      <c r="B39" s="306"/>
      <c r="C39" s="925"/>
      <c r="D39" s="930"/>
      <c r="E39" s="303" t="s">
        <v>88</v>
      </c>
      <c r="F39" s="289" t="s">
        <v>102</v>
      </c>
      <c r="G39" s="184">
        <v>0</v>
      </c>
      <c r="H39" s="868"/>
      <c r="I39" s="870"/>
      <c r="J39" s="932"/>
      <c r="K39" s="832"/>
      <c r="L39" s="868"/>
      <c r="M39" s="816"/>
      <c r="N39" s="30">
        <f>SUMIF('3 D P'!$D:$D,Cockpit!$E$5:$E$146,'3 D P'!L:L)</f>
        <v>0</v>
      </c>
      <c r="O39" s="30">
        <f>SUMIF('3 D P'!$D:$D,Cockpit!$E$5:$E$146,'3 D P'!M:M)</f>
        <v>0</v>
      </c>
      <c r="P39" s="30">
        <f>SUMIF('3 D P'!$D:$D,Cockpit!$E$5:$E$146,'3 D P'!N:N)</f>
        <v>0</v>
      </c>
      <c r="Q39" s="132">
        <f>IFERROR(VLOOKUP($D39,'Aptiv Dispatch'!$A:$B,2,FALSE),0)</f>
        <v>0</v>
      </c>
      <c r="R39" s="34">
        <f>SUMIF('Consumption MTD'!B:B,Cockpit!$E$5:$E$146,'Consumption MTD'!C:C)</f>
        <v>0</v>
      </c>
      <c r="S39" s="34">
        <f>SUMIF('BIW Lifting A Shift'!$B:$B,Cockpit!$E$5:$E$146,'BIW Lifting A Shift'!C:C)</f>
        <v>0</v>
      </c>
      <c r="T39" s="34" t="e">
        <f>SUMIF('BIW Lifting A Shift'!$B:$B,Cockpit!$E$5:$E$146,'BIW Lifting A Shift'!#REF!)</f>
        <v>#REF!</v>
      </c>
      <c r="U39" s="818"/>
      <c r="V39" s="818"/>
      <c r="W39" s="818"/>
      <c r="X39" s="135">
        <f>SUMIF(FLOAT!$D:$D,Cockpit!$E$5:$E$146,FLOAT!F:F)</f>
        <v>0</v>
      </c>
      <c r="Y39" s="38">
        <f>IFERROR(VLOOKUP(E39,[4]Sheet1!$D$4:$G$83,4,0),0)</f>
        <v>0</v>
      </c>
      <c r="Z39" s="17">
        <f>IFERROR(VLOOKUP(E39,'[5]Cockpit Main'!$D$4:$G$83,4,0),0)</f>
        <v>0</v>
      </c>
      <c r="AA39" s="49">
        <v>0</v>
      </c>
      <c r="AB39" s="54"/>
      <c r="AC39" s="816"/>
      <c r="AD39" s="17"/>
      <c r="AE39" s="832"/>
      <c r="AF39" s="62">
        <f>SUMIF(FLOAT!$D:$D,Cockpit!$E39:$E178,FLOAT!G:G)</f>
        <v>0</v>
      </c>
      <c r="AG39" s="62">
        <f>SUMIF(FLOAT!$D:$D,Cockpit!$E39:$E178,FLOAT!H:H)</f>
        <v>0</v>
      </c>
      <c r="AH39" s="62">
        <f>SUMIF(FLOAT!$D:$D,Cockpit!$E39:$E178,FLOAT!I:I)</f>
        <v>0</v>
      </c>
      <c r="AI39" s="62">
        <f>SUMIF(FLOAT!$D:$D,Cockpit!$E39:$E178,FLOAT!J:J)</f>
        <v>0</v>
      </c>
      <c r="AJ39" s="62">
        <f>SUMIF(FLOAT!$D:$D,Cockpit!$E39:$E178,FLOAT!K:K)</f>
        <v>0</v>
      </c>
      <c r="AK39" s="62">
        <f>SUMIF(FLOAT!$D:$D,Cockpit!$E39:$E178,FLOAT!L:L)</f>
        <v>0</v>
      </c>
      <c r="AL39" s="62">
        <f>SUMIF(FLOAT!$D:$D,Cockpit!$E39:$E178,FLOAT!M:M)</f>
        <v>0</v>
      </c>
      <c r="AM39" s="62">
        <f>SUMIF(FLOAT!$D:$D,Cockpit!$E39:$E178,FLOAT!N:N)</f>
        <v>0</v>
      </c>
      <c r="AN39" s="62">
        <f>SUMIF(FLOAT!$D:$D,Cockpit!$E39:$E178,FLOAT!O:O)</f>
        <v>0</v>
      </c>
      <c r="AO39" s="62">
        <f>SUMIF(FLOAT!$D:$D,Cockpit!$E39:$E178,FLOAT!P:P)</f>
        <v>0</v>
      </c>
      <c r="AP39" s="60">
        <f t="shared" si="0"/>
        <v>0</v>
      </c>
    </row>
    <row r="40" spans="1:42" s="24" customFormat="1" ht="15.75" hidden="1" customHeight="1" x14ac:dyDescent="0.3">
      <c r="A40" s="305"/>
      <c r="B40" s="306"/>
      <c r="C40" s="925"/>
      <c r="D40" s="930"/>
      <c r="E40" s="303" t="s">
        <v>89</v>
      </c>
      <c r="F40" s="289" t="s">
        <v>103</v>
      </c>
      <c r="G40" s="184">
        <v>0</v>
      </c>
      <c r="H40" s="868"/>
      <c r="I40" s="870"/>
      <c r="J40" s="932"/>
      <c r="K40" s="832"/>
      <c r="L40" s="868"/>
      <c r="M40" s="816"/>
      <c r="N40" s="30">
        <f>SUMIF('3 D P'!$D:$D,Cockpit!$E$5:$E$146,'3 D P'!L:L)</f>
        <v>0</v>
      </c>
      <c r="O40" s="30">
        <f>SUMIF('3 D P'!$D:$D,Cockpit!$E$5:$E$146,'3 D P'!M:M)</f>
        <v>0</v>
      </c>
      <c r="P40" s="30">
        <f>SUMIF('3 D P'!$D:$D,Cockpit!$E$5:$E$146,'3 D P'!N:N)</f>
        <v>0</v>
      </c>
      <c r="Q40" s="132">
        <f>IFERROR(VLOOKUP($D40,'Aptiv Dispatch'!$A:$B,2,FALSE),0)</f>
        <v>0</v>
      </c>
      <c r="R40" s="34">
        <f>SUMIF('Consumption MTD'!B:B,Cockpit!$E$5:$E$146,'Consumption MTD'!C:C)</f>
        <v>0</v>
      </c>
      <c r="S40" s="34">
        <f>SUMIF('BIW Lifting A Shift'!$B:$B,Cockpit!$E$5:$E$146,'BIW Lifting A Shift'!C:C)</f>
        <v>0</v>
      </c>
      <c r="T40" s="34" t="e">
        <f>SUMIF('BIW Lifting A Shift'!$B:$B,Cockpit!$E$5:$E$146,'BIW Lifting A Shift'!#REF!)</f>
        <v>#REF!</v>
      </c>
      <c r="U40" s="818"/>
      <c r="V40" s="818"/>
      <c r="W40" s="818"/>
      <c r="X40" s="135">
        <f>SUMIF(FLOAT!$D:$D,Cockpit!$E$5:$E$146,FLOAT!F:F)</f>
        <v>0</v>
      </c>
      <c r="Y40" s="38">
        <f>IFERROR(VLOOKUP(E40,[4]Sheet1!$D$4:$G$83,4,0),0)</f>
        <v>0</v>
      </c>
      <c r="Z40" s="17">
        <f>IFERROR(VLOOKUP(E40,'[5]Cockpit Main'!$D$4:$G$83,4,0),0)</f>
        <v>0</v>
      </c>
      <c r="AA40" s="49">
        <v>0</v>
      </c>
      <c r="AB40" s="54"/>
      <c r="AC40" s="816"/>
      <c r="AD40" s="17"/>
      <c r="AE40" s="832"/>
      <c r="AF40" s="62">
        <f>SUMIF(FLOAT!$D:$D,Cockpit!$E40:$E178,FLOAT!G:G)</f>
        <v>0</v>
      </c>
      <c r="AG40" s="62">
        <f>SUMIF(FLOAT!$D:$D,Cockpit!$E40:$E178,FLOAT!H:H)</f>
        <v>0</v>
      </c>
      <c r="AH40" s="62">
        <f>SUMIF(FLOAT!$D:$D,Cockpit!$E40:$E178,FLOAT!I:I)</f>
        <v>0</v>
      </c>
      <c r="AI40" s="62">
        <f>SUMIF(FLOAT!$D:$D,Cockpit!$E40:$E178,FLOAT!J:J)</f>
        <v>0</v>
      </c>
      <c r="AJ40" s="62">
        <f>SUMIF(FLOAT!$D:$D,Cockpit!$E40:$E178,FLOAT!K:K)</f>
        <v>0</v>
      </c>
      <c r="AK40" s="62">
        <f>SUMIF(FLOAT!$D:$D,Cockpit!$E40:$E178,FLOAT!L:L)</f>
        <v>0</v>
      </c>
      <c r="AL40" s="62">
        <f>SUMIF(FLOAT!$D:$D,Cockpit!$E40:$E178,FLOAT!M:M)</f>
        <v>0</v>
      </c>
      <c r="AM40" s="62">
        <f>SUMIF(FLOAT!$D:$D,Cockpit!$E40:$E178,FLOAT!N:N)</f>
        <v>0</v>
      </c>
      <c r="AN40" s="62">
        <f>SUMIF(FLOAT!$D:$D,Cockpit!$E40:$E178,FLOAT!O:O)</f>
        <v>0</v>
      </c>
      <c r="AO40" s="62">
        <f>SUMIF(FLOAT!$D:$D,Cockpit!$E40:$E178,FLOAT!P:P)</f>
        <v>0</v>
      </c>
      <c r="AP40" s="60">
        <f t="shared" si="0"/>
        <v>0</v>
      </c>
    </row>
    <row r="41" spans="1:42" s="24" customFormat="1" ht="15.75" hidden="1" customHeight="1" x14ac:dyDescent="0.3">
      <c r="A41" s="305"/>
      <c r="B41" s="306"/>
      <c r="C41" s="925"/>
      <c r="D41" s="930"/>
      <c r="E41" s="303" t="s">
        <v>111</v>
      </c>
      <c r="F41" s="289" t="s">
        <v>52</v>
      </c>
      <c r="G41" s="184">
        <v>0</v>
      </c>
      <c r="H41" s="868"/>
      <c r="I41" s="870"/>
      <c r="J41" s="932"/>
      <c r="K41" s="832"/>
      <c r="L41" s="868"/>
      <c r="M41" s="816"/>
      <c r="N41" s="30">
        <f>SUMIF('3 D P'!$D:$D,Cockpit!$E$5:$E$146,'3 D P'!L:L)</f>
        <v>0</v>
      </c>
      <c r="O41" s="30">
        <f>SUMIF('3 D P'!$D:$D,Cockpit!$E$5:$E$146,'3 D P'!M:M)</f>
        <v>0</v>
      </c>
      <c r="P41" s="30">
        <f>SUMIF('3 D P'!$D:$D,Cockpit!$E$5:$E$146,'3 D P'!N:N)</f>
        <v>0</v>
      </c>
      <c r="Q41" s="132">
        <f>IFERROR(VLOOKUP($D41,'Aptiv Dispatch'!$A:$B,2,FALSE),0)</f>
        <v>0</v>
      </c>
      <c r="R41" s="34">
        <f>SUMIF('Consumption MTD'!B:B,Cockpit!$E$5:$E$146,'Consumption MTD'!C:C)</f>
        <v>0</v>
      </c>
      <c r="S41" s="34">
        <f>SUMIF('BIW Lifting A Shift'!$B:$B,Cockpit!$E$5:$E$146,'BIW Lifting A Shift'!C:C)</f>
        <v>0</v>
      </c>
      <c r="T41" s="34" t="e">
        <f>SUMIF('BIW Lifting A Shift'!$B:$B,Cockpit!$E$5:$E$146,'BIW Lifting A Shift'!#REF!)</f>
        <v>#REF!</v>
      </c>
      <c r="U41" s="818"/>
      <c r="V41" s="818"/>
      <c r="W41" s="818"/>
      <c r="X41" s="135">
        <f>SUMIF(FLOAT!$D:$D,Cockpit!$E$5:$E$146,FLOAT!F:F)</f>
        <v>0</v>
      </c>
      <c r="Y41" s="38">
        <f>IFERROR(VLOOKUP(E41,[4]Sheet1!$D$4:$G$83,4,0),0)</f>
        <v>0</v>
      </c>
      <c r="Z41" s="17">
        <f>IFERROR(VLOOKUP(E41,'[5]Cockpit Main'!$D$4:$G$83,4,0),0)</f>
        <v>0</v>
      </c>
      <c r="AA41" s="49">
        <v>0</v>
      </c>
      <c r="AB41" s="54"/>
      <c r="AC41" s="816"/>
      <c r="AD41" s="17"/>
      <c r="AE41" s="832"/>
      <c r="AF41" s="62">
        <f>SUMIF(FLOAT!$D:$D,Cockpit!$E41:$E178,FLOAT!G:G)</f>
        <v>0</v>
      </c>
      <c r="AG41" s="62">
        <f>SUMIF(FLOAT!$D:$D,Cockpit!$E41:$E178,FLOAT!H:H)</f>
        <v>0</v>
      </c>
      <c r="AH41" s="62">
        <f>SUMIF(FLOAT!$D:$D,Cockpit!$E41:$E178,FLOAT!I:I)</f>
        <v>0</v>
      </c>
      <c r="AI41" s="62">
        <f>SUMIF(FLOAT!$D:$D,Cockpit!$E41:$E178,FLOAT!J:J)</f>
        <v>0</v>
      </c>
      <c r="AJ41" s="62">
        <f>SUMIF(FLOAT!$D:$D,Cockpit!$E41:$E178,FLOAT!K:K)</f>
        <v>0</v>
      </c>
      <c r="AK41" s="62">
        <f>SUMIF(FLOAT!$D:$D,Cockpit!$E41:$E178,FLOAT!L:L)</f>
        <v>0</v>
      </c>
      <c r="AL41" s="62">
        <f>SUMIF(FLOAT!$D:$D,Cockpit!$E41:$E178,FLOAT!M:M)</f>
        <v>0</v>
      </c>
      <c r="AM41" s="62">
        <f>SUMIF(FLOAT!$D:$D,Cockpit!$E41:$E178,FLOAT!N:N)</f>
        <v>0</v>
      </c>
      <c r="AN41" s="62">
        <f>SUMIF(FLOAT!$D:$D,Cockpit!$E41:$E178,FLOAT!O:O)</f>
        <v>0</v>
      </c>
      <c r="AO41" s="62">
        <f>SUMIF(FLOAT!$D:$D,Cockpit!$E41:$E178,FLOAT!P:P)</f>
        <v>0</v>
      </c>
      <c r="AP41" s="60">
        <f t="shared" si="0"/>
        <v>0</v>
      </c>
    </row>
    <row r="42" spans="1:42" s="24" customFormat="1" ht="15.75" hidden="1" customHeight="1" x14ac:dyDescent="0.3">
      <c r="A42" s="305"/>
      <c r="B42" s="306"/>
      <c r="C42" s="925"/>
      <c r="D42" s="931"/>
      <c r="E42" s="303" t="s">
        <v>112</v>
      </c>
      <c r="F42" s="289" t="s">
        <v>53</v>
      </c>
      <c r="G42" s="184">
        <v>0</v>
      </c>
      <c r="H42" s="825"/>
      <c r="I42" s="871"/>
      <c r="J42" s="932"/>
      <c r="K42" s="832"/>
      <c r="L42" s="825"/>
      <c r="M42" s="816"/>
      <c r="N42" s="30">
        <f>SUMIF('3 D P'!$D:$D,Cockpit!$E$5:$E$146,'3 D P'!L:L)</f>
        <v>0</v>
      </c>
      <c r="O42" s="30">
        <f>SUMIF('3 D P'!$D:$D,Cockpit!$E$5:$E$146,'3 D P'!M:M)</f>
        <v>0</v>
      </c>
      <c r="P42" s="30">
        <f>SUMIF('3 D P'!$D:$D,Cockpit!$E$5:$E$146,'3 D P'!N:N)</f>
        <v>0</v>
      </c>
      <c r="Q42" s="132">
        <f>IFERROR(VLOOKUP($D42,'Aptiv Dispatch'!$A:$B,2,FALSE),0)</f>
        <v>0</v>
      </c>
      <c r="R42" s="34">
        <f>SUMIF('Consumption MTD'!B:B,Cockpit!$E$5:$E$146,'Consumption MTD'!C:C)</f>
        <v>0</v>
      </c>
      <c r="S42" s="34">
        <f>SUMIF('BIW Lifting A Shift'!$B:$B,Cockpit!$E$5:$E$146,'BIW Lifting A Shift'!C:C)</f>
        <v>0</v>
      </c>
      <c r="T42" s="34" t="e">
        <f>SUMIF('BIW Lifting A Shift'!$B:$B,Cockpit!$E$5:$E$146,'BIW Lifting A Shift'!#REF!)</f>
        <v>#REF!</v>
      </c>
      <c r="U42" s="818"/>
      <c r="V42" s="818"/>
      <c r="W42" s="818"/>
      <c r="X42" s="135">
        <f>SUMIF(FLOAT!$D:$D,Cockpit!$E$5:$E$146,FLOAT!F:F)</f>
        <v>0</v>
      </c>
      <c r="Y42" s="38">
        <f>IFERROR(VLOOKUP(E42,[4]Sheet1!$D$4:$G$83,4,0),0)</f>
        <v>0</v>
      </c>
      <c r="Z42" s="17">
        <f>IFERROR(VLOOKUP(E42,'[5]Cockpit Main'!$D$4:$G$83,4,0),0)</f>
        <v>0</v>
      </c>
      <c r="AA42" s="49">
        <v>0</v>
      </c>
      <c r="AB42" s="54"/>
      <c r="AC42" s="816"/>
      <c r="AD42" s="17"/>
      <c r="AE42" s="832"/>
      <c r="AF42" s="62">
        <f>SUMIF(FLOAT!$D:$D,Cockpit!$E42:$E179,FLOAT!G:G)</f>
        <v>0</v>
      </c>
      <c r="AG42" s="62">
        <f>SUMIF(FLOAT!$D:$D,Cockpit!$E42:$E179,FLOAT!H:H)</f>
        <v>0</v>
      </c>
      <c r="AH42" s="62">
        <f>SUMIF(FLOAT!$D:$D,Cockpit!$E42:$E179,FLOAT!I:I)</f>
        <v>0</v>
      </c>
      <c r="AI42" s="62">
        <f>SUMIF(FLOAT!$D:$D,Cockpit!$E42:$E179,FLOAT!J:J)</f>
        <v>0</v>
      </c>
      <c r="AJ42" s="62">
        <f>SUMIF(FLOAT!$D:$D,Cockpit!$E42:$E179,FLOAT!K:K)</f>
        <v>0</v>
      </c>
      <c r="AK42" s="62">
        <f>SUMIF(FLOAT!$D:$D,Cockpit!$E42:$E179,FLOAT!L:L)</f>
        <v>0</v>
      </c>
      <c r="AL42" s="62">
        <f>SUMIF(FLOAT!$D:$D,Cockpit!$E42:$E179,FLOAT!M:M)</f>
        <v>0</v>
      </c>
      <c r="AM42" s="62">
        <f>SUMIF(FLOAT!$D:$D,Cockpit!$E42:$E179,FLOAT!N:N)</f>
        <v>0</v>
      </c>
      <c r="AN42" s="62">
        <f>SUMIF(FLOAT!$D:$D,Cockpit!$E42:$E179,FLOAT!O:O)</f>
        <v>0</v>
      </c>
      <c r="AO42" s="62">
        <f>SUMIF(FLOAT!$D:$D,Cockpit!$E42:$E179,FLOAT!P:P)</f>
        <v>0</v>
      </c>
      <c r="AP42" s="60">
        <f t="shared" si="0"/>
        <v>0</v>
      </c>
    </row>
    <row r="43" spans="1:42" ht="15.75" hidden="1" customHeight="1" x14ac:dyDescent="0.3">
      <c r="A43" s="297">
        <v>544246200404</v>
      </c>
      <c r="B43" s="298"/>
      <c r="C43" s="920">
        <v>544254630436</v>
      </c>
      <c r="D43" s="926">
        <v>544254630436</v>
      </c>
      <c r="E43" s="303" t="s">
        <v>40</v>
      </c>
      <c r="F43" s="927" t="s">
        <v>25</v>
      </c>
      <c r="G43" s="184">
        <v>0</v>
      </c>
      <c r="H43" s="824">
        <f>SUM(G43:G44)</f>
        <v>0</v>
      </c>
      <c r="I43" s="822">
        <v>0</v>
      </c>
      <c r="J43" s="936">
        <f>Q43</f>
        <v>0</v>
      </c>
      <c r="K43" s="832">
        <f>SUM(R43:R44)</f>
        <v>0</v>
      </c>
      <c r="L43" s="824">
        <f>H43-K43</f>
        <v>0</v>
      </c>
      <c r="M43" s="816">
        <f>I43+J43-K43</f>
        <v>0</v>
      </c>
      <c r="N43" s="30">
        <f>SUMIF('3 D P'!$D:$D,Cockpit!$E$5:$E$146,'3 D P'!L:L)</f>
        <v>0</v>
      </c>
      <c r="O43" s="30">
        <f>SUMIF('3 D P'!$D:$D,Cockpit!$E$5:$E$146,'3 D P'!M:M)</f>
        <v>0</v>
      </c>
      <c r="P43" s="30">
        <f>SUMIF('3 D P'!$D:$D,Cockpit!$E$5:$E$146,'3 D P'!N:N)</f>
        <v>0</v>
      </c>
      <c r="Q43" s="132">
        <f>IFERROR(VLOOKUP($D43,'Aptiv Dispatch'!$A:$B,2,FALSE),0)</f>
        <v>0</v>
      </c>
      <c r="R43" s="34">
        <f>SUMIF('Consumption MTD'!B:B,Cockpit!$E$5:$E$146,'Consumption MTD'!C:C)</f>
        <v>0</v>
      </c>
      <c r="S43" s="34">
        <f>SUMIF('BIW Lifting A Shift'!$B:$B,Cockpit!$E$5:$E$146,'BIW Lifting A Shift'!C:C)</f>
        <v>0</v>
      </c>
      <c r="T43" s="34" t="e">
        <f>SUMIF('BIW Lifting A Shift'!$B:$B,Cockpit!$E$5:$E$146,'BIW Lifting A Shift'!#REF!)</f>
        <v>#REF!</v>
      </c>
      <c r="U43" s="818">
        <f>M43-X43-X44</f>
        <v>0</v>
      </c>
      <c r="V43" s="818">
        <f>M43-SUM(X43:X44)-SUM(S43:S44)</f>
        <v>0</v>
      </c>
      <c r="W43" s="818" t="e">
        <f>V43-SUM(T43:T44)</f>
        <v>#REF!</v>
      </c>
      <c r="X43" s="135">
        <f>SUMIF(FLOAT!$D:$D,Cockpit!$E$5:$E$146,FLOAT!F:F)</f>
        <v>0</v>
      </c>
      <c r="Y43" s="38">
        <f>IFERROR(VLOOKUP(E43,[4]Sheet1!$D$4:$G$83,4,0),0)</f>
        <v>0</v>
      </c>
      <c r="Z43" s="17">
        <f>IFERROR(VLOOKUP(E43,'[5]Cockpit Main'!$D$4:$G$83,4,0),0)</f>
        <v>0</v>
      </c>
      <c r="AA43" s="49">
        <v>0</v>
      </c>
      <c r="AC43" s="816">
        <v>0</v>
      </c>
      <c r="AE43" s="832"/>
      <c r="AF43" s="62">
        <f>SUMIF(FLOAT!$D:$D,Cockpit!$E43:$E180,FLOAT!G:G)</f>
        <v>0</v>
      </c>
      <c r="AG43" s="62">
        <f>SUMIF(FLOAT!$D:$D,Cockpit!$E43:$E180,FLOAT!H:H)</f>
        <v>0</v>
      </c>
      <c r="AH43" s="62">
        <f>SUMIF(FLOAT!$D:$D,Cockpit!$E43:$E180,FLOAT!I:I)</f>
        <v>0</v>
      </c>
      <c r="AI43" s="62">
        <f>SUMIF(FLOAT!$D:$D,Cockpit!$E43:$E180,FLOAT!J:J)</f>
        <v>0</v>
      </c>
      <c r="AJ43" s="62">
        <f>SUMIF(FLOAT!$D:$D,Cockpit!$E43:$E180,FLOAT!K:K)</f>
        <v>0</v>
      </c>
      <c r="AK43" s="62">
        <f>SUMIF(FLOAT!$D:$D,Cockpit!$E43:$E180,FLOAT!L:L)</f>
        <v>0</v>
      </c>
      <c r="AL43" s="62">
        <f>SUMIF(FLOAT!$D:$D,Cockpit!$E43:$E180,FLOAT!M:M)</f>
        <v>0</v>
      </c>
      <c r="AM43" s="62">
        <f>SUMIF(FLOAT!$D:$D,Cockpit!$E43:$E180,FLOAT!N:N)</f>
        <v>0</v>
      </c>
      <c r="AN43" s="62">
        <f>SUMIF(FLOAT!$D:$D,Cockpit!$E43:$E180,FLOAT!O:O)</f>
        <v>0</v>
      </c>
      <c r="AO43" s="62">
        <f>SUMIF(FLOAT!$D:$D,Cockpit!$E43:$E180,FLOAT!P:P)</f>
        <v>0</v>
      </c>
      <c r="AP43" s="60">
        <f t="shared" si="0"/>
        <v>0</v>
      </c>
    </row>
    <row r="44" spans="1:42" ht="18.75" hidden="1" customHeight="1" x14ac:dyDescent="0.3">
      <c r="A44" s="297"/>
      <c r="B44" s="298"/>
      <c r="C44" s="920"/>
      <c r="D44" s="926"/>
      <c r="E44" s="303" t="s">
        <v>41</v>
      </c>
      <c r="F44" s="927"/>
      <c r="G44" s="184">
        <v>0</v>
      </c>
      <c r="H44" s="825"/>
      <c r="I44" s="823"/>
      <c r="J44" s="936"/>
      <c r="K44" s="832"/>
      <c r="L44" s="825"/>
      <c r="M44" s="816"/>
      <c r="N44" s="30">
        <f>SUMIF('3 D P'!$D:$D,Cockpit!$E$5:$E$146,'3 D P'!L:L)</f>
        <v>0</v>
      </c>
      <c r="O44" s="30">
        <f>SUMIF('3 D P'!$D:$D,Cockpit!$E$5:$E$146,'3 D P'!M:M)</f>
        <v>0</v>
      </c>
      <c r="P44" s="30">
        <f>SUMIF('3 D P'!$D:$D,Cockpit!$E$5:$E$146,'3 D P'!N:N)</f>
        <v>0</v>
      </c>
      <c r="Q44" s="132">
        <f>IFERROR(VLOOKUP($D44,'Aptiv Dispatch'!$A:$B,2,FALSE),0)</f>
        <v>0</v>
      </c>
      <c r="R44" s="34">
        <f>SUMIF('Consumption MTD'!B:B,Cockpit!$E$5:$E$146,'Consumption MTD'!C:C)</f>
        <v>0</v>
      </c>
      <c r="S44" s="34">
        <f>SUMIF('BIW Lifting A Shift'!$B:$B,Cockpit!$E$5:$E$146,'BIW Lifting A Shift'!C:C)</f>
        <v>0</v>
      </c>
      <c r="T44" s="34" t="e">
        <f>SUMIF('BIW Lifting A Shift'!$B:$B,Cockpit!$E$5:$E$146,'BIW Lifting A Shift'!#REF!)</f>
        <v>#REF!</v>
      </c>
      <c r="U44" s="818"/>
      <c r="V44" s="818"/>
      <c r="W44" s="818"/>
      <c r="X44" s="135">
        <f>SUMIF(FLOAT!$D:$D,Cockpit!$E$5:$E$146,FLOAT!F:F)</f>
        <v>0</v>
      </c>
      <c r="Y44" s="38">
        <f>IFERROR(VLOOKUP(E44,[4]Sheet1!$D$4:$G$83,4,0),0)</f>
        <v>0</v>
      </c>
      <c r="Z44" s="17">
        <f>IFERROR(VLOOKUP(E44,'[5]Cockpit Main'!$D$4:$G$83,4,0),0)</f>
        <v>0</v>
      </c>
      <c r="AA44" s="49">
        <v>0</v>
      </c>
      <c r="AC44" s="816"/>
      <c r="AE44" s="832"/>
      <c r="AF44" s="62">
        <f>SUMIF(FLOAT!$D:$D,Cockpit!$E44:$E181,FLOAT!G:G)</f>
        <v>0</v>
      </c>
      <c r="AG44" s="62">
        <f>SUMIF(FLOAT!$D:$D,Cockpit!$E44:$E181,FLOAT!H:H)</f>
        <v>0</v>
      </c>
      <c r="AH44" s="62">
        <f>SUMIF(FLOAT!$D:$D,Cockpit!$E44:$E181,FLOAT!I:I)</f>
        <v>0</v>
      </c>
      <c r="AI44" s="62">
        <f>SUMIF(FLOAT!$D:$D,Cockpit!$E44:$E181,FLOAT!J:J)</f>
        <v>0</v>
      </c>
      <c r="AJ44" s="62">
        <f>SUMIF(FLOAT!$D:$D,Cockpit!$E44:$E181,FLOAT!K:K)</f>
        <v>0</v>
      </c>
      <c r="AK44" s="62">
        <f>SUMIF(FLOAT!$D:$D,Cockpit!$E44:$E181,FLOAT!L:L)</f>
        <v>0</v>
      </c>
      <c r="AL44" s="62">
        <f>SUMIF(FLOAT!$D:$D,Cockpit!$E44:$E181,FLOAT!M:M)</f>
        <v>0</v>
      </c>
      <c r="AM44" s="62">
        <f>SUMIF(FLOAT!$D:$D,Cockpit!$E44:$E181,FLOAT!N:N)</f>
        <v>0</v>
      </c>
      <c r="AN44" s="62">
        <f>SUMIF(FLOAT!$D:$D,Cockpit!$E44:$E181,FLOAT!O:O)</f>
        <v>0</v>
      </c>
      <c r="AO44" s="62">
        <f>SUMIF(FLOAT!$D:$D,Cockpit!$E44:$E181,FLOAT!P:P)</f>
        <v>0</v>
      </c>
      <c r="AP44" s="60">
        <f t="shared" si="0"/>
        <v>0</v>
      </c>
    </row>
    <row r="45" spans="1:42" ht="29.25" hidden="1" customHeight="1" x14ac:dyDescent="0.3">
      <c r="A45" s="297"/>
      <c r="B45" s="298"/>
      <c r="C45" s="920">
        <v>544254630420</v>
      </c>
      <c r="D45" s="929">
        <v>544254640173</v>
      </c>
      <c r="E45" s="303" t="s">
        <v>91</v>
      </c>
      <c r="F45" s="289" t="s">
        <v>107</v>
      </c>
      <c r="G45" s="184">
        <v>0</v>
      </c>
      <c r="H45" s="824">
        <f>SUM(G45:G46)</f>
        <v>0</v>
      </c>
      <c r="I45" s="860">
        <v>0</v>
      </c>
      <c r="J45" s="932">
        <f t="shared" ref="J45:J50" si="1">Q45</f>
        <v>0</v>
      </c>
      <c r="K45" s="832">
        <f>SUM(R45:R46)</f>
        <v>0</v>
      </c>
      <c r="L45" s="824">
        <f>H45-K45</f>
        <v>0</v>
      </c>
      <c r="M45" s="816">
        <f>I45+J45-K45</f>
        <v>0</v>
      </c>
      <c r="N45" s="30">
        <f>SUMIF('3 D P'!$D:$D,Cockpit!$E$5:$E$146,'3 D P'!L:L)</f>
        <v>0</v>
      </c>
      <c r="O45" s="30">
        <f>SUMIF('3 D P'!$D:$D,Cockpit!$E$5:$E$146,'3 D P'!M:M)</f>
        <v>0</v>
      </c>
      <c r="P45" s="30">
        <f>SUMIF('3 D P'!$D:$D,Cockpit!$E$5:$E$146,'3 D P'!N:N)</f>
        <v>0</v>
      </c>
      <c r="Q45" s="132">
        <f>IFERROR(VLOOKUP($D45,'Aptiv Dispatch'!$A:$B,2,FALSE),0)</f>
        <v>0</v>
      </c>
      <c r="R45" s="34">
        <f>SUMIF('Consumption MTD'!B:B,Cockpit!$E$5:$E$146,'Consumption MTD'!C:C)</f>
        <v>0</v>
      </c>
      <c r="S45" s="34">
        <f>SUMIF('BIW Lifting A Shift'!$B:$B,Cockpit!$E$5:$E$146,'BIW Lifting A Shift'!C:C)</f>
        <v>0</v>
      </c>
      <c r="T45" s="34" t="e">
        <f>SUMIF('BIW Lifting A Shift'!$B:$B,Cockpit!$E$5:$E$146,'BIW Lifting A Shift'!#REF!)</f>
        <v>#REF!</v>
      </c>
      <c r="U45" s="818">
        <f>M45-X45-X46</f>
        <v>0</v>
      </c>
      <c r="V45" s="818">
        <f>M45-SUM(X45:X46)-SUM(S45:S46)</f>
        <v>0</v>
      </c>
      <c r="W45" s="818" t="e">
        <f>V45-SUM(T45:T46)</f>
        <v>#REF!</v>
      </c>
      <c r="X45" s="135">
        <f>SUMIF(FLOAT!$D:$D,Cockpit!$E$5:$E$146,FLOAT!F:F)</f>
        <v>0</v>
      </c>
      <c r="Y45" s="38">
        <f>IFERROR(VLOOKUP(E45,[4]Sheet1!$D$4:$G$83,4,0),0)</f>
        <v>0</v>
      </c>
      <c r="Z45" s="17">
        <f>IFERROR(VLOOKUP(E45,'[5]Cockpit Main'!$D$4:$G$83,4,0),0)</f>
        <v>0</v>
      </c>
      <c r="AA45" s="49">
        <v>5</v>
      </c>
      <c r="AC45" s="816">
        <v>12</v>
      </c>
      <c r="AE45" s="919"/>
      <c r="AF45" s="62">
        <f>SUMIF(FLOAT!$D:$D,Cockpit!$E45:$E182,FLOAT!G:G)</f>
        <v>0</v>
      </c>
      <c r="AG45" s="62">
        <f>SUMIF(FLOAT!$D:$D,Cockpit!$E45:$E182,FLOAT!H:H)</f>
        <v>0</v>
      </c>
      <c r="AH45" s="62">
        <f>SUMIF(FLOAT!$D:$D,Cockpit!$E45:$E182,FLOAT!I:I)</f>
        <v>0</v>
      </c>
      <c r="AI45" s="62">
        <f>SUMIF(FLOAT!$D:$D,Cockpit!$E45:$E182,FLOAT!J:J)</f>
        <v>0</v>
      </c>
      <c r="AJ45" s="62">
        <f>SUMIF(FLOAT!$D:$D,Cockpit!$E45:$E182,FLOAT!K:K)</f>
        <v>0</v>
      </c>
      <c r="AK45" s="62">
        <f>SUMIF(FLOAT!$D:$D,Cockpit!$E45:$E182,FLOAT!L:L)</f>
        <v>0</v>
      </c>
      <c r="AL45" s="62">
        <f>SUMIF(FLOAT!$D:$D,Cockpit!$E45:$E182,FLOAT!M:M)</f>
        <v>0</v>
      </c>
      <c r="AM45" s="62">
        <f>SUMIF(FLOAT!$D:$D,Cockpit!$E45:$E182,FLOAT!N:N)</f>
        <v>0</v>
      </c>
      <c r="AN45" s="62">
        <f>SUMIF(FLOAT!$D:$D,Cockpit!$E45:$E182,FLOAT!O:O)</f>
        <v>0</v>
      </c>
      <c r="AO45" s="62">
        <f>SUMIF(FLOAT!$D:$D,Cockpit!$E45:$E182,FLOAT!P:P)</f>
        <v>0</v>
      </c>
      <c r="AP45" s="60">
        <f t="shared" si="0"/>
        <v>0</v>
      </c>
    </row>
    <row r="46" spans="1:42" ht="21" hidden="1" customHeight="1" x14ac:dyDescent="0.3">
      <c r="A46" s="297"/>
      <c r="B46" s="298"/>
      <c r="C46" s="920"/>
      <c r="D46" s="930"/>
      <c r="E46" s="303" t="s">
        <v>106</v>
      </c>
      <c r="F46" s="289" t="s">
        <v>108</v>
      </c>
      <c r="G46" s="184">
        <v>0</v>
      </c>
      <c r="H46" s="825"/>
      <c r="I46" s="861"/>
      <c r="J46" s="932"/>
      <c r="K46" s="832"/>
      <c r="L46" s="825"/>
      <c r="M46" s="816"/>
      <c r="N46" s="30">
        <f>SUMIF('3 D P'!$D:$D,Cockpit!$E$5:$E$146,'3 D P'!L:L)</f>
        <v>0</v>
      </c>
      <c r="O46" s="30">
        <f>SUMIF('3 D P'!$D:$D,Cockpit!$E$5:$E$146,'3 D P'!M:M)</f>
        <v>0</v>
      </c>
      <c r="P46" s="30">
        <f>SUMIF('3 D P'!$D:$D,Cockpit!$E$5:$E$146,'3 D P'!N:N)</f>
        <v>0</v>
      </c>
      <c r="Q46" s="132">
        <f>IFERROR(VLOOKUP($D46,'Aptiv Dispatch'!$A:$B,2,FALSE),0)</f>
        <v>0</v>
      </c>
      <c r="R46" s="34">
        <f>SUMIF('Consumption MTD'!B:B,Cockpit!$E$5:$E$146,'Consumption MTD'!C:C)</f>
        <v>0</v>
      </c>
      <c r="S46" s="34">
        <f>SUMIF('BIW Lifting A Shift'!$B:$B,Cockpit!$E$5:$E$146,'BIW Lifting A Shift'!C:C)</f>
        <v>0</v>
      </c>
      <c r="T46" s="34" t="e">
        <f>SUMIF('BIW Lifting A Shift'!$B:$B,Cockpit!$E$5:$E$146,'BIW Lifting A Shift'!#REF!)</f>
        <v>#REF!</v>
      </c>
      <c r="U46" s="818"/>
      <c r="V46" s="818"/>
      <c r="W46" s="818"/>
      <c r="X46" s="135">
        <f>SUMIF(FLOAT!$D:$D,Cockpit!$E$5:$E$146,FLOAT!F:F)</f>
        <v>0</v>
      </c>
      <c r="Y46" s="38">
        <f>IFERROR(VLOOKUP(E46,[4]Sheet1!$D$4:$G$83,4,0),0)</f>
        <v>0</v>
      </c>
      <c r="Z46" s="17">
        <f>IFERROR(VLOOKUP(E46,'[5]Cockpit Main'!$D$4:$G$83,4,0),0)</f>
        <v>0</v>
      </c>
      <c r="AA46" s="49">
        <v>0</v>
      </c>
      <c r="AC46" s="816"/>
      <c r="AE46" s="832"/>
      <c r="AF46" s="62">
        <f>SUMIF(FLOAT!$D:$D,Cockpit!$E46:$E183,FLOAT!G:G)</f>
        <v>0</v>
      </c>
      <c r="AG46" s="62">
        <f>SUMIF(FLOAT!$D:$D,Cockpit!$E46:$E183,FLOAT!H:H)</f>
        <v>0</v>
      </c>
      <c r="AH46" s="62">
        <f>SUMIF(FLOAT!$D:$D,Cockpit!$E46:$E183,FLOAT!I:I)</f>
        <v>0</v>
      </c>
      <c r="AI46" s="62">
        <f>SUMIF(FLOAT!$D:$D,Cockpit!$E46:$E183,FLOAT!J:J)</f>
        <v>0</v>
      </c>
      <c r="AJ46" s="62">
        <f>SUMIF(FLOAT!$D:$D,Cockpit!$E46:$E183,FLOAT!K:K)</f>
        <v>0</v>
      </c>
      <c r="AK46" s="62">
        <f>SUMIF(FLOAT!$D:$D,Cockpit!$E46:$E183,FLOAT!L:L)</f>
        <v>0</v>
      </c>
      <c r="AL46" s="62">
        <f>SUMIF(FLOAT!$D:$D,Cockpit!$E46:$E183,FLOAT!M:M)</f>
        <v>0</v>
      </c>
      <c r="AM46" s="62">
        <f>SUMIF(FLOAT!$D:$D,Cockpit!$E46:$E183,FLOAT!N:N)</f>
        <v>0</v>
      </c>
      <c r="AN46" s="62">
        <f>SUMIF(FLOAT!$D:$D,Cockpit!$E46:$E183,FLOAT!O:O)</f>
        <v>0</v>
      </c>
      <c r="AO46" s="62">
        <f>SUMIF(FLOAT!$D:$D,Cockpit!$E46:$E183,FLOAT!P:P)</f>
        <v>0</v>
      </c>
      <c r="AP46" s="60">
        <f t="shared" si="0"/>
        <v>0</v>
      </c>
    </row>
    <row r="47" spans="1:42" ht="15.75" hidden="1" customHeight="1" x14ac:dyDescent="0.3">
      <c r="A47" s="297"/>
      <c r="B47" s="298"/>
      <c r="C47" s="920">
        <v>544254630247</v>
      </c>
      <c r="D47" s="933">
        <v>544254630247</v>
      </c>
      <c r="E47" s="297" t="s">
        <v>26</v>
      </c>
      <c r="F47" s="289" t="s">
        <v>114</v>
      </c>
      <c r="G47" s="184">
        <v>0</v>
      </c>
      <c r="H47" s="824">
        <f>SUM(G47:G48)</f>
        <v>0</v>
      </c>
      <c r="I47" s="822">
        <v>10</v>
      </c>
      <c r="J47" s="932">
        <f t="shared" si="1"/>
        <v>0</v>
      </c>
      <c r="K47" s="832">
        <f>SUM(R47:R48)</f>
        <v>0</v>
      </c>
      <c r="L47" s="824">
        <f>H47-K47</f>
        <v>0</v>
      </c>
      <c r="M47" s="816">
        <f>I47+J47-K47</f>
        <v>10</v>
      </c>
      <c r="N47" s="30">
        <f>SUMIF('3 D P'!$D:$D,Cockpit!$E$5:$E$146,'3 D P'!L:L)</f>
        <v>0</v>
      </c>
      <c r="O47" s="30">
        <f>SUMIF('3 D P'!$D:$D,Cockpit!$E$5:$E$146,'3 D P'!M:M)</f>
        <v>0</v>
      </c>
      <c r="P47" s="30">
        <f>SUMIF('3 D P'!$D:$D,Cockpit!$E$5:$E$146,'3 D P'!N:N)</f>
        <v>0</v>
      </c>
      <c r="Q47" s="132">
        <f>IFERROR(VLOOKUP($D47,'Aptiv Dispatch'!$A:$B,2,FALSE),0)</f>
        <v>0</v>
      </c>
      <c r="R47" s="34">
        <f>SUMIF('Consumption MTD'!B:B,Cockpit!$E$5:$E$146,'Consumption MTD'!C:C)</f>
        <v>0</v>
      </c>
      <c r="S47" s="34">
        <f>SUMIF('BIW Lifting A Shift'!$B:$B,Cockpit!$E$5:$E$146,'BIW Lifting A Shift'!C:C)</f>
        <v>0</v>
      </c>
      <c r="T47" s="34" t="e">
        <f>SUMIF('BIW Lifting A Shift'!$B:$B,Cockpit!$E$5:$E$146,'BIW Lifting A Shift'!#REF!)</f>
        <v>#REF!</v>
      </c>
      <c r="U47" s="818">
        <f>M47-X47-X48</f>
        <v>10</v>
      </c>
      <c r="V47" s="818">
        <f>M47-SUM(X47:X48)-SUM(S47:S48)</f>
        <v>10</v>
      </c>
      <c r="W47" s="818" t="e">
        <f>V47-SUM(T47:T48)</f>
        <v>#REF!</v>
      </c>
      <c r="X47" s="135">
        <f>SUMIF(FLOAT!$D:$D,Cockpit!$E$5:$E$146,FLOAT!F:F)</f>
        <v>0</v>
      </c>
      <c r="Y47" s="38">
        <f>IFERROR(VLOOKUP(E47,[4]Sheet1!$D$4:$G$83,4,0),0)</f>
        <v>0</v>
      </c>
      <c r="Z47" s="17">
        <f>IFERROR(VLOOKUP(E47,'[5]Cockpit Main'!$D$4:$G$83,4,0),0)</f>
        <v>0</v>
      </c>
      <c r="AA47" s="49">
        <v>3</v>
      </c>
      <c r="AC47" s="816">
        <v>22</v>
      </c>
      <c r="AE47" s="832"/>
      <c r="AF47" s="62">
        <f>SUMIF(FLOAT!$D:$D,Cockpit!$E47:$E184,FLOAT!G:G)</f>
        <v>0</v>
      </c>
      <c r="AG47" s="62">
        <f>SUMIF(FLOAT!$D:$D,Cockpit!$E47:$E184,FLOAT!H:H)</f>
        <v>0</v>
      </c>
      <c r="AH47" s="62">
        <f>SUMIF(FLOAT!$D:$D,Cockpit!$E47:$E184,FLOAT!I:I)</f>
        <v>0</v>
      </c>
      <c r="AI47" s="62">
        <f>SUMIF(FLOAT!$D:$D,Cockpit!$E47:$E184,FLOAT!J:J)</f>
        <v>0</v>
      </c>
      <c r="AJ47" s="62">
        <f>SUMIF(FLOAT!$D:$D,Cockpit!$E47:$E184,FLOAT!K:K)</f>
        <v>0</v>
      </c>
      <c r="AK47" s="62">
        <f>SUMIF(FLOAT!$D:$D,Cockpit!$E47:$E184,FLOAT!L:L)</f>
        <v>0</v>
      </c>
      <c r="AL47" s="62">
        <f>SUMIF(FLOAT!$D:$D,Cockpit!$E47:$E184,FLOAT!M:M)</f>
        <v>0</v>
      </c>
      <c r="AM47" s="62">
        <f>SUMIF(FLOAT!$D:$D,Cockpit!$E47:$E184,FLOAT!N:N)</f>
        <v>0</v>
      </c>
      <c r="AN47" s="62">
        <f>SUMIF(FLOAT!$D:$D,Cockpit!$E47:$E184,FLOAT!O:O)</f>
        <v>0</v>
      </c>
      <c r="AO47" s="62">
        <f>SUMIF(FLOAT!$D:$D,Cockpit!$E47:$E184,FLOAT!P:P)</f>
        <v>0</v>
      </c>
      <c r="AP47" s="60">
        <f t="shared" si="0"/>
        <v>0</v>
      </c>
    </row>
    <row r="48" spans="1:42" ht="15.75" hidden="1" customHeight="1" x14ac:dyDescent="0.3">
      <c r="A48" s="297"/>
      <c r="B48" s="298"/>
      <c r="C48" s="920"/>
      <c r="D48" s="926"/>
      <c r="E48" s="297" t="s">
        <v>49</v>
      </c>
      <c r="F48" s="289" t="s">
        <v>113</v>
      </c>
      <c r="G48" s="184">
        <v>0</v>
      </c>
      <c r="H48" s="825"/>
      <c r="I48" s="823"/>
      <c r="J48" s="932"/>
      <c r="K48" s="832"/>
      <c r="L48" s="825"/>
      <c r="M48" s="816"/>
      <c r="N48" s="30">
        <f>SUMIF('3 D P'!$D:$D,Cockpit!$E$5:$E$146,'3 D P'!L:L)</f>
        <v>0</v>
      </c>
      <c r="O48" s="30">
        <f>SUMIF('3 D P'!$D:$D,Cockpit!$E$5:$E$146,'3 D P'!M:M)</f>
        <v>0</v>
      </c>
      <c r="P48" s="30">
        <f>SUMIF('3 D P'!$D:$D,Cockpit!$E$5:$E$146,'3 D P'!N:N)</f>
        <v>0</v>
      </c>
      <c r="Q48" s="132">
        <f>IFERROR(VLOOKUP($D48,'Aptiv Dispatch'!$A:$B,2,FALSE),0)</f>
        <v>0</v>
      </c>
      <c r="R48" s="34">
        <f>SUMIF('Consumption MTD'!B:B,Cockpit!$E$5:$E$146,'Consumption MTD'!C:C)</f>
        <v>0</v>
      </c>
      <c r="S48" s="34">
        <f>SUMIF('BIW Lifting A Shift'!$B:$B,Cockpit!$E$5:$E$146,'BIW Lifting A Shift'!C:C)</f>
        <v>0</v>
      </c>
      <c r="T48" s="34" t="e">
        <f>SUMIF('BIW Lifting A Shift'!$B:$B,Cockpit!$E$5:$E$146,'BIW Lifting A Shift'!#REF!)</f>
        <v>#REF!</v>
      </c>
      <c r="U48" s="818"/>
      <c r="V48" s="818"/>
      <c r="W48" s="818"/>
      <c r="X48" s="135">
        <f>SUMIF(FLOAT!$D:$D,Cockpit!$E$5:$E$146,FLOAT!F:F)</f>
        <v>0</v>
      </c>
      <c r="Y48" s="38">
        <f>IFERROR(VLOOKUP(E48,[4]Sheet1!$D$4:$G$83,4,0),0)</f>
        <v>0</v>
      </c>
      <c r="Z48" s="17">
        <f>IFERROR(VLOOKUP(E48,'[5]Cockpit Main'!$D$4:$G$83,4,0),0)</f>
        <v>0</v>
      </c>
      <c r="AA48" s="49">
        <v>0</v>
      </c>
      <c r="AC48" s="816"/>
      <c r="AE48" s="832"/>
      <c r="AF48" s="62">
        <f>SUMIF(FLOAT!$D:$D,Cockpit!$E48:$E185,FLOAT!G:G)</f>
        <v>0</v>
      </c>
      <c r="AG48" s="62">
        <f>SUMIF(FLOAT!$D:$D,Cockpit!$E48:$E185,FLOAT!H:H)</f>
        <v>0</v>
      </c>
      <c r="AH48" s="62">
        <f>SUMIF(FLOAT!$D:$D,Cockpit!$E48:$E185,FLOAT!I:I)</f>
        <v>0</v>
      </c>
      <c r="AI48" s="62">
        <f>SUMIF(FLOAT!$D:$D,Cockpit!$E48:$E185,FLOAT!J:J)</f>
        <v>0</v>
      </c>
      <c r="AJ48" s="62">
        <f>SUMIF(FLOAT!$D:$D,Cockpit!$E48:$E185,FLOAT!K:K)</f>
        <v>0</v>
      </c>
      <c r="AK48" s="62">
        <f>SUMIF(FLOAT!$D:$D,Cockpit!$E48:$E185,FLOAT!L:L)</f>
        <v>0</v>
      </c>
      <c r="AL48" s="62">
        <f>SUMIF(FLOAT!$D:$D,Cockpit!$E48:$E185,FLOAT!M:M)</f>
        <v>0</v>
      </c>
      <c r="AM48" s="62">
        <f>SUMIF(FLOAT!$D:$D,Cockpit!$E48:$E185,FLOAT!N:N)</f>
        <v>0</v>
      </c>
      <c r="AN48" s="62">
        <f>SUMIF(FLOAT!$D:$D,Cockpit!$E48:$E185,FLOAT!O:O)</f>
        <v>0</v>
      </c>
      <c r="AO48" s="62">
        <f>SUMIF(FLOAT!$D:$D,Cockpit!$E48:$E185,FLOAT!P:P)</f>
        <v>0</v>
      </c>
      <c r="AP48" s="60">
        <f t="shared" si="0"/>
        <v>0</v>
      </c>
    </row>
    <row r="49" spans="1:42" ht="21.75" hidden="1" thickBot="1" x14ac:dyDescent="0.35">
      <c r="A49" s="297"/>
      <c r="B49" s="298"/>
      <c r="C49" s="307">
        <v>544254630262</v>
      </c>
      <c r="D49" s="751">
        <v>544254630262</v>
      </c>
      <c r="E49" s="297" t="s">
        <v>110</v>
      </c>
      <c r="F49" s="289" t="s">
        <v>109</v>
      </c>
      <c r="G49" s="184">
        <v>0</v>
      </c>
      <c r="H49" s="45">
        <f t="shared" ref="H49:H55" si="2">G49</f>
        <v>0</v>
      </c>
      <c r="I49" s="127">
        <v>7</v>
      </c>
      <c r="J49" s="75">
        <f t="shared" si="1"/>
        <v>0</v>
      </c>
      <c r="K49" s="76">
        <f>R49</f>
        <v>0</v>
      </c>
      <c r="L49" s="45">
        <f t="shared" ref="L49:L58" si="3">H49-K49</f>
        <v>0</v>
      </c>
      <c r="M49" s="77">
        <f t="shared" ref="M49:M58" si="4">I49+J49-K49</f>
        <v>7</v>
      </c>
      <c r="N49" s="30">
        <f>SUMIF('3 D P'!$D:$D,Cockpit!$E$5:$E$146,'3 D P'!L:L)</f>
        <v>0</v>
      </c>
      <c r="O49" s="30">
        <f>SUMIF('3 D P'!$D:$D,Cockpit!$E$5:$E$146,'3 D P'!M:M)</f>
        <v>0</v>
      </c>
      <c r="P49" s="30">
        <f>SUMIF('3 D P'!$D:$D,Cockpit!$E$5:$E$146,'3 D P'!N:N)</f>
        <v>0</v>
      </c>
      <c r="Q49" s="132">
        <f>IFERROR(VLOOKUP($D49,'Aptiv Dispatch'!$A:$B,2,FALSE),0)</f>
        <v>0</v>
      </c>
      <c r="R49" s="34">
        <f>SUMIF('Consumption MTD'!B:B,Cockpit!$E$5:$E$146,'Consumption MTD'!C:C)</f>
        <v>0</v>
      </c>
      <c r="S49" s="34">
        <f>SUMIF('BIW Lifting A Shift'!$B:$B,Cockpit!$E$5:$E$146,'BIW Lifting A Shift'!C:C)</f>
        <v>0</v>
      </c>
      <c r="T49" s="34" t="e">
        <f>SUMIF('BIW Lifting A Shift'!$B:$B,Cockpit!$E$5:$E$146,'BIW Lifting A Shift'!#REF!)</f>
        <v>#REF!</v>
      </c>
      <c r="U49" s="74">
        <f t="shared" ref="U49:U58" si="5">M49-X49</f>
        <v>7</v>
      </c>
      <c r="V49" s="74">
        <f t="shared" ref="V49:V58" si="6">M49-S49-X49</f>
        <v>7</v>
      </c>
      <c r="W49" s="74" t="e">
        <f t="shared" ref="W49:W58" si="7">V49-T49</f>
        <v>#REF!</v>
      </c>
      <c r="X49" s="135">
        <f>SUMIF(FLOAT!$D:$D,Cockpit!$E$5:$E$146,FLOAT!F:F)</f>
        <v>0</v>
      </c>
      <c r="Y49" s="38">
        <f>IFERROR(VLOOKUP(E49,[4]Sheet1!$D$4:$G$83,4,0),0)</f>
        <v>0</v>
      </c>
      <c r="Z49" s="17">
        <f>IFERROR(VLOOKUP(E49,'[5]Cockpit Main'!$D$4:$G$83,4,0),0)</f>
        <v>0</v>
      </c>
      <c r="AA49" s="49">
        <v>3</v>
      </c>
      <c r="AC49" s="77">
        <v>16</v>
      </c>
      <c r="AE49" s="76"/>
      <c r="AF49" s="62">
        <f>SUMIF(FLOAT!$D:$D,Cockpit!$E49:$E186,FLOAT!G:G)</f>
        <v>0</v>
      </c>
      <c r="AG49" s="62">
        <f>SUMIF(FLOAT!$D:$D,Cockpit!$E49:$E186,FLOAT!H:H)</f>
        <v>0</v>
      </c>
      <c r="AH49" s="62">
        <f>SUMIF(FLOAT!$D:$D,Cockpit!$E49:$E186,FLOAT!I:I)</f>
        <v>0</v>
      </c>
      <c r="AI49" s="62">
        <f>SUMIF(FLOAT!$D:$D,Cockpit!$E49:$E186,FLOAT!J:J)</f>
        <v>0</v>
      </c>
      <c r="AJ49" s="62">
        <f>SUMIF(FLOAT!$D:$D,Cockpit!$E49:$E186,FLOAT!K:K)</f>
        <v>0</v>
      </c>
      <c r="AK49" s="62">
        <f>SUMIF(FLOAT!$D:$D,Cockpit!$E49:$E186,FLOAT!L:L)</f>
        <v>0</v>
      </c>
      <c r="AL49" s="62">
        <f>SUMIF(FLOAT!$D:$D,Cockpit!$E49:$E186,FLOAT!M:M)</f>
        <v>0</v>
      </c>
      <c r="AM49" s="62">
        <f>SUMIF(FLOAT!$D:$D,Cockpit!$E49:$E186,FLOAT!N:N)</f>
        <v>0</v>
      </c>
      <c r="AN49" s="62">
        <f>SUMIF(FLOAT!$D:$D,Cockpit!$E49:$E186,FLOAT!O:O)</f>
        <v>0</v>
      </c>
      <c r="AO49" s="62">
        <f>SUMIF(FLOAT!$D:$D,Cockpit!$E49:$E186,FLOAT!P:P)</f>
        <v>0</v>
      </c>
      <c r="AP49" s="60">
        <f t="shared" si="0"/>
        <v>0</v>
      </c>
    </row>
    <row r="50" spans="1:42" ht="23.25" hidden="1" customHeight="1" thickBot="1" x14ac:dyDescent="0.35">
      <c r="A50" s="297"/>
      <c r="B50" s="298"/>
      <c r="C50" s="308">
        <v>544254630347</v>
      </c>
      <c r="D50" s="752">
        <v>544254630347</v>
      </c>
      <c r="E50" s="292" t="s">
        <v>87</v>
      </c>
      <c r="F50" s="286" t="s">
        <v>95</v>
      </c>
      <c r="G50" s="184">
        <v>0</v>
      </c>
      <c r="H50" s="45">
        <f t="shared" si="2"/>
        <v>0</v>
      </c>
      <c r="I50" s="225">
        <v>0</v>
      </c>
      <c r="J50" s="75">
        <f t="shared" si="1"/>
        <v>0</v>
      </c>
      <c r="K50" s="76">
        <f>R50</f>
        <v>0</v>
      </c>
      <c r="L50" s="45">
        <f t="shared" si="3"/>
        <v>0</v>
      </c>
      <c r="M50" s="77">
        <f t="shared" si="4"/>
        <v>0</v>
      </c>
      <c r="N50" s="30">
        <f>SUMIF('3 D P'!$D:$D,Cockpit!$E$5:$E$146,'3 D P'!L:L)</f>
        <v>0</v>
      </c>
      <c r="O50" s="30">
        <f>SUMIF('3 D P'!$D:$D,Cockpit!$E$5:$E$146,'3 D P'!M:M)</f>
        <v>0</v>
      </c>
      <c r="P50" s="30">
        <f>SUMIF('3 D P'!$D:$D,Cockpit!$E$5:$E$146,'3 D P'!N:N)</f>
        <v>0</v>
      </c>
      <c r="Q50" s="132">
        <f>IFERROR(VLOOKUP($D50,'Aptiv Dispatch'!$A:$B,2,FALSE),0)</f>
        <v>0</v>
      </c>
      <c r="R50" s="34">
        <f>SUMIF('Consumption MTD'!B:B,Cockpit!$E$5:$E$146,'Consumption MTD'!C:C)</f>
        <v>0</v>
      </c>
      <c r="S50" s="34">
        <f>SUMIF('BIW Lifting A Shift'!$B:$B,Cockpit!$E$5:$E$146,'BIW Lifting A Shift'!C:C)</f>
        <v>0</v>
      </c>
      <c r="T50" s="34" t="e">
        <f>SUMIF('BIW Lifting A Shift'!$B:$B,Cockpit!$E$5:$E$146,'BIW Lifting A Shift'!#REF!)</f>
        <v>#REF!</v>
      </c>
      <c r="U50" s="74">
        <f t="shared" si="5"/>
        <v>0</v>
      </c>
      <c r="V50" s="74">
        <f t="shared" si="6"/>
        <v>0</v>
      </c>
      <c r="W50" s="74" t="e">
        <f t="shared" si="7"/>
        <v>#REF!</v>
      </c>
      <c r="X50" s="135">
        <f>SUMIF(FLOAT!$D:$D,Cockpit!$E$5:$E$146,FLOAT!F:F)</f>
        <v>0</v>
      </c>
      <c r="Y50" s="38">
        <f>IFERROR(VLOOKUP(E50,[4]Sheet1!$D$4:$G$83,4,0),0)</f>
        <v>0</v>
      </c>
      <c r="Z50" s="17">
        <f>IFERROR(VLOOKUP(E50,'[5]Cockpit Main'!$D$4:$G$83,4,0),0)</f>
        <v>0</v>
      </c>
      <c r="AA50" s="49">
        <v>5</v>
      </c>
      <c r="AC50" s="77">
        <v>6</v>
      </c>
      <c r="AE50" s="76"/>
      <c r="AF50" s="62">
        <f>SUMIF(FLOAT!$D:$D,Cockpit!$E50:$E187,FLOAT!G:G)</f>
        <v>0</v>
      </c>
      <c r="AG50" s="62">
        <f>SUMIF(FLOAT!$D:$D,Cockpit!$E50:$E187,FLOAT!H:H)</f>
        <v>0</v>
      </c>
      <c r="AH50" s="62">
        <f>SUMIF(FLOAT!$D:$D,Cockpit!$E50:$E187,FLOAT!I:I)</f>
        <v>0</v>
      </c>
      <c r="AI50" s="62">
        <f>SUMIF(FLOAT!$D:$D,Cockpit!$E50:$E187,FLOAT!J:J)</f>
        <v>0</v>
      </c>
      <c r="AJ50" s="62">
        <f>SUMIF(FLOAT!$D:$D,Cockpit!$E50:$E187,FLOAT!K:K)</f>
        <v>0</v>
      </c>
      <c r="AK50" s="62">
        <f>SUMIF(FLOAT!$D:$D,Cockpit!$E50:$E187,FLOAT!L:L)</f>
        <v>0</v>
      </c>
      <c r="AL50" s="62">
        <f>SUMIF(FLOAT!$D:$D,Cockpit!$E50:$E187,FLOAT!M:M)</f>
        <v>0</v>
      </c>
      <c r="AM50" s="62">
        <f>SUMIF(FLOAT!$D:$D,Cockpit!$E50:$E187,FLOAT!N:N)</f>
        <v>0</v>
      </c>
      <c r="AN50" s="62">
        <f>SUMIF(FLOAT!$D:$D,Cockpit!$E50:$E187,FLOAT!O:O)</f>
        <v>0</v>
      </c>
      <c r="AO50" s="62">
        <f>SUMIF(FLOAT!$D:$D,Cockpit!$E50:$E187,FLOAT!P:P)</f>
        <v>0</v>
      </c>
      <c r="AP50" s="60">
        <f t="shared" si="0"/>
        <v>0</v>
      </c>
    </row>
    <row r="51" spans="1:42" ht="23.25" hidden="1" customHeight="1" thickBot="1" x14ac:dyDescent="0.4">
      <c r="A51" s="297"/>
      <c r="B51" s="298"/>
      <c r="C51" s="308">
        <v>544254630353</v>
      </c>
      <c r="D51" s="753">
        <v>544254630353</v>
      </c>
      <c r="E51" s="292" t="s">
        <v>79</v>
      </c>
      <c r="F51" s="290" t="s">
        <v>85</v>
      </c>
      <c r="G51" s="184">
        <v>0</v>
      </c>
      <c r="H51" s="45">
        <f t="shared" si="2"/>
        <v>0</v>
      </c>
      <c r="I51" s="173">
        <v>0</v>
      </c>
      <c r="J51" s="75">
        <f>Q51</f>
        <v>0</v>
      </c>
      <c r="K51" s="76">
        <f t="shared" ref="J51:K58" si="8">R51</f>
        <v>0</v>
      </c>
      <c r="L51" s="45">
        <f t="shared" si="3"/>
        <v>0</v>
      </c>
      <c r="M51" s="77">
        <f t="shared" si="4"/>
        <v>0</v>
      </c>
      <c r="N51" s="30">
        <f>SUMIF('3 D P'!$D:$D,Cockpit!$E$5:$E$146,'3 D P'!L:L)</f>
        <v>0</v>
      </c>
      <c r="O51" s="30">
        <f>SUMIF('3 D P'!$D:$D,Cockpit!$E$5:$E$146,'3 D P'!M:M)</f>
        <v>0</v>
      </c>
      <c r="P51" s="30">
        <f>SUMIF('3 D P'!$D:$D,Cockpit!$E$5:$E$146,'3 D P'!N:N)</f>
        <v>0</v>
      </c>
      <c r="Q51" s="132">
        <f>IFERROR(VLOOKUP($D51,'Aptiv Dispatch'!$A:$B,2,FALSE),0)</f>
        <v>0</v>
      </c>
      <c r="R51" s="34">
        <f>SUMIF('Consumption MTD'!B:B,Cockpit!$E$5:$E$146,'Consumption MTD'!C:C)</f>
        <v>0</v>
      </c>
      <c r="S51" s="34">
        <f>SUMIF('BIW Lifting A Shift'!$B:$B,Cockpit!$E$5:$E$146,'BIW Lifting A Shift'!C:C)</f>
        <v>0</v>
      </c>
      <c r="T51" s="34" t="e">
        <f>SUMIF('BIW Lifting A Shift'!$B:$B,Cockpit!$E$5:$E$146,'BIW Lifting A Shift'!#REF!)</f>
        <v>#REF!</v>
      </c>
      <c r="U51" s="74">
        <f t="shared" si="5"/>
        <v>0</v>
      </c>
      <c r="V51" s="74">
        <f t="shared" si="6"/>
        <v>0</v>
      </c>
      <c r="W51" s="74" t="e">
        <f t="shared" si="7"/>
        <v>#REF!</v>
      </c>
      <c r="X51" s="135">
        <f>SUMIF(FLOAT!$D:$D,Cockpit!$E$5:$E$146,FLOAT!F:F)</f>
        <v>0</v>
      </c>
      <c r="Y51" s="38">
        <f>IFERROR(VLOOKUP(E51,[4]Sheet1!$D$4:$G$83,4,0),0)</f>
        <v>0</v>
      </c>
      <c r="Z51" s="17">
        <f>IFERROR(VLOOKUP(E51,'[5]Cockpit Main'!$D$4:$G$83,4,0),0)</f>
        <v>0</v>
      </c>
      <c r="AA51" s="49">
        <v>0</v>
      </c>
      <c r="AC51" s="77">
        <v>4</v>
      </c>
      <c r="AE51" s="76"/>
      <c r="AF51" s="62">
        <f>SUMIF(FLOAT!$D:$D,Cockpit!$E51:$E188,FLOAT!G:G)</f>
        <v>0</v>
      </c>
      <c r="AG51" s="62">
        <f>SUMIF(FLOAT!$D:$D,Cockpit!$E51:$E188,FLOAT!H:H)</f>
        <v>0</v>
      </c>
      <c r="AH51" s="62">
        <f>SUMIF(FLOAT!$D:$D,Cockpit!$E51:$E188,FLOAT!I:I)</f>
        <v>0</v>
      </c>
      <c r="AI51" s="62">
        <f>SUMIF(FLOAT!$D:$D,Cockpit!$E51:$E188,FLOAT!J:J)</f>
        <v>0</v>
      </c>
      <c r="AJ51" s="62">
        <f>SUMIF(FLOAT!$D:$D,Cockpit!$E51:$E188,FLOAT!K:K)</f>
        <v>0</v>
      </c>
      <c r="AK51" s="62">
        <f>SUMIF(FLOAT!$D:$D,Cockpit!$E51:$E188,FLOAT!L:L)</f>
        <v>0</v>
      </c>
      <c r="AL51" s="62">
        <f>SUMIF(FLOAT!$D:$D,Cockpit!$E51:$E188,FLOAT!M:M)</f>
        <v>0</v>
      </c>
      <c r="AM51" s="62">
        <f>SUMIF(FLOAT!$D:$D,Cockpit!$E51:$E188,FLOAT!N:N)</f>
        <v>0</v>
      </c>
      <c r="AN51" s="62">
        <f>SUMIF(FLOAT!$D:$D,Cockpit!$E51:$E188,FLOAT!O:O)</f>
        <v>0</v>
      </c>
      <c r="AO51" s="62">
        <f>SUMIF(FLOAT!$D:$D,Cockpit!$E51:$E188,FLOAT!P:P)</f>
        <v>0</v>
      </c>
      <c r="AP51" s="60">
        <f t="shared" si="0"/>
        <v>0</v>
      </c>
    </row>
    <row r="52" spans="1:42" ht="21.75" hidden="1" customHeight="1" x14ac:dyDescent="0.35">
      <c r="A52" s="297"/>
      <c r="B52" s="298"/>
      <c r="C52" s="308">
        <v>544254630399</v>
      </c>
      <c r="D52" s="752">
        <v>544254630399</v>
      </c>
      <c r="E52" s="292" t="s">
        <v>80</v>
      </c>
      <c r="F52" s="290" t="s">
        <v>86</v>
      </c>
      <c r="G52" s="184">
        <v>0</v>
      </c>
      <c r="H52" s="45">
        <f t="shared" si="2"/>
        <v>0</v>
      </c>
      <c r="I52" s="358">
        <v>1</v>
      </c>
      <c r="J52" s="75">
        <f t="shared" si="8"/>
        <v>0</v>
      </c>
      <c r="K52" s="76">
        <f t="shared" si="8"/>
        <v>0</v>
      </c>
      <c r="L52" s="45">
        <f t="shared" si="3"/>
        <v>0</v>
      </c>
      <c r="M52" s="77">
        <f t="shared" si="4"/>
        <v>1</v>
      </c>
      <c r="N52" s="30">
        <f>SUMIF('3 D P'!$D:$D,Cockpit!$E$5:$E$146,'3 D P'!L:L)</f>
        <v>0</v>
      </c>
      <c r="O52" s="30">
        <f>SUMIF('3 D P'!$D:$D,Cockpit!$E$5:$E$146,'3 D P'!M:M)</f>
        <v>0</v>
      </c>
      <c r="P52" s="30">
        <f>SUMIF('3 D P'!$D:$D,Cockpit!$E$5:$E$146,'3 D P'!N:N)</f>
        <v>0</v>
      </c>
      <c r="Q52" s="132">
        <f>IFERROR(VLOOKUP($D52,'Aptiv Dispatch'!$A:$B,2,FALSE),0)</f>
        <v>0</v>
      </c>
      <c r="R52" s="34">
        <f>SUMIF('Consumption MTD'!B:B,Cockpit!$E$5:$E$146,'Consumption MTD'!C:C)</f>
        <v>0</v>
      </c>
      <c r="S52" s="34">
        <f>SUMIF('BIW Lifting A Shift'!$B:$B,Cockpit!$E$5:$E$146,'BIW Lifting A Shift'!C:C)</f>
        <v>0</v>
      </c>
      <c r="T52" s="34" t="e">
        <f>SUMIF('BIW Lifting A Shift'!$B:$B,Cockpit!$E$5:$E$146,'BIW Lifting A Shift'!#REF!)</f>
        <v>#REF!</v>
      </c>
      <c r="U52" s="74">
        <f t="shared" si="5"/>
        <v>1</v>
      </c>
      <c r="V52" s="74">
        <f t="shared" si="6"/>
        <v>1</v>
      </c>
      <c r="W52" s="74" t="e">
        <f t="shared" si="7"/>
        <v>#REF!</v>
      </c>
      <c r="X52" s="135">
        <f>SUMIF(FLOAT!$D:$D,Cockpit!$E$5:$E$146,FLOAT!F:F)</f>
        <v>0</v>
      </c>
      <c r="Y52" s="38">
        <f>IFERROR(VLOOKUP(E52,[4]Sheet1!$D$4:$G$83,4,0),0)</f>
        <v>0</v>
      </c>
      <c r="Z52" s="17">
        <f>IFERROR(VLOOKUP(E52,'[5]Cockpit Main'!$D$4:$G$83,4,0),0)</f>
        <v>0</v>
      </c>
      <c r="AA52" s="49">
        <v>5</v>
      </c>
      <c r="AC52" s="77">
        <v>53</v>
      </c>
      <c r="AE52" s="76"/>
      <c r="AF52" s="62">
        <f>SUMIF(FLOAT!$D:$D,Cockpit!$E52:$E189,FLOAT!G:G)</f>
        <v>0</v>
      </c>
      <c r="AG52" s="62">
        <f>SUMIF(FLOAT!$D:$D,Cockpit!$E52:$E189,FLOAT!H:H)</f>
        <v>0</v>
      </c>
      <c r="AH52" s="62">
        <f>SUMIF(FLOAT!$D:$D,Cockpit!$E52:$E189,FLOAT!I:I)</f>
        <v>0</v>
      </c>
      <c r="AI52" s="62">
        <f>SUMIF(FLOAT!$D:$D,Cockpit!$E52:$E189,FLOAT!J:J)</f>
        <v>0</v>
      </c>
      <c r="AJ52" s="62">
        <f>SUMIF(FLOAT!$D:$D,Cockpit!$E52:$E189,FLOAT!K:K)</f>
        <v>0</v>
      </c>
      <c r="AK52" s="62">
        <f>SUMIF(FLOAT!$D:$D,Cockpit!$E52:$E189,FLOAT!L:L)</f>
        <v>0</v>
      </c>
      <c r="AL52" s="62">
        <f>SUMIF(FLOAT!$D:$D,Cockpit!$E52:$E189,FLOAT!M:M)</f>
        <v>0</v>
      </c>
      <c r="AM52" s="62">
        <f>SUMIF(FLOAT!$D:$D,Cockpit!$E52:$E189,FLOAT!N:N)</f>
        <v>0</v>
      </c>
      <c r="AN52" s="62">
        <f>SUMIF(FLOAT!$D:$D,Cockpit!$E52:$E189,FLOAT!O:O)</f>
        <v>0</v>
      </c>
      <c r="AO52" s="62">
        <f>SUMIF(FLOAT!$D:$D,Cockpit!$E52:$E189,FLOAT!P:P)</f>
        <v>0</v>
      </c>
      <c r="AP52" s="60">
        <f t="shared" si="0"/>
        <v>0</v>
      </c>
    </row>
    <row r="53" spans="1:42" ht="23.25" hidden="1" customHeight="1" x14ac:dyDescent="0.35">
      <c r="A53" s="297"/>
      <c r="B53" s="298"/>
      <c r="C53" s="308">
        <v>544254630346</v>
      </c>
      <c r="D53" s="752">
        <v>544254630346</v>
      </c>
      <c r="E53" s="292" t="s">
        <v>90</v>
      </c>
      <c r="F53" s="290" t="s">
        <v>94</v>
      </c>
      <c r="G53" s="184">
        <v>0</v>
      </c>
      <c r="H53" s="45">
        <f t="shared" si="2"/>
        <v>0</v>
      </c>
      <c r="I53" s="359">
        <v>0</v>
      </c>
      <c r="J53" s="75">
        <f t="shared" si="8"/>
        <v>0</v>
      </c>
      <c r="K53" s="76">
        <f>R53</f>
        <v>0</v>
      </c>
      <c r="L53" s="45">
        <f t="shared" si="3"/>
        <v>0</v>
      </c>
      <c r="M53" s="77">
        <f t="shared" si="4"/>
        <v>0</v>
      </c>
      <c r="N53" s="30">
        <f>SUMIF('3 D P'!$D:$D,Cockpit!$E$5:$E$146,'3 D P'!L:L)</f>
        <v>0</v>
      </c>
      <c r="O53" s="30">
        <f>SUMIF('3 D P'!$D:$D,Cockpit!$E$5:$E$146,'3 D P'!M:M)</f>
        <v>0</v>
      </c>
      <c r="P53" s="30">
        <f>SUMIF('3 D P'!$D:$D,Cockpit!$E$5:$E$146,'3 D P'!N:N)</f>
        <v>0</v>
      </c>
      <c r="Q53" s="132">
        <f>IFERROR(VLOOKUP($D53,'Aptiv Dispatch'!$A:$B,2,FALSE),0)</f>
        <v>0</v>
      </c>
      <c r="R53" s="34">
        <f>SUMIF('Consumption MTD'!B:B,Cockpit!$E$5:$E$146,'Consumption MTD'!C:C)</f>
        <v>0</v>
      </c>
      <c r="S53" s="34">
        <f>SUMIF('BIW Lifting A Shift'!$B:$B,Cockpit!$E$5:$E$146,'BIW Lifting A Shift'!C:C)</f>
        <v>0</v>
      </c>
      <c r="T53" s="34" t="e">
        <f>SUMIF('BIW Lifting A Shift'!$B:$B,Cockpit!$E$5:$E$146,'BIW Lifting A Shift'!#REF!)</f>
        <v>#REF!</v>
      </c>
      <c r="U53" s="74">
        <f t="shared" si="5"/>
        <v>0</v>
      </c>
      <c r="V53" s="74">
        <f t="shared" si="6"/>
        <v>0</v>
      </c>
      <c r="W53" s="74" t="e">
        <f t="shared" si="7"/>
        <v>#REF!</v>
      </c>
      <c r="X53" s="135">
        <f>SUMIF(FLOAT!$D:$D,Cockpit!$E$5:$E$146,FLOAT!F:F)</f>
        <v>0</v>
      </c>
      <c r="Y53" s="38">
        <f>IFERROR(VLOOKUP(E53,[4]Sheet1!$D$4:$G$83,4,0),0)</f>
        <v>0</v>
      </c>
      <c r="Z53" s="17">
        <f>IFERROR(VLOOKUP(E53,'[5]Cockpit Main'!$D$4:$G$83,4,0),0)</f>
        <v>0</v>
      </c>
      <c r="AA53" s="49">
        <v>5</v>
      </c>
      <c r="AC53" s="77">
        <v>35</v>
      </c>
      <c r="AE53" s="76"/>
      <c r="AF53" s="62">
        <f>SUMIF(FLOAT!$D:$D,Cockpit!$E53:$E190,FLOAT!G:G)</f>
        <v>0</v>
      </c>
      <c r="AG53" s="62">
        <f>SUMIF(FLOAT!$D:$D,Cockpit!$E53:$E190,FLOAT!H:H)</f>
        <v>0</v>
      </c>
      <c r="AH53" s="62">
        <f>SUMIF(FLOAT!$D:$D,Cockpit!$E53:$E190,FLOAT!I:I)</f>
        <v>0</v>
      </c>
      <c r="AI53" s="62">
        <f>SUMIF(FLOAT!$D:$D,Cockpit!$E53:$E190,FLOAT!J:J)</f>
        <v>0</v>
      </c>
      <c r="AJ53" s="62">
        <f>SUMIF(FLOAT!$D:$D,Cockpit!$E53:$E190,FLOAT!K:K)</f>
        <v>0</v>
      </c>
      <c r="AK53" s="62">
        <f>SUMIF(FLOAT!$D:$D,Cockpit!$E53:$E190,FLOAT!L:L)</f>
        <v>0</v>
      </c>
      <c r="AL53" s="62">
        <f>SUMIF(FLOAT!$D:$D,Cockpit!$E53:$E190,FLOAT!M:M)</f>
        <v>0</v>
      </c>
      <c r="AM53" s="62">
        <f>SUMIF(FLOAT!$D:$D,Cockpit!$E53:$E190,FLOAT!N:N)</f>
        <v>0</v>
      </c>
      <c r="AN53" s="62">
        <f>SUMIF(FLOAT!$D:$D,Cockpit!$E53:$E190,FLOAT!O:O)</f>
        <v>0</v>
      </c>
      <c r="AO53" s="62">
        <f>SUMIF(FLOAT!$D:$D,Cockpit!$E53:$E190,FLOAT!P:P)</f>
        <v>0</v>
      </c>
      <c r="AP53" s="60">
        <f t="shared" si="0"/>
        <v>0</v>
      </c>
    </row>
    <row r="54" spans="1:42" ht="23.25" hidden="1" customHeight="1" x14ac:dyDescent="0.35">
      <c r="A54" s="297"/>
      <c r="B54" s="298"/>
      <c r="C54" s="308">
        <v>544254630397</v>
      </c>
      <c r="D54" s="752">
        <v>544254630397</v>
      </c>
      <c r="E54" s="292" t="s">
        <v>82</v>
      </c>
      <c r="F54" s="290" t="s">
        <v>81</v>
      </c>
      <c r="G54" s="184">
        <v>0</v>
      </c>
      <c r="H54" s="45">
        <f t="shared" si="2"/>
        <v>0</v>
      </c>
      <c r="I54" s="359">
        <v>5</v>
      </c>
      <c r="J54" s="75">
        <f t="shared" si="8"/>
        <v>0</v>
      </c>
      <c r="K54" s="76">
        <f t="shared" si="8"/>
        <v>0</v>
      </c>
      <c r="L54" s="45">
        <f t="shared" si="3"/>
        <v>0</v>
      </c>
      <c r="M54" s="77">
        <f t="shared" si="4"/>
        <v>5</v>
      </c>
      <c r="N54" s="30">
        <f>SUMIF('3 D P'!$D:$D,Cockpit!$E$5:$E$146,'3 D P'!L:L)</f>
        <v>0</v>
      </c>
      <c r="O54" s="30">
        <f>SUMIF('3 D P'!$D:$D,Cockpit!$E$5:$E$146,'3 D P'!M:M)</f>
        <v>0</v>
      </c>
      <c r="P54" s="30">
        <f>SUMIF('3 D P'!$D:$D,Cockpit!$E$5:$E$146,'3 D P'!N:N)</f>
        <v>0</v>
      </c>
      <c r="Q54" s="132">
        <f>IFERROR(VLOOKUP($D54,'Aptiv Dispatch'!$A:$B,2,FALSE),0)</f>
        <v>0</v>
      </c>
      <c r="R54" s="34">
        <f>SUMIF('Consumption MTD'!B:B,Cockpit!$E$5:$E$146,'Consumption MTD'!C:C)</f>
        <v>0</v>
      </c>
      <c r="S54" s="34">
        <f>SUMIF('BIW Lifting A Shift'!$B:$B,Cockpit!$E$5:$E$146,'BIW Lifting A Shift'!C:C)</f>
        <v>0</v>
      </c>
      <c r="T54" s="34" t="e">
        <f>SUMIF('BIW Lifting A Shift'!$B:$B,Cockpit!$E$5:$E$146,'BIW Lifting A Shift'!#REF!)</f>
        <v>#REF!</v>
      </c>
      <c r="U54" s="74">
        <f t="shared" si="5"/>
        <v>5</v>
      </c>
      <c r="V54" s="74">
        <f t="shared" si="6"/>
        <v>5</v>
      </c>
      <c r="W54" s="74" t="e">
        <f t="shared" si="7"/>
        <v>#REF!</v>
      </c>
      <c r="X54" s="135">
        <f>SUMIF(FLOAT!$D:$D,Cockpit!$E$5:$E$146,FLOAT!F:F)</f>
        <v>0</v>
      </c>
      <c r="Y54" s="38">
        <f>IFERROR(VLOOKUP(E54,[4]Sheet1!$D$4:$G$83,4,0),0)</f>
        <v>0</v>
      </c>
      <c r="Z54" s="17">
        <f>IFERROR(VLOOKUP(E54,'[5]Cockpit Main'!$D$4:$G$83,4,0),0)</f>
        <v>0</v>
      </c>
      <c r="AA54" s="49">
        <v>5</v>
      </c>
      <c r="AC54" s="77">
        <v>48</v>
      </c>
      <c r="AE54" s="76"/>
      <c r="AF54" s="62">
        <f>SUMIF(FLOAT!$D:$D,Cockpit!$E54:$E191,FLOAT!G:G)</f>
        <v>0</v>
      </c>
      <c r="AG54" s="62">
        <f>SUMIF(FLOAT!$D:$D,Cockpit!$E54:$E191,FLOAT!H:H)</f>
        <v>0</v>
      </c>
      <c r="AH54" s="62">
        <f>SUMIF(FLOAT!$D:$D,Cockpit!$E54:$E191,FLOAT!I:I)</f>
        <v>0</v>
      </c>
      <c r="AI54" s="62">
        <f>SUMIF(FLOAT!$D:$D,Cockpit!$E54:$E191,FLOAT!J:J)</f>
        <v>0</v>
      </c>
      <c r="AJ54" s="62">
        <f>SUMIF(FLOAT!$D:$D,Cockpit!$E54:$E191,FLOAT!K:K)</f>
        <v>0</v>
      </c>
      <c r="AK54" s="62">
        <f>SUMIF(FLOAT!$D:$D,Cockpit!$E54:$E191,FLOAT!L:L)</f>
        <v>0</v>
      </c>
      <c r="AL54" s="62">
        <f>SUMIF(FLOAT!$D:$D,Cockpit!$E54:$E191,FLOAT!M:M)</f>
        <v>0</v>
      </c>
      <c r="AM54" s="62">
        <f>SUMIF(FLOAT!$D:$D,Cockpit!$E54:$E191,FLOAT!N:N)</f>
        <v>0</v>
      </c>
      <c r="AN54" s="62">
        <f>SUMIF(FLOAT!$D:$D,Cockpit!$E54:$E191,FLOAT!O:O)</f>
        <v>0</v>
      </c>
      <c r="AO54" s="62">
        <f>SUMIF(FLOAT!$D:$D,Cockpit!$E54:$E191,FLOAT!P:P)</f>
        <v>0</v>
      </c>
      <c r="AP54" s="60">
        <f t="shared" si="0"/>
        <v>0</v>
      </c>
    </row>
    <row r="55" spans="1:42" ht="23.25" hidden="1" customHeight="1" thickBot="1" x14ac:dyDescent="0.4">
      <c r="A55" s="297"/>
      <c r="B55" s="298"/>
      <c r="C55" s="308">
        <v>544254630344</v>
      </c>
      <c r="D55" s="752">
        <v>544254630344</v>
      </c>
      <c r="E55" s="292" t="s">
        <v>84</v>
      </c>
      <c r="F55" s="290" t="s">
        <v>83</v>
      </c>
      <c r="G55" s="184">
        <v>0</v>
      </c>
      <c r="H55" s="45">
        <f t="shared" si="2"/>
        <v>0</v>
      </c>
      <c r="I55" s="232">
        <v>2</v>
      </c>
      <c r="J55" s="75">
        <f>Q55</f>
        <v>0</v>
      </c>
      <c r="K55" s="76">
        <f t="shared" si="8"/>
        <v>0</v>
      </c>
      <c r="L55" s="45">
        <f t="shared" si="3"/>
        <v>0</v>
      </c>
      <c r="M55" s="77">
        <f t="shared" si="4"/>
        <v>2</v>
      </c>
      <c r="N55" s="30">
        <f>SUMIF('3 D P'!$D:$D,Cockpit!$E$5:$E$146,'3 D P'!L:L)</f>
        <v>0</v>
      </c>
      <c r="O55" s="30">
        <f>SUMIF('3 D P'!$D:$D,Cockpit!$E$5:$E$146,'3 D P'!M:M)</f>
        <v>0</v>
      </c>
      <c r="P55" s="30">
        <f>SUMIF('3 D P'!$D:$D,Cockpit!$E$5:$E$146,'3 D P'!N:N)</f>
        <v>0</v>
      </c>
      <c r="Q55" s="132">
        <f>IFERROR(VLOOKUP($D55,'Aptiv Dispatch'!$A:$B,2,FALSE),0)</f>
        <v>0</v>
      </c>
      <c r="R55" s="34">
        <f>SUMIF('Consumption MTD'!B:B,Cockpit!$E$5:$E$146,'Consumption MTD'!C:C)</f>
        <v>0</v>
      </c>
      <c r="S55" s="34">
        <f>SUMIF('BIW Lifting A Shift'!$B:$B,Cockpit!$E$5:$E$146,'BIW Lifting A Shift'!C:C)</f>
        <v>0</v>
      </c>
      <c r="T55" s="34" t="e">
        <f>SUMIF('BIW Lifting A Shift'!$B:$B,Cockpit!$E$5:$E$146,'BIW Lifting A Shift'!#REF!)</f>
        <v>#REF!</v>
      </c>
      <c r="U55" s="74">
        <f t="shared" si="5"/>
        <v>2</v>
      </c>
      <c r="V55" s="74">
        <f t="shared" si="6"/>
        <v>2</v>
      </c>
      <c r="W55" s="74" t="e">
        <f t="shared" si="7"/>
        <v>#REF!</v>
      </c>
      <c r="X55" s="135">
        <f>SUMIF(FLOAT!$D:$D,Cockpit!$E$5:$E$146,FLOAT!F:F)</f>
        <v>0</v>
      </c>
      <c r="Y55" s="38">
        <f>IFERROR(VLOOKUP(E55,[4]Sheet1!$D$4:$G$83,4,0),0)</f>
        <v>0</v>
      </c>
      <c r="Z55" s="17">
        <f>IFERROR(VLOOKUP(E55,'[5]Cockpit Main'!$D$4:$G$83,4,0),0)</f>
        <v>0</v>
      </c>
      <c r="AA55" s="49">
        <v>3</v>
      </c>
      <c r="AC55" s="77">
        <v>3</v>
      </c>
      <c r="AE55" s="76"/>
      <c r="AF55" s="62">
        <f>SUMIF(FLOAT!$D:$D,Cockpit!$E55:$E192,FLOAT!G:G)</f>
        <v>0</v>
      </c>
      <c r="AG55" s="62">
        <f>SUMIF(FLOAT!$D:$D,Cockpit!$E55:$E192,FLOAT!H:H)</f>
        <v>0</v>
      </c>
      <c r="AH55" s="62">
        <f>SUMIF(FLOAT!$D:$D,Cockpit!$E55:$E192,FLOAT!I:I)</f>
        <v>0</v>
      </c>
      <c r="AI55" s="62">
        <f>SUMIF(FLOAT!$D:$D,Cockpit!$E55:$E192,FLOAT!J:J)</f>
        <v>0</v>
      </c>
      <c r="AJ55" s="62">
        <f>SUMIF(FLOAT!$D:$D,Cockpit!$E55:$E192,FLOAT!K:K)</f>
        <v>0</v>
      </c>
      <c r="AK55" s="62">
        <f>SUMIF(FLOAT!$D:$D,Cockpit!$E55:$E192,FLOAT!L:L)</f>
        <v>0</v>
      </c>
      <c r="AL55" s="62">
        <f>SUMIF(FLOAT!$D:$D,Cockpit!$E55:$E192,FLOAT!M:M)</f>
        <v>0</v>
      </c>
      <c r="AM55" s="62">
        <f>SUMIF(FLOAT!$D:$D,Cockpit!$E55:$E192,FLOAT!N:N)</f>
        <v>0</v>
      </c>
      <c r="AN55" s="62">
        <f>SUMIF(FLOAT!$D:$D,Cockpit!$E55:$E192,FLOAT!O:O)</f>
        <v>0</v>
      </c>
      <c r="AO55" s="62">
        <f>SUMIF(FLOAT!$D:$D,Cockpit!$E55:$E192,FLOAT!P:P)</f>
        <v>0</v>
      </c>
      <c r="AP55" s="60">
        <f t="shared" si="0"/>
        <v>0</v>
      </c>
    </row>
    <row r="56" spans="1:42" ht="23.25" hidden="1" customHeight="1" x14ac:dyDescent="0.3">
      <c r="A56" s="297"/>
      <c r="B56" s="298"/>
      <c r="C56" s="309"/>
      <c r="D56" s="754">
        <v>544254630611</v>
      </c>
      <c r="E56" s="310" t="s">
        <v>203</v>
      </c>
      <c r="F56" s="291" t="s">
        <v>206</v>
      </c>
      <c r="G56" s="184">
        <v>0</v>
      </c>
      <c r="H56" s="71">
        <f>G56</f>
        <v>0</v>
      </c>
      <c r="I56" s="220">
        <v>0</v>
      </c>
      <c r="J56" s="75">
        <f t="shared" si="8"/>
        <v>0</v>
      </c>
      <c r="K56" s="76">
        <f t="shared" si="8"/>
        <v>0</v>
      </c>
      <c r="L56" s="71">
        <f t="shared" si="3"/>
        <v>0</v>
      </c>
      <c r="M56" s="77">
        <f t="shared" si="4"/>
        <v>0</v>
      </c>
      <c r="N56" s="30">
        <f>SUMIF('3 D P'!$D:$D,Cockpit!$E$5:$E$146,'3 D P'!L:L)</f>
        <v>0</v>
      </c>
      <c r="O56" s="30">
        <f>SUMIF('3 D P'!$D:$D,Cockpit!$E$5:$E$146,'3 D P'!M:M)</f>
        <v>0</v>
      </c>
      <c r="P56" s="30">
        <f>SUMIF('3 D P'!$D:$D,Cockpit!$E$5:$E$146,'3 D P'!N:N)</f>
        <v>0</v>
      </c>
      <c r="Q56" s="132">
        <f>IFERROR(VLOOKUP($D56,'Aptiv Dispatch'!$A:$B,2,FALSE),0)</f>
        <v>0</v>
      </c>
      <c r="R56" s="34">
        <f>SUMIF('Consumption MTD'!B:B,Cockpit!$E$5:$E$146,'Consumption MTD'!C:C)</f>
        <v>0</v>
      </c>
      <c r="S56" s="34">
        <f>SUMIF('BIW Lifting A Shift'!$B:$B,Cockpit!$E$5:$E$146,'BIW Lifting A Shift'!C:C)</f>
        <v>0</v>
      </c>
      <c r="T56" s="34" t="e">
        <f>SUMIF('BIW Lifting A Shift'!$B:$B,Cockpit!$E$5:$E$146,'BIW Lifting A Shift'!#REF!)</f>
        <v>#REF!</v>
      </c>
      <c r="U56" s="74">
        <f t="shared" si="5"/>
        <v>0</v>
      </c>
      <c r="V56" s="74">
        <f t="shared" si="6"/>
        <v>0</v>
      </c>
      <c r="W56" s="74" t="e">
        <f t="shared" si="7"/>
        <v>#REF!</v>
      </c>
      <c r="X56" s="135">
        <f>SUMIF(FLOAT!$D:$D,Cockpit!$E$5:$E$146,FLOAT!F:F)</f>
        <v>0</v>
      </c>
      <c r="Y56" s="38"/>
      <c r="AA56" s="49"/>
      <c r="AC56" s="78"/>
      <c r="AE56" s="127"/>
      <c r="AF56" s="62">
        <f>SUMIF(FLOAT!$D:$D,Cockpit!$E56:$E193,FLOAT!G:G)</f>
        <v>0</v>
      </c>
      <c r="AG56" s="62">
        <f>SUMIF(FLOAT!$D:$D,Cockpit!$E56:$E193,FLOAT!H:H)</f>
        <v>0</v>
      </c>
      <c r="AH56" s="62">
        <f>SUMIF(FLOAT!$D:$D,Cockpit!$E56:$E193,FLOAT!I:I)</f>
        <v>0</v>
      </c>
      <c r="AI56" s="62">
        <f>SUMIF(FLOAT!$D:$D,Cockpit!$E56:$E193,FLOAT!J:J)</f>
        <v>0</v>
      </c>
      <c r="AJ56" s="62">
        <f>SUMIF(FLOAT!$D:$D,Cockpit!$E56:$E193,FLOAT!K:K)</f>
        <v>0</v>
      </c>
      <c r="AK56" s="62">
        <f>SUMIF(FLOAT!$D:$D,Cockpit!$E56:$E193,FLOAT!L:L)</f>
        <v>0</v>
      </c>
      <c r="AL56" s="62">
        <f>SUMIF(FLOAT!$D:$D,Cockpit!$E56:$E193,FLOAT!M:M)</f>
        <v>0</v>
      </c>
      <c r="AM56" s="62">
        <f>SUMIF(FLOAT!$D:$D,Cockpit!$E56:$E193,FLOAT!N:N)</f>
        <v>0</v>
      </c>
      <c r="AN56" s="62">
        <f>SUMIF(FLOAT!$D:$D,Cockpit!$E56:$E193,FLOAT!O:O)</f>
        <v>0</v>
      </c>
      <c r="AO56" s="62">
        <f>SUMIF(FLOAT!$D:$D,Cockpit!$E56:$E193,FLOAT!P:P)</f>
        <v>0</v>
      </c>
      <c r="AP56" s="60">
        <f t="shared" si="0"/>
        <v>0</v>
      </c>
    </row>
    <row r="57" spans="1:42" ht="23.25" hidden="1" customHeight="1" x14ac:dyDescent="0.3">
      <c r="A57" s="297"/>
      <c r="B57" s="298"/>
      <c r="C57" s="309"/>
      <c r="D57" s="754">
        <v>544254630601</v>
      </c>
      <c r="E57" s="310" t="s">
        <v>202</v>
      </c>
      <c r="F57" s="291" t="s">
        <v>207</v>
      </c>
      <c r="G57" s="184">
        <v>0</v>
      </c>
      <c r="H57" s="71">
        <f>G57</f>
        <v>0</v>
      </c>
      <c r="I57" s="180">
        <v>0</v>
      </c>
      <c r="J57" s="75">
        <f>Q57</f>
        <v>0</v>
      </c>
      <c r="K57" s="76">
        <f t="shared" si="8"/>
        <v>0</v>
      </c>
      <c r="L57" s="71">
        <f t="shared" si="3"/>
        <v>0</v>
      </c>
      <c r="M57" s="77">
        <f t="shared" si="4"/>
        <v>0</v>
      </c>
      <c r="N57" s="30">
        <f>SUMIF('3 D P'!$D:$D,Cockpit!$E$5:$E$146,'3 D P'!L:L)</f>
        <v>0</v>
      </c>
      <c r="O57" s="30">
        <f>SUMIF('3 D P'!$D:$D,Cockpit!$E$5:$E$146,'3 D P'!M:M)</f>
        <v>0</v>
      </c>
      <c r="P57" s="30">
        <f>SUMIF('3 D P'!$D:$D,Cockpit!$E$5:$E$146,'3 D P'!N:N)</f>
        <v>0</v>
      </c>
      <c r="Q57" s="132">
        <f>IFERROR(VLOOKUP($D57,'Aptiv Dispatch'!$A:$B,2,FALSE),0)</f>
        <v>0</v>
      </c>
      <c r="R57" s="34">
        <f>SUMIF('Consumption MTD'!B:B,Cockpit!$E$5:$E$146,'Consumption MTD'!C:C)</f>
        <v>0</v>
      </c>
      <c r="S57" s="34">
        <f>SUMIF('BIW Lifting A Shift'!$B:$B,Cockpit!$E$5:$E$146,'BIW Lifting A Shift'!C:C)</f>
        <v>0</v>
      </c>
      <c r="T57" s="34" t="e">
        <f>SUMIF('BIW Lifting A Shift'!$B:$B,Cockpit!$E$5:$E$146,'BIW Lifting A Shift'!#REF!)</f>
        <v>#REF!</v>
      </c>
      <c r="U57" s="74">
        <f t="shared" si="5"/>
        <v>0</v>
      </c>
      <c r="V57" s="74">
        <f t="shared" si="6"/>
        <v>0</v>
      </c>
      <c r="W57" s="74" t="e">
        <f t="shared" si="7"/>
        <v>#REF!</v>
      </c>
      <c r="X57" s="135">
        <f>SUMIF(FLOAT!$D:$D,Cockpit!$E$5:$E$146,FLOAT!F:F)</f>
        <v>0</v>
      </c>
      <c r="Y57" s="38"/>
      <c r="AA57" s="49"/>
      <c r="AC57" s="78"/>
      <c r="AE57" s="127"/>
      <c r="AF57" s="62">
        <f>SUMIF(FLOAT!$D:$D,Cockpit!$E57:$E194,FLOAT!G:G)</f>
        <v>0</v>
      </c>
      <c r="AG57" s="62">
        <f>SUMIF(FLOAT!$D:$D,Cockpit!$E57:$E194,FLOAT!H:H)</f>
        <v>0</v>
      </c>
      <c r="AH57" s="62">
        <f>SUMIF(FLOAT!$D:$D,Cockpit!$E57:$E194,FLOAT!I:I)</f>
        <v>0</v>
      </c>
      <c r="AI57" s="62">
        <f>SUMIF(FLOAT!$D:$D,Cockpit!$E57:$E194,FLOAT!J:J)</f>
        <v>0</v>
      </c>
      <c r="AJ57" s="62">
        <f>SUMIF(FLOAT!$D:$D,Cockpit!$E57:$E194,FLOAT!K:K)</f>
        <v>0</v>
      </c>
      <c r="AK57" s="62">
        <f>SUMIF(FLOAT!$D:$D,Cockpit!$E57:$E194,FLOAT!L:L)</f>
        <v>0</v>
      </c>
      <c r="AL57" s="62">
        <f>SUMIF(FLOAT!$D:$D,Cockpit!$E57:$E194,FLOAT!M:M)</f>
        <v>0</v>
      </c>
      <c r="AM57" s="62">
        <f>SUMIF(FLOAT!$D:$D,Cockpit!$E57:$E194,FLOAT!N:N)</f>
        <v>0</v>
      </c>
      <c r="AN57" s="62">
        <f>SUMIF(FLOAT!$D:$D,Cockpit!$E57:$E194,FLOAT!O:O)</f>
        <v>0</v>
      </c>
      <c r="AO57" s="62">
        <f>SUMIF(FLOAT!$D:$D,Cockpit!$E57:$E194,FLOAT!P:P)</f>
        <v>0</v>
      </c>
      <c r="AP57" s="60">
        <f t="shared" si="0"/>
        <v>0</v>
      </c>
    </row>
    <row r="58" spans="1:42" ht="23.25" hidden="1" customHeight="1" x14ac:dyDescent="0.3">
      <c r="A58" s="297"/>
      <c r="B58" s="298"/>
      <c r="C58" s="309"/>
      <c r="D58" s="754">
        <v>544254630705</v>
      </c>
      <c r="E58" s="310" t="s">
        <v>204</v>
      </c>
      <c r="F58" s="291" t="s">
        <v>208</v>
      </c>
      <c r="G58" s="184">
        <v>0</v>
      </c>
      <c r="H58" s="71">
        <f>G58</f>
        <v>0</v>
      </c>
      <c r="I58" s="180">
        <v>0</v>
      </c>
      <c r="J58" s="75">
        <f>Q58</f>
        <v>0</v>
      </c>
      <c r="K58" s="76">
        <f t="shared" si="8"/>
        <v>0</v>
      </c>
      <c r="L58" s="71">
        <f t="shared" si="3"/>
        <v>0</v>
      </c>
      <c r="M58" s="77">
        <f t="shared" si="4"/>
        <v>0</v>
      </c>
      <c r="N58" s="30">
        <f>SUMIF('3 D P'!$D:$D,Cockpit!$E$5:$E$146,'3 D P'!L:L)</f>
        <v>0</v>
      </c>
      <c r="O58" s="30">
        <f>SUMIF('3 D P'!$D:$D,Cockpit!$E$5:$E$146,'3 D P'!M:M)</f>
        <v>0</v>
      </c>
      <c r="P58" s="30">
        <f>SUMIF('3 D P'!$D:$D,Cockpit!$E$5:$E$146,'3 D P'!N:N)</f>
        <v>0</v>
      </c>
      <c r="Q58" s="132">
        <f>IFERROR(VLOOKUP($D58,'Aptiv Dispatch'!$A:$B,2,FALSE),0)</f>
        <v>0</v>
      </c>
      <c r="R58" s="34">
        <f>SUMIF('Consumption MTD'!B:B,Cockpit!$E$5:$E$146,'Consumption MTD'!C:C)</f>
        <v>0</v>
      </c>
      <c r="S58" s="34">
        <f>SUMIF('BIW Lifting A Shift'!$B:$B,Cockpit!$E$5:$E$146,'BIW Lifting A Shift'!C:C)</f>
        <v>0</v>
      </c>
      <c r="T58" s="34" t="e">
        <f>SUMIF('BIW Lifting A Shift'!$B:$B,Cockpit!$E$5:$E$146,'BIW Lifting A Shift'!#REF!)</f>
        <v>#REF!</v>
      </c>
      <c r="U58" s="74">
        <f t="shared" si="5"/>
        <v>0</v>
      </c>
      <c r="V58" s="74">
        <f t="shared" si="6"/>
        <v>0</v>
      </c>
      <c r="W58" s="74" t="e">
        <f t="shared" si="7"/>
        <v>#REF!</v>
      </c>
      <c r="X58" s="135">
        <f>SUMIF(FLOAT!$D:$D,Cockpit!$E$5:$E$146,FLOAT!F:F)</f>
        <v>0</v>
      </c>
      <c r="Y58" s="38"/>
      <c r="AA58" s="49"/>
      <c r="AC58" s="78"/>
      <c r="AE58" s="127"/>
      <c r="AF58" s="62">
        <f>SUMIF(FLOAT!$D:$D,Cockpit!$E58:$E195,FLOAT!G:G)</f>
        <v>0</v>
      </c>
      <c r="AG58" s="62">
        <f>SUMIF(FLOAT!$D:$D,Cockpit!$E58:$E195,FLOAT!H:H)</f>
        <v>0</v>
      </c>
      <c r="AH58" s="62">
        <f>SUMIF(FLOAT!$D:$D,Cockpit!$E58:$E195,FLOAT!I:I)</f>
        <v>0</v>
      </c>
      <c r="AI58" s="62">
        <f>SUMIF(FLOAT!$D:$D,Cockpit!$E58:$E195,FLOAT!J:J)</f>
        <v>0</v>
      </c>
      <c r="AJ58" s="62">
        <f>SUMIF(FLOAT!$D:$D,Cockpit!$E58:$E195,FLOAT!K:K)</f>
        <v>0</v>
      </c>
      <c r="AK58" s="62">
        <f>SUMIF(FLOAT!$D:$D,Cockpit!$E58:$E195,FLOAT!L:L)</f>
        <v>0</v>
      </c>
      <c r="AL58" s="62">
        <f>SUMIF(FLOAT!$D:$D,Cockpit!$E58:$E195,FLOAT!M:M)</f>
        <v>0</v>
      </c>
      <c r="AM58" s="62">
        <f>SUMIF(FLOAT!$D:$D,Cockpit!$E58:$E195,FLOAT!N:N)</f>
        <v>0</v>
      </c>
      <c r="AN58" s="62">
        <f>SUMIF(FLOAT!$D:$D,Cockpit!$E58:$E195,FLOAT!O:O)</f>
        <v>0</v>
      </c>
      <c r="AO58" s="62">
        <f>SUMIF(FLOAT!$D:$D,Cockpit!$E58:$E195,FLOAT!P:P)</f>
        <v>0</v>
      </c>
      <c r="AP58" s="60">
        <f t="shared" si="0"/>
        <v>0</v>
      </c>
    </row>
    <row r="59" spans="1:42" ht="23.25" hidden="1" customHeight="1" x14ac:dyDescent="0.3">
      <c r="A59" s="297"/>
      <c r="B59" s="298"/>
      <c r="C59" s="309"/>
      <c r="D59" s="943">
        <v>544254630600</v>
      </c>
      <c r="E59" s="310" t="s">
        <v>209</v>
      </c>
      <c r="F59" s="291" t="s">
        <v>210</v>
      </c>
      <c r="G59" s="184">
        <v>0</v>
      </c>
      <c r="H59" s="833">
        <f>SUM(G59:G60)</f>
        <v>0</v>
      </c>
      <c r="I59" s="822">
        <v>0</v>
      </c>
      <c r="J59" s="932">
        <f>Q59</f>
        <v>0</v>
      </c>
      <c r="K59" s="832">
        <f>SUM(R59:R60)</f>
        <v>0</v>
      </c>
      <c r="L59" s="833">
        <f>H59-K59</f>
        <v>0</v>
      </c>
      <c r="M59" s="816">
        <f>SUM(I59:I60)+J59-K59</f>
        <v>0</v>
      </c>
      <c r="N59" s="30">
        <f>SUMIF('3 D P'!$D:$D,Cockpit!$E$5:$E$146,'3 D P'!L:L)</f>
        <v>0</v>
      </c>
      <c r="O59" s="30">
        <f>SUMIF('3 D P'!$D:$D,Cockpit!$E$5:$E$146,'3 D P'!M:M)</f>
        <v>0</v>
      </c>
      <c r="P59" s="30">
        <f>SUMIF('3 D P'!$D:$D,Cockpit!$E$5:$E$146,'3 D P'!N:N)</f>
        <v>0</v>
      </c>
      <c r="Q59" s="132">
        <f>IFERROR(VLOOKUP($D59,'Aptiv Dispatch'!$A:$B,2,FALSE),0)</f>
        <v>0</v>
      </c>
      <c r="R59" s="34">
        <f>SUMIF('Consumption MTD'!B:B,Cockpit!$E$5:$E$146,'Consumption MTD'!C:C)</f>
        <v>0</v>
      </c>
      <c r="S59" s="34">
        <f>SUMIF('BIW Lifting A Shift'!$B:$B,Cockpit!$E$5:$E$146,'BIW Lifting A Shift'!C:C)</f>
        <v>0</v>
      </c>
      <c r="T59" s="34" t="e">
        <f>SUMIF('BIW Lifting A Shift'!$B:$B,Cockpit!$E$5:$E$146,'BIW Lifting A Shift'!#REF!)</f>
        <v>#REF!</v>
      </c>
      <c r="U59" s="818">
        <f>M59-X59-X60</f>
        <v>0</v>
      </c>
      <c r="V59" s="818">
        <f>M59-SUM(X59:X60)-SUM(S59:S60)</f>
        <v>0</v>
      </c>
      <c r="W59" s="818" t="e">
        <f>V59-SUM(T59:T60)</f>
        <v>#REF!</v>
      </c>
      <c r="X59" s="135">
        <f>SUMIF(FLOAT!$D:$D,Cockpit!$E$5:$E$146,FLOAT!F:F)</f>
        <v>0</v>
      </c>
      <c r="Y59" s="38"/>
      <c r="AA59" s="49"/>
      <c r="AC59" s="78"/>
      <c r="AE59" s="822"/>
      <c r="AF59" s="62">
        <f>SUMIF(FLOAT!$D:$D,Cockpit!$E59:$E196,FLOAT!G:G)</f>
        <v>0</v>
      </c>
      <c r="AG59" s="62">
        <f>SUMIF(FLOAT!$D:$D,Cockpit!$E59:$E196,FLOAT!H:H)</f>
        <v>0</v>
      </c>
      <c r="AH59" s="62">
        <f>SUMIF(FLOAT!$D:$D,Cockpit!$E59:$E196,FLOAT!I:I)</f>
        <v>0</v>
      </c>
      <c r="AI59" s="62">
        <f>SUMIF(FLOAT!$D:$D,Cockpit!$E59:$E196,FLOAT!J:J)</f>
        <v>0</v>
      </c>
      <c r="AJ59" s="62">
        <f>SUMIF(FLOAT!$D:$D,Cockpit!$E59:$E196,FLOAT!K:K)</f>
        <v>0</v>
      </c>
      <c r="AK59" s="62">
        <f>SUMIF(FLOAT!$D:$D,Cockpit!$E59:$E196,FLOAT!L:L)</f>
        <v>0</v>
      </c>
      <c r="AL59" s="62">
        <f>SUMIF(FLOAT!$D:$D,Cockpit!$E59:$E196,FLOAT!M:M)</f>
        <v>0</v>
      </c>
      <c r="AM59" s="62">
        <f>SUMIF(FLOAT!$D:$D,Cockpit!$E59:$E196,FLOAT!N:N)</f>
        <v>0</v>
      </c>
      <c r="AN59" s="62">
        <f>SUMIF(FLOAT!$D:$D,Cockpit!$E59:$E196,FLOAT!O:O)</f>
        <v>0</v>
      </c>
      <c r="AO59" s="62">
        <f>SUMIF(FLOAT!$D:$D,Cockpit!$E59:$E196,FLOAT!P:P)</f>
        <v>0</v>
      </c>
      <c r="AP59" s="60">
        <f t="shared" si="0"/>
        <v>0</v>
      </c>
    </row>
    <row r="60" spans="1:42" ht="23.25" hidden="1" customHeight="1" x14ac:dyDescent="0.3">
      <c r="A60" s="297"/>
      <c r="B60" s="298"/>
      <c r="C60" s="309"/>
      <c r="D60" s="944"/>
      <c r="E60" s="310" t="s">
        <v>211</v>
      </c>
      <c r="F60" s="291" t="s">
        <v>212</v>
      </c>
      <c r="G60" s="184">
        <v>0</v>
      </c>
      <c r="H60" s="834"/>
      <c r="I60" s="823"/>
      <c r="J60" s="932"/>
      <c r="K60" s="832"/>
      <c r="L60" s="834"/>
      <c r="M60" s="816"/>
      <c r="N60" s="30">
        <f>SUMIF('3 D P'!$D:$D,Cockpit!$E$5:$E$146,'3 D P'!L:L)</f>
        <v>0</v>
      </c>
      <c r="O60" s="30">
        <f>SUMIF('3 D P'!$D:$D,Cockpit!$E$5:$E$146,'3 D P'!M:M)</f>
        <v>0</v>
      </c>
      <c r="P60" s="30">
        <f>SUMIF('3 D P'!$D:$D,Cockpit!$E$5:$E$146,'3 D P'!N:N)</f>
        <v>0</v>
      </c>
      <c r="Q60" s="132">
        <f>IFERROR(VLOOKUP($D60,'Aptiv Dispatch'!$A:$B,2,FALSE),0)</f>
        <v>0</v>
      </c>
      <c r="R60" s="34">
        <f>SUMIF('Consumption MTD'!B:B,Cockpit!$E$5:$E$146,'Consumption MTD'!C:C)</f>
        <v>0</v>
      </c>
      <c r="S60" s="34">
        <f>SUMIF('BIW Lifting A Shift'!$B:$B,Cockpit!$E$5:$E$146,'BIW Lifting A Shift'!C:C)</f>
        <v>0</v>
      </c>
      <c r="T60" s="34" t="e">
        <f>SUMIF('BIW Lifting A Shift'!$B:$B,Cockpit!$E$5:$E$146,'BIW Lifting A Shift'!#REF!)</f>
        <v>#REF!</v>
      </c>
      <c r="U60" s="818"/>
      <c r="V60" s="818"/>
      <c r="W60" s="818"/>
      <c r="X60" s="135">
        <f>SUMIF(FLOAT!$D:$D,Cockpit!$E$5:$E$146,FLOAT!F:F)</f>
        <v>0</v>
      </c>
      <c r="Y60" s="38"/>
      <c r="AA60" s="49"/>
      <c r="AC60" s="78"/>
      <c r="AE60" s="823"/>
      <c r="AF60" s="62">
        <f>SUMIF(FLOAT!$D:$D,Cockpit!$E60:$E197,FLOAT!G:G)</f>
        <v>0</v>
      </c>
      <c r="AG60" s="62">
        <f>SUMIF(FLOAT!$D:$D,Cockpit!$E60:$E197,FLOAT!H:H)</f>
        <v>0</v>
      </c>
      <c r="AH60" s="62">
        <f>SUMIF(FLOAT!$D:$D,Cockpit!$E60:$E197,FLOAT!I:I)</f>
        <v>0</v>
      </c>
      <c r="AI60" s="62">
        <f>SUMIF(FLOAT!$D:$D,Cockpit!$E60:$E197,FLOAT!J:J)</f>
        <v>0</v>
      </c>
      <c r="AJ60" s="62">
        <f>SUMIF(FLOAT!$D:$D,Cockpit!$E60:$E197,FLOAT!K:K)</f>
        <v>0</v>
      </c>
      <c r="AK60" s="62">
        <f>SUMIF(FLOAT!$D:$D,Cockpit!$E60:$E197,FLOAT!L:L)</f>
        <v>0</v>
      </c>
      <c r="AL60" s="62">
        <f>SUMIF(FLOAT!$D:$D,Cockpit!$E60:$E197,FLOAT!M:M)</f>
        <v>0</v>
      </c>
      <c r="AM60" s="62">
        <f>SUMIF(FLOAT!$D:$D,Cockpit!$E60:$E197,FLOAT!N:N)</f>
        <v>0</v>
      </c>
      <c r="AN60" s="62">
        <f>SUMIF(FLOAT!$D:$D,Cockpit!$E60:$E197,FLOAT!O:O)</f>
        <v>0</v>
      </c>
      <c r="AO60" s="62">
        <f>SUMIF(FLOAT!$D:$D,Cockpit!$E60:$E197,FLOAT!P:P)</f>
        <v>0</v>
      </c>
      <c r="AP60" s="60">
        <f t="shared" si="0"/>
        <v>0</v>
      </c>
    </row>
    <row r="61" spans="1:42" ht="23.25" hidden="1" customHeight="1" x14ac:dyDescent="0.3">
      <c r="A61" s="297"/>
      <c r="B61" s="298"/>
      <c r="C61" s="309"/>
      <c r="D61" s="943">
        <v>544254630610</v>
      </c>
      <c r="E61" s="310" t="s">
        <v>213</v>
      </c>
      <c r="F61" s="291" t="s">
        <v>214</v>
      </c>
      <c r="G61" s="184">
        <v>0</v>
      </c>
      <c r="H61" s="833">
        <f>SUM(G61:G64)</f>
        <v>0</v>
      </c>
      <c r="I61" s="822">
        <v>0</v>
      </c>
      <c r="J61" s="836">
        <f>Q61</f>
        <v>0</v>
      </c>
      <c r="K61" s="822">
        <f>SUM(R61:R64)</f>
        <v>0</v>
      </c>
      <c r="L61" s="833">
        <f>H61-K61</f>
        <v>0</v>
      </c>
      <c r="M61" s="826">
        <f>SUM(I61:I64)+J61-K61</f>
        <v>0</v>
      </c>
      <c r="N61" s="30">
        <f>SUMIF('3 D P'!$D:$D,Cockpit!$E$5:$E$146,'3 D P'!L:L)</f>
        <v>0</v>
      </c>
      <c r="O61" s="30">
        <f>SUMIF('3 D P'!$D:$D,Cockpit!$E$5:$E$146,'3 D P'!M:M)</f>
        <v>0</v>
      </c>
      <c r="P61" s="30">
        <f>SUMIF('3 D P'!$D:$D,Cockpit!$E$5:$E$146,'3 D P'!N:N)</f>
        <v>0</v>
      </c>
      <c r="Q61" s="132">
        <f>IFERROR(VLOOKUP($D61,'Aptiv Dispatch'!$A:$B,2,FALSE),0)</f>
        <v>0</v>
      </c>
      <c r="R61" s="34">
        <f>SUMIF('Consumption MTD'!B:B,Cockpit!$E$5:$E$146,'Consumption MTD'!C:C)</f>
        <v>0</v>
      </c>
      <c r="S61" s="34">
        <f>SUMIF('BIW Lifting A Shift'!$B:$B,Cockpit!$E$5:$E$146,'BIW Lifting A Shift'!C:C)</f>
        <v>0</v>
      </c>
      <c r="T61" s="34" t="e">
        <f>SUMIF('BIW Lifting A Shift'!$B:$B,Cockpit!$E$5:$E$146,'BIW Lifting A Shift'!#REF!)</f>
        <v>#REF!</v>
      </c>
      <c r="U61" s="851">
        <f>M61-SUM(X61:X64)</f>
        <v>0</v>
      </c>
      <c r="V61" s="851">
        <f>M61-SUM(X61:X64)-SUM(S61:S64)</f>
        <v>0</v>
      </c>
      <c r="W61" s="851" t="e">
        <f>V61-SUM(T61:T64)</f>
        <v>#REF!</v>
      </c>
      <c r="X61" s="135">
        <f>SUMIF(FLOAT!$D:$D,Cockpit!$E$5:$E$146,FLOAT!F:F)</f>
        <v>0</v>
      </c>
      <c r="Y61" s="38"/>
      <c r="AA61" s="49"/>
      <c r="AC61" s="78"/>
      <c r="AE61" s="822"/>
      <c r="AF61" s="62">
        <f>SUMIF(FLOAT!$D:$D,Cockpit!$E61:$E198,FLOAT!G:G)</f>
        <v>0</v>
      </c>
      <c r="AG61" s="62">
        <f>SUMIF(FLOAT!$D:$D,Cockpit!$E61:$E198,FLOAT!H:H)</f>
        <v>0</v>
      </c>
      <c r="AH61" s="62">
        <f>SUMIF(FLOAT!$D:$D,Cockpit!$E61:$E198,FLOAT!I:I)</f>
        <v>0</v>
      </c>
      <c r="AI61" s="62">
        <f>SUMIF(FLOAT!$D:$D,Cockpit!$E61:$E198,FLOAT!J:J)</f>
        <v>0</v>
      </c>
      <c r="AJ61" s="62">
        <f>SUMIF(FLOAT!$D:$D,Cockpit!$E61:$E198,FLOAT!K:K)</f>
        <v>0</v>
      </c>
      <c r="AK61" s="62">
        <f>SUMIF(FLOAT!$D:$D,Cockpit!$E61:$E198,FLOAT!L:L)</f>
        <v>0</v>
      </c>
      <c r="AL61" s="62">
        <f>SUMIF(FLOAT!$D:$D,Cockpit!$E61:$E198,FLOAT!M:M)</f>
        <v>0</v>
      </c>
      <c r="AM61" s="62">
        <f>SUMIF(FLOAT!$D:$D,Cockpit!$E61:$E198,FLOAT!N:N)</f>
        <v>0</v>
      </c>
      <c r="AN61" s="62">
        <f>SUMIF(FLOAT!$D:$D,Cockpit!$E61:$E198,FLOAT!O:O)</f>
        <v>0</v>
      </c>
      <c r="AO61" s="62">
        <f>SUMIF(FLOAT!$D:$D,Cockpit!$E61:$E198,FLOAT!P:P)</f>
        <v>0</v>
      </c>
      <c r="AP61" s="60">
        <f t="shared" si="0"/>
        <v>0</v>
      </c>
    </row>
    <row r="62" spans="1:42" ht="23.25" hidden="1" customHeight="1" x14ac:dyDescent="0.3">
      <c r="A62" s="297"/>
      <c r="B62" s="298"/>
      <c r="C62" s="309"/>
      <c r="D62" s="945"/>
      <c r="E62" s="310" t="s">
        <v>215</v>
      </c>
      <c r="F62" s="291" t="s">
        <v>216</v>
      </c>
      <c r="G62" s="184">
        <v>0</v>
      </c>
      <c r="H62" s="835"/>
      <c r="I62" s="849"/>
      <c r="J62" s="850"/>
      <c r="K62" s="849"/>
      <c r="L62" s="835"/>
      <c r="M62" s="827"/>
      <c r="N62" s="30">
        <f>SUMIF('3 D P'!$D:$D,Cockpit!$E$5:$E$146,'3 D P'!L:L)</f>
        <v>0</v>
      </c>
      <c r="O62" s="30">
        <f>SUMIF('3 D P'!$D:$D,Cockpit!$E$5:$E$146,'3 D P'!M:M)</f>
        <v>0</v>
      </c>
      <c r="P62" s="30">
        <f>SUMIF('3 D P'!$D:$D,Cockpit!$E$5:$E$146,'3 D P'!N:N)</f>
        <v>0</v>
      </c>
      <c r="Q62" s="132">
        <f>IFERROR(VLOOKUP($D62,'Aptiv Dispatch'!$A:$B,2,FALSE),0)</f>
        <v>0</v>
      </c>
      <c r="R62" s="34">
        <f>SUMIF('Consumption MTD'!B:B,Cockpit!$E$5:$E$146,'Consumption MTD'!C:C)</f>
        <v>0</v>
      </c>
      <c r="S62" s="34">
        <f>SUMIF('BIW Lifting A Shift'!$B:$B,Cockpit!$E$5:$E$146,'BIW Lifting A Shift'!C:C)</f>
        <v>0</v>
      </c>
      <c r="T62" s="34" t="e">
        <f>SUMIF('BIW Lifting A Shift'!$B:$B,Cockpit!$E$5:$E$146,'BIW Lifting A Shift'!#REF!)</f>
        <v>#REF!</v>
      </c>
      <c r="U62" s="852"/>
      <c r="V62" s="852"/>
      <c r="W62" s="852"/>
      <c r="X62" s="135">
        <f>SUMIF(FLOAT!$D:$D,Cockpit!$E$5:$E$146,FLOAT!F:F)</f>
        <v>0</v>
      </c>
      <c r="Y62" s="38"/>
      <c r="AA62" s="49"/>
      <c r="AC62" s="78"/>
      <c r="AE62" s="849"/>
      <c r="AF62" s="62">
        <f>SUMIF(FLOAT!$D:$D,Cockpit!$E62:$E199,FLOAT!G:G)</f>
        <v>0</v>
      </c>
      <c r="AG62" s="62">
        <f>SUMIF(FLOAT!$D:$D,Cockpit!$E62:$E199,FLOAT!H:H)</f>
        <v>0</v>
      </c>
      <c r="AH62" s="62">
        <f>SUMIF(FLOAT!$D:$D,Cockpit!$E62:$E199,FLOAT!I:I)</f>
        <v>0</v>
      </c>
      <c r="AI62" s="62">
        <f>SUMIF(FLOAT!$D:$D,Cockpit!$E62:$E199,FLOAT!J:J)</f>
        <v>0</v>
      </c>
      <c r="AJ62" s="62">
        <f>SUMIF(FLOAT!$D:$D,Cockpit!$E62:$E199,FLOAT!K:K)</f>
        <v>0</v>
      </c>
      <c r="AK62" s="62">
        <f>SUMIF(FLOAT!$D:$D,Cockpit!$E62:$E199,FLOAT!L:L)</f>
        <v>0</v>
      </c>
      <c r="AL62" s="62">
        <f>SUMIF(FLOAT!$D:$D,Cockpit!$E62:$E199,FLOAT!M:M)</f>
        <v>0</v>
      </c>
      <c r="AM62" s="62">
        <f>SUMIF(FLOAT!$D:$D,Cockpit!$E62:$E199,FLOAT!N:N)</f>
        <v>0</v>
      </c>
      <c r="AN62" s="62">
        <f>SUMIF(FLOAT!$D:$D,Cockpit!$E62:$E199,FLOAT!O:O)</f>
        <v>0</v>
      </c>
      <c r="AO62" s="62">
        <f>SUMIF(FLOAT!$D:$D,Cockpit!$E62:$E199,FLOAT!P:P)</f>
        <v>0</v>
      </c>
      <c r="AP62" s="60">
        <f t="shared" si="0"/>
        <v>0</v>
      </c>
    </row>
    <row r="63" spans="1:42" ht="23.25" hidden="1" customHeight="1" x14ac:dyDescent="0.3">
      <c r="A63" s="297"/>
      <c r="B63" s="298"/>
      <c r="C63" s="309"/>
      <c r="D63" s="945"/>
      <c r="E63" s="310" t="s">
        <v>217</v>
      </c>
      <c r="F63" s="291" t="s">
        <v>218</v>
      </c>
      <c r="G63" s="184">
        <v>0</v>
      </c>
      <c r="H63" s="835"/>
      <c r="I63" s="849"/>
      <c r="J63" s="850"/>
      <c r="K63" s="849"/>
      <c r="L63" s="835"/>
      <c r="M63" s="827"/>
      <c r="N63" s="30">
        <f>SUMIF('3 D P'!$D:$D,Cockpit!$E$5:$E$146,'3 D P'!L:L)</f>
        <v>0</v>
      </c>
      <c r="O63" s="30">
        <f>SUMIF('3 D P'!$D:$D,Cockpit!$E$5:$E$146,'3 D P'!M:M)</f>
        <v>0</v>
      </c>
      <c r="P63" s="30">
        <f>SUMIF('3 D P'!$D:$D,Cockpit!$E$5:$E$146,'3 D P'!N:N)</f>
        <v>0</v>
      </c>
      <c r="Q63" s="132">
        <f>IFERROR(VLOOKUP($D63,'Aptiv Dispatch'!$A:$B,2,FALSE),0)</f>
        <v>0</v>
      </c>
      <c r="R63" s="34">
        <f>SUMIF('Consumption MTD'!B:B,Cockpit!$E$5:$E$146,'Consumption MTD'!C:C)</f>
        <v>0</v>
      </c>
      <c r="S63" s="34">
        <f>SUMIF('BIW Lifting A Shift'!$B:$B,Cockpit!$E$5:$E$146,'BIW Lifting A Shift'!C:C)</f>
        <v>0</v>
      </c>
      <c r="T63" s="34" t="e">
        <f>SUMIF('BIW Lifting A Shift'!$B:$B,Cockpit!$E$5:$E$146,'BIW Lifting A Shift'!#REF!)</f>
        <v>#REF!</v>
      </c>
      <c r="U63" s="852"/>
      <c r="V63" s="852"/>
      <c r="W63" s="852"/>
      <c r="X63" s="135">
        <f>SUMIF(FLOAT!$D:$D,Cockpit!$E$5:$E$146,FLOAT!F:F)</f>
        <v>0</v>
      </c>
      <c r="Y63" s="38"/>
      <c r="AA63" s="49"/>
      <c r="AC63" s="78"/>
      <c r="AE63" s="849"/>
      <c r="AF63" s="62">
        <f>SUMIF(FLOAT!$D:$D,Cockpit!$E63:$E200,FLOAT!G:G)</f>
        <v>0</v>
      </c>
      <c r="AG63" s="62">
        <f>SUMIF(FLOAT!$D:$D,Cockpit!$E63:$E200,FLOAT!H:H)</f>
        <v>0</v>
      </c>
      <c r="AH63" s="62">
        <f>SUMIF(FLOAT!$D:$D,Cockpit!$E63:$E200,FLOAT!I:I)</f>
        <v>0</v>
      </c>
      <c r="AI63" s="62">
        <f>SUMIF(FLOAT!$D:$D,Cockpit!$E63:$E200,FLOAT!J:J)</f>
        <v>0</v>
      </c>
      <c r="AJ63" s="62">
        <f>SUMIF(FLOAT!$D:$D,Cockpit!$E63:$E200,FLOAT!K:K)</f>
        <v>0</v>
      </c>
      <c r="AK63" s="62">
        <f>SUMIF(FLOAT!$D:$D,Cockpit!$E63:$E200,FLOAT!L:L)</f>
        <v>0</v>
      </c>
      <c r="AL63" s="62">
        <f>SUMIF(FLOAT!$D:$D,Cockpit!$E63:$E200,FLOAT!M:M)</f>
        <v>0</v>
      </c>
      <c r="AM63" s="62">
        <f>SUMIF(FLOAT!$D:$D,Cockpit!$E63:$E200,FLOAT!N:N)</f>
        <v>0</v>
      </c>
      <c r="AN63" s="62">
        <f>SUMIF(FLOAT!$D:$D,Cockpit!$E63:$E200,FLOAT!O:O)</f>
        <v>0</v>
      </c>
      <c r="AO63" s="62">
        <f>SUMIF(FLOAT!$D:$D,Cockpit!$E63:$E200,FLOAT!P:P)</f>
        <v>0</v>
      </c>
      <c r="AP63" s="60">
        <f t="shared" si="0"/>
        <v>0</v>
      </c>
    </row>
    <row r="64" spans="1:42" ht="23.25" hidden="1" customHeight="1" x14ac:dyDescent="0.3">
      <c r="A64" s="297"/>
      <c r="B64" s="298"/>
      <c r="C64" s="309"/>
      <c r="D64" s="944"/>
      <c r="E64" s="310" t="s">
        <v>221</v>
      </c>
      <c r="F64" s="291" t="s">
        <v>222</v>
      </c>
      <c r="G64" s="184">
        <v>0</v>
      </c>
      <c r="H64" s="834"/>
      <c r="I64" s="823"/>
      <c r="J64" s="837"/>
      <c r="K64" s="823"/>
      <c r="L64" s="834"/>
      <c r="M64" s="828"/>
      <c r="N64" s="30">
        <f>SUMIF('3 D P'!$D:$D,Cockpit!$E$5:$E$146,'3 D P'!L:L)</f>
        <v>0</v>
      </c>
      <c r="O64" s="30">
        <f>SUMIF('3 D P'!$D:$D,Cockpit!$E$5:$E$146,'3 D P'!M:M)</f>
        <v>0</v>
      </c>
      <c r="P64" s="30">
        <f>SUMIF('3 D P'!$D:$D,Cockpit!$E$5:$E$146,'3 D P'!N:N)</f>
        <v>0</v>
      </c>
      <c r="Q64" s="132">
        <f>IFERROR(VLOOKUP($D64,'Aptiv Dispatch'!$A:$B,2,FALSE),0)</f>
        <v>0</v>
      </c>
      <c r="R64" s="34">
        <f>SUMIF('Consumption MTD'!B:B,Cockpit!$E$5:$E$146,'Consumption MTD'!C:C)</f>
        <v>0</v>
      </c>
      <c r="S64" s="34">
        <f>SUMIF('BIW Lifting A Shift'!$B:$B,Cockpit!$E$5:$E$146,'BIW Lifting A Shift'!C:C)</f>
        <v>0</v>
      </c>
      <c r="T64" s="34" t="e">
        <f>SUMIF('BIW Lifting A Shift'!$B:$B,Cockpit!$E$5:$E$146,'BIW Lifting A Shift'!#REF!)</f>
        <v>#REF!</v>
      </c>
      <c r="U64" s="853"/>
      <c r="V64" s="853"/>
      <c r="W64" s="853"/>
      <c r="X64" s="135">
        <f>SUMIF(FLOAT!$D:$D,Cockpit!$E$5:$E$146,FLOAT!F:F)</f>
        <v>0</v>
      </c>
      <c r="Y64" s="38"/>
      <c r="AA64" s="49"/>
      <c r="AC64" s="78"/>
      <c r="AE64" s="823"/>
      <c r="AF64" s="62">
        <f>SUMIF(FLOAT!$D:$D,Cockpit!$E64:$E201,FLOAT!G:G)</f>
        <v>0</v>
      </c>
      <c r="AG64" s="62">
        <f>SUMIF(FLOAT!$D:$D,Cockpit!$E64:$E201,FLOAT!H:H)</f>
        <v>0</v>
      </c>
      <c r="AH64" s="62">
        <f>SUMIF(FLOAT!$D:$D,Cockpit!$E64:$E201,FLOAT!I:I)</f>
        <v>0</v>
      </c>
      <c r="AI64" s="62">
        <f>SUMIF(FLOAT!$D:$D,Cockpit!$E64:$E201,FLOAT!J:J)</f>
        <v>0</v>
      </c>
      <c r="AJ64" s="62">
        <f>SUMIF(FLOAT!$D:$D,Cockpit!$E64:$E201,FLOAT!K:K)</f>
        <v>0</v>
      </c>
      <c r="AK64" s="62">
        <f>SUMIF(FLOAT!$D:$D,Cockpit!$E64:$E201,FLOAT!L:L)</f>
        <v>0</v>
      </c>
      <c r="AL64" s="62">
        <f>SUMIF(FLOAT!$D:$D,Cockpit!$E64:$E201,FLOAT!M:M)</f>
        <v>0</v>
      </c>
      <c r="AM64" s="62">
        <f>SUMIF(FLOAT!$D:$D,Cockpit!$E64:$E201,FLOAT!N:N)</f>
        <v>0</v>
      </c>
      <c r="AN64" s="62">
        <f>SUMIF(FLOAT!$D:$D,Cockpit!$E64:$E201,FLOAT!O:O)</f>
        <v>0</v>
      </c>
      <c r="AO64" s="62">
        <f>SUMIF(FLOAT!$D:$D,Cockpit!$E64:$E201,FLOAT!P:P)</f>
        <v>0</v>
      </c>
      <c r="AP64" s="60">
        <f t="shared" si="0"/>
        <v>0</v>
      </c>
    </row>
    <row r="65" spans="1:43" ht="23.25" hidden="1" customHeight="1" x14ac:dyDescent="0.3">
      <c r="A65" s="297"/>
      <c r="B65" s="298"/>
      <c r="C65" s="309"/>
      <c r="D65" s="755">
        <v>544254630812</v>
      </c>
      <c r="E65" s="311" t="s">
        <v>219</v>
      </c>
      <c r="F65" s="291" t="s">
        <v>220</v>
      </c>
      <c r="G65" s="184">
        <v>0</v>
      </c>
      <c r="H65" s="71">
        <f>G65</f>
        <v>0</v>
      </c>
      <c r="I65" s="173">
        <v>1</v>
      </c>
      <c r="J65" s="75">
        <f t="shared" ref="J65:K68" si="9">Q65</f>
        <v>0</v>
      </c>
      <c r="K65" s="76">
        <f t="shared" si="9"/>
        <v>0</v>
      </c>
      <c r="L65" s="71">
        <f>H65-K65</f>
        <v>0</v>
      </c>
      <c r="M65" s="77">
        <f>I65+J65-K65</f>
        <v>1</v>
      </c>
      <c r="N65" s="30">
        <f>SUMIF('3 D P'!$D:$D,Cockpit!$E$5:$E$146,'3 D P'!L:L)</f>
        <v>0</v>
      </c>
      <c r="O65" s="30">
        <f>SUMIF('3 D P'!$D:$D,Cockpit!$E$5:$E$146,'3 D P'!M:M)</f>
        <v>0</v>
      </c>
      <c r="P65" s="30">
        <f>SUMIF('3 D P'!$D:$D,Cockpit!$E$5:$E$146,'3 D P'!N:N)</f>
        <v>0</v>
      </c>
      <c r="Q65" s="132">
        <f>IFERROR(VLOOKUP($D65,'Aptiv Dispatch'!$A:$B,2,FALSE),0)</f>
        <v>0</v>
      </c>
      <c r="R65" s="34">
        <f>SUMIF('Consumption MTD'!B:B,Cockpit!$E$5:$E$146,'Consumption MTD'!C:C)</f>
        <v>0</v>
      </c>
      <c r="S65" s="34">
        <f>SUMIF('BIW Lifting A Shift'!$B:$B,Cockpit!$E$5:$E$146,'BIW Lifting A Shift'!C:C)</f>
        <v>0</v>
      </c>
      <c r="T65" s="34" t="e">
        <f>SUMIF('BIW Lifting A Shift'!$B:$B,Cockpit!$E$5:$E$146,'BIW Lifting A Shift'!#REF!)</f>
        <v>#REF!</v>
      </c>
      <c r="U65" s="74">
        <f>M65-X65</f>
        <v>1</v>
      </c>
      <c r="V65" s="74">
        <f>M65-S65-X65</f>
        <v>1</v>
      </c>
      <c r="W65" s="74" t="e">
        <f>V65-T65</f>
        <v>#REF!</v>
      </c>
      <c r="X65" s="135">
        <f>SUMIF(FLOAT!$D:$D,Cockpit!$E$5:$E$146,FLOAT!F:F)</f>
        <v>0</v>
      </c>
      <c r="Y65" s="38"/>
      <c r="AA65" s="49"/>
      <c r="AC65" s="78"/>
      <c r="AE65" s="173"/>
      <c r="AF65" s="62">
        <f>SUMIF(FLOAT!$D:$D,Cockpit!$E65:$E202,FLOAT!G:G)</f>
        <v>0</v>
      </c>
      <c r="AG65" s="62">
        <f>SUMIF(FLOAT!$D:$D,Cockpit!$E65:$E202,FLOAT!H:H)</f>
        <v>0</v>
      </c>
      <c r="AH65" s="62">
        <f>SUMIF(FLOAT!$D:$D,Cockpit!$E65:$E202,FLOAT!I:I)</f>
        <v>0</v>
      </c>
      <c r="AI65" s="62">
        <f>SUMIF(FLOAT!$D:$D,Cockpit!$E65:$E202,FLOAT!J:J)</f>
        <v>0</v>
      </c>
      <c r="AJ65" s="62">
        <f>SUMIF(FLOAT!$D:$D,Cockpit!$E65:$E202,FLOAT!K:K)</f>
        <v>0</v>
      </c>
      <c r="AK65" s="62">
        <f>SUMIF(FLOAT!$D:$D,Cockpit!$E65:$E202,FLOAT!L:L)</f>
        <v>0</v>
      </c>
      <c r="AL65" s="62">
        <f>SUMIF(FLOAT!$D:$D,Cockpit!$E65:$E202,FLOAT!M:M)</f>
        <v>0</v>
      </c>
      <c r="AM65" s="62">
        <f>SUMIF(FLOAT!$D:$D,Cockpit!$E65:$E202,FLOAT!N:N)</f>
        <v>0</v>
      </c>
      <c r="AN65" s="62">
        <f>SUMIF(FLOAT!$D:$D,Cockpit!$E65:$E202,FLOAT!O:O)</f>
        <v>0</v>
      </c>
      <c r="AO65" s="62">
        <f>SUMIF(FLOAT!$D:$D,Cockpit!$E65:$E202,FLOAT!P:P)</f>
        <v>0</v>
      </c>
      <c r="AP65" s="60">
        <f t="shared" si="0"/>
        <v>0</v>
      </c>
    </row>
    <row r="66" spans="1:43" ht="23.25" hidden="1" customHeight="1" x14ac:dyDescent="0.3">
      <c r="A66" s="297"/>
      <c r="B66" s="298"/>
      <c r="C66" s="309"/>
      <c r="D66" s="754">
        <v>544254630703</v>
      </c>
      <c r="E66" s="310" t="s">
        <v>205</v>
      </c>
      <c r="F66" s="291" t="s">
        <v>223</v>
      </c>
      <c r="G66" s="184">
        <v>0</v>
      </c>
      <c r="H66" s="71">
        <f>G66</f>
        <v>0</v>
      </c>
      <c r="I66" s="180">
        <v>0</v>
      </c>
      <c r="J66" s="75">
        <f t="shared" si="9"/>
        <v>0</v>
      </c>
      <c r="K66" s="76">
        <f t="shared" si="9"/>
        <v>0</v>
      </c>
      <c r="L66" s="71">
        <f>H66-K66</f>
        <v>0</v>
      </c>
      <c r="M66" s="77">
        <f>I66+J66-K66</f>
        <v>0</v>
      </c>
      <c r="N66" s="30">
        <f>SUMIF('3 D P'!$D:$D,Cockpit!$E$5:$E$146,'3 D P'!L:L)</f>
        <v>0</v>
      </c>
      <c r="O66" s="30">
        <f>SUMIF('3 D P'!$D:$D,Cockpit!$E$5:$E$146,'3 D P'!M:M)</f>
        <v>0</v>
      </c>
      <c r="P66" s="30">
        <f>SUMIF('3 D P'!$D:$D,Cockpit!$E$5:$E$146,'3 D P'!N:N)</f>
        <v>0</v>
      </c>
      <c r="Q66" s="132">
        <f>IFERROR(VLOOKUP($D66,'Aptiv Dispatch'!$A:$B,2,FALSE),0)</f>
        <v>0</v>
      </c>
      <c r="R66" s="34">
        <f>SUMIF('Consumption MTD'!B:B,Cockpit!$E$5:$E$146,'Consumption MTD'!C:C)</f>
        <v>0</v>
      </c>
      <c r="S66" s="34">
        <f>SUMIF('BIW Lifting A Shift'!$B:$B,Cockpit!$E$5:$E$146,'BIW Lifting A Shift'!C:C)</f>
        <v>0</v>
      </c>
      <c r="T66" s="34" t="e">
        <f>SUMIF('BIW Lifting A Shift'!$B:$B,Cockpit!$E$5:$E$146,'BIW Lifting A Shift'!#REF!)</f>
        <v>#REF!</v>
      </c>
      <c r="U66" s="74">
        <f>M66-X66</f>
        <v>0</v>
      </c>
      <c r="V66" s="74">
        <f>M66-S66-X66</f>
        <v>0</v>
      </c>
      <c r="W66" s="74" t="e">
        <f>V66-T66</f>
        <v>#REF!</v>
      </c>
      <c r="X66" s="135">
        <f>SUMIF(FLOAT!$D:$D,Cockpit!$E$5:$E$146,FLOAT!F:F)</f>
        <v>0</v>
      </c>
      <c r="Y66" s="38"/>
      <c r="AA66" s="49"/>
      <c r="AC66" s="78"/>
      <c r="AE66" s="127"/>
      <c r="AF66" s="62">
        <f>SUMIF(FLOAT!$D:$D,Cockpit!$E66:$E203,FLOAT!G:G)</f>
        <v>0</v>
      </c>
      <c r="AG66" s="62">
        <f>SUMIF(FLOAT!$D:$D,Cockpit!$E66:$E203,FLOAT!H:H)</f>
        <v>0</v>
      </c>
      <c r="AH66" s="62">
        <f>SUMIF(FLOAT!$D:$D,Cockpit!$E66:$E203,FLOAT!I:I)</f>
        <v>0</v>
      </c>
      <c r="AI66" s="62">
        <f>SUMIF(FLOAT!$D:$D,Cockpit!$E66:$E203,FLOAT!J:J)</f>
        <v>0</v>
      </c>
      <c r="AJ66" s="62">
        <f>SUMIF(FLOAT!$D:$D,Cockpit!$E66:$E203,FLOAT!K:K)</f>
        <v>0</v>
      </c>
      <c r="AK66" s="62">
        <f>SUMIF(FLOAT!$D:$D,Cockpit!$E66:$E203,FLOAT!L:L)</f>
        <v>0</v>
      </c>
      <c r="AL66" s="62">
        <f>SUMIF(FLOAT!$D:$D,Cockpit!$E66:$E203,FLOAT!M:M)</f>
        <v>0</v>
      </c>
      <c r="AM66" s="62">
        <f>SUMIF(FLOAT!$D:$D,Cockpit!$E66:$E203,FLOAT!N:N)</f>
        <v>0</v>
      </c>
      <c r="AN66" s="62">
        <f>SUMIF(FLOAT!$D:$D,Cockpit!$E66:$E203,FLOAT!O:O)</f>
        <v>0</v>
      </c>
      <c r="AO66" s="62">
        <f>SUMIF(FLOAT!$D:$D,Cockpit!$E66:$E203,FLOAT!P:P)</f>
        <v>0</v>
      </c>
      <c r="AP66" s="60">
        <f t="shared" si="0"/>
        <v>0</v>
      </c>
    </row>
    <row r="67" spans="1:43" ht="23.25" hidden="1" customHeight="1" x14ac:dyDescent="0.3">
      <c r="A67" s="297"/>
      <c r="B67" s="298"/>
      <c r="C67" s="309"/>
      <c r="D67" s="755">
        <v>544254630811</v>
      </c>
      <c r="E67" s="311" t="s">
        <v>224</v>
      </c>
      <c r="F67" s="291" t="s">
        <v>225</v>
      </c>
      <c r="G67" s="184">
        <v>0</v>
      </c>
      <c r="H67" s="71">
        <f>G67</f>
        <v>0</v>
      </c>
      <c r="I67" s="127">
        <v>5</v>
      </c>
      <c r="J67" s="75">
        <f t="shared" si="9"/>
        <v>0</v>
      </c>
      <c r="K67" s="76">
        <f t="shared" si="9"/>
        <v>0</v>
      </c>
      <c r="L67" s="71">
        <f>H67-K67</f>
        <v>0</v>
      </c>
      <c r="M67" s="77">
        <f>I67+J67-K67</f>
        <v>5</v>
      </c>
      <c r="N67" s="30">
        <f>SUMIF('3 D P'!$D:$D,Cockpit!$E$5:$E$146,'3 D P'!L:L)</f>
        <v>0</v>
      </c>
      <c r="O67" s="30">
        <f>SUMIF('3 D P'!$D:$D,Cockpit!$E$5:$E$146,'3 D P'!M:M)</f>
        <v>0</v>
      </c>
      <c r="P67" s="30">
        <f>SUMIF('3 D P'!$D:$D,Cockpit!$E$5:$E$146,'3 D P'!N:N)</f>
        <v>0</v>
      </c>
      <c r="Q67" s="132">
        <f>IFERROR(VLOOKUP($D67,'Aptiv Dispatch'!$A:$B,2,FALSE),0)</f>
        <v>0</v>
      </c>
      <c r="R67" s="34">
        <f>SUMIF('Consumption MTD'!B:B,Cockpit!$E$5:$E$146,'Consumption MTD'!C:C)</f>
        <v>0</v>
      </c>
      <c r="S67" s="34">
        <f>SUMIF('BIW Lifting A Shift'!$B:$B,Cockpit!$E$5:$E$146,'BIW Lifting A Shift'!C:C)</f>
        <v>0</v>
      </c>
      <c r="T67" s="34" t="e">
        <f>SUMIF('BIW Lifting A Shift'!$B:$B,Cockpit!$E$5:$E$146,'BIW Lifting A Shift'!#REF!)</f>
        <v>#REF!</v>
      </c>
      <c r="U67" s="74">
        <f>M67-X67</f>
        <v>5</v>
      </c>
      <c r="V67" s="74">
        <f>M67-S67-X67</f>
        <v>5</v>
      </c>
      <c r="W67" s="74" t="e">
        <f>V67-T67</f>
        <v>#REF!</v>
      </c>
      <c r="X67" s="135">
        <f>SUMIF(FLOAT!$D:$D,Cockpit!$E$5:$E$146,FLOAT!F:F)</f>
        <v>0</v>
      </c>
      <c r="Y67" s="38"/>
      <c r="AA67" s="49"/>
      <c r="AC67" s="78"/>
      <c r="AE67" s="127"/>
      <c r="AF67" s="62">
        <f>SUMIF(FLOAT!$D:$D,Cockpit!$E67:$E204,FLOAT!G:G)</f>
        <v>0</v>
      </c>
      <c r="AG67" s="62">
        <f>SUMIF(FLOAT!$D:$D,Cockpit!$E67:$E204,FLOAT!H:H)</f>
        <v>0</v>
      </c>
      <c r="AH67" s="62">
        <f>SUMIF(FLOAT!$D:$D,Cockpit!$E67:$E204,FLOAT!I:I)</f>
        <v>0</v>
      </c>
      <c r="AI67" s="62">
        <f>SUMIF(FLOAT!$D:$D,Cockpit!$E67:$E204,FLOAT!J:J)</f>
        <v>0</v>
      </c>
      <c r="AJ67" s="62">
        <f>SUMIF(FLOAT!$D:$D,Cockpit!$E67:$E204,FLOAT!K:K)</f>
        <v>0</v>
      </c>
      <c r="AK67" s="62">
        <f>SUMIF(FLOAT!$D:$D,Cockpit!$E67:$E204,FLOAT!L:L)</f>
        <v>0</v>
      </c>
      <c r="AL67" s="62">
        <f>SUMIF(FLOAT!$D:$D,Cockpit!$E67:$E204,FLOAT!M:M)</f>
        <v>0</v>
      </c>
      <c r="AM67" s="62">
        <f>SUMIF(FLOAT!$D:$D,Cockpit!$E67:$E204,FLOAT!N:N)</f>
        <v>0</v>
      </c>
      <c r="AN67" s="62">
        <f>SUMIF(FLOAT!$D:$D,Cockpit!$E67:$E204,FLOAT!O:O)</f>
        <v>0</v>
      </c>
      <c r="AO67" s="62">
        <f>SUMIF(FLOAT!$D:$D,Cockpit!$E67:$E204,FLOAT!P:P)</f>
        <v>0</v>
      </c>
      <c r="AP67" s="60">
        <f t="shared" si="0"/>
        <v>0</v>
      </c>
    </row>
    <row r="68" spans="1:43" ht="23.25" hidden="1" customHeight="1" thickBot="1" x14ac:dyDescent="0.35">
      <c r="A68" s="297"/>
      <c r="B68" s="298"/>
      <c r="C68" s="309"/>
      <c r="D68" s="754">
        <v>544254630455</v>
      </c>
      <c r="E68" s="310" t="s">
        <v>198</v>
      </c>
      <c r="F68" s="291" t="s">
        <v>226</v>
      </c>
      <c r="G68" s="184">
        <v>0</v>
      </c>
      <c r="H68" s="71">
        <f>G68</f>
        <v>0</v>
      </c>
      <c r="I68" s="127">
        <v>1</v>
      </c>
      <c r="J68" s="75">
        <f t="shared" si="9"/>
        <v>0</v>
      </c>
      <c r="K68" s="76">
        <f t="shared" si="9"/>
        <v>0</v>
      </c>
      <c r="L68" s="71">
        <f>H68-K68</f>
        <v>0</v>
      </c>
      <c r="M68" s="77">
        <f>I68+J68-K68</f>
        <v>1</v>
      </c>
      <c r="N68" s="30">
        <f>SUMIF('3 D P'!$D:$D,Cockpit!$E$5:$E$146,'3 D P'!L:L)</f>
        <v>0</v>
      </c>
      <c r="O68" s="30">
        <f>SUMIF('3 D P'!$D:$D,Cockpit!$E$5:$E$146,'3 D P'!M:M)</f>
        <v>0</v>
      </c>
      <c r="P68" s="30">
        <f>SUMIF('3 D P'!$D:$D,Cockpit!$E$5:$E$146,'3 D P'!N:N)</f>
        <v>0</v>
      </c>
      <c r="Q68" s="132">
        <f>IFERROR(VLOOKUP($D68,'Aptiv Dispatch'!$A:$B,2,FALSE),0)</f>
        <v>0</v>
      </c>
      <c r="R68" s="34">
        <f>SUMIF('Consumption MTD'!B:B,Cockpit!$E$5:$E$146,'Consumption MTD'!C:C)</f>
        <v>0</v>
      </c>
      <c r="S68" s="34">
        <f>SUMIF('BIW Lifting A Shift'!$B:$B,Cockpit!$E$5:$E$146,'BIW Lifting A Shift'!C:C)</f>
        <v>0</v>
      </c>
      <c r="T68" s="34" t="e">
        <f>SUMIF('BIW Lifting A Shift'!$B:$B,Cockpit!$E$5:$E$146,'BIW Lifting A Shift'!#REF!)</f>
        <v>#REF!</v>
      </c>
      <c r="U68" s="74">
        <f>M68-X68</f>
        <v>1</v>
      </c>
      <c r="V68" s="74">
        <f>M68-S68-X68</f>
        <v>1</v>
      </c>
      <c r="W68" s="74" t="e">
        <f>V68-T68</f>
        <v>#REF!</v>
      </c>
      <c r="X68" s="135">
        <f>SUMIF(FLOAT!$D:$D,Cockpit!$E$5:$E$146,FLOAT!F:F)</f>
        <v>0</v>
      </c>
      <c r="Y68" s="38"/>
      <c r="AA68" s="49"/>
      <c r="AC68" s="78"/>
      <c r="AE68" s="127"/>
      <c r="AF68" s="62">
        <f>SUMIF(FLOAT!$D:$D,Cockpit!$E68:$E205,FLOAT!G:G)</f>
        <v>0</v>
      </c>
      <c r="AG68" s="62">
        <f>SUMIF(FLOAT!$D:$D,Cockpit!$E68:$E205,FLOAT!H:H)</f>
        <v>0</v>
      </c>
      <c r="AH68" s="62">
        <f>SUMIF(FLOAT!$D:$D,Cockpit!$E68:$E205,FLOAT!I:I)</f>
        <v>0</v>
      </c>
      <c r="AI68" s="62">
        <f>SUMIF(FLOAT!$D:$D,Cockpit!$E68:$E205,FLOAT!J:J)</f>
        <v>0</v>
      </c>
      <c r="AJ68" s="62">
        <f>SUMIF(FLOAT!$D:$D,Cockpit!$E68:$E205,FLOAT!K:K)</f>
        <v>0</v>
      </c>
      <c r="AK68" s="62">
        <f>SUMIF(FLOAT!$D:$D,Cockpit!$E68:$E205,FLOAT!L:L)</f>
        <v>0</v>
      </c>
      <c r="AL68" s="62">
        <f>SUMIF(FLOAT!$D:$D,Cockpit!$E68:$E205,FLOAT!M:M)</f>
        <v>0</v>
      </c>
      <c r="AM68" s="62">
        <f>SUMIF(FLOAT!$D:$D,Cockpit!$E68:$E205,FLOAT!N:N)</f>
        <v>0</v>
      </c>
      <c r="AN68" s="62">
        <f>SUMIF(FLOAT!$D:$D,Cockpit!$E68:$E205,FLOAT!O:O)</f>
        <v>0</v>
      </c>
      <c r="AO68" s="62">
        <f>SUMIF(FLOAT!$D:$D,Cockpit!$E68:$E205,FLOAT!P:P)</f>
        <v>0</v>
      </c>
      <c r="AP68" s="60">
        <f t="shared" si="0"/>
        <v>0</v>
      </c>
    </row>
    <row r="69" spans="1:43" ht="23.25" hidden="1" customHeight="1" thickBot="1" x14ac:dyDescent="0.35">
      <c r="A69" s="297"/>
      <c r="B69" s="298"/>
      <c r="C69" s="309"/>
      <c r="D69" s="940">
        <v>544254630808</v>
      </c>
      <c r="E69" s="310" t="s">
        <v>231</v>
      </c>
      <c r="F69" s="312" t="s">
        <v>233</v>
      </c>
      <c r="G69" s="184">
        <v>0</v>
      </c>
      <c r="H69" s="824">
        <f>SUM(G69:G70)</f>
        <v>0</v>
      </c>
      <c r="I69" s="844">
        <v>0</v>
      </c>
      <c r="J69" s="932">
        <f>Q69</f>
        <v>0</v>
      </c>
      <c r="K69" s="832">
        <f>SUM(R69:R70)</f>
        <v>0</v>
      </c>
      <c r="L69" s="824">
        <f>H69-K69</f>
        <v>0</v>
      </c>
      <c r="M69" s="816">
        <f>SUM(I69:I70)+J69-K69</f>
        <v>0</v>
      </c>
      <c r="N69" s="30">
        <f>SUMIF('3 D P'!$D:$D,Cockpit!$E$5:$E$146,'3 D P'!L:L)</f>
        <v>0</v>
      </c>
      <c r="O69" s="30">
        <f>SUMIF('3 D P'!$D:$D,Cockpit!$E$5:$E$146,'3 D P'!M:M)</f>
        <v>0</v>
      </c>
      <c r="P69" s="30">
        <f>SUMIF('3 D P'!$D:$D,Cockpit!$E$5:$E$146,'3 D P'!N:N)</f>
        <v>0</v>
      </c>
      <c r="Q69" s="132">
        <f>IFERROR(VLOOKUP($D69,'Aptiv Dispatch'!$A:$B,2,FALSE),0)</f>
        <v>0</v>
      </c>
      <c r="R69" s="34">
        <f>SUMIF('Consumption MTD'!B:B,Cockpit!$E$5:$E$146,'Consumption MTD'!C:C)</f>
        <v>0</v>
      </c>
      <c r="S69" s="34">
        <f>SUMIF('BIW Lifting A Shift'!$B:$B,Cockpit!$E$5:$E$146,'BIW Lifting A Shift'!C:C)</f>
        <v>0</v>
      </c>
      <c r="T69" s="34" t="e">
        <f>SUMIF('BIW Lifting A Shift'!$B:$B,Cockpit!$E$5:$E$146,'BIW Lifting A Shift'!#REF!)</f>
        <v>#REF!</v>
      </c>
      <c r="U69" s="818">
        <f>M69-X69-X70</f>
        <v>0</v>
      </c>
      <c r="V69" s="818">
        <f>M69-SUM(X69:X70)-SUM(S69:S70)</f>
        <v>0</v>
      </c>
      <c r="W69" s="818" t="e">
        <f>V69-SUM(T69:T70)</f>
        <v>#REF!</v>
      </c>
      <c r="X69" s="135">
        <f>SUMIF(FLOAT!$D:$D,Cockpit!$E$5:$E$146,FLOAT!F:F)</f>
        <v>0</v>
      </c>
      <c r="Y69" s="38"/>
      <c r="AA69" s="49"/>
      <c r="AC69" s="78"/>
      <c r="AE69" s="832"/>
      <c r="AF69" s="62">
        <f>SUMIF(FLOAT!$D:$D,Cockpit!$E69:$E206,FLOAT!G:G)</f>
        <v>0</v>
      </c>
      <c r="AG69" s="62">
        <f>SUMIF(FLOAT!$D:$D,Cockpit!$E69:$E206,FLOAT!H:H)</f>
        <v>0</v>
      </c>
      <c r="AH69" s="62">
        <f>SUMIF(FLOAT!$D:$D,Cockpit!$E69:$E206,FLOAT!I:I)</f>
        <v>0</v>
      </c>
      <c r="AI69" s="62">
        <f>SUMIF(FLOAT!$D:$D,Cockpit!$E69:$E206,FLOAT!J:J)</f>
        <v>0</v>
      </c>
      <c r="AJ69" s="62">
        <f>SUMIF(FLOAT!$D:$D,Cockpit!$E69:$E206,FLOAT!K:K)</f>
        <v>0</v>
      </c>
      <c r="AK69" s="62">
        <f>SUMIF(FLOAT!$D:$D,Cockpit!$E69:$E206,FLOAT!L:L)</f>
        <v>0</v>
      </c>
      <c r="AL69" s="62">
        <f>SUMIF(FLOAT!$D:$D,Cockpit!$E69:$E206,FLOAT!M:M)</f>
        <v>0</v>
      </c>
      <c r="AM69" s="62">
        <f>SUMIF(FLOAT!$D:$D,Cockpit!$E69:$E206,FLOAT!N:N)</f>
        <v>0</v>
      </c>
      <c r="AN69" s="62">
        <f>SUMIF(FLOAT!$D:$D,Cockpit!$E69:$E206,FLOAT!O:O)</f>
        <v>0</v>
      </c>
      <c r="AO69" s="62">
        <f>SUMIF(FLOAT!$D:$D,Cockpit!$E69:$E206,FLOAT!P:P)</f>
        <v>0</v>
      </c>
      <c r="AP69" s="60">
        <f t="shared" si="0"/>
        <v>0</v>
      </c>
    </row>
    <row r="70" spans="1:43" ht="23.25" hidden="1" customHeight="1" thickBot="1" x14ac:dyDescent="0.35">
      <c r="A70" s="297"/>
      <c r="B70" s="298"/>
      <c r="C70" s="309"/>
      <c r="D70" s="941"/>
      <c r="E70" s="310" t="s">
        <v>234</v>
      </c>
      <c r="F70" s="312" t="s">
        <v>235</v>
      </c>
      <c r="G70" s="184">
        <v>0</v>
      </c>
      <c r="H70" s="825"/>
      <c r="I70" s="845">
        <v>0</v>
      </c>
      <c r="J70" s="932"/>
      <c r="K70" s="832"/>
      <c r="L70" s="825"/>
      <c r="M70" s="816"/>
      <c r="N70" s="30">
        <f>SUMIF('3 D P'!$D:$D,Cockpit!$E$5:$E$146,'3 D P'!L:L)</f>
        <v>0</v>
      </c>
      <c r="O70" s="30">
        <f>SUMIF('3 D P'!$D:$D,Cockpit!$E$5:$E$146,'3 D P'!M:M)</f>
        <v>0</v>
      </c>
      <c r="P70" s="30">
        <f>SUMIF('3 D P'!$D:$D,Cockpit!$E$5:$E$146,'3 D P'!N:N)</f>
        <v>0</v>
      </c>
      <c r="Q70" s="132">
        <f>IFERROR(VLOOKUP($D70,'Aptiv Dispatch'!$A:$B,2,FALSE),0)</f>
        <v>0</v>
      </c>
      <c r="R70" s="34">
        <f>SUMIF('Consumption MTD'!B:B,Cockpit!$E$5:$E$146,'Consumption MTD'!C:C)</f>
        <v>0</v>
      </c>
      <c r="S70" s="34">
        <f>SUMIF('BIW Lifting A Shift'!$B:$B,Cockpit!$E$5:$E$146,'BIW Lifting A Shift'!C:C)</f>
        <v>0</v>
      </c>
      <c r="T70" s="34" t="e">
        <f>SUMIF('BIW Lifting A Shift'!$B:$B,Cockpit!$E$5:$E$146,'BIW Lifting A Shift'!#REF!)</f>
        <v>#REF!</v>
      </c>
      <c r="U70" s="818"/>
      <c r="V70" s="818"/>
      <c r="W70" s="818"/>
      <c r="X70" s="135">
        <f>SUMIF(FLOAT!$D:$D,Cockpit!$E$5:$E$146,FLOAT!F:F)</f>
        <v>0</v>
      </c>
      <c r="Y70" s="38"/>
      <c r="AA70" s="49"/>
      <c r="AC70" s="78"/>
      <c r="AE70" s="832"/>
      <c r="AF70" s="62">
        <f>SUMIF(FLOAT!$D:$D,Cockpit!$E70:$E207,FLOAT!G:G)</f>
        <v>0</v>
      </c>
      <c r="AG70" s="62">
        <f>SUMIF(FLOAT!$D:$D,Cockpit!$E70:$E207,FLOAT!H:H)</f>
        <v>0</v>
      </c>
      <c r="AH70" s="62">
        <f>SUMIF(FLOAT!$D:$D,Cockpit!$E70:$E207,FLOAT!I:I)</f>
        <v>0</v>
      </c>
      <c r="AI70" s="62">
        <f>SUMIF(FLOAT!$D:$D,Cockpit!$E70:$E207,FLOAT!J:J)</f>
        <v>0</v>
      </c>
      <c r="AJ70" s="62">
        <f>SUMIF(FLOAT!$D:$D,Cockpit!$E70:$E207,FLOAT!K:K)</f>
        <v>0</v>
      </c>
      <c r="AK70" s="62">
        <f>SUMIF(FLOAT!$D:$D,Cockpit!$E70:$E207,FLOAT!L:L)</f>
        <v>0</v>
      </c>
      <c r="AL70" s="62">
        <f>SUMIF(FLOAT!$D:$D,Cockpit!$E70:$E207,FLOAT!M:M)</f>
        <v>0</v>
      </c>
      <c r="AM70" s="62">
        <f>SUMIF(FLOAT!$D:$D,Cockpit!$E70:$E207,FLOAT!N:N)</f>
        <v>0</v>
      </c>
      <c r="AN70" s="62">
        <f>SUMIF(FLOAT!$D:$D,Cockpit!$E70:$E207,FLOAT!O:O)</f>
        <v>0</v>
      </c>
      <c r="AO70" s="62">
        <f>SUMIF(FLOAT!$D:$D,Cockpit!$E70:$E207,FLOAT!P:P)</f>
        <v>0</v>
      </c>
      <c r="AP70" s="60">
        <f t="shared" ref="AP70:AP133" si="10">AF70+AG70+AH70+AI70+AJ70+AK70+AM70+AN70+AO70</f>
        <v>0</v>
      </c>
    </row>
    <row r="71" spans="1:43" ht="23.25" hidden="1" customHeight="1" thickBot="1" x14ac:dyDescent="0.35">
      <c r="A71" s="297"/>
      <c r="B71" s="298"/>
      <c r="C71" s="309"/>
      <c r="D71" s="257">
        <v>544254630810</v>
      </c>
      <c r="E71" s="310" t="s">
        <v>236</v>
      </c>
      <c r="F71" s="312" t="s">
        <v>237</v>
      </c>
      <c r="G71" s="184">
        <v>0</v>
      </c>
      <c r="H71" s="71">
        <f>G71</f>
        <v>0</v>
      </c>
      <c r="I71" s="243">
        <v>0</v>
      </c>
      <c r="J71" s="75">
        <f t="shared" ref="J71:K76" si="11">Q71</f>
        <v>0</v>
      </c>
      <c r="K71" s="76">
        <f t="shared" si="11"/>
        <v>0</v>
      </c>
      <c r="L71" s="71">
        <f>H71-K71</f>
        <v>0</v>
      </c>
      <c r="M71" s="77">
        <f>I71+J71-K71</f>
        <v>0</v>
      </c>
      <c r="N71" s="30">
        <f>SUMIF('3 D P'!$D:$D,Cockpit!$E$5:$E$146,'3 D P'!L:L)</f>
        <v>0</v>
      </c>
      <c r="O71" s="30">
        <f>SUMIF('3 D P'!$D:$D,Cockpit!$E$5:$E$146,'3 D P'!M:M)</f>
        <v>0</v>
      </c>
      <c r="P71" s="30">
        <f>SUMIF('3 D P'!$D:$D,Cockpit!$E$5:$E$146,'3 D P'!N:N)</f>
        <v>0</v>
      </c>
      <c r="Q71" s="132">
        <f>IFERROR(VLOOKUP($D71,'Aptiv Dispatch'!$A:$B,2,FALSE),0)</f>
        <v>0</v>
      </c>
      <c r="R71" s="34">
        <f>SUMIF('Consumption MTD'!B:B,Cockpit!$E$5:$E$146,'Consumption MTD'!C:C)</f>
        <v>0</v>
      </c>
      <c r="S71" s="34">
        <f>SUMIF('BIW Lifting A Shift'!$B:$B,Cockpit!$E$5:$E$146,'BIW Lifting A Shift'!C:C)</f>
        <v>0</v>
      </c>
      <c r="T71" s="34" t="e">
        <f>SUMIF('BIW Lifting A Shift'!$B:$B,Cockpit!$E$5:$E$146,'BIW Lifting A Shift'!#REF!)</f>
        <v>#REF!</v>
      </c>
      <c r="U71" s="74">
        <f>M71-X71</f>
        <v>0</v>
      </c>
      <c r="V71" s="74">
        <f>M71-S71-X71</f>
        <v>0</v>
      </c>
      <c r="W71" s="74" t="e">
        <f>V71-T71</f>
        <v>#REF!</v>
      </c>
      <c r="X71" s="135">
        <f>SUMIF(FLOAT!$D:$D,Cockpit!$E$5:$E$146,FLOAT!F:F)</f>
        <v>0</v>
      </c>
      <c r="Y71" s="38"/>
      <c r="AA71" s="49"/>
      <c r="AC71" s="78"/>
      <c r="AE71" s="173"/>
      <c r="AF71" s="62">
        <f>SUMIF(FLOAT!$D:$D,Cockpit!$E71:$E208,FLOAT!G:G)</f>
        <v>0</v>
      </c>
      <c r="AG71" s="62">
        <f>SUMIF(FLOAT!$D:$D,Cockpit!$E71:$E208,FLOAT!H:H)</f>
        <v>0</v>
      </c>
      <c r="AH71" s="62">
        <f>SUMIF(FLOAT!$D:$D,Cockpit!$E71:$E208,FLOAT!I:I)</f>
        <v>0</v>
      </c>
      <c r="AI71" s="62">
        <f>SUMIF(FLOAT!$D:$D,Cockpit!$E71:$E208,FLOAT!J:J)</f>
        <v>0</v>
      </c>
      <c r="AJ71" s="62">
        <f>SUMIF(FLOAT!$D:$D,Cockpit!$E71:$E208,FLOAT!K:K)</f>
        <v>0</v>
      </c>
      <c r="AK71" s="62">
        <f>SUMIF(FLOAT!$D:$D,Cockpit!$E71:$E208,FLOAT!L:L)</f>
        <v>0</v>
      </c>
      <c r="AL71" s="62">
        <f>SUMIF(FLOAT!$D:$D,Cockpit!$E71:$E208,FLOAT!M:M)</f>
        <v>0</v>
      </c>
      <c r="AM71" s="62">
        <f>SUMIF(FLOAT!$D:$D,Cockpit!$E71:$E208,FLOAT!N:N)</f>
        <v>0</v>
      </c>
      <c r="AN71" s="62">
        <f>SUMIF(FLOAT!$D:$D,Cockpit!$E71:$E208,FLOAT!O:O)</f>
        <v>0</v>
      </c>
      <c r="AO71" s="62">
        <f>SUMIF(FLOAT!$D:$D,Cockpit!$E71:$E208,FLOAT!P:P)</f>
        <v>0</v>
      </c>
      <c r="AP71" s="60">
        <f t="shared" si="10"/>
        <v>0</v>
      </c>
    </row>
    <row r="72" spans="1:43" ht="23.25" hidden="1" customHeight="1" thickBot="1" x14ac:dyDescent="0.35">
      <c r="A72" s="297"/>
      <c r="B72" s="298"/>
      <c r="C72" s="309"/>
      <c r="D72" s="257">
        <v>544254630809</v>
      </c>
      <c r="E72" s="310" t="s">
        <v>230</v>
      </c>
      <c r="F72" s="312" t="s">
        <v>232</v>
      </c>
      <c r="G72" s="184">
        <v>0</v>
      </c>
      <c r="H72" s="71">
        <f>G72</f>
        <v>0</v>
      </c>
      <c r="I72" s="232">
        <v>0</v>
      </c>
      <c r="J72" s="75">
        <f t="shared" si="11"/>
        <v>0</v>
      </c>
      <c r="K72" s="76">
        <f t="shared" si="11"/>
        <v>0</v>
      </c>
      <c r="L72" s="71">
        <f>H72-K72</f>
        <v>0</v>
      </c>
      <c r="M72" s="77">
        <f>I72+J72-K72</f>
        <v>0</v>
      </c>
      <c r="N72" s="30">
        <f>SUMIF('3 D P'!$D:$D,Cockpit!$E$5:$E$146,'3 D P'!L:L)</f>
        <v>0</v>
      </c>
      <c r="O72" s="30">
        <f>SUMIF('3 D P'!$D:$D,Cockpit!$E$5:$E$146,'3 D P'!M:M)</f>
        <v>0</v>
      </c>
      <c r="P72" s="30">
        <f>SUMIF('3 D P'!$D:$D,Cockpit!$E$5:$E$146,'3 D P'!N:N)</f>
        <v>0</v>
      </c>
      <c r="Q72" s="132">
        <f>IFERROR(VLOOKUP($D72,'Aptiv Dispatch'!$A:$B,2,FALSE),0)</f>
        <v>0</v>
      </c>
      <c r="R72" s="34">
        <f>SUMIF('Consumption MTD'!B:B,Cockpit!$E$5:$E$146,'Consumption MTD'!C:C)</f>
        <v>0</v>
      </c>
      <c r="S72" s="34">
        <f>SUMIF('BIW Lifting A Shift'!$B:$B,Cockpit!$E$5:$E$146,'BIW Lifting A Shift'!C:C)</f>
        <v>0</v>
      </c>
      <c r="T72" s="34" t="e">
        <f>SUMIF('BIW Lifting A Shift'!$B:$B,Cockpit!$E$5:$E$146,'BIW Lifting A Shift'!#REF!)</f>
        <v>#REF!</v>
      </c>
      <c r="U72" s="74">
        <f>M72-X72</f>
        <v>0</v>
      </c>
      <c r="V72" s="74">
        <f>M72-S72-X72</f>
        <v>0</v>
      </c>
      <c r="W72" s="74" t="e">
        <f>V72-T72</f>
        <v>#REF!</v>
      </c>
      <c r="X72" s="135">
        <f>SUMIF(FLOAT!$D:$D,Cockpit!$E$5:$E$146,FLOAT!F:F)</f>
        <v>0</v>
      </c>
      <c r="Y72" s="38"/>
      <c r="AA72" s="49"/>
      <c r="AC72" s="78"/>
      <c r="AE72" s="127"/>
      <c r="AF72" s="62">
        <f>SUMIF(FLOAT!$D:$D,Cockpit!$E72:$E209,FLOAT!G:G)</f>
        <v>0</v>
      </c>
      <c r="AG72" s="62">
        <f>SUMIF(FLOAT!$D:$D,Cockpit!$E72:$E209,FLOAT!H:H)</f>
        <v>0</v>
      </c>
      <c r="AH72" s="62">
        <f>SUMIF(FLOAT!$D:$D,Cockpit!$E72:$E209,FLOAT!I:I)</f>
        <v>0</v>
      </c>
      <c r="AI72" s="62">
        <f>SUMIF(FLOAT!$D:$D,Cockpit!$E72:$E209,FLOAT!J:J)</f>
        <v>0</v>
      </c>
      <c r="AJ72" s="62">
        <f>SUMIF(FLOAT!$D:$D,Cockpit!$E72:$E209,FLOAT!K:K)</f>
        <v>0</v>
      </c>
      <c r="AK72" s="62">
        <f>SUMIF(FLOAT!$D:$D,Cockpit!$E72:$E209,FLOAT!L:L)</f>
        <v>0</v>
      </c>
      <c r="AL72" s="62">
        <f>SUMIF(FLOAT!$D:$D,Cockpit!$E72:$E209,FLOAT!M:M)</f>
        <v>0</v>
      </c>
      <c r="AM72" s="62">
        <f>SUMIF(FLOAT!$D:$D,Cockpit!$E72:$E209,FLOAT!N:N)</f>
        <v>0</v>
      </c>
      <c r="AN72" s="62">
        <f>SUMIF(FLOAT!$D:$D,Cockpit!$E72:$E209,FLOAT!O:O)</f>
        <v>0</v>
      </c>
      <c r="AO72" s="62">
        <f>SUMIF(FLOAT!$D:$D,Cockpit!$E72:$E209,FLOAT!P:P)</f>
        <v>0</v>
      </c>
      <c r="AP72" s="60">
        <f t="shared" si="10"/>
        <v>0</v>
      </c>
    </row>
    <row r="73" spans="1:43" ht="23.25" hidden="1" customHeight="1" thickBot="1" x14ac:dyDescent="0.35">
      <c r="A73" s="297"/>
      <c r="B73" s="298"/>
      <c r="C73" s="309"/>
      <c r="D73" s="756">
        <v>544254630512</v>
      </c>
      <c r="E73" s="313" t="s">
        <v>365</v>
      </c>
      <c r="F73" s="314" t="s">
        <v>364</v>
      </c>
      <c r="G73" s="184">
        <v>0</v>
      </c>
      <c r="H73" s="230">
        <f>G73</f>
        <v>0</v>
      </c>
      <c r="I73" s="232">
        <v>4</v>
      </c>
      <c r="J73" s="214">
        <f t="shared" si="11"/>
        <v>0</v>
      </c>
      <c r="K73" s="76">
        <f t="shared" si="11"/>
        <v>0</v>
      </c>
      <c r="L73" s="155">
        <f>H73-K73</f>
        <v>0</v>
      </c>
      <c r="M73" s="77">
        <f>I73+J73-K73</f>
        <v>4</v>
      </c>
      <c r="N73" s="30">
        <f>SUMIF('3 D P'!$D:$D,Cockpit!$E$5:$E$146,'3 D P'!L:L)</f>
        <v>0</v>
      </c>
      <c r="O73" s="30">
        <f>SUMIF('3 D P'!$D:$D,Cockpit!$E$5:$E$146,'3 D P'!M:M)</f>
        <v>0</v>
      </c>
      <c r="P73" s="30">
        <f>SUMIF('3 D P'!$D:$D,Cockpit!$E$5:$E$146,'3 D P'!N:N)</f>
        <v>0</v>
      </c>
      <c r="Q73" s="132">
        <f>IFERROR(VLOOKUP($D73,'Aptiv Dispatch'!$A:$B,2,FALSE),0)</f>
        <v>0</v>
      </c>
      <c r="R73" s="34">
        <f>SUMIF('Consumption MTD'!B:B,Cockpit!$E$5:$E$146,'Consumption MTD'!C:C)</f>
        <v>0</v>
      </c>
      <c r="S73" s="34">
        <f>SUMIF('BIW Lifting A Shift'!$B:$B,Cockpit!$E$5:$E$146,'BIW Lifting A Shift'!C:C)</f>
        <v>0</v>
      </c>
      <c r="T73" s="34" t="e">
        <f>SUMIF('BIW Lifting A Shift'!$B:$B,Cockpit!$E$5:$E$146,'BIW Lifting A Shift'!#REF!)</f>
        <v>#REF!</v>
      </c>
      <c r="U73" s="74">
        <f>M73-X73</f>
        <v>4</v>
      </c>
      <c r="V73" s="74">
        <f>M73-S73-X73</f>
        <v>4</v>
      </c>
      <c r="W73" s="74" t="e">
        <f>V73-T73</f>
        <v>#REF!</v>
      </c>
      <c r="X73" s="135">
        <f>SUMIF(FLOAT!$D:$D,Cockpit!$E$5:$E$146,FLOAT!F:F)</f>
        <v>0</v>
      </c>
      <c r="Y73" s="38"/>
      <c r="AA73" s="49"/>
      <c r="AC73" s="147"/>
      <c r="AD73" s="50"/>
      <c r="AE73" s="234"/>
      <c r="AF73" s="62">
        <f>SUMIF(FLOAT!$D:$D,Cockpit!$E73:$E210,FLOAT!G:G)</f>
        <v>0</v>
      </c>
      <c r="AG73" s="62">
        <f>SUMIF(FLOAT!$D:$D,Cockpit!$E73:$E210,FLOAT!H:H)</f>
        <v>0</v>
      </c>
      <c r="AH73" s="62">
        <f>SUMIF(FLOAT!$D:$D,Cockpit!$E73:$E210,FLOAT!I:I)</f>
        <v>0</v>
      </c>
      <c r="AI73" s="62">
        <f>SUMIF(FLOAT!$D:$D,Cockpit!$E73:$E210,FLOAT!J:J)</f>
        <v>0</v>
      </c>
      <c r="AJ73" s="62">
        <f>SUMIF(FLOAT!$D:$D,Cockpit!$E73:$E210,FLOAT!K:K)</f>
        <v>0</v>
      </c>
      <c r="AK73" s="62">
        <f>SUMIF(FLOAT!$D:$D,Cockpit!$E73:$E210,FLOAT!L:L)</f>
        <v>0</v>
      </c>
      <c r="AL73" s="62">
        <f>SUMIF(FLOAT!$D:$D,Cockpit!$E73:$E210,FLOAT!M:M)</f>
        <v>0</v>
      </c>
      <c r="AM73" s="62">
        <f>SUMIF(FLOAT!$D:$D,Cockpit!$E73:$E210,FLOAT!N:N)</f>
        <v>0</v>
      </c>
      <c r="AN73" s="62">
        <f>SUMIF(FLOAT!$D:$D,Cockpit!$E73:$E210,FLOAT!O:O)</f>
        <v>0</v>
      </c>
      <c r="AO73" s="62">
        <f>SUMIF(FLOAT!$D:$D,Cockpit!$E73:$E210,FLOAT!P:P)</f>
        <v>0</v>
      </c>
      <c r="AP73" s="60">
        <f t="shared" si="10"/>
        <v>0</v>
      </c>
      <c r="AQ73" s="238"/>
    </row>
    <row r="74" spans="1:43" ht="23.25" hidden="1" customHeight="1" thickBot="1" x14ac:dyDescent="0.35">
      <c r="A74" s="297"/>
      <c r="B74" s="298"/>
      <c r="C74" s="309"/>
      <c r="D74" s="946">
        <v>544254630510</v>
      </c>
      <c r="E74" s="313" t="s">
        <v>367</v>
      </c>
      <c r="F74" s="314" t="s">
        <v>366</v>
      </c>
      <c r="G74" s="184">
        <v>0</v>
      </c>
      <c r="H74" s="833">
        <f>SUM(G74:G75)</f>
        <v>0</v>
      </c>
      <c r="I74" s="895">
        <v>34</v>
      </c>
      <c r="J74" s="836">
        <f>Q74</f>
        <v>0</v>
      </c>
      <c r="K74" s="822">
        <f>SUM(R74:R75)</f>
        <v>0</v>
      </c>
      <c r="L74" s="838">
        <f>H74-K74</f>
        <v>0</v>
      </c>
      <c r="M74" s="816">
        <f>SUM(I74:I75)+J74-K74</f>
        <v>34</v>
      </c>
      <c r="N74" s="30">
        <f>SUMIF('3 D P'!$D:$D,Cockpit!$E$5:$E$146,'3 D P'!L:L)</f>
        <v>0</v>
      </c>
      <c r="O74" s="30">
        <f>SUMIF('3 D P'!$D:$D,Cockpit!$E$5:$E$146,'3 D P'!M:M)</f>
        <v>0</v>
      </c>
      <c r="P74" s="30">
        <f>SUMIF('3 D P'!$D:$D,Cockpit!$E$5:$E$146,'3 D P'!N:N)</f>
        <v>0</v>
      </c>
      <c r="Q74" s="132">
        <f>IFERROR(VLOOKUP($D74,'Aptiv Dispatch'!$A:$B,2,FALSE),0)</f>
        <v>0</v>
      </c>
      <c r="R74" s="34">
        <f>SUMIF('Consumption MTD'!B:B,Cockpit!$E$5:$E$146,'Consumption MTD'!C:C)</f>
        <v>0</v>
      </c>
      <c r="S74" s="34">
        <f>SUMIF('BIW Lifting A Shift'!$B:$B,Cockpit!$E$5:$E$146,'BIW Lifting A Shift'!C:C)</f>
        <v>0</v>
      </c>
      <c r="T74" s="34" t="e">
        <f>SUMIF('BIW Lifting A Shift'!$B:$B,Cockpit!$E$5:$E$146,'BIW Lifting A Shift'!#REF!)</f>
        <v>#REF!</v>
      </c>
      <c r="U74" s="818">
        <f>M74-X74-X75</f>
        <v>34</v>
      </c>
      <c r="V74" s="818">
        <f>M74-X74-X75-S74-S75</f>
        <v>34</v>
      </c>
      <c r="W74" s="818" t="e">
        <f>V74-T74-T75</f>
        <v>#REF!</v>
      </c>
      <c r="X74" s="135">
        <f>SUMIF(FLOAT!$D:$D,Cockpit!$E$5:$E$146,FLOAT!F:F)</f>
        <v>0</v>
      </c>
      <c r="Y74" s="38"/>
      <c r="AA74" s="49"/>
      <c r="AC74" s="147"/>
      <c r="AD74" s="49"/>
      <c r="AE74" s="185"/>
      <c r="AF74" s="62">
        <f>SUMIF(FLOAT!$D:$D,Cockpit!$E74:$E210,FLOAT!G:G)</f>
        <v>0</v>
      </c>
      <c r="AG74" s="62">
        <f>SUMIF(FLOAT!$D:$D,Cockpit!$E74:$E210,FLOAT!H:H)</f>
        <v>0</v>
      </c>
      <c r="AH74" s="62">
        <f>SUMIF(FLOAT!$D:$D,Cockpit!$E74:$E210,FLOAT!I:I)</f>
        <v>0</v>
      </c>
      <c r="AI74" s="62">
        <f>SUMIF(FLOAT!$D:$D,Cockpit!$E74:$E210,FLOAT!J:J)</f>
        <v>0</v>
      </c>
      <c r="AJ74" s="62">
        <f>SUMIF(FLOAT!$D:$D,Cockpit!$E74:$E210,FLOAT!K:K)</f>
        <v>0</v>
      </c>
      <c r="AK74" s="62">
        <f>SUMIF(FLOAT!$D:$D,Cockpit!$E74:$E210,FLOAT!L:L)</f>
        <v>0</v>
      </c>
      <c r="AL74" s="62">
        <f>SUMIF(FLOAT!$D:$D,Cockpit!$E74:$E210,FLOAT!M:M)</f>
        <v>0</v>
      </c>
      <c r="AM74" s="62">
        <f>SUMIF(FLOAT!$D:$D,Cockpit!$E74:$E210,FLOAT!N:N)</f>
        <v>0</v>
      </c>
      <c r="AN74" s="62">
        <f>SUMIF(FLOAT!$D:$D,Cockpit!$E74:$E210,FLOAT!O:O)</f>
        <v>0</v>
      </c>
      <c r="AO74" s="62">
        <f>SUMIF(FLOAT!$D:$D,Cockpit!$E74:$E210,FLOAT!P:P)</f>
        <v>0</v>
      </c>
      <c r="AP74" s="60">
        <f>AF74+AG74+AH74+AI74+AJ74+AK74+AM74+AN74+AO74</f>
        <v>0</v>
      </c>
      <c r="AQ74" s="238"/>
    </row>
    <row r="75" spans="1:43" ht="23.25" hidden="1" customHeight="1" thickBot="1" x14ac:dyDescent="0.35">
      <c r="A75" s="297"/>
      <c r="B75" s="298"/>
      <c r="C75" s="309"/>
      <c r="D75" s="946"/>
      <c r="E75" s="313" t="s">
        <v>379</v>
      </c>
      <c r="F75" s="315" t="s">
        <v>430</v>
      </c>
      <c r="G75" s="184">
        <v>0</v>
      </c>
      <c r="H75" s="834"/>
      <c r="I75" s="823"/>
      <c r="J75" s="837"/>
      <c r="K75" s="823"/>
      <c r="L75" s="823"/>
      <c r="M75" s="816"/>
      <c r="N75" s="30">
        <f>SUMIF('3 D P'!$D:$D,Cockpit!$E$5:$E$146,'3 D P'!L:L)</f>
        <v>0</v>
      </c>
      <c r="O75" s="30">
        <f>SUMIF('3 D P'!$D:$D,Cockpit!$E$5:$E$146,'3 D P'!M:M)</f>
        <v>0</v>
      </c>
      <c r="P75" s="30">
        <f>SUMIF('3 D P'!$D:$D,Cockpit!$E$5:$E$146,'3 D P'!N:N)</f>
        <v>0</v>
      </c>
      <c r="Q75" s="132">
        <f>IFERROR(VLOOKUP($D75,'Aptiv Dispatch'!$A:$B,2,FALSE),0)</f>
        <v>0</v>
      </c>
      <c r="R75" s="34">
        <f>SUMIF('Consumption MTD'!B:B,Cockpit!$E$5:$E$146,'Consumption MTD'!C:C)</f>
        <v>0</v>
      </c>
      <c r="S75" s="34">
        <f>SUMIF('BIW Lifting A Shift'!$B:$B,Cockpit!$E$5:$E$146,'BIW Lifting A Shift'!C:C)</f>
        <v>0</v>
      </c>
      <c r="T75" s="34" t="e">
        <f>SUMIF('BIW Lifting A Shift'!$B:$B,Cockpit!$E$5:$E$146,'BIW Lifting A Shift'!#REF!)</f>
        <v>#REF!</v>
      </c>
      <c r="U75" s="818"/>
      <c r="V75" s="818"/>
      <c r="W75" s="818"/>
      <c r="X75" s="135">
        <f>SUMIF(FLOAT!$D:$D,Cockpit!$E$5:$E$146,FLOAT!F:F)</f>
        <v>0</v>
      </c>
      <c r="Y75" s="38"/>
      <c r="AA75" s="49"/>
      <c r="AC75" s="147"/>
      <c r="AD75" s="49"/>
      <c r="AE75" s="185"/>
      <c r="AF75" s="62">
        <f>SUMIF(FLOAT!$D:$D,Cockpit!$E75:$E211,FLOAT!G:G)</f>
        <v>0</v>
      </c>
      <c r="AG75" s="62">
        <f>SUMIF(FLOAT!$D:$D,Cockpit!$E75:$E211,FLOAT!H:H)</f>
        <v>0</v>
      </c>
      <c r="AH75" s="62">
        <f>SUMIF(FLOAT!$D:$D,Cockpit!$E75:$E211,FLOAT!I:I)</f>
        <v>0</v>
      </c>
      <c r="AI75" s="62">
        <f>SUMIF(FLOAT!$D:$D,Cockpit!$E75:$E211,FLOAT!J:J)</f>
        <v>0</v>
      </c>
      <c r="AJ75" s="62">
        <f>SUMIF(FLOAT!$D:$D,Cockpit!$E75:$E211,FLOAT!K:K)</f>
        <v>0</v>
      </c>
      <c r="AK75" s="62">
        <f>SUMIF(FLOAT!$D:$D,Cockpit!$E75:$E211,FLOAT!L:L)</f>
        <v>0</v>
      </c>
      <c r="AL75" s="62">
        <f>SUMIF(FLOAT!$D:$D,Cockpit!$E75:$E211,FLOAT!M:M)</f>
        <v>0</v>
      </c>
      <c r="AM75" s="62">
        <f>SUMIF(FLOAT!$D:$D,Cockpit!$E75:$E211,FLOAT!N:N)</f>
        <v>0</v>
      </c>
      <c r="AN75" s="62">
        <f>SUMIF(FLOAT!$D:$D,Cockpit!$E75:$E211,FLOAT!O:O)</f>
        <v>0</v>
      </c>
      <c r="AO75" s="62">
        <f>SUMIF(FLOAT!$D:$D,Cockpit!$E75:$E211,FLOAT!P:P)</f>
        <v>0</v>
      </c>
      <c r="AP75" s="60">
        <f>AF75+AG75+AH75+AI75+AJ75+AK75+AM75+AN75+AO75</f>
        <v>0</v>
      </c>
      <c r="AQ75" s="238"/>
    </row>
    <row r="76" spans="1:43" ht="23.25" hidden="1" customHeight="1" thickBot="1" x14ac:dyDescent="0.35">
      <c r="A76" s="297"/>
      <c r="B76" s="298"/>
      <c r="C76" s="309"/>
      <c r="D76" s="756">
        <v>544254640219</v>
      </c>
      <c r="E76" s="313" t="s">
        <v>370</v>
      </c>
      <c r="F76" s="314" t="s">
        <v>369</v>
      </c>
      <c r="G76" s="184">
        <v>0</v>
      </c>
      <c r="H76" s="230">
        <f>G76</f>
        <v>0</v>
      </c>
      <c r="I76" s="232">
        <v>1</v>
      </c>
      <c r="J76" s="214">
        <f t="shared" si="11"/>
        <v>0</v>
      </c>
      <c r="K76" s="76">
        <f t="shared" si="11"/>
        <v>0</v>
      </c>
      <c r="L76" s="155">
        <f>H76-K76</f>
        <v>0</v>
      </c>
      <c r="M76" s="77">
        <f>I76+J76-K76</f>
        <v>1</v>
      </c>
      <c r="N76" s="30">
        <f>SUMIF('3 D P'!$D:$D,Cockpit!$E$5:$E$146,'3 D P'!L:L)</f>
        <v>0</v>
      </c>
      <c r="O76" s="30">
        <f>SUMIF('3 D P'!$D:$D,Cockpit!$E$5:$E$146,'3 D P'!M:M)</f>
        <v>0</v>
      </c>
      <c r="P76" s="30">
        <f>SUMIF('3 D P'!$D:$D,Cockpit!$E$5:$E$146,'3 D P'!N:N)</f>
        <v>0</v>
      </c>
      <c r="Q76" s="132">
        <f>IFERROR(VLOOKUP($D76,'Aptiv Dispatch'!$A:$B,2,FALSE),0)</f>
        <v>0</v>
      </c>
      <c r="R76" s="34">
        <f>SUMIF('Consumption MTD'!B:B,Cockpit!$E$5:$E$146,'Consumption MTD'!C:C)</f>
        <v>0</v>
      </c>
      <c r="S76" s="34">
        <f>SUMIF('BIW Lifting A Shift'!$B:$B,Cockpit!$E$5:$E$146,'BIW Lifting A Shift'!C:C)</f>
        <v>0</v>
      </c>
      <c r="T76" s="34" t="e">
        <f>SUMIF('BIW Lifting A Shift'!$B:$B,Cockpit!$E$5:$E$146,'BIW Lifting A Shift'!#REF!)</f>
        <v>#REF!</v>
      </c>
      <c r="U76" s="74">
        <f>M76-X76</f>
        <v>1</v>
      </c>
      <c r="V76" s="74">
        <f>M76-S76-X76</f>
        <v>1</v>
      </c>
      <c r="W76" s="74" t="e">
        <f>V76-T76</f>
        <v>#REF!</v>
      </c>
      <c r="X76" s="135">
        <f>SUMIF(FLOAT!$D:$D,Cockpit!$E$5:$E$146,FLOAT!F:F)</f>
        <v>0</v>
      </c>
      <c r="Y76" s="38"/>
      <c r="AA76" s="49"/>
      <c r="AC76" s="147"/>
      <c r="AD76" s="50"/>
      <c r="AE76" s="234"/>
      <c r="AF76" s="62">
        <f>SUMIF(FLOAT!$D:$D,Cockpit!$E76:$E212,FLOAT!G:G)</f>
        <v>0</v>
      </c>
      <c r="AG76" s="62">
        <f>SUMIF(FLOAT!$D:$D,Cockpit!$E76:$E212,FLOAT!H:H)</f>
        <v>0</v>
      </c>
      <c r="AH76" s="62">
        <f>SUMIF(FLOAT!$D:$D,Cockpit!$E76:$E212,FLOAT!I:I)</f>
        <v>0</v>
      </c>
      <c r="AI76" s="62">
        <f>SUMIF(FLOAT!$D:$D,Cockpit!$E76:$E212,FLOAT!J:J)</f>
        <v>0</v>
      </c>
      <c r="AJ76" s="62">
        <f>SUMIF(FLOAT!$D:$D,Cockpit!$E76:$E212,FLOAT!K:K)</f>
        <v>0</v>
      </c>
      <c r="AK76" s="62">
        <f>SUMIF(FLOAT!$D:$D,Cockpit!$E76:$E212,FLOAT!L:L)</f>
        <v>0</v>
      </c>
      <c r="AL76" s="62">
        <f>SUMIF(FLOAT!$D:$D,Cockpit!$E76:$E212,FLOAT!M:M)</f>
        <v>0</v>
      </c>
      <c r="AM76" s="62">
        <f>SUMIF(FLOAT!$D:$D,Cockpit!$E76:$E212,FLOAT!N:N)</f>
        <v>0</v>
      </c>
      <c r="AN76" s="62">
        <f>SUMIF(FLOAT!$D:$D,Cockpit!$E76:$E212,FLOAT!O:O)</f>
        <v>0</v>
      </c>
      <c r="AO76" s="62">
        <f>SUMIF(FLOAT!$D:$D,Cockpit!$E76:$E212,FLOAT!P:P)</f>
        <v>0</v>
      </c>
      <c r="AP76" s="60">
        <f t="shared" si="10"/>
        <v>0</v>
      </c>
      <c r="AQ76" s="238"/>
    </row>
    <row r="77" spans="1:43" ht="23.25" hidden="1" customHeight="1" x14ac:dyDescent="0.3">
      <c r="A77" s="297"/>
      <c r="B77" s="298"/>
      <c r="C77" s="309"/>
      <c r="D77" s="946">
        <v>544254630499</v>
      </c>
      <c r="E77" s="313" t="s">
        <v>368</v>
      </c>
      <c r="F77" s="315" t="s">
        <v>440</v>
      </c>
      <c r="G77" s="184">
        <v>0</v>
      </c>
      <c r="H77" s="833">
        <f>SUM(G77:G78)</f>
        <v>0</v>
      </c>
      <c r="I77" s="895">
        <v>0</v>
      </c>
      <c r="J77" s="836">
        <f>Q77</f>
        <v>0</v>
      </c>
      <c r="K77" s="822">
        <f>SUM(R77:R78)</f>
        <v>0</v>
      </c>
      <c r="L77" s="838">
        <f>H77-K77</f>
        <v>0</v>
      </c>
      <c r="M77" s="816">
        <f>SUM(I77:I78)+J77-K77</f>
        <v>0</v>
      </c>
      <c r="N77" s="30">
        <f>SUMIF('3 D P'!$D:$D,Cockpit!$E$5:$E$146,'3 D P'!L:L)</f>
        <v>0</v>
      </c>
      <c r="O77" s="30">
        <f>SUMIF('3 D P'!$D:$D,Cockpit!$E$5:$E$146,'3 D P'!M:M)</f>
        <v>0</v>
      </c>
      <c r="P77" s="30">
        <f>SUMIF('3 D P'!$D:$D,Cockpit!$E$5:$E$146,'3 D P'!N:N)</f>
        <v>0</v>
      </c>
      <c r="Q77" s="132">
        <f>IFERROR(VLOOKUP($D77,'Aptiv Dispatch'!$A:$B,2,FALSE),0)</f>
        <v>0</v>
      </c>
      <c r="R77" s="34">
        <f>SUMIF('Consumption MTD'!B:B,Cockpit!$E$5:$E$146,'Consumption MTD'!C:C)</f>
        <v>0</v>
      </c>
      <c r="S77" s="34">
        <f>SUMIF('BIW Lifting A Shift'!$B:$B,Cockpit!$E$5:$E$146,'BIW Lifting A Shift'!C:C)</f>
        <v>0</v>
      </c>
      <c r="T77" s="34" t="e">
        <f>SUMIF('BIW Lifting A Shift'!$B:$B,Cockpit!$E$5:$E$146,'BIW Lifting A Shift'!#REF!)</f>
        <v>#REF!</v>
      </c>
      <c r="U77" s="818">
        <f>M77-X77-X78</f>
        <v>0</v>
      </c>
      <c r="V77" s="818">
        <f>M77-X77-X78-S77-S78</f>
        <v>0</v>
      </c>
      <c r="W77" s="818" t="e">
        <f>V77-T77-T78</f>
        <v>#REF!</v>
      </c>
      <c r="X77" s="135">
        <f>SUMIF(FLOAT!$D:$D,Cockpit!$E$5:$E$146,FLOAT!F:F)</f>
        <v>0</v>
      </c>
      <c r="Y77" s="38"/>
      <c r="AA77" s="49"/>
      <c r="AC77" s="147"/>
      <c r="AD77" s="49"/>
      <c r="AE77" s="185"/>
      <c r="AF77" s="62">
        <f>SUMIF(FLOAT!$D:$D,Cockpit!$E77:$E213,FLOAT!G:G)</f>
        <v>0</v>
      </c>
      <c r="AG77" s="62">
        <f>SUMIF(FLOAT!$D:$D,Cockpit!$E77:$E213,FLOAT!H:H)</f>
        <v>0</v>
      </c>
      <c r="AH77" s="62">
        <f>SUMIF(FLOAT!$D:$D,Cockpit!$E77:$E213,FLOAT!I:I)</f>
        <v>0</v>
      </c>
      <c r="AI77" s="62">
        <f>SUMIF(FLOAT!$D:$D,Cockpit!$E77:$E213,FLOAT!J:J)</f>
        <v>0</v>
      </c>
      <c r="AJ77" s="62">
        <f>SUMIF(FLOAT!$D:$D,Cockpit!$E77:$E213,FLOAT!K:K)</f>
        <v>0</v>
      </c>
      <c r="AK77" s="62">
        <f>SUMIF(FLOAT!$D:$D,Cockpit!$E77:$E213,FLOAT!L:L)</f>
        <v>0</v>
      </c>
      <c r="AL77" s="62">
        <f>SUMIF(FLOAT!$D:$D,Cockpit!$E77:$E213,FLOAT!M:M)</f>
        <v>0</v>
      </c>
      <c r="AM77" s="62">
        <f>SUMIF(FLOAT!$D:$D,Cockpit!$E77:$E213,FLOAT!N:N)</f>
        <v>0</v>
      </c>
      <c r="AN77" s="62">
        <f>SUMIF(FLOAT!$D:$D,Cockpit!$E77:$E213,FLOAT!O:O)</f>
        <v>0</v>
      </c>
      <c r="AO77" s="62">
        <f>SUMIF(FLOAT!$D:$D,Cockpit!$E77:$E213,FLOAT!P:P)</f>
        <v>0</v>
      </c>
      <c r="AP77" s="60">
        <f t="shared" si="10"/>
        <v>0</v>
      </c>
      <c r="AQ77" s="238"/>
    </row>
    <row r="78" spans="1:43" ht="23.25" hidden="1" customHeight="1" thickBot="1" x14ac:dyDescent="0.35">
      <c r="A78" s="297"/>
      <c r="B78" s="298"/>
      <c r="C78" s="309"/>
      <c r="D78" s="946"/>
      <c r="E78" s="313" t="s">
        <v>441</v>
      </c>
      <c r="F78" s="316" t="s">
        <v>442</v>
      </c>
      <c r="G78" s="184">
        <v>0</v>
      </c>
      <c r="H78" s="834"/>
      <c r="I78" s="823"/>
      <c r="J78" s="837"/>
      <c r="K78" s="823"/>
      <c r="L78" s="823"/>
      <c r="M78" s="816"/>
      <c r="N78" s="30">
        <f>SUMIF('3 D P'!$D:$D,Cockpit!$E$5:$E$146,'3 D P'!L:L)</f>
        <v>0</v>
      </c>
      <c r="O78" s="30">
        <f>SUMIF('3 D P'!$D:$D,Cockpit!$E$5:$E$146,'3 D P'!M:M)</f>
        <v>0</v>
      </c>
      <c r="P78" s="30">
        <f>SUMIF('3 D P'!$D:$D,Cockpit!$E$5:$E$146,'3 D P'!N:N)</f>
        <v>0</v>
      </c>
      <c r="Q78" s="132">
        <f>IFERROR(VLOOKUP($D78,'Aptiv Dispatch'!$A:$B,2,FALSE),0)</f>
        <v>0</v>
      </c>
      <c r="R78" s="34">
        <f>SUMIF('Consumption MTD'!B:B,Cockpit!$E$5:$E$146,'Consumption MTD'!C:C)</f>
        <v>0</v>
      </c>
      <c r="S78" s="34">
        <f>SUMIF('BIW Lifting A Shift'!$B:$B,Cockpit!$E$5:$E$146,'BIW Lifting A Shift'!C:C)</f>
        <v>0</v>
      </c>
      <c r="T78" s="34" t="e">
        <f>SUMIF('BIW Lifting A Shift'!$B:$B,Cockpit!$E$5:$E$146,'BIW Lifting A Shift'!#REF!)</f>
        <v>#REF!</v>
      </c>
      <c r="U78" s="818"/>
      <c r="V78" s="818"/>
      <c r="W78" s="818"/>
      <c r="X78" s="135">
        <f>SUMIF(FLOAT!$D:$D,Cockpit!$E$5:$E$146,FLOAT!F:F)</f>
        <v>0</v>
      </c>
      <c r="Y78" s="38"/>
      <c r="AA78" s="49"/>
      <c r="AC78" s="147"/>
      <c r="AD78" s="49"/>
      <c r="AE78" s="185"/>
      <c r="AF78" s="62">
        <f>SUMIF(FLOAT!$D:$D,Cockpit!$E78:$E214,FLOAT!G:G)</f>
        <v>0</v>
      </c>
      <c r="AG78" s="62">
        <f>SUMIF(FLOAT!$D:$D,Cockpit!$E78:$E214,FLOAT!H:H)</f>
        <v>0</v>
      </c>
      <c r="AH78" s="62">
        <f>SUMIF(FLOAT!$D:$D,Cockpit!$E78:$E214,FLOAT!I:I)</f>
        <v>0</v>
      </c>
      <c r="AI78" s="62">
        <f>SUMIF(FLOAT!$D:$D,Cockpit!$E78:$E214,FLOAT!J:J)</f>
        <v>0</v>
      </c>
      <c r="AJ78" s="62">
        <f>SUMIF(FLOAT!$D:$D,Cockpit!$E78:$E214,FLOAT!K:K)</f>
        <v>0</v>
      </c>
      <c r="AK78" s="62">
        <f>SUMIF(FLOAT!$D:$D,Cockpit!$E78:$E214,FLOAT!L:L)</f>
        <v>0</v>
      </c>
      <c r="AL78" s="62">
        <f>SUMIF(FLOAT!$D:$D,Cockpit!$E78:$E214,FLOAT!M:M)</f>
        <v>0</v>
      </c>
      <c r="AM78" s="62">
        <f>SUMIF(FLOAT!$D:$D,Cockpit!$E78:$E214,FLOAT!N:N)</f>
        <v>0</v>
      </c>
      <c r="AN78" s="62">
        <f>SUMIF(FLOAT!$D:$D,Cockpit!$E78:$E214,FLOAT!O:O)</f>
        <v>0</v>
      </c>
      <c r="AO78" s="62">
        <f>SUMIF(FLOAT!$D:$D,Cockpit!$E78:$E214,FLOAT!P:P)</f>
        <v>0</v>
      </c>
      <c r="AP78" s="60">
        <f t="shared" si="10"/>
        <v>0</v>
      </c>
      <c r="AQ78" s="238"/>
    </row>
    <row r="79" spans="1:43" ht="23.25" hidden="1" customHeight="1" x14ac:dyDescent="0.3">
      <c r="A79" s="297"/>
      <c r="B79" s="298"/>
      <c r="C79" s="309"/>
      <c r="D79" s="946">
        <v>544254640202</v>
      </c>
      <c r="E79" s="313" t="s">
        <v>437</v>
      </c>
      <c r="F79" s="315" t="s">
        <v>443</v>
      </c>
      <c r="G79" s="184">
        <v>0</v>
      </c>
      <c r="H79" s="833">
        <f>SUM(G79:G80)</f>
        <v>0</v>
      </c>
      <c r="I79" s="822">
        <v>8</v>
      </c>
      <c r="J79" s="836">
        <f>Q79</f>
        <v>0</v>
      </c>
      <c r="K79" s="822">
        <f>SUM(R79:R80)</f>
        <v>0</v>
      </c>
      <c r="L79" s="838">
        <f>H79-K79</f>
        <v>0</v>
      </c>
      <c r="M79" s="816">
        <f>SUM(I79:I80)+J79-K79</f>
        <v>8</v>
      </c>
      <c r="N79" s="30">
        <f>SUMIF('3 D P'!$D:$D,Cockpit!$E$5:$E$146,'3 D P'!L:L)</f>
        <v>0</v>
      </c>
      <c r="O79" s="30">
        <f>SUMIF('3 D P'!$D:$D,Cockpit!$E$5:$E$146,'3 D P'!M:M)</f>
        <v>0</v>
      </c>
      <c r="P79" s="30">
        <f>SUMIF('3 D P'!$D:$D,Cockpit!$E$5:$E$146,'3 D P'!N:N)</f>
        <v>0</v>
      </c>
      <c r="Q79" s="132">
        <f>IFERROR(VLOOKUP($D79,'Aptiv Dispatch'!$A:$B,2,FALSE),0)</f>
        <v>0</v>
      </c>
      <c r="R79" s="34">
        <f>SUMIF('Consumption MTD'!B:B,Cockpit!$E$5:$E$146,'Consumption MTD'!C:C)</f>
        <v>0</v>
      </c>
      <c r="S79" s="34">
        <f>SUMIF('BIW Lifting A Shift'!$B:$B,Cockpit!$E$5:$E$146,'BIW Lifting A Shift'!C:C)</f>
        <v>0</v>
      </c>
      <c r="T79" s="34" t="e">
        <f>SUMIF('BIW Lifting A Shift'!$B:$B,Cockpit!$E$5:$E$146,'BIW Lifting A Shift'!#REF!)</f>
        <v>#REF!</v>
      </c>
      <c r="U79" s="818">
        <f>M79-X79-X80</f>
        <v>8</v>
      </c>
      <c r="V79" s="818">
        <f>M79-X79-X80-S79-S80</f>
        <v>8</v>
      </c>
      <c r="W79" s="818" t="e">
        <f>V79-T79-T80</f>
        <v>#REF!</v>
      </c>
      <c r="X79" s="135">
        <f>SUMIF(FLOAT!$D:$D,Cockpit!$E$5:$E$146,FLOAT!F:F)</f>
        <v>0</v>
      </c>
      <c r="Y79" s="38"/>
      <c r="AA79" s="49"/>
      <c r="AC79" s="147"/>
      <c r="AD79" s="49"/>
      <c r="AE79" s="185"/>
      <c r="AF79" s="62">
        <f>SUMIF(FLOAT!$D:$D,Cockpit!$E79:$E215,FLOAT!G:G)</f>
        <v>0</v>
      </c>
      <c r="AG79" s="62">
        <f>SUMIF(FLOAT!$D:$D,Cockpit!$E79:$E215,FLOAT!H:H)</f>
        <v>0</v>
      </c>
      <c r="AH79" s="62">
        <f>SUMIF(FLOAT!$D:$D,Cockpit!$E79:$E215,FLOAT!I:I)</f>
        <v>0</v>
      </c>
      <c r="AI79" s="62">
        <f>SUMIF(FLOAT!$D:$D,Cockpit!$E79:$E215,FLOAT!J:J)</f>
        <v>0</v>
      </c>
      <c r="AJ79" s="62">
        <f>SUMIF(FLOAT!$D:$D,Cockpit!$E79:$E215,FLOAT!K:K)</f>
        <v>0</v>
      </c>
      <c r="AK79" s="62">
        <f>SUMIF(FLOAT!$D:$D,Cockpit!$E79:$E215,FLOAT!L:L)</f>
        <v>0</v>
      </c>
      <c r="AL79" s="62">
        <f>SUMIF(FLOAT!$D:$D,Cockpit!$E79:$E215,FLOAT!M:M)</f>
        <v>0</v>
      </c>
      <c r="AM79" s="62">
        <f>SUMIF(FLOAT!$D:$D,Cockpit!$E79:$E215,FLOAT!N:N)</f>
        <v>0</v>
      </c>
      <c r="AN79" s="62">
        <f>SUMIF(FLOAT!$D:$D,Cockpit!$E79:$E215,FLOAT!O:O)</f>
        <v>0</v>
      </c>
      <c r="AO79" s="62">
        <f>SUMIF(FLOAT!$D:$D,Cockpit!$E79:$E215,FLOAT!P:P)</f>
        <v>0</v>
      </c>
      <c r="AP79" s="60">
        <f t="shared" si="10"/>
        <v>0</v>
      </c>
      <c r="AQ79" s="238"/>
    </row>
    <row r="80" spans="1:43" ht="23.25" hidden="1" customHeight="1" thickBot="1" x14ac:dyDescent="0.35">
      <c r="A80" s="297"/>
      <c r="B80" s="298"/>
      <c r="C80" s="309"/>
      <c r="D80" s="946"/>
      <c r="E80" s="313" t="s">
        <v>439</v>
      </c>
      <c r="F80" s="317" t="s">
        <v>438</v>
      </c>
      <c r="G80" s="184">
        <v>0</v>
      </c>
      <c r="H80" s="834"/>
      <c r="I80" s="823"/>
      <c r="J80" s="837"/>
      <c r="K80" s="823"/>
      <c r="L80" s="823"/>
      <c r="M80" s="816"/>
      <c r="N80" s="30">
        <f>SUMIF('3 D P'!$D:$D,Cockpit!$E$5:$E$146,'3 D P'!L:L)</f>
        <v>0</v>
      </c>
      <c r="O80" s="30">
        <f>SUMIF('3 D P'!$D:$D,Cockpit!$E$5:$E$146,'3 D P'!M:M)</f>
        <v>0</v>
      </c>
      <c r="P80" s="30">
        <f>SUMIF('3 D P'!$D:$D,Cockpit!$E$5:$E$146,'3 D P'!N:N)</f>
        <v>0</v>
      </c>
      <c r="Q80" s="132">
        <f>IFERROR(VLOOKUP($D80,'Aptiv Dispatch'!$A:$B,2,FALSE),0)</f>
        <v>0</v>
      </c>
      <c r="R80" s="34">
        <f>SUMIF('Consumption MTD'!B:B,Cockpit!$E$5:$E$146,'Consumption MTD'!C:C)</f>
        <v>0</v>
      </c>
      <c r="S80" s="34">
        <f>SUMIF('BIW Lifting A Shift'!$B:$B,Cockpit!$E$5:$E$146,'BIW Lifting A Shift'!C:C)</f>
        <v>0</v>
      </c>
      <c r="T80" s="34" t="e">
        <f>SUMIF('BIW Lifting A Shift'!$B:$B,Cockpit!$E$5:$E$146,'BIW Lifting A Shift'!#REF!)</f>
        <v>#REF!</v>
      </c>
      <c r="U80" s="818"/>
      <c r="V80" s="818"/>
      <c r="W80" s="818"/>
      <c r="X80" s="135">
        <f>SUMIF(FLOAT!$D:$D,Cockpit!$E$5:$E$146,FLOAT!F:F)</f>
        <v>0</v>
      </c>
      <c r="Y80" s="38"/>
      <c r="AA80" s="49"/>
      <c r="AC80" s="147"/>
      <c r="AD80" s="49"/>
      <c r="AE80" s="185"/>
      <c r="AF80" s="62">
        <f>SUMIF(FLOAT!$D:$D,Cockpit!$E80:$E216,FLOAT!G:G)</f>
        <v>0</v>
      </c>
      <c r="AG80" s="62">
        <f>SUMIF(FLOAT!$D:$D,Cockpit!$E80:$E216,FLOAT!H:H)</f>
        <v>0</v>
      </c>
      <c r="AH80" s="62">
        <f>SUMIF(FLOAT!$D:$D,Cockpit!$E80:$E216,FLOAT!I:I)</f>
        <v>0</v>
      </c>
      <c r="AI80" s="62">
        <f>SUMIF(FLOAT!$D:$D,Cockpit!$E80:$E216,FLOAT!J:J)</f>
        <v>0</v>
      </c>
      <c r="AJ80" s="62">
        <f>SUMIF(FLOAT!$D:$D,Cockpit!$E80:$E216,FLOAT!K:K)</f>
        <v>0</v>
      </c>
      <c r="AK80" s="62">
        <f>SUMIF(FLOAT!$D:$D,Cockpit!$E80:$E216,FLOAT!L:L)</f>
        <v>0</v>
      </c>
      <c r="AL80" s="62">
        <f>SUMIF(FLOAT!$D:$D,Cockpit!$E80:$E216,FLOAT!M:M)</f>
        <v>0</v>
      </c>
      <c r="AM80" s="62">
        <f>SUMIF(FLOAT!$D:$D,Cockpit!$E80:$E216,FLOAT!N:N)</f>
        <v>0</v>
      </c>
      <c r="AN80" s="62">
        <f>SUMIF(FLOAT!$D:$D,Cockpit!$E80:$E216,FLOAT!O:O)</f>
        <v>0</v>
      </c>
      <c r="AO80" s="62">
        <f>SUMIF(FLOAT!$D:$D,Cockpit!$E80:$E216,FLOAT!P:P)</f>
        <v>0</v>
      </c>
      <c r="AP80" s="60">
        <f t="shared" si="10"/>
        <v>0</v>
      </c>
      <c r="AQ80" s="238"/>
    </row>
    <row r="81" spans="1:43" ht="23.25" hidden="1" customHeight="1" x14ac:dyDescent="0.3">
      <c r="A81" s="297"/>
      <c r="B81" s="298"/>
      <c r="C81" s="309"/>
      <c r="D81" s="946">
        <v>544254640207</v>
      </c>
      <c r="E81" s="313" t="s">
        <v>444</v>
      </c>
      <c r="F81" s="315" t="s">
        <v>445</v>
      </c>
      <c r="G81" s="184">
        <v>0</v>
      </c>
      <c r="H81" s="833">
        <f>SUM(G81:G82)</f>
        <v>0</v>
      </c>
      <c r="I81" s="822">
        <v>0</v>
      </c>
      <c r="J81" s="836">
        <f>Q81</f>
        <v>0</v>
      </c>
      <c r="K81" s="822">
        <f>SUM(R81:R82)</f>
        <v>0</v>
      </c>
      <c r="L81" s="838">
        <f>H81-K81</f>
        <v>0</v>
      </c>
      <c r="M81" s="816">
        <f>SUM(I81:I82)+J81-K81</f>
        <v>0</v>
      </c>
      <c r="N81" s="30">
        <f>SUMIF('3 D P'!$D:$D,Cockpit!$E$5:$E$146,'3 D P'!L:L)</f>
        <v>0</v>
      </c>
      <c r="O81" s="30">
        <f>SUMIF('3 D P'!$D:$D,Cockpit!$E$5:$E$146,'3 D P'!M:M)</f>
        <v>0</v>
      </c>
      <c r="P81" s="30">
        <f>SUMIF('3 D P'!$D:$D,Cockpit!$E$5:$E$146,'3 D P'!N:N)</f>
        <v>0</v>
      </c>
      <c r="Q81" s="132">
        <f>IFERROR(VLOOKUP($D81,'Aptiv Dispatch'!$A:$B,2,FALSE),0)</f>
        <v>0</v>
      </c>
      <c r="R81" s="34">
        <f>SUMIF('Consumption MTD'!B:B,Cockpit!$E$5:$E$146,'Consumption MTD'!C:C)</f>
        <v>0</v>
      </c>
      <c r="S81" s="34">
        <f>SUMIF('BIW Lifting A Shift'!$B:$B,Cockpit!$E$5:$E$146,'BIW Lifting A Shift'!C:C)</f>
        <v>0</v>
      </c>
      <c r="T81" s="34" t="e">
        <f>SUMIF('BIW Lifting A Shift'!$B:$B,Cockpit!$E$5:$E$146,'BIW Lifting A Shift'!#REF!)</f>
        <v>#REF!</v>
      </c>
      <c r="U81" s="818">
        <f>M81-X81-X82</f>
        <v>0</v>
      </c>
      <c r="V81" s="818">
        <f>M81-X81-X82-S81-S82</f>
        <v>0</v>
      </c>
      <c r="W81" s="818" t="e">
        <f>V81-T81-T82</f>
        <v>#REF!</v>
      </c>
      <c r="X81" s="135">
        <f>SUMIF(FLOAT!$D:$D,Cockpit!$E$5:$E$146,FLOAT!F:F)</f>
        <v>0</v>
      </c>
      <c r="Y81" s="38"/>
      <c r="AA81" s="49"/>
      <c r="AC81" s="147"/>
      <c r="AD81" s="49"/>
      <c r="AE81" s="185"/>
      <c r="AF81" s="62">
        <f>SUMIF(FLOAT!$D:$D,Cockpit!$E81:$E217,FLOAT!G:G)</f>
        <v>0</v>
      </c>
      <c r="AG81" s="62">
        <f>SUMIF(FLOAT!$D:$D,Cockpit!$E81:$E217,FLOAT!H:H)</f>
        <v>0</v>
      </c>
      <c r="AH81" s="62">
        <f>SUMIF(FLOAT!$D:$D,Cockpit!$E81:$E217,FLOAT!I:I)</f>
        <v>0</v>
      </c>
      <c r="AI81" s="62">
        <f>SUMIF(FLOAT!$D:$D,Cockpit!$E81:$E217,FLOAT!J:J)</f>
        <v>0</v>
      </c>
      <c r="AJ81" s="62">
        <f>SUMIF(FLOAT!$D:$D,Cockpit!$E81:$E217,FLOAT!K:K)</f>
        <v>0</v>
      </c>
      <c r="AK81" s="62">
        <f>SUMIF(FLOAT!$D:$D,Cockpit!$E81:$E217,FLOAT!L:L)</f>
        <v>0</v>
      </c>
      <c r="AL81" s="62">
        <f>SUMIF(FLOAT!$D:$D,Cockpit!$E81:$E217,FLOAT!M:M)</f>
        <v>0</v>
      </c>
      <c r="AM81" s="62">
        <f>SUMIF(FLOAT!$D:$D,Cockpit!$E81:$E217,FLOAT!N:N)</f>
        <v>0</v>
      </c>
      <c r="AN81" s="62">
        <f>SUMIF(FLOAT!$D:$D,Cockpit!$E81:$E217,FLOAT!O:O)</f>
        <v>0</v>
      </c>
      <c r="AO81" s="62">
        <f>SUMIF(FLOAT!$D:$D,Cockpit!$E81:$E217,FLOAT!P:P)</f>
        <v>0</v>
      </c>
      <c r="AP81" s="60">
        <f t="shared" si="10"/>
        <v>0</v>
      </c>
      <c r="AQ81" s="238"/>
    </row>
    <row r="82" spans="1:43" ht="23.25" hidden="1" customHeight="1" thickBot="1" x14ac:dyDescent="0.35">
      <c r="A82" s="297"/>
      <c r="B82" s="298"/>
      <c r="C82" s="309"/>
      <c r="D82" s="946"/>
      <c r="E82" s="313" t="s">
        <v>446</v>
      </c>
      <c r="F82" s="318" t="s">
        <v>447</v>
      </c>
      <c r="G82" s="184">
        <v>0</v>
      </c>
      <c r="H82" s="834"/>
      <c r="I82" s="823"/>
      <c r="J82" s="837"/>
      <c r="K82" s="823"/>
      <c r="L82" s="823"/>
      <c r="M82" s="816"/>
      <c r="N82" s="30">
        <f>SUMIF('3 D P'!$D:$D,Cockpit!$E$5:$E$146,'3 D P'!L:L)</f>
        <v>0</v>
      </c>
      <c r="O82" s="30">
        <f>SUMIF('3 D P'!$D:$D,Cockpit!$E$5:$E$146,'3 D P'!M:M)</f>
        <v>0</v>
      </c>
      <c r="P82" s="30">
        <f>SUMIF('3 D P'!$D:$D,Cockpit!$E$5:$E$146,'3 D P'!N:N)</f>
        <v>0</v>
      </c>
      <c r="Q82" s="132">
        <f>IFERROR(VLOOKUP($D82,'Aptiv Dispatch'!$A:$B,2,FALSE),0)</f>
        <v>0</v>
      </c>
      <c r="R82" s="34">
        <f>SUMIF('Consumption MTD'!B:B,Cockpit!$E$5:$E$146,'Consumption MTD'!C:C)</f>
        <v>0</v>
      </c>
      <c r="S82" s="34">
        <f>SUMIF('BIW Lifting A Shift'!$B:$B,Cockpit!$E$5:$E$146,'BIW Lifting A Shift'!C:C)</f>
        <v>0</v>
      </c>
      <c r="T82" s="34" t="e">
        <f>SUMIF('BIW Lifting A Shift'!$B:$B,Cockpit!$E$5:$E$146,'BIW Lifting A Shift'!#REF!)</f>
        <v>#REF!</v>
      </c>
      <c r="U82" s="818"/>
      <c r="V82" s="818"/>
      <c r="W82" s="818"/>
      <c r="X82" s="135">
        <f>SUMIF(FLOAT!$D:$D,Cockpit!$E$5:$E$146,FLOAT!F:F)</f>
        <v>0</v>
      </c>
      <c r="Y82" s="38"/>
      <c r="AA82" s="49"/>
      <c r="AC82" s="147"/>
      <c r="AD82" s="49"/>
      <c r="AE82" s="185"/>
      <c r="AF82" s="62">
        <f>SUMIF(FLOAT!$D:$D,Cockpit!$E82:$E218,FLOAT!G:G)</f>
        <v>0</v>
      </c>
      <c r="AG82" s="62">
        <f>SUMIF(FLOAT!$D:$D,Cockpit!$E82:$E218,FLOAT!H:H)</f>
        <v>0</v>
      </c>
      <c r="AH82" s="62">
        <f>SUMIF(FLOAT!$D:$D,Cockpit!$E82:$E218,FLOAT!I:I)</f>
        <v>0</v>
      </c>
      <c r="AI82" s="62">
        <f>SUMIF(FLOAT!$D:$D,Cockpit!$E82:$E218,FLOAT!J:J)</f>
        <v>0</v>
      </c>
      <c r="AJ82" s="62">
        <f>SUMIF(FLOAT!$D:$D,Cockpit!$E82:$E218,FLOAT!K:K)</f>
        <v>0</v>
      </c>
      <c r="AK82" s="62">
        <f>SUMIF(FLOAT!$D:$D,Cockpit!$E82:$E218,FLOAT!L:L)</f>
        <v>0</v>
      </c>
      <c r="AL82" s="62">
        <f>SUMIF(FLOAT!$D:$D,Cockpit!$E82:$E218,FLOAT!M:M)</f>
        <v>0</v>
      </c>
      <c r="AM82" s="62">
        <f>SUMIF(FLOAT!$D:$D,Cockpit!$E82:$E218,FLOAT!N:N)</f>
        <v>0</v>
      </c>
      <c r="AN82" s="62">
        <f>SUMIF(FLOAT!$D:$D,Cockpit!$E82:$E218,FLOAT!O:O)</f>
        <v>0</v>
      </c>
      <c r="AO82" s="62">
        <f>SUMIF(FLOAT!$D:$D,Cockpit!$E82:$E218,FLOAT!P:P)</f>
        <v>0</v>
      </c>
      <c r="AP82" s="60">
        <f t="shared" si="10"/>
        <v>0</v>
      </c>
      <c r="AQ82" s="238"/>
    </row>
    <row r="83" spans="1:43" ht="23.25" hidden="1" customHeight="1" thickBot="1" x14ac:dyDescent="0.35">
      <c r="A83" s="297"/>
      <c r="B83" s="298"/>
      <c r="C83" s="309"/>
      <c r="D83" s="756">
        <v>544254610240</v>
      </c>
      <c r="E83" s="313" t="s">
        <v>448</v>
      </c>
      <c r="F83" s="316" t="s">
        <v>449</v>
      </c>
      <c r="G83" s="184">
        <v>0</v>
      </c>
      <c r="H83" s="230">
        <f>G83</f>
        <v>0</v>
      </c>
      <c r="I83" s="232">
        <v>0</v>
      </c>
      <c r="J83" s="214">
        <f t="shared" ref="J83:K86" si="12">Q83</f>
        <v>0</v>
      </c>
      <c r="K83" s="76">
        <f t="shared" si="12"/>
        <v>0</v>
      </c>
      <c r="L83" s="155">
        <f>H83-K83</f>
        <v>0</v>
      </c>
      <c r="M83" s="77">
        <f>I83+J83-K83</f>
        <v>0</v>
      </c>
      <c r="N83" s="30">
        <f>SUMIF('3 D P'!$D:$D,Cockpit!$E$5:$E$146,'3 D P'!L:L)</f>
        <v>0</v>
      </c>
      <c r="O83" s="30">
        <f>SUMIF('3 D P'!$D:$D,Cockpit!$E$5:$E$146,'3 D P'!M:M)</f>
        <v>0</v>
      </c>
      <c r="P83" s="30">
        <f>SUMIF('3 D P'!$D:$D,Cockpit!$E$5:$E$146,'3 D P'!N:N)</f>
        <v>0</v>
      </c>
      <c r="Q83" s="132">
        <f>IFERROR(VLOOKUP($D83,'Aptiv Dispatch'!$A:$B,2,FALSE),0)</f>
        <v>0</v>
      </c>
      <c r="R83" s="34">
        <f>SUMIF('Consumption MTD'!B:B,Cockpit!$E$5:$E$146,'Consumption MTD'!C:C)</f>
        <v>0</v>
      </c>
      <c r="S83" s="34">
        <f>SUMIF('BIW Lifting A Shift'!$B:$B,Cockpit!$E$5:$E$146,'BIW Lifting A Shift'!C:C)</f>
        <v>0</v>
      </c>
      <c r="T83" s="34" t="e">
        <f>SUMIF('BIW Lifting A Shift'!$B:$B,Cockpit!$E$5:$E$146,'BIW Lifting A Shift'!#REF!)</f>
        <v>#REF!</v>
      </c>
      <c r="U83" s="74">
        <f>M83-X83</f>
        <v>0</v>
      </c>
      <c r="V83" s="74">
        <f>M83-S83-X83</f>
        <v>0</v>
      </c>
      <c r="W83" s="74" t="e">
        <f>V83-T83</f>
        <v>#REF!</v>
      </c>
      <c r="X83" s="135">
        <f>SUMIF(FLOAT!$D:$D,Cockpit!$E$5:$E$146,FLOAT!F:F)</f>
        <v>0</v>
      </c>
      <c r="Y83" s="38"/>
      <c r="AA83" s="49"/>
      <c r="AC83" s="147"/>
      <c r="AD83" s="50"/>
      <c r="AE83" s="234"/>
      <c r="AF83" s="62">
        <f>SUMIF(FLOAT!$D:$D,Cockpit!$E83:$E219,FLOAT!G:G)</f>
        <v>0</v>
      </c>
      <c r="AG83" s="62">
        <f>SUMIF(FLOAT!$D:$D,Cockpit!$E83:$E219,FLOAT!H:H)</f>
        <v>0</v>
      </c>
      <c r="AH83" s="62">
        <f>SUMIF(FLOAT!$D:$D,Cockpit!$E83:$E219,FLOAT!I:I)</f>
        <v>0</v>
      </c>
      <c r="AI83" s="62">
        <f>SUMIF(FLOAT!$D:$D,Cockpit!$E83:$E219,FLOAT!J:J)</f>
        <v>0</v>
      </c>
      <c r="AJ83" s="62">
        <f>SUMIF(FLOAT!$D:$D,Cockpit!$E83:$E219,FLOAT!K:K)</f>
        <v>0</v>
      </c>
      <c r="AK83" s="62">
        <f>SUMIF(FLOAT!$D:$D,Cockpit!$E83:$E219,FLOAT!L:L)</f>
        <v>0</v>
      </c>
      <c r="AL83" s="62">
        <f>SUMIF(FLOAT!$D:$D,Cockpit!$E83:$E219,FLOAT!M:M)</f>
        <v>0</v>
      </c>
      <c r="AM83" s="62">
        <f>SUMIF(FLOAT!$D:$D,Cockpit!$E83:$E219,FLOAT!N:N)</f>
        <v>0</v>
      </c>
      <c r="AN83" s="62">
        <f>SUMIF(FLOAT!$D:$D,Cockpit!$E83:$E219,FLOAT!O:O)</f>
        <v>0</v>
      </c>
      <c r="AO83" s="62">
        <f>SUMIF(FLOAT!$D:$D,Cockpit!$E83:$E219,FLOAT!P:P)</f>
        <v>0</v>
      </c>
      <c r="AP83" s="60">
        <f t="shared" si="10"/>
        <v>0</v>
      </c>
      <c r="AQ83" s="238"/>
    </row>
    <row r="84" spans="1:43" ht="23.25" hidden="1" customHeight="1" thickBot="1" x14ac:dyDescent="0.35">
      <c r="A84" s="297"/>
      <c r="B84" s="298"/>
      <c r="C84" s="309"/>
      <c r="D84" s="756">
        <v>544254630486</v>
      </c>
      <c r="E84" s="313" t="s">
        <v>450</v>
      </c>
      <c r="F84" s="318" t="s">
        <v>451</v>
      </c>
      <c r="G84" s="184">
        <v>0</v>
      </c>
      <c r="H84" s="230">
        <f>G84</f>
        <v>0</v>
      </c>
      <c r="I84" s="232">
        <v>0</v>
      </c>
      <c r="J84" s="214">
        <f t="shared" si="12"/>
        <v>0</v>
      </c>
      <c r="K84" s="76">
        <f t="shared" si="12"/>
        <v>0</v>
      </c>
      <c r="L84" s="155">
        <f>H84-K84</f>
        <v>0</v>
      </c>
      <c r="M84" s="77">
        <f>I84+J84-K84</f>
        <v>0</v>
      </c>
      <c r="N84" s="30">
        <f>SUMIF('3 D P'!$D:$D,Cockpit!$E$5:$E$146,'3 D P'!L:L)</f>
        <v>0</v>
      </c>
      <c r="O84" s="30">
        <f>SUMIF('3 D P'!$D:$D,Cockpit!$E$5:$E$146,'3 D P'!M:M)</f>
        <v>0</v>
      </c>
      <c r="P84" s="30">
        <f>SUMIF('3 D P'!$D:$D,Cockpit!$E$5:$E$146,'3 D P'!N:N)</f>
        <v>0</v>
      </c>
      <c r="Q84" s="132">
        <f>IFERROR(VLOOKUP($D84,'Aptiv Dispatch'!$A:$B,2,FALSE),0)</f>
        <v>0</v>
      </c>
      <c r="R84" s="34">
        <f>SUMIF('Consumption MTD'!B:B,Cockpit!$E$5:$E$146,'Consumption MTD'!C:C)</f>
        <v>0</v>
      </c>
      <c r="S84" s="34">
        <f>SUMIF('BIW Lifting A Shift'!$B:$B,Cockpit!$E$5:$E$146,'BIW Lifting A Shift'!C:C)</f>
        <v>0</v>
      </c>
      <c r="T84" s="34" t="e">
        <f>SUMIF('BIW Lifting A Shift'!$B:$B,Cockpit!$E$5:$E$146,'BIW Lifting A Shift'!#REF!)</f>
        <v>#REF!</v>
      </c>
      <c r="U84" s="74">
        <f>M84-X84</f>
        <v>0</v>
      </c>
      <c r="V84" s="74">
        <f>M84-S84-X84</f>
        <v>0</v>
      </c>
      <c r="W84" s="74" t="e">
        <f>V84-T84</f>
        <v>#REF!</v>
      </c>
      <c r="X84" s="135">
        <f>SUMIF(FLOAT!$D:$D,Cockpit!$E$5:$E$146,FLOAT!F:F)</f>
        <v>0</v>
      </c>
      <c r="Y84" s="38"/>
      <c r="AA84" s="49"/>
      <c r="AC84" s="147"/>
      <c r="AD84" s="50"/>
      <c r="AE84" s="234"/>
      <c r="AF84" s="62">
        <f>SUMIF(FLOAT!$D:$D,Cockpit!$E84:$E220,FLOAT!G:G)</f>
        <v>0</v>
      </c>
      <c r="AG84" s="62">
        <f>SUMIF(FLOAT!$D:$D,Cockpit!$E84:$E220,FLOAT!H:H)</f>
        <v>0</v>
      </c>
      <c r="AH84" s="62">
        <f>SUMIF(FLOAT!$D:$D,Cockpit!$E84:$E220,FLOAT!I:I)</f>
        <v>0</v>
      </c>
      <c r="AI84" s="62">
        <f>SUMIF(FLOAT!$D:$D,Cockpit!$E84:$E220,FLOAT!J:J)</f>
        <v>0</v>
      </c>
      <c r="AJ84" s="62">
        <f>SUMIF(FLOAT!$D:$D,Cockpit!$E84:$E220,FLOAT!K:K)</f>
        <v>0</v>
      </c>
      <c r="AK84" s="62">
        <f>SUMIF(FLOAT!$D:$D,Cockpit!$E84:$E220,FLOAT!L:L)</f>
        <v>0</v>
      </c>
      <c r="AL84" s="62">
        <f>SUMIF(FLOAT!$D:$D,Cockpit!$E84:$E220,FLOAT!M:M)</f>
        <v>0</v>
      </c>
      <c r="AM84" s="62">
        <f>SUMIF(FLOAT!$D:$D,Cockpit!$E84:$E220,FLOAT!N:N)</f>
        <v>0</v>
      </c>
      <c r="AN84" s="62">
        <f>SUMIF(FLOAT!$D:$D,Cockpit!$E84:$E220,FLOAT!O:O)</f>
        <v>0</v>
      </c>
      <c r="AO84" s="62">
        <f>SUMIF(FLOAT!$D:$D,Cockpit!$E84:$E220,FLOAT!P:P)</f>
        <v>0</v>
      </c>
      <c r="AP84" s="60">
        <f t="shared" si="10"/>
        <v>0</v>
      </c>
      <c r="AQ84" s="238"/>
    </row>
    <row r="85" spans="1:43" ht="23.25" hidden="1" customHeight="1" thickBot="1" x14ac:dyDescent="0.35">
      <c r="A85" s="297"/>
      <c r="B85" s="298"/>
      <c r="C85" s="309"/>
      <c r="D85" s="756">
        <v>544254610239</v>
      </c>
      <c r="E85" s="313" t="s">
        <v>377</v>
      </c>
      <c r="F85" s="316" t="s">
        <v>452</v>
      </c>
      <c r="G85" s="184">
        <v>0</v>
      </c>
      <c r="H85" s="230">
        <f>G85</f>
        <v>0</v>
      </c>
      <c r="I85" s="232">
        <v>0</v>
      </c>
      <c r="J85" s="214">
        <f t="shared" si="12"/>
        <v>0</v>
      </c>
      <c r="K85" s="76">
        <f t="shared" si="12"/>
        <v>0</v>
      </c>
      <c r="L85" s="155">
        <f>H85-K85</f>
        <v>0</v>
      </c>
      <c r="M85" s="77">
        <f>I85+J85-K85</f>
        <v>0</v>
      </c>
      <c r="N85" s="30">
        <f>SUMIF('3 D P'!$D:$D,Cockpit!$E$5:$E$146,'3 D P'!L:L)</f>
        <v>0</v>
      </c>
      <c r="O85" s="30">
        <f>SUMIF('3 D P'!$D:$D,Cockpit!$E$5:$E$146,'3 D P'!M:M)</f>
        <v>0</v>
      </c>
      <c r="P85" s="30">
        <f>SUMIF('3 D P'!$D:$D,Cockpit!$E$5:$E$146,'3 D P'!N:N)</f>
        <v>0</v>
      </c>
      <c r="Q85" s="132">
        <f>IFERROR(VLOOKUP($D85,'Aptiv Dispatch'!$A:$B,2,FALSE),0)</f>
        <v>0</v>
      </c>
      <c r="R85" s="34">
        <f>SUMIF('Consumption MTD'!B:B,Cockpit!$E$5:$E$146,'Consumption MTD'!C:C)</f>
        <v>0</v>
      </c>
      <c r="S85" s="34">
        <f>SUMIF('BIW Lifting A Shift'!$B:$B,Cockpit!$E$5:$E$146,'BIW Lifting A Shift'!C:C)</f>
        <v>0</v>
      </c>
      <c r="T85" s="34" t="e">
        <f>SUMIF('BIW Lifting A Shift'!$B:$B,Cockpit!$E$5:$E$146,'BIW Lifting A Shift'!#REF!)</f>
        <v>#REF!</v>
      </c>
      <c r="U85" s="74">
        <f>M85-X85</f>
        <v>0</v>
      </c>
      <c r="V85" s="74">
        <f>M85-S85-X85</f>
        <v>0</v>
      </c>
      <c r="W85" s="74" t="e">
        <f>V85-T85</f>
        <v>#REF!</v>
      </c>
      <c r="X85" s="135">
        <f>SUMIF(FLOAT!$D:$D,Cockpit!$E$5:$E$146,FLOAT!F:F)</f>
        <v>0</v>
      </c>
      <c r="Y85" s="38"/>
      <c r="AA85" s="49"/>
      <c r="AC85" s="147"/>
      <c r="AD85" s="50"/>
      <c r="AE85" s="234"/>
      <c r="AF85" s="62">
        <f>SUMIF(FLOAT!$D:$D,Cockpit!$E85:$E221,FLOAT!G:G)</f>
        <v>0</v>
      </c>
      <c r="AG85" s="62">
        <f>SUMIF(FLOAT!$D:$D,Cockpit!$E85:$E221,FLOAT!H:H)</f>
        <v>0</v>
      </c>
      <c r="AH85" s="62">
        <f>SUMIF(FLOAT!$D:$D,Cockpit!$E85:$E221,FLOAT!I:I)</f>
        <v>0</v>
      </c>
      <c r="AI85" s="62">
        <f>SUMIF(FLOAT!$D:$D,Cockpit!$E85:$E221,FLOAT!J:J)</f>
        <v>0</v>
      </c>
      <c r="AJ85" s="62">
        <f>SUMIF(FLOAT!$D:$D,Cockpit!$E85:$E221,FLOAT!K:K)</f>
        <v>0</v>
      </c>
      <c r="AK85" s="62">
        <f>SUMIF(FLOAT!$D:$D,Cockpit!$E85:$E221,FLOAT!L:L)</f>
        <v>0</v>
      </c>
      <c r="AL85" s="62">
        <f>SUMIF(FLOAT!$D:$D,Cockpit!$E85:$E221,FLOAT!M:M)</f>
        <v>0</v>
      </c>
      <c r="AM85" s="62">
        <f>SUMIF(FLOAT!$D:$D,Cockpit!$E85:$E221,FLOAT!N:N)</f>
        <v>0</v>
      </c>
      <c r="AN85" s="62">
        <f>SUMIF(FLOAT!$D:$D,Cockpit!$E85:$E221,FLOAT!O:O)</f>
        <v>0</v>
      </c>
      <c r="AO85" s="62">
        <f>SUMIF(FLOAT!$D:$D,Cockpit!$E85:$E221,FLOAT!P:P)</f>
        <v>0</v>
      </c>
      <c r="AP85" s="60">
        <f t="shared" si="10"/>
        <v>0</v>
      </c>
      <c r="AQ85" s="238"/>
    </row>
    <row r="86" spans="1:43" ht="23.25" hidden="1" customHeight="1" thickBot="1" x14ac:dyDescent="0.35">
      <c r="A86" s="297"/>
      <c r="B86" s="298"/>
      <c r="C86" s="309"/>
      <c r="D86" s="756">
        <v>544254630490</v>
      </c>
      <c r="E86" s="313" t="s">
        <v>453</v>
      </c>
      <c r="F86" s="316" t="s">
        <v>454</v>
      </c>
      <c r="G86" s="184">
        <v>0</v>
      </c>
      <c r="H86" s="230">
        <f>G86</f>
        <v>0</v>
      </c>
      <c r="I86" s="232">
        <v>0</v>
      </c>
      <c r="J86" s="214">
        <f t="shared" si="12"/>
        <v>0</v>
      </c>
      <c r="K86" s="76">
        <f t="shared" si="12"/>
        <v>0</v>
      </c>
      <c r="L86" s="155">
        <f>H86-K86</f>
        <v>0</v>
      </c>
      <c r="M86" s="77">
        <f>I86+J86-K86</f>
        <v>0</v>
      </c>
      <c r="N86" s="30">
        <f>SUMIF('3 D P'!$D:$D,Cockpit!$E$5:$E$146,'3 D P'!L:L)</f>
        <v>0</v>
      </c>
      <c r="O86" s="30">
        <f>SUMIF('3 D P'!$D:$D,Cockpit!$E$5:$E$146,'3 D P'!M:M)</f>
        <v>0</v>
      </c>
      <c r="P86" s="30">
        <f>SUMIF('3 D P'!$D:$D,Cockpit!$E$5:$E$146,'3 D P'!N:N)</f>
        <v>0</v>
      </c>
      <c r="Q86" s="132">
        <f>IFERROR(VLOOKUP($D86,'Aptiv Dispatch'!$A:$B,2,FALSE),0)</f>
        <v>0</v>
      </c>
      <c r="R86" s="34">
        <f>SUMIF('Consumption MTD'!B:B,Cockpit!$E$5:$E$146,'Consumption MTD'!C:C)</f>
        <v>0</v>
      </c>
      <c r="S86" s="34">
        <f>SUMIF('BIW Lifting A Shift'!$B:$B,Cockpit!$E$5:$E$146,'BIW Lifting A Shift'!C:C)</f>
        <v>0</v>
      </c>
      <c r="T86" s="34" t="e">
        <f>SUMIF('BIW Lifting A Shift'!$B:$B,Cockpit!$E$5:$E$146,'BIW Lifting A Shift'!#REF!)</f>
        <v>#REF!</v>
      </c>
      <c r="U86" s="74">
        <f>M86-X86</f>
        <v>0</v>
      </c>
      <c r="V86" s="74">
        <f>M86-S86-X86</f>
        <v>0</v>
      </c>
      <c r="W86" s="74" t="e">
        <f>V86-T86</f>
        <v>#REF!</v>
      </c>
      <c r="X86" s="135">
        <f>SUMIF(FLOAT!$D:$D,Cockpit!$E$5:$E$146,FLOAT!F:F)</f>
        <v>0</v>
      </c>
      <c r="Y86" s="38"/>
      <c r="AA86" s="49"/>
      <c r="AC86" s="147"/>
      <c r="AD86" s="50"/>
      <c r="AE86" s="234"/>
      <c r="AF86" s="62">
        <f>SUMIF(FLOAT!$D:$D,Cockpit!$E86:$E222,FLOAT!G:G)</f>
        <v>0</v>
      </c>
      <c r="AG86" s="62">
        <f>SUMIF(FLOAT!$D:$D,Cockpit!$E86:$E222,FLOAT!H:H)</f>
        <v>0</v>
      </c>
      <c r="AH86" s="62">
        <f>SUMIF(FLOAT!$D:$D,Cockpit!$E86:$E222,FLOAT!I:I)</f>
        <v>0</v>
      </c>
      <c r="AI86" s="62">
        <f>SUMIF(FLOAT!$D:$D,Cockpit!$E86:$E222,FLOAT!J:J)</f>
        <v>0</v>
      </c>
      <c r="AJ86" s="62">
        <f>SUMIF(FLOAT!$D:$D,Cockpit!$E86:$E222,FLOAT!K:K)</f>
        <v>0</v>
      </c>
      <c r="AK86" s="62">
        <f>SUMIF(FLOAT!$D:$D,Cockpit!$E86:$E222,FLOAT!L:L)</f>
        <v>0</v>
      </c>
      <c r="AL86" s="62">
        <f>SUMIF(FLOAT!$D:$D,Cockpit!$E86:$E222,FLOAT!M:M)</f>
        <v>0</v>
      </c>
      <c r="AM86" s="62">
        <f>SUMIF(FLOAT!$D:$D,Cockpit!$E86:$E222,FLOAT!N:N)</f>
        <v>0</v>
      </c>
      <c r="AN86" s="62">
        <f>SUMIF(FLOAT!$D:$D,Cockpit!$E86:$E222,FLOAT!O:O)</f>
        <v>0</v>
      </c>
      <c r="AO86" s="62">
        <f>SUMIF(FLOAT!$D:$D,Cockpit!$E86:$E222,FLOAT!P:P)</f>
        <v>0</v>
      </c>
      <c r="AP86" s="60">
        <f t="shared" si="10"/>
        <v>0</v>
      </c>
      <c r="AQ86" s="238"/>
    </row>
    <row r="87" spans="1:43" ht="23.25" hidden="1" customHeight="1" thickBot="1" x14ac:dyDescent="0.35">
      <c r="A87" s="297"/>
      <c r="B87" s="298"/>
      <c r="C87" s="309"/>
      <c r="D87" s="946">
        <v>544254630503</v>
      </c>
      <c r="E87" s="313" t="s">
        <v>455</v>
      </c>
      <c r="F87" s="316" t="s">
        <v>456</v>
      </c>
      <c r="G87" s="184">
        <v>0</v>
      </c>
      <c r="H87" s="833">
        <f>SUM(G87:G88)</f>
        <v>0</v>
      </c>
      <c r="I87" s="895">
        <v>0</v>
      </c>
      <c r="J87" s="836">
        <f>Q87</f>
        <v>0</v>
      </c>
      <c r="K87" s="822">
        <f>SUM(R87:R88)</f>
        <v>0</v>
      </c>
      <c r="L87" s="838">
        <f>H87-K87</f>
        <v>0</v>
      </c>
      <c r="M87" s="816">
        <f>SUM(I87:I88)+J87-K87</f>
        <v>0</v>
      </c>
      <c r="N87" s="30">
        <f>SUMIF('3 D P'!$D:$D,Cockpit!$E$5:$E$146,'3 D P'!L:L)</f>
        <v>0</v>
      </c>
      <c r="O87" s="30">
        <f>SUMIF('3 D P'!$D:$D,Cockpit!$E$5:$E$146,'3 D P'!M:M)</f>
        <v>0</v>
      </c>
      <c r="P87" s="30">
        <f>SUMIF('3 D P'!$D:$D,Cockpit!$E$5:$E$146,'3 D P'!N:N)</f>
        <v>0</v>
      </c>
      <c r="Q87" s="132">
        <f>IFERROR(VLOOKUP($D87,'Aptiv Dispatch'!$A:$B,2,FALSE),0)</f>
        <v>0</v>
      </c>
      <c r="R87" s="34">
        <f>SUMIF('Consumption MTD'!B:B,Cockpit!$E$5:$E$146,'Consumption MTD'!C:C)</f>
        <v>0</v>
      </c>
      <c r="S87" s="34">
        <f>SUMIF('BIW Lifting A Shift'!$B:$B,Cockpit!$E$5:$E$146,'BIW Lifting A Shift'!C:C)</f>
        <v>0</v>
      </c>
      <c r="T87" s="34" t="e">
        <f>SUMIF('BIW Lifting A Shift'!$B:$B,Cockpit!$E$5:$E$146,'BIW Lifting A Shift'!#REF!)</f>
        <v>#REF!</v>
      </c>
      <c r="U87" s="818">
        <f>M87-X87-X88</f>
        <v>0</v>
      </c>
      <c r="V87" s="818">
        <f>M87-X87-X88-S87-S88</f>
        <v>0</v>
      </c>
      <c r="W87" s="818" t="e">
        <f>V87-T87-T88</f>
        <v>#REF!</v>
      </c>
      <c r="X87" s="135">
        <f>SUMIF(FLOAT!$D:$D,Cockpit!$E$5:$E$146,FLOAT!F:F)</f>
        <v>0</v>
      </c>
      <c r="Y87" s="38"/>
      <c r="AA87" s="49"/>
      <c r="AC87" s="147"/>
      <c r="AD87" s="49"/>
      <c r="AE87" s="185"/>
      <c r="AF87" s="62">
        <f>SUMIF(FLOAT!$D:$D,Cockpit!$E87:$E223,FLOAT!G:G)</f>
        <v>0</v>
      </c>
      <c r="AG87" s="62">
        <f>SUMIF(FLOAT!$D:$D,Cockpit!$E87:$E223,FLOAT!H:H)</f>
        <v>0</v>
      </c>
      <c r="AH87" s="62">
        <f>SUMIF(FLOAT!$D:$D,Cockpit!$E87:$E223,FLOAT!I:I)</f>
        <v>0</v>
      </c>
      <c r="AI87" s="62">
        <f>SUMIF(FLOAT!$D:$D,Cockpit!$E87:$E223,FLOAT!J:J)</f>
        <v>0</v>
      </c>
      <c r="AJ87" s="62">
        <f>SUMIF(FLOAT!$D:$D,Cockpit!$E87:$E223,FLOAT!K:K)</f>
        <v>0</v>
      </c>
      <c r="AK87" s="62">
        <f>SUMIF(FLOAT!$D:$D,Cockpit!$E87:$E223,FLOAT!L:L)</f>
        <v>0</v>
      </c>
      <c r="AL87" s="62">
        <f>SUMIF(FLOAT!$D:$D,Cockpit!$E87:$E223,FLOAT!M:M)</f>
        <v>0</v>
      </c>
      <c r="AM87" s="62">
        <f>SUMIF(FLOAT!$D:$D,Cockpit!$E87:$E223,FLOAT!N:N)</f>
        <v>0</v>
      </c>
      <c r="AN87" s="62">
        <f>SUMIF(FLOAT!$D:$D,Cockpit!$E87:$E223,FLOAT!O:O)</f>
        <v>0</v>
      </c>
      <c r="AO87" s="62">
        <f>SUMIF(FLOAT!$D:$D,Cockpit!$E87:$E223,FLOAT!P:P)</f>
        <v>0</v>
      </c>
      <c r="AP87" s="60">
        <f t="shared" si="10"/>
        <v>0</v>
      </c>
      <c r="AQ87" s="238"/>
    </row>
    <row r="88" spans="1:43" ht="23.25" hidden="1" customHeight="1" thickBot="1" x14ac:dyDescent="0.35">
      <c r="A88" s="297"/>
      <c r="B88" s="298"/>
      <c r="C88" s="309"/>
      <c r="D88" s="946"/>
      <c r="E88" s="313" t="s">
        <v>457</v>
      </c>
      <c r="F88" s="316" t="s">
        <v>458</v>
      </c>
      <c r="G88" s="184">
        <v>0</v>
      </c>
      <c r="H88" s="834"/>
      <c r="I88" s="823"/>
      <c r="J88" s="837"/>
      <c r="K88" s="823"/>
      <c r="L88" s="823"/>
      <c r="M88" s="816"/>
      <c r="N88" s="30">
        <f>SUMIF('3 D P'!$D:$D,Cockpit!$E$5:$E$146,'3 D P'!L:L)</f>
        <v>0</v>
      </c>
      <c r="O88" s="30">
        <f>SUMIF('3 D P'!$D:$D,Cockpit!$E$5:$E$146,'3 D P'!M:M)</f>
        <v>0</v>
      </c>
      <c r="P88" s="30">
        <f>SUMIF('3 D P'!$D:$D,Cockpit!$E$5:$E$146,'3 D P'!N:N)</f>
        <v>0</v>
      </c>
      <c r="Q88" s="132">
        <f>IFERROR(VLOOKUP($D88,'Aptiv Dispatch'!$A:$B,2,FALSE),0)</f>
        <v>0</v>
      </c>
      <c r="R88" s="34">
        <f>SUMIF('Consumption MTD'!B:B,Cockpit!$E$5:$E$146,'Consumption MTD'!C:C)</f>
        <v>0</v>
      </c>
      <c r="S88" s="34">
        <f>SUMIF('BIW Lifting A Shift'!$B:$B,Cockpit!$E$5:$E$146,'BIW Lifting A Shift'!C:C)</f>
        <v>0</v>
      </c>
      <c r="T88" s="34" t="e">
        <f>SUMIF('BIW Lifting A Shift'!$B:$B,Cockpit!$E$5:$E$146,'BIW Lifting A Shift'!#REF!)</f>
        <v>#REF!</v>
      </c>
      <c r="U88" s="818"/>
      <c r="V88" s="818"/>
      <c r="W88" s="818"/>
      <c r="X88" s="135">
        <f>SUMIF(FLOAT!$D:$D,Cockpit!$E$5:$E$146,FLOAT!F:F)</f>
        <v>0</v>
      </c>
      <c r="Y88" s="38"/>
      <c r="AA88" s="49"/>
      <c r="AC88" s="147"/>
      <c r="AD88" s="49"/>
      <c r="AE88" s="185"/>
      <c r="AF88" s="62">
        <f>SUMIF(FLOAT!$D:$D,Cockpit!$E88:$E224,FLOAT!G:G)</f>
        <v>0</v>
      </c>
      <c r="AG88" s="62">
        <f>SUMIF(FLOAT!$D:$D,Cockpit!$E88:$E224,FLOAT!H:H)</f>
        <v>0</v>
      </c>
      <c r="AH88" s="62">
        <f>SUMIF(FLOAT!$D:$D,Cockpit!$E88:$E224,FLOAT!I:I)</f>
        <v>0</v>
      </c>
      <c r="AI88" s="62">
        <f>SUMIF(FLOAT!$D:$D,Cockpit!$E88:$E224,FLOAT!J:J)</f>
        <v>0</v>
      </c>
      <c r="AJ88" s="62">
        <f>SUMIF(FLOAT!$D:$D,Cockpit!$E88:$E224,FLOAT!K:K)</f>
        <v>0</v>
      </c>
      <c r="AK88" s="62">
        <f>SUMIF(FLOAT!$D:$D,Cockpit!$E88:$E224,FLOAT!L:L)</f>
        <v>0</v>
      </c>
      <c r="AL88" s="62">
        <f>SUMIF(FLOAT!$D:$D,Cockpit!$E88:$E224,FLOAT!M:M)</f>
        <v>0</v>
      </c>
      <c r="AM88" s="62">
        <f>SUMIF(FLOAT!$D:$D,Cockpit!$E88:$E224,FLOAT!N:N)</f>
        <v>0</v>
      </c>
      <c r="AN88" s="62">
        <f>SUMIF(FLOAT!$D:$D,Cockpit!$E88:$E224,FLOAT!O:O)</f>
        <v>0</v>
      </c>
      <c r="AO88" s="62">
        <f>SUMIF(FLOAT!$D:$D,Cockpit!$E88:$E224,FLOAT!P:P)</f>
        <v>0</v>
      </c>
      <c r="AP88" s="60">
        <f t="shared" si="10"/>
        <v>0</v>
      </c>
      <c r="AQ88" s="238"/>
    </row>
    <row r="89" spans="1:43" ht="23.25" hidden="1" customHeight="1" thickBot="1" x14ac:dyDescent="0.35">
      <c r="A89" s="297"/>
      <c r="B89" s="298"/>
      <c r="C89" s="309"/>
      <c r="D89" s="946">
        <v>544254630476</v>
      </c>
      <c r="E89" s="313" t="s">
        <v>459</v>
      </c>
      <c r="F89" s="316" t="s">
        <v>460</v>
      </c>
      <c r="G89" s="184">
        <v>0</v>
      </c>
      <c r="H89" s="833">
        <f>SUM(G89:G90)</f>
        <v>0</v>
      </c>
      <c r="I89" s="822">
        <v>0</v>
      </c>
      <c r="J89" s="836">
        <f>Q89</f>
        <v>0</v>
      </c>
      <c r="K89" s="822">
        <f>SUM(R89:R90)</f>
        <v>0</v>
      </c>
      <c r="L89" s="838">
        <f>H89-K89</f>
        <v>0</v>
      </c>
      <c r="M89" s="816">
        <f>SUM(I89:I90)+J89-K89</f>
        <v>0</v>
      </c>
      <c r="N89" s="30">
        <f>SUMIF('3 D P'!$D:$D,Cockpit!$E$5:$E$146,'3 D P'!L:L)</f>
        <v>0</v>
      </c>
      <c r="O89" s="30">
        <f>SUMIF('3 D P'!$D:$D,Cockpit!$E$5:$E$146,'3 D P'!M:M)</f>
        <v>0</v>
      </c>
      <c r="P89" s="30">
        <f>SUMIF('3 D P'!$D:$D,Cockpit!$E$5:$E$146,'3 D P'!N:N)</f>
        <v>0</v>
      </c>
      <c r="Q89" s="132">
        <f>IFERROR(VLOOKUP($D89,'Aptiv Dispatch'!$A:$B,2,FALSE),0)</f>
        <v>0</v>
      </c>
      <c r="R89" s="34">
        <f>SUMIF('Consumption MTD'!B:B,Cockpit!$E$5:$E$146,'Consumption MTD'!C:C)</f>
        <v>0</v>
      </c>
      <c r="S89" s="34">
        <f>SUMIF('BIW Lifting A Shift'!$B:$B,Cockpit!$E$5:$E$146,'BIW Lifting A Shift'!C:C)</f>
        <v>0</v>
      </c>
      <c r="T89" s="34" t="e">
        <f>SUMIF('BIW Lifting A Shift'!$B:$B,Cockpit!$E$5:$E$146,'BIW Lifting A Shift'!#REF!)</f>
        <v>#REF!</v>
      </c>
      <c r="U89" s="818">
        <f>M89-X89-X90</f>
        <v>0</v>
      </c>
      <c r="V89" s="818">
        <f>M89-X89-X90-S89-S90</f>
        <v>0</v>
      </c>
      <c r="W89" s="818" t="e">
        <f>V89-T89-T90</f>
        <v>#REF!</v>
      </c>
      <c r="X89" s="135">
        <f>SUMIF(FLOAT!$D:$D,Cockpit!$E$5:$E$146,FLOAT!F:F)</f>
        <v>0</v>
      </c>
      <c r="Y89" s="38"/>
      <c r="AA89" s="49"/>
      <c r="AC89" s="147"/>
      <c r="AD89" s="49"/>
      <c r="AE89" s="185"/>
      <c r="AF89" s="62">
        <f>SUMIF(FLOAT!$D:$D,Cockpit!$E89:$E225,FLOAT!G:G)</f>
        <v>0</v>
      </c>
      <c r="AG89" s="62">
        <f>SUMIF(FLOAT!$D:$D,Cockpit!$E89:$E225,FLOAT!H:H)</f>
        <v>0</v>
      </c>
      <c r="AH89" s="62">
        <f>SUMIF(FLOAT!$D:$D,Cockpit!$E89:$E225,FLOAT!I:I)</f>
        <v>0</v>
      </c>
      <c r="AI89" s="62">
        <f>SUMIF(FLOAT!$D:$D,Cockpit!$E89:$E225,FLOAT!J:J)</f>
        <v>0</v>
      </c>
      <c r="AJ89" s="62">
        <f>SUMIF(FLOAT!$D:$D,Cockpit!$E89:$E225,FLOAT!K:K)</f>
        <v>0</v>
      </c>
      <c r="AK89" s="62">
        <f>SUMIF(FLOAT!$D:$D,Cockpit!$E89:$E225,FLOAT!L:L)</f>
        <v>0</v>
      </c>
      <c r="AL89" s="62">
        <f>SUMIF(FLOAT!$D:$D,Cockpit!$E89:$E225,FLOAT!M:M)</f>
        <v>0</v>
      </c>
      <c r="AM89" s="62">
        <f>SUMIF(FLOAT!$D:$D,Cockpit!$E89:$E225,FLOAT!N:N)</f>
        <v>0</v>
      </c>
      <c r="AN89" s="62">
        <f>SUMIF(FLOAT!$D:$D,Cockpit!$E89:$E225,FLOAT!O:O)</f>
        <v>0</v>
      </c>
      <c r="AO89" s="62">
        <f>SUMIF(FLOAT!$D:$D,Cockpit!$E89:$E225,FLOAT!P:P)</f>
        <v>0</v>
      </c>
      <c r="AP89" s="60">
        <f t="shared" si="10"/>
        <v>0</v>
      </c>
      <c r="AQ89" s="238"/>
    </row>
    <row r="90" spans="1:43" ht="23.25" hidden="1" customHeight="1" thickBot="1" x14ac:dyDescent="0.35">
      <c r="A90" s="297"/>
      <c r="B90" s="298"/>
      <c r="C90" s="309"/>
      <c r="D90" s="946"/>
      <c r="E90" s="313" t="s">
        <v>461</v>
      </c>
      <c r="F90" s="316" t="s">
        <v>462</v>
      </c>
      <c r="G90" s="184">
        <v>0</v>
      </c>
      <c r="H90" s="834"/>
      <c r="I90" s="823"/>
      <c r="J90" s="837"/>
      <c r="K90" s="823"/>
      <c r="L90" s="823"/>
      <c r="M90" s="816"/>
      <c r="N90" s="30">
        <f>SUMIF('3 D P'!$D:$D,Cockpit!$E$5:$E$146,'3 D P'!L:L)</f>
        <v>0</v>
      </c>
      <c r="O90" s="30">
        <f>SUMIF('3 D P'!$D:$D,Cockpit!$E$5:$E$146,'3 D P'!M:M)</f>
        <v>0</v>
      </c>
      <c r="P90" s="30">
        <f>SUMIF('3 D P'!$D:$D,Cockpit!$E$5:$E$146,'3 D P'!N:N)</f>
        <v>0</v>
      </c>
      <c r="Q90" s="132">
        <f>IFERROR(VLOOKUP($D90,'Aptiv Dispatch'!$A:$B,2,FALSE),0)</f>
        <v>0</v>
      </c>
      <c r="R90" s="34">
        <f>SUMIF('Consumption MTD'!B:B,Cockpit!$E$5:$E$146,'Consumption MTD'!C:C)</f>
        <v>0</v>
      </c>
      <c r="S90" s="34">
        <f>SUMIF('BIW Lifting A Shift'!$B:$B,Cockpit!$E$5:$E$146,'BIW Lifting A Shift'!C:C)</f>
        <v>0</v>
      </c>
      <c r="T90" s="34" t="e">
        <f>SUMIF('BIW Lifting A Shift'!$B:$B,Cockpit!$E$5:$E$146,'BIW Lifting A Shift'!#REF!)</f>
        <v>#REF!</v>
      </c>
      <c r="U90" s="818"/>
      <c r="V90" s="818"/>
      <c r="W90" s="818"/>
      <c r="X90" s="135">
        <f>SUMIF(FLOAT!$D:$D,Cockpit!$E$5:$E$146,FLOAT!F:F)</f>
        <v>0</v>
      </c>
      <c r="Y90" s="38"/>
      <c r="AA90" s="49"/>
      <c r="AC90" s="147"/>
      <c r="AD90" s="49"/>
      <c r="AE90" s="185"/>
      <c r="AF90" s="62">
        <f>SUMIF(FLOAT!$D:$D,Cockpit!$E90:$E226,FLOAT!G:G)</f>
        <v>0</v>
      </c>
      <c r="AG90" s="62">
        <f>SUMIF(FLOAT!$D:$D,Cockpit!$E90:$E226,FLOAT!H:H)</f>
        <v>0</v>
      </c>
      <c r="AH90" s="62">
        <f>SUMIF(FLOAT!$D:$D,Cockpit!$E90:$E226,FLOAT!I:I)</f>
        <v>0</v>
      </c>
      <c r="AI90" s="62">
        <f>SUMIF(FLOAT!$D:$D,Cockpit!$E90:$E226,FLOAT!J:J)</f>
        <v>0</v>
      </c>
      <c r="AJ90" s="62">
        <f>SUMIF(FLOAT!$D:$D,Cockpit!$E90:$E226,FLOAT!K:K)</f>
        <v>0</v>
      </c>
      <c r="AK90" s="62">
        <f>SUMIF(FLOAT!$D:$D,Cockpit!$E90:$E226,FLOAT!L:L)</f>
        <v>0</v>
      </c>
      <c r="AL90" s="62">
        <f>SUMIF(FLOAT!$D:$D,Cockpit!$E90:$E226,FLOAT!M:M)</f>
        <v>0</v>
      </c>
      <c r="AM90" s="62">
        <f>SUMIF(FLOAT!$D:$D,Cockpit!$E90:$E226,FLOAT!N:N)</f>
        <v>0</v>
      </c>
      <c r="AN90" s="62">
        <f>SUMIF(FLOAT!$D:$D,Cockpit!$E90:$E226,FLOAT!O:O)</f>
        <v>0</v>
      </c>
      <c r="AO90" s="62">
        <f>SUMIF(FLOAT!$D:$D,Cockpit!$E90:$E226,FLOAT!P:P)</f>
        <v>0</v>
      </c>
      <c r="AP90" s="60">
        <f t="shared" si="10"/>
        <v>0</v>
      </c>
      <c r="AQ90" s="238"/>
    </row>
    <row r="91" spans="1:43" ht="23.25" hidden="1" customHeight="1" thickBot="1" x14ac:dyDescent="0.35">
      <c r="A91" s="297"/>
      <c r="B91" s="298"/>
      <c r="C91" s="309"/>
      <c r="D91" s="946">
        <v>544254630481</v>
      </c>
      <c r="E91" s="313" t="s">
        <v>463</v>
      </c>
      <c r="F91" s="316" t="s">
        <v>464</v>
      </c>
      <c r="G91" s="184">
        <v>0</v>
      </c>
      <c r="H91" s="833">
        <f>SUM(G91:G92)</f>
        <v>0</v>
      </c>
      <c r="I91" s="822">
        <v>0</v>
      </c>
      <c r="J91" s="836">
        <f>Q91</f>
        <v>0</v>
      </c>
      <c r="K91" s="822">
        <f>SUM(R91:R92)</f>
        <v>0</v>
      </c>
      <c r="L91" s="838">
        <f>H91-K91</f>
        <v>0</v>
      </c>
      <c r="M91" s="816">
        <f>SUM(I91:I92)+J91-K91</f>
        <v>0</v>
      </c>
      <c r="N91" s="30">
        <f>SUMIF('3 D P'!$D:$D,Cockpit!$E$5:$E$146,'3 D P'!L:L)</f>
        <v>0</v>
      </c>
      <c r="O91" s="30">
        <f>SUMIF('3 D P'!$D:$D,Cockpit!$E$5:$E$146,'3 D P'!M:M)</f>
        <v>0</v>
      </c>
      <c r="P91" s="30">
        <f>SUMIF('3 D P'!$D:$D,Cockpit!$E$5:$E$146,'3 D P'!N:N)</f>
        <v>0</v>
      </c>
      <c r="Q91" s="132">
        <f>IFERROR(VLOOKUP($D91,'Aptiv Dispatch'!$A:$B,2,FALSE),0)</f>
        <v>0</v>
      </c>
      <c r="R91" s="34">
        <f>SUMIF('Consumption MTD'!B:B,Cockpit!$E$5:$E$146,'Consumption MTD'!C:C)</f>
        <v>0</v>
      </c>
      <c r="S91" s="34">
        <f>SUMIF('BIW Lifting A Shift'!$B:$B,Cockpit!$E$5:$E$146,'BIW Lifting A Shift'!C:C)</f>
        <v>0</v>
      </c>
      <c r="T91" s="34" t="e">
        <f>SUMIF('BIW Lifting A Shift'!$B:$B,Cockpit!$E$5:$E$146,'BIW Lifting A Shift'!#REF!)</f>
        <v>#REF!</v>
      </c>
      <c r="U91" s="818">
        <f>M91-X91-X92</f>
        <v>0</v>
      </c>
      <c r="V91" s="818">
        <f>M91-X91-X92-S91-S92</f>
        <v>0</v>
      </c>
      <c r="W91" s="818" t="e">
        <f>V91-T91-T92</f>
        <v>#REF!</v>
      </c>
      <c r="X91" s="135">
        <f>SUMIF(FLOAT!$D:$D,Cockpit!$E$5:$E$146,FLOAT!F:F)</f>
        <v>0</v>
      </c>
      <c r="Y91" s="38"/>
      <c r="AA91" s="49"/>
      <c r="AC91" s="147"/>
      <c r="AD91" s="49"/>
      <c r="AE91" s="185"/>
      <c r="AF91" s="62">
        <f>SUMIF(FLOAT!$D:$D,Cockpit!$E91:$E227,FLOAT!G:G)</f>
        <v>0</v>
      </c>
      <c r="AG91" s="62">
        <f>SUMIF(FLOAT!$D:$D,Cockpit!$E91:$E227,FLOAT!H:H)</f>
        <v>0</v>
      </c>
      <c r="AH91" s="62">
        <f>SUMIF(FLOAT!$D:$D,Cockpit!$E91:$E227,FLOAT!I:I)</f>
        <v>0</v>
      </c>
      <c r="AI91" s="62">
        <f>SUMIF(FLOAT!$D:$D,Cockpit!$E91:$E227,FLOAT!J:J)</f>
        <v>0</v>
      </c>
      <c r="AJ91" s="62">
        <f>SUMIF(FLOAT!$D:$D,Cockpit!$E91:$E227,FLOAT!K:K)</f>
        <v>0</v>
      </c>
      <c r="AK91" s="62">
        <f>SUMIF(FLOAT!$D:$D,Cockpit!$E91:$E227,FLOAT!L:L)</f>
        <v>0</v>
      </c>
      <c r="AL91" s="62">
        <f>SUMIF(FLOAT!$D:$D,Cockpit!$E91:$E227,FLOAT!M:M)</f>
        <v>0</v>
      </c>
      <c r="AM91" s="62">
        <f>SUMIF(FLOAT!$D:$D,Cockpit!$E91:$E227,FLOAT!N:N)</f>
        <v>0</v>
      </c>
      <c r="AN91" s="62">
        <f>SUMIF(FLOAT!$D:$D,Cockpit!$E91:$E227,FLOAT!O:O)</f>
        <v>0</v>
      </c>
      <c r="AO91" s="62">
        <f>SUMIF(FLOAT!$D:$D,Cockpit!$E91:$E227,FLOAT!P:P)</f>
        <v>0</v>
      </c>
      <c r="AP91" s="60">
        <f>AF91+AG91+AH91+AI91+AJ91+AK91+AM91+AN91+AO91</f>
        <v>0</v>
      </c>
      <c r="AQ91" s="238"/>
    </row>
    <row r="92" spans="1:43" ht="23.25" hidden="1" customHeight="1" x14ac:dyDescent="0.3">
      <c r="A92" s="297"/>
      <c r="B92" s="298"/>
      <c r="C92" s="309"/>
      <c r="D92" s="946"/>
      <c r="E92" s="313" t="s">
        <v>378</v>
      </c>
      <c r="F92" s="319" t="s">
        <v>502</v>
      </c>
      <c r="G92" s="184">
        <v>0</v>
      </c>
      <c r="H92" s="834"/>
      <c r="I92" s="823"/>
      <c r="J92" s="837"/>
      <c r="K92" s="823"/>
      <c r="L92" s="823"/>
      <c r="M92" s="816"/>
      <c r="N92" s="30">
        <f>SUMIF('3 D P'!$D:$D,Cockpit!$E$5:$E$146,'3 D P'!L:L)</f>
        <v>0</v>
      </c>
      <c r="O92" s="30">
        <f>SUMIF('3 D P'!$D:$D,Cockpit!$E$5:$E$146,'3 D P'!M:M)</f>
        <v>0</v>
      </c>
      <c r="P92" s="30">
        <f>SUMIF('3 D P'!$D:$D,Cockpit!$E$5:$E$146,'3 D P'!N:N)</f>
        <v>0</v>
      </c>
      <c r="Q92" s="132">
        <f>IFERROR(VLOOKUP($D92,'Aptiv Dispatch'!$A:$B,2,FALSE),0)</f>
        <v>0</v>
      </c>
      <c r="R92" s="34">
        <f>SUMIF('Consumption MTD'!B:B,Cockpit!$E$5:$E$146,'Consumption MTD'!C:C)</f>
        <v>0</v>
      </c>
      <c r="S92" s="34">
        <f>SUMIF('BIW Lifting A Shift'!$B:$B,Cockpit!$E$5:$E$146,'BIW Lifting A Shift'!C:C)</f>
        <v>0</v>
      </c>
      <c r="T92" s="34" t="e">
        <f>SUMIF('BIW Lifting A Shift'!$B:$B,Cockpit!$E$5:$E$146,'BIW Lifting A Shift'!#REF!)</f>
        <v>#REF!</v>
      </c>
      <c r="U92" s="818"/>
      <c r="V92" s="818"/>
      <c r="W92" s="818"/>
      <c r="X92" s="135">
        <f>SUMIF(FLOAT!$D:$D,Cockpit!$E$5:$E$146,FLOAT!F:F)</f>
        <v>0</v>
      </c>
      <c r="Y92" s="38"/>
      <c r="AA92" s="49"/>
      <c r="AC92" s="147"/>
      <c r="AD92" s="49"/>
      <c r="AE92" s="185"/>
      <c r="AF92" s="62">
        <f>SUMIF(FLOAT!$D:$D,Cockpit!$E92:$E228,FLOAT!G:G)</f>
        <v>0</v>
      </c>
      <c r="AG92" s="62">
        <f>SUMIF(FLOAT!$D:$D,Cockpit!$E92:$E228,FLOAT!H:H)</f>
        <v>0</v>
      </c>
      <c r="AH92" s="62">
        <f>SUMIF(FLOAT!$D:$D,Cockpit!$E92:$E228,FLOAT!I:I)</f>
        <v>0</v>
      </c>
      <c r="AI92" s="62">
        <f>SUMIF(FLOAT!$D:$D,Cockpit!$E92:$E228,FLOAT!J:J)</f>
        <v>0</v>
      </c>
      <c r="AJ92" s="62">
        <f>SUMIF(FLOAT!$D:$D,Cockpit!$E92:$E228,FLOAT!K:K)</f>
        <v>0</v>
      </c>
      <c r="AK92" s="62">
        <f>SUMIF(FLOAT!$D:$D,Cockpit!$E92:$E228,FLOAT!L:L)</f>
        <v>0</v>
      </c>
      <c r="AL92" s="62">
        <f>SUMIF(FLOAT!$D:$D,Cockpit!$E92:$E228,FLOAT!M:M)</f>
        <v>0</v>
      </c>
      <c r="AM92" s="62">
        <f>SUMIF(FLOAT!$D:$D,Cockpit!$E92:$E228,FLOAT!N:N)</f>
        <v>0</v>
      </c>
      <c r="AN92" s="62">
        <f>SUMIF(FLOAT!$D:$D,Cockpit!$E92:$E228,FLOAT!O:O)</f>
        <v>0</v>
      </c>
      <c r="AO92" s="62">
        <f>SUMIF(FLOAT!$D:$D,Cockpit!$E92:$E228,FLOAT!P:P)</f>
        <v>0</v>
      </c>
      <c r="AP92" s="60">
        <f>AF92+AG92+AH92+AI92+AJ92+AK92+AM92+AN92+AO92</f>
        <v>0</v>
      </c>
      <c r="AQ92" s="238"/>
    </row>
    <row r="93" spans="1:43" ht="23.25" hidden="1" customHeight="1" thickBot="1" x14ac:dyDescent="0.35">
      <c r="A93" s="297"/>
      <c r="B93" s="298"/>
      <c r="C93" s="309"/>
      <c r="D93" s="756">
        <v>544254630477</v>
      </c>
      <c r="E93" s="313" t="s">
        <v>465</v>
      </c>
      <c r="F93" s="316" t="s">
        <v>466</v>
      </c>
      <c r="G93" s="184">
        <v>0</v>
      </c>
      <c r="H93" s="230">
        <f>G93</f>
        <v>0</v>
      </c>
      <c r="I93" s="232">
        <v>0</v>
      </c>
      <c r="J93" s="214">
        <f t="shared" ref="J93:K95" si="13">Q93</f>
        <v>0</v>
      </c>
      <c r="K93" s="76">
        <f t="shared" si="13"/>
        <v>0</v>
      </c>
      <c r="L93" s="155">
        <f>H93-K93</f>
        <v>0</v>
      </c>
      <c r="M93" s="77">
        <f>I93+J93-K93</f>
        <v>0</v>
      </c>
      <c r="N93" s="30">
        <f>SUMIF('3 D P'!$D:$D,Cockpit!$E$5:$E$146,'3 D P'!L:L)</f>
        <v>0</v>
      </c>
      <c r="O93" s="30">
        <f>SUMIF('3 D P'!$D:$D,Cockpit!$E$5:$E$146,'3 D P'!M:M)</f>
        <v>0</v>
      </c>
      <c r="P93" s="30">
        <f>SUMIF('3 D P'!$D:$D,Cockpit!$E$5:$E$146,'3 D P'!N:N)</f>
        <v>0</v>
      </c>
      <c r="Q93" s="132">
        <f>IFERROR(VLOOKUP($D93,'Aptiv Dispatch'!$A:$B,2,FALSE),0)</f>
        <v>0</v>
      </c>
      <c r="R93" s="34">
        <f>SUMIF('Consumption MTD'!B:B,Cockpit!$E$5:$E$146,'Consumption MTD'!C:C)</f>
        <v>0</v>
      </c>
      <c r="S93" s="34">
        <f>SUMIF('BIW Lifting A Shift'!$B:$B,Cockpit!$E$5:$E$146,'BIW Lifting A Shift'!C:C)</f>
        <v>0</v>
      </c>
      <c r="T93" s="34" t="e">
        <f>SUMIF('BIW Lifting A Shift'!$B:$B,Cockpit!$E$5:$E$146,'BIW Lifting A Shift'!#REF!)</f>
        <v>#REF!</v>
      </c>
      <c r="U93" s="74">
        <f>M93-X93</f>
        <v>0</v>
      </c>
      <c r="V93" s="74">
        <f>M93-S93-X93</f>
        <v>0</v>
      </c>
      <c r="W93" s="74" t="e">
        <f>V93-T93</f>
        <v>#REF!</v>
      </c>
      <c r="X93" s="135">
        <f>SUMIF(FLOAT!$D:$D,Cockpit!$E$5:$E$146,FLOAT!F:F)</f>
        <v>0</v>
      </c>
      <c r="Y93" s="38"/>
      <c r="AA93" s="49"/>
      <c r="AC93" s="147"/>
      <c r="AD93" s="50"/>
      <c r="AE93" s="234"/>
      <c r="AF93" s="62">
        <f>SUMIF(FLOAT!$D:$D,Cockpit!$E93:$E228,FLOAT!G:G)</f>
        <v>0</v>
      </c>
      <c r="AG93" s="62">
        <f>SUMIF(FLOAT!$D:$D,Cockpit!$E93:$E228,FLOAT!H:H)</f>
        <v>0</v>
      </c>
      <c r="AH93" s="62">
        <f>SUMIF(FLOAT!$D:$D,Cockpit!$E93:$E228,FLOAT!I:I)</f>
        <v>0</v>
      </c>
      <c r="AI93" s="62">
        <f>SUMIF(FLOAT!$D:$D,Cockpit!$E93:$E228,FLOAT!J:J)</f>
        <v>0</v>
      </c>
      <c r="AJ93" s="62">
        <f>SUMIF(FLOAT!$D:$D,Cockpit!$E93:$E228,FLOAT!K:K)</f>
        <v>0</v>
      </c>
      <c r="AK93" s="62">
        <f>SUMIF(FLOAT!$D:$D,Cockpit!$E93:$E228,FLOAT!L:L)</f>
        <v>0</v>
      </c>
      <c r="AL93" s="62">
        <f>SUMIF(FLOAT!$D:$D,Cockpit!$E93:$E228,FLOAT!M:M)</f>
        <v>0</v>
      </c>
      <c r="AM93" s="62">
        <f>SUMIF(FLOAT!$D:$D,Cockpit!$E93:$E228,FLOAT!N:N)</f>
        <v>0</v>
      </c>
      <c r="AN93" s="62">
        <f>SUMIF(FLOAT!$D:$D,Cockpit!$E93:$E228,FLOAT!O:O)</f>
        <v>0</v>
      </c>
      <c r="AO93" s="62">
        <f>SUMIF(FLOAT!$D:$D,Cockpit!$E93:$E228,FLOAT!P:P)</f>
        <v>0</v>
      </c>
      <c r="AP93" s="60">
        <f t="shared" si="10"/>
        <v>0</v>
      </c>
      <c r="AQ93" s="238"/>
    </row>
    <row r="94" spans="1:43" ht="23.25" hidden="1" customHeight="1" thickBot="1" x14ac:dyDescent="0.35">
      <c r="A94" s="297"/>
      <c r="B94" s="298"/>
      <c r="C94" s="309"/>
      <c r="D94" s="756">
        <v>544254630473</v>
      </c>
      <c r="E94" s="313" t="s">
        <v>467</v>
      </c>
      <c r="F94" s="316" t="s">
        <v>468</v>
      </c>
      <c r="G94" s="184">
        <v>0</v>
      </c>
      <c r="H94" s="230">
        <f>G94</f>
        <v>0</v>
      </c>
      <c r="I94" s="232">
        <v>0</v>
      </c>
      <c r="J94" s="214">
        <f t="shared" si="13"/>
        <v>0</v>
      </c>
      <c r="K94" s="76">
        <f t="shared" si="13"/>
        <v>0</v>
      </c>
      <c r="L94" s="155">
        <f>H94-K94</f>
        <v>0</v>
      </c>
      <c r="M94" s="77">
        <f>I94+J94-K94</f>
        <v>0</v>
      </c>
      <c r="N94" s="30">
        <f>SUMIF('3 D P'!$D:$D,Cockpit!$E$5:$E$146,'3 D P'!L:L)</f>
        <v>0</v>
      </c>
      <c r="O94" s="30">
        <f>SUMIF('3 D P'!$D:$D,Cockpit!$E$5:$E$146,'3 D P'!M:M)</f>
        <v>0</v>
      </c>
      <c r="P94" s="30">
        <f>SUMIF('3 D P'!$D:$D,Cockpit!$E$5:$E$146,'3 D P'!N:N)</f>
        <v>0</v>
      </c>
      <c r="Q94" s="132">
        <f>IFERROR(VLOOKUP($D94,'Aptiv Dispatch'!$A:$B,2,FALSE),0)</f>
        <v>0</v>
      </c>
      <c r="R94" s="34">
        <f>SUMIF('Consumption MTD'!B:B,Cockpit!$E$5:$E$146,'Consumption MTD'!C:C)</f>
        <v>0</v>
      </c>
      <c r="S94" s="34">
        <f>SUMIF('BIW Lifting A Shift'!$B:$B,Cockpit!$E$5:$E$146,'BIW Lifting A Shift'!C:C)</f>
        <v>0</v>
      </c>
      <c r="T94" s="34" t="e">
        <f>SUMIF('BIW Lifting A Shift'!$B:$B,Cockpit!$E$5:$E$146,'BIW Lifting A Shift'!#REF!)</f>
        <v>#REF!</v>
      </c>
      <c r="U94" s="74">
        <f>M94-X94</f>
        <v>0</v>
      </c>
      <c r="V94" s="74">
        <f>M94-S94-X94</f>
        <v>0</v>
      </c>
      <c r="W94" s="74" t="e">
        <f>V94-T94</f>
        <v>#REF!</v>
      </c>
      <c r="X94" s="135">
        <f>SUMIF(FLOAT!$D:$D,Cockpit!$E$5:$E$146,FLOAT!F:F)</f>
        <v>0</v>
      </c>
      <c r="Y94" s="38"/>
      <c r="AA94" s="49"/>
      <c r="AC94" s="147"/>
      <c r="AD94" s="50"/>
      <c r="AE94" s="234"/>
      <c r="AF94" s="62">
        <f>SUMIF(FLOAT!$D:$D,Cockpit!$E94:$E229,FLOAT!G:G)</f>
        <v>0</v>
      </c>
      <c r="AG94" s="62">
        <f>SUMIF(FLOAT!$D:$D,Cockpit!$E94:$E229,FLOAT!H:H)</f>
        <v>0</v>
      </c>
      <c r="AH94" s="62">
        <f>SUMIF(FLOAT!$D:$D,Cockpit!$E94:$E229,FLOAT!I:I)</f>
        <v>0</v>
      </c>
      <c r="AI94" s="62">
        <f>SUMIF(FLOAT!$D:$D,Cockpit!$E94:$E229,FLOAT!J:J)</f>
        <v>0</v>
      </c>
      <c r="AJ94" s="62">
        <f>SUMIF(FLOAT!$D:$D,Cockpit!$E94:$E229,FLOAT!K:K)</f>
        <v>0</v>
      </c>
      <c r="AK94" s="62">
        <f>SUMIF(FLOAT!$D:$D,Cockpit!$E94:$E229,FLOAT!L:L)</f>
        <v>0</v>
      </c>
      <c r="AL94" s="62">
        <f>SUMIF(FLOAT!$D:$D,Cockpit!$E94:$E229,FLOAT!M:M)</f>
        <v>0</v>
      </c>
      <c r="AM94" s="62">
        <f>SUMIF(FLOAT!$D:$D,Cockpit!$E94:$E229,FLOAT!N:N)</f>
        <v>0</v>
      </c>
      <c r="AN94" s="62">
        <f>SUMIF(FLOAT!$D:$D,Cockpit!$E94:$E229,FLOAT!O:O)</f>
        <v>0</v>
      </c>
      <c r="AO94" s="62">
        <f>SUMIF(FLOAT!$D:$D,Cockpit!$E94:$E229,FLOAT!P:P)</f>
        <v>0</v>
      </c>
      <c r="AP94" s="60">
        <f t="shared" si="10"/>
        <v>0</v>
      </c>
      <c r="AQ94" s="238"/>
    </row>
    <row r="95" spans="1:43" ht="23.25" hidden="1" customHeight="1" thickBot="1" x14ac:dyDescent="0.35">
      <c r="A95" s="297"/>
      <c r="B95" s="298"/>
      <c r="C95" s="309"/>
      <c r="D95" s="756">
        <v>544254630474</v>
      </c>
      <c r="E95" s="313" t="s">
        <v>469</v>
      </c>
      <c r="F95" s="316" t="s">
        <v>470</v>
      </c>
      <c r="G95" s="184">
        <v>0</v>
      </c>
      <c r="H95" s="230">
        <f>G95</f>
        <v>0</v>
      </c>
      <c r="I95" s="232">
        <v>0</v>
      </c>
      <c r="J95" s="214">
        <f t="shared" si="13"/>
        <v>0</v>
      </c>
      <c r="K95" s="76">
        <f t="shared" si="13"/>
        <v>0</v>
      </c>
      <c r="L95" s="155">
        <f>H95-K95</f>
        <v>0</v>
      </c>
      <c r="M95" s="77">
        <f>I95+J95-K95</f>
        <v>0</v>
      </c>
      <c r="N95" s="30">
        <f>SUMIF('3 D P'!$D:$D,Cockpit!$E$5:$E$146,'3 D P'!L:L)</f>
        <v>0</v>
      </c>
      <c r="O95" s="30">
        <f>SUMIF('3 D P'!$D:$D,Cockpit!$E$5:$E$146,'3 D P'!M:M)</f>
        <v>0</v>
      </c>
      <c r="P95" s="30">
        <f>SUMIF('3 D P'!$D:$D,Cockpit!$E$5:$E$146,'3 D P'!N:N)</f>
        <v>0</v>
      </c>
      <c r="Q95" s="132">
        <f>IFERROR(VLOOKUP($D95,'Aptiv Dispatch'!$A:$B,2,FALSE),0)</f>
        <v>0</v>
      </c>
      <c r="R95" s="34">
        <f>SUMIF('Consumption MTD'!B:B,Cockpit!$E$5:$E$146,'Consumption MTD'!C:C)</f>
        <v>0</v>
      </c>
      <c r="S95" s="34">
        <f>SUMIF('BIW Lifting A Shift'!$B:$B,Cockpit!$E$5:$E$146,'BIW Lifting A Shift'!C:C)</f>
        <v>0</v>
      </c>
      <c r="T95" s="34" t="e">
        <f>SUMIF('BIW Lifting A Shift'!$B:$B,Cockpit!$E$5:$E$146,'BIW Lifting A Shift'!#REF!)</f>
        <v>#REF!</v>
      </c>
      <c r="U95" s="74">
        <f>M95-X95</f>
        <v>0</v>
      </c>
      <c r="V95" s="74">
        <f>M95-S95-X95</f>
        <v>0</v>
      </c>
      <c r="W95" s="74" t="e">
        <f>V95-T95</f>
        <v>#REF!</v>
      </c>
      <c r="X95" s="135">
        <f>SUMIF(FLOAT!$D:$D,Cockpit!$E$5:$E$146,FLOAT!F:F)</f>
        <v>0</v>
      </c>
      <c r="Y95" s="38"/>
      <c r="AA95" s="49"/>
      <c r="AC95" s="147"/>
      <c r="AD95" s="50"/>
      <c r="AE95" s="234"/>
      <c r="AF95" s="62">
        <f>SUMIF(FLOAT!$D:$D,Cockpit!$E95:$E230,FLOAT!G:G)</f>
        <v>0</v>
      </c>
      <c r="AG95" s="62">
        <f>SUMIF(FLOAT!$D:$D,Cockpit!$E95:$E230,FLOAT!H:H)</f>
        <v>0</v>
      </c>
      <c r="AH95" s="62">
        <f>SUMIF(FLOAT!$D:$D,Cockpit!$E95:$E230,FLOAT!I:I)</f>
        <v>0</v>
      </c>
      <c r="AI95" s="62">
        <f>SUMIF(FLOAT!$D:$D,Cockpit!$E95:$E230,FLOAT!J:J)</f>
        <v>0</v>
      </c>
      <c r="AJ95" s="62">
        <f>SUMIF(FLOAT!$D:$D,Cockpit!$E95:$E230,FLOAT!K:K)</f>
        <v>0</v>
      </c>
      <c r="AK95" s="62">
        <f>SUMIF(FLOAT!$D:$D,Cockpit!$E95:$E230,FLOAT!L:L)</f>
        <v>0</v>
      </c>
      <c r="AL95" s="62">
        <f>SUMIF(FLOAT!$D:$D,Cockpit!$E95:$E230,FLOAT!M:M)</f>
        <v>0</v>
      </c>
      <c r="AM95" s="62">
        <f>SUMIF(FLOAT!$D:$D,Cockpit!$E95:$E230,FLOAT!N:N)</f>
        <v>0</v>
      </c>
      <c r="AN95" s="62">
        <f>SUMIF(FLOAT!$D:$D,Cockpit!$E95:$E230,FLOAT!O:O)</f>
        <v>0</v>
      </c>
      <c r="AO95" s="62">
        <f>SUMIF(FLOAT!$D:$D,Cockpit!$E95:$E230,FLOAT!P:P)</f>
        <v>0</v>
      </c>
      <c r="AP95" s="60">
        <f t="shared" si="10"/>
        <v>0</v>
      </c>
      <c r="AQ95" s="238"/>
    </row>
    <row r="96" spans="1:43" ht="23.25" hidden="1" customHeight="1" thickBot="1" x14ac:dyDescent="0.35">
      <c r="A96" s="297"/>
      <c r="B96" s="298"/>
      <c r="C96" s="309"/>
      <c r="D96" s="946">
        <v>544254640216</v>
      </c>
      <c r="E96" s="313" t="s">
        <v>471</v>
      </c>
      <c r="F96" s="316" t="s">
        <v>472</v>
      </c>
      <c r="G96" s="184">
        <v>20</v>
      </c>
      <c r="H96" s="833">
        <f>SUM(G96:G97)</f>
        <v>20</v>
      </c>
      <c r="I96" s="895">
        <v>15</v>
      </c>
      <c r="J96" s="836">
        <f>Q96</f>
        <v>0</v>
      </c>
      <c r="K96" s="822">
        <f>SUM(R96:R97)</f>
        <v>0</v>
      </c>
      <c r="L96" s="838">
        <f>H96-K96</f>
        <v>20</v>
      </c>
      <c r="M96" s="816">
        <f>SUM(I96:I97)+J96-K96</f>
        <v>15</v>
      </c>
      <c r="N96" s="30">
        <f>SUMIF('3 D P'!$D:$D,Cockpit!$E$5:$E$146,'3 D P'!L:L)</f>
        <v>0</v>
      </c>
      <c r="O96" s="30">
        <f>SUMIF('3 D P'!$D:$D,Cockpit!$E$5:$E$146,'3 D P'!M:M)</f>
        <v>0</v>
      </c>
      <c r="P96" s="30">
        <f>SUMIF('3 D P'!$D:$D,Cockpit!$E$5:$E$146,'3 D P'!N:N)</f>
        <v>0</v>
      </c>
      <c r="Q96" s="132">
        <f>IFERROR(VLOOKUP($D96,'Aptiv Dispatch'!$A:$B,2,FALSE),0)</f>
        <v>0</v>
      </c>
      <c r="R96" s="34">
        <f>SUMIF('Consumption MTD'!B:B,Cockpit!$E$5:$E$146,'Consumption MTD'!C:C)</f>
        <v>0</v>
      </c>
      <c r="S96" s="34">
        <f>SUMIF('BIW Lifting A Shift'!$B:$B,Cockpit!$E$5:$E$146,'BIW Lifting A Shift'!C:C)</f>
        <v>0</v>
      </c>
      <c r="T96" s="34" t="e">
        <f>SUMIF('BIW Lifting A Shift'!$B:$B,Cockpit!$E$5:$E$146,'BIW Lifting A Shift'!#REF!)</f>
        <v>#REF!</v>
      </c>
      <c r="U96" s="818">
        <f>M96-X96-X97</f>
        <v>15</v>
      </c>
      <c r="V96" s="818">
        <f>M96-X96-X97-S96-S97</f>
        <v>15</v>
      </c>
      <c r="W96" s="818" t="e">
        <f>V96-T96-T97</f>
        <v>#REF!</v>
      </c>
      <c r="X96" s="135">
        <f>SUMIF(FLOAT!$D:$D,Cockpit!$E$5:$E$146,FLOAT!F:F)</f>
        <v>0</v>
      </c>
      <c r="Y96" s="38"/>
      <c r="AA96" s="49"/>
      <c r="AC96" s="147"/>
      <c r="AD96" s="49"/>
      <c r="AE96" s="185"/>
      <c r="AF96" s="62">
        <f>SUMIF(FLOAT!$D:$D,Cockpit!$E96:$E231,FLOAT!G:G)</f>
        <v>0</v>
      </c>
      <c r="AG96" s="62">
        <f>SUMIF(FLOAT!$D:$D,Cockpit!$E96:$E231,FLOAT!H:H)</f>
        <v>0</v>
      </c>
      <c r="AH96" s="62">
        <f>SUMIF(FLOAT!$D:$D,Cockpit!$E96:$E231,FLOAT!I:I)</f>
        <v>0</v>
      </c>
      <c r="AI96" s="62">
        <f>SUMIF(FLOAT!$D:$D,Cockpit!$E96:$E231,FLOAT!J:J)</f>
        <v>0</v>
      </c>
      <c r="AJ96" s="62">
        <f>SUMIF(FLOAT!$D:$D,Cockpit!$E96:$E231,FLOAT!K:K)</f>
        <v>0</v>
      </c>
      <c r="AK96" s="62">
        <f>SUMIF(FLOAT!$D:$D,Cockpit!$E96:$E231,FLOAT!L:L)</f>
        <v>0</v>
      </c>
      <c r="AL96" s="62">
        <f>SUMIF(FLOAT!$D:$D,Cockpit!$E96:$E231,FLOAT!M:M)</f>
        <v>0</v>
      </c>
      <c r="AM96" s="62">
        <f>SUMIF(FLOAT!$D:$D,Cockpit!$E96:$E231,FLOAT!N:N)</f>
        <v>0</v>
      </c>
      <c r="AN96" s="62">
        <f>SUMIF(FLOAT!$D:$D,Cockpit!$E96:$E231,FLOAT!O:O)</f>
        <v>0</v>
      </c>
      <c r="AO96" s="62">
        <f>SUMIF(FLOAT!$D:$D,Cockpit!$E96:$E231,FLOAT!P:P)</f>
        <v>0</v>
      </c>
      <c r="AP96" s="60">
        <f t="shared" si="10"/>
        <v>0</v>
      </c>
      <c r="AQ96" s="238"/>
    </row>
    <row r="97" spans="1:43" ht="23.25" hidden="1" customHeight="1" thickBot="1" x14ac:dyDescent="0.35">
      <c r="A97" s="297"/>
      <c r="B97" s="298"/>
      <c r="C97" s="309"/>
      <c r="D97" s="946"/>
      <c r="E97" s="313" t="s">
        <v>473</v>
      </c>
      <c r="F97" s="316" t="s">
        <v>474</v>
      </c>
      <c r="G97" s="184">
        <v>0</v>
      </c>
      <c r="H97" s="834"/>
      <c r="I97" s="823"/>
      <c r="J97" s="837"/>
      <c r="K97" s="823"/>
      <c r="L97" s="823"/>
      <c r="M97" s="816"/>
      <c r="N97" s="30">
        <f>SUMIF('3 D P'!$D:$D,Cockpit!$E$5:$E$146,'3 D P'!L:L)</f>
        <v>0</v>
      </c>
      <c r="O97" s="30">
        <f>SUMIF('3 D P'!$D:$D,Cockpit!$E$5:$E$146,'3 D P'!M:M)</f>
        <v>0</v>
      </c>
      <c r="P97" s="30">
        <f>SUMIF('3 D P'!$D:$D,Cockpit!$E$5:$E$146,'3 D P'!N:N)</f>
        <v>0</v>
      </c>
      <c r="Q97" s="132">
        <f>IFERROR(VLOOKUP($D97,'Aptiv Dispatch'!$A:$B,2,FALSE),0)</f>
        <v>0</v>
      </c>
      <c r="R97" s="34">
        <f>SUMIF('Consumption MTD'!B:B,Cockpit!$E$5:$E$146,'Consumption MTD'!C:C)</f>
        <v>0</v>
      </c>
      <c r="S97" s="34">
        <f>SUMIF('BIW Lifting A Shift'!$B:$B,Cockpit!$E$5:$E$146,'BIW Lifting A Shift'!C:C)</f>
        <v>0</v>
      </c>
      <c r="T97" s="34" t="e">
        <f>SUMIF('BIW Lifting A Shift'!$B:$B,Cockpit!$E$5:$E$146,'BIW Lifting A Shift'!#REF!)</f>
        <v>#REF!</v>
      </c>
      <c r="U97" s="818"/>
      <c r="V97" s="818"/>
      <c r="W97" s="818"/>
      <c r="X97" s="135">
        <f>SUMIF(FLOAT!$D:$D,Cockpit!$E$5:$E$146,FLOAT!F:F)</f>
        <v>0</v>
      </c>
      <c r="Y97" s="38"/>
      <c r="AA97" s="49"/>
      <c r="AC97" s="147"/>
      <c r="AD97" s="49"/>
      <c r="AE97" s="185"/>
      <c r="AF97" s="62">
        <f>SUMIF(FLOAT!$D:$D,Cockpit!$E97:$E232,FLOAT!G:G)</f>
        <v>0</v>
      </c>
      <c r="AG97" s="62">
        <f>SUMIF(FLOAT!$D:$D,Cockpit!$E97:$E232,FLOAT!H:H)</f>
        <v>0</v>
      </c>
      <c r="AH97" s="62">
        <f>SUMIF(FLOAT!$D:$D,Cockpit!$E97:$E232,FLOAT!I:I)</f>
        <v>0</v>
      </c>
      <c r="AI97" s="62">
        <f>SUMIF(FLOAT!$D:$D,Cockpit!$E97:$E232,FLOAT!J:J)</f>
        <v>0</v>
      </c>
      <c r="AJ97" s="62">
        <f>SUMIF(FLOAT!$D:$D,Cockpit!$E97:$E232,FLOAT!K:K)</f>
        <v>0</v>
      </c>
      <c r="AK97" s="62">
        <f>SUMIF(FLOAT!$D:$D,Cockpit!$E97:$E232,FLOAT!L:L)</f>
        <v>0</v>
      </c>
      <c r="AL97" s="62">
        <f>SUMIF(FLOAT!$D:$D,Cockpit!$E97:$E232,FLOAT!M:M)</f>
        <v>0</v>
      </c>
      <c r="AM97" s="62">
        <f>SUMIF(FLOAT!$D:$D,Cockpit!$E97:$E232,FLOAT!N:N)</f>
        <v>0</v>
      </c>
      <c r="AN97" s="62">
        <f>SUMIF(FLOAT!$D:$D,Cockpit!$E97:$E232,FLOAT!O:O)</f>
        <v>0</v>
      </c>
      <c r="AO97" s="62">
        <f>SUMIF(FLOAT!$D:$D,Cockpit!$E97:$E232,FLOAT!P:P)</f>
        <v>0</v>
      </c>
      <c r="AP97" s="60">
        <f t="shared" si="10"/>
        <v>0</v>
      </c>
      <c r="AQ97" s="238"/>
    </row>
    <row r="98" spans="1:43" ht="23.25" hidden="1" customHeight="1" thickBot="1" x14ac:dyDescent="0.35">
      <c r="A98" s="297"/>
      <c r="B98" s="298"/>
      <c r="C98" s="309"/>
      <c r="D98" s="756">
        <v>544254640218</v>
      </c>
      <c r="E98" s="313" t="s">
        <v>475</v>
      </c>
      <c r="F98" s="316" t="s">
        <v>476</v>
      </c>
      <c r="G98" s="184">
        <v>38</v>
      </c>
      <c r="H98" s="230">
        <f>G98</f>
        <v>38</v>
      </c>
      <c r="I98" s="232">
        <v>0</v>
      </c>
      <c r="J98" s="214">
        <f>Q98</f>
        <v>0</v>
      </c>
      <c r="K98" s="76">
        <f>R98</f>
        <v>0</v>
      </c>
      <c r="L98" s="155">
        <f>H98-K98</f>
        <v>38</v>
      </c>
      <c r="M98" s="77">
        <f>I98+J98-K98</f>
        <v>0</v>
      </c>
      <c r="N98" s="30">
        <f>SUMIF('3 D P'!$D:$D,Cockpit!$E$5:$E$146,'3 D P'!L:L)</f>
        <v>0</v>
      </c>
      <c r="O98" s="30">
        <f>SUMIF('3 D P'!$D:$D,Cockpit!$E$5:$E$146,'3 D P'!M:M)</f>
        <v>0</v>
      </c>
      <c r="P98" s="30">
        <f>SUMIF('3 D P'!$D:$D,Cockpit!$E$5:$E$146,'3 D P'!N:N)</f>
        <v>0</v>
      </c>
      <c r="Q98" s="132">
        <f>IFERROR(VLOOKUP($D98,'Aptiv Dispatch'!$A:$B,2,FALSE),0)</f>
        <v>0</v>
      </c>
      <c r="R98" s="34">
        <f>SUMIF('Consumption MTD'!B:B,Cockpit!$E$5:$E$146,'Consumption MTD'!C:C)</f>
        <v>0</v>
      </c>
      <c r="S98" s="34">
        <f>SUMIF('BIW Lifting A Shift'!$B:$B,Cockpit!$E$5:$E$146,'BIW Lifting A Shift'!C:C)</f>
        <v>0</v>
      </c>
      <c r="T98" s="34" t="e">
        <f>SUMIF('BIW Lifting A Shift'!$B:$B,Cockpit!$E$5:$E$146,'BIW Lifting A Shift'!#REF!)</f>
        <v>#REF!</v>
      </c>
      <c r="U98" s="74">
        <f>M98-X98</f>
        <v>0</v>
      </c>
      <c r="V98" s="74">
        <f>M98-S98-X98</f>
        <v>0</v>
      </c>
      <c r="W98" s="74" t="e">
        <f>V98-T98</f>
        <v>#REF!</v>
      </c>
      <c r="X98" s="135">
        <f>SUMIF(FLOAT!$D:$D,Cockpit!$E$5:$E$146,FLOAT!F:F)</f>
        <v>0</v>
      </c>
      <c r="Y98" s="38"/>
      <c r="AA98" s="49"/>
      <c r="AC98" s="147"/>
      <c r="AD98" s="50"/>
      <c r="AE98" s="234"/>
      <c r="AF98" s="62">
        <f>SUMIF(FLOAT!$D:$D,Cockpit!$E98:$E233,FLOAT!G:G)</f>
        <v>0</v>
      </c>
      <c r="AG98" s="62">
        <f>SUMIF(FLOAT!$D:$D,Cockpit!$E98:$E233,FLOAT!H:H)</f>
        <v>0</v>
      </c>
      <c r="AH98" s="62">
        <f>SUMIF(FLOAT!$D:$D,Cockpit!$E98:$E233,FLOAT!I:I)</f>
        <v>0</v>
      </c>
      <c r="AI98" s="62">
        <f>SUMIF(FLOAT!$D:$D,Cockpit!$E98:$E233,FLOAT!J:J)</f>
        <v>0</v>
      </c>
      <c r="AJ98" s="62">
        <f>SUMIF(FLOAT!$D:$D,Cockpit!$E98:$E233,FLOAT!K:K)</f>
        <v>0</v>
      </c>
      <c r="AK98" s="62">
        <f>SUMIF(FLOAT!$D:$D,Cockpit!$E98:$E233,FLOAT!L:L)</f>
        <v>0</v>
      </c>
      <c r="AL98" s="62">
        <f>SUMIF(FLOAT!$D:$D,Cockpit!$E98:$E233,FLOAT!M:M)</f>
        <v>0</v>
      </c>
      <c r="AM98" s="62">
        <f>SUMIF(FLOAT!$D:$D,Cockpit!$E98:$E233,FLOAT!N:N)</f>
        <v>0</v>
      </c>
      <c r="AN98" s="62">
        <f>SUMIF(FLOAT!$D:$D,Cockpit!$E98:$E233,FLOAT!O:O)</f>
        <v>0</v>
      </c>
      <c r="AO98" s="62">
        <f>SUMIF(FLOAT!$D:$D,Cockpit!$E98:$E233,FLOAT!P:P)</f>
        <v>0</v>
      </c>
      <c r="AP98" s="60">
        <f t="shared" si="10"/>
        <v>0</v>
      </c>
      <c r="AQ98" s="238"/>
    </row>
    <row r="99" spans="1:43" ht="23.25" hidden="1" customHeight="1" thickBot="1" x14ac:dyDescent="0.35">
      <c r="A99" s="297"/>
      <c r="B99" s="298"/>
      <c r="C99" s="309"/>
      <c r="D99" s="756">
        <v>544254640214</v>
      </c>
      <c r="E99" s="313" t="s">
        <v>477</v>
      </c>
      <c r="F99" s="316" t="s">
        <v>478</v>
      </c>
      <c r="G99" s="184">
        <v>0</v>
      </c>
      <c r="H99" s="230">
        <f>G99</f>
        <v>0</v>
      </c>
      <c r="I99" s="232">
        <v>0</v>
      </c>
      <c r="J99" s="214">
        <f>Q99</f>
        <v>0</v>
      </c>
      <c r="K99" s="76">
        <f>R99</f>
        <v>0</v>
      </c>
      <c r="L99" s="155">
        <f>H99-K99</f>
        <v>0</v>
      </c>
      <c r="M99" s="77">
        <f>I99+J99-K99</f>
        <v>0</v>
      </c>
      <c r="N99" s="30">
        <f>SUMIF('3 D P'!$D:$D,Cockpit!$E$5:$E$146,'3 D P'!L:L)</f>
        <v>0</v>
      </c>
      <c r="O99" s="30">
        <f>SUMIF('3 D P'!$D:$D,Cockpit!$E$5:$E$146,'3 D P'!M:M)</f>
        <v>0</v>
      </c>
      <c r="P99" s="30">
        <f>SUMIF('3 D P'!$D:$D,Cockpit!$E$5:$E$146,'3 D P'!N:N)</f>
        <v>0</v>
      </c>
      <c r="Q99" s="132">
        <f>IFERROR(VLOOKUP($D99,'Aptiv Dispatch'!$A:$B,2,FALSE),0)</f>
        <v>0</v>
      </c>
      <c r="R99" s="34">
        <f>SUMIF('Consumption MTD'!B:B,Cockpit!$E$5:$E$146,'Consumption MTD'!C:C)</f>
        <v>0</v>
      </c>
      <c r="S99" s="34">
        <f>SUMIF('BIW Lifting A Shift'!$B:$B,Cockpit!$E$5:$E$146,'BIW Lifting A Shift'!C:C)</f>
        <v>0</v>
      </c>
      <c r="T99" s="34" t="e">
        <f>SUMIF('BIW Lifting A Shift'!$B:$B,Cockpit!$E$5:$E$146,'BIW Lifting A Shift'!#REF!)</f>
        <v>#REF!</v>
      </c>
      <c r="U99" s="74">
        <f>M99-X99</f>
        <v>0</v>
      </c>
      <c r="V99" s="74">
        <f>M99-S99-X99</f>
        <v>0</v>
      </c>
      <c r="W99" s="74" t="e">
        <f>V99-T99</f>
        <v>#REF!</v>
      </c>
      <c r="X99" s="135">
        <f>SUMIF(FLOAT!$D:$D,Cockpit!$E$5:$E$146,FLOAT!F:F)</f>
        <v>0</v>
      </c>
      <c r="Y99" s="38"/>
      <c r="AA99" s="49"/>
      <c r="AC99" s="147"/>
      <c r="AD99" s="50"/>
      <c r="AE99" s="234"/>
      <c r="AF99" s="62">
        <f>SUMIF(FLOAT!$D:$D,Cockpit!$E99:$E234,FLOAT!G:G)</f>
        <v>0</v>
      </c>
      <c r="AG99" s="62">
        <f>SUMIF(FLOAT!$D:$D,Cockpit!$E99:$E234,FLOAT!H:H)</f>
        <v>0</v>
      </c>
      <c r="AH99" s="62">
        <f>SUMIF(FLOAT!$D:$D,Cockpit!$E99:$E234,FLOAT!I:I)</f>
        <v>0</v>
      </c>
      <c r="AI99" s="62">
        <f>SUMIF(FLOAT!$D:$D,Cockpit!$E99:$E234,FLOAT!J:J)</f>
        <v>0</v>
      </c>
      <c r="AJ99" s="62">
        <f>SUMIF(FLOAT!$D:$D,Cockpit!$E99:$E234,FLOAT!K:K)</f>
        <v>0</v>
      </c>
      <c r="AK99" s="62">
        <f>SUMIF(FLOAT!$D:$D,Cockpit!$E99:$E234,FLOAT!L:L)</f>
        <v>0</v>
      </c>
      <c r="AL99" s="62">
        <f>SUMIF(FLOAT!$D:$D,Cockpit!$E99:$E234,FLOAT!M:M)</f>
        <v>0</v>
      </c>
      <c r="AM99" s="62">
        <f>SUMIF(FLOAT!$D:$D,Cockpit!$E99:$E234,FLOAT!N:N)</f>
        <v>0</v>
      </c>
      <c r="AN99" s="62">
        <f>SUMIF(FLOAT!$D:$D,Cockpit!$E99:$E234,FLOAT!O:O)</f>
        <v>0</v>
      </c>
      <c r="AO99" s="62">
        <f>SUMIF(FLOAT!$D:$D,Cockpit!$E99:$E234,FLOAT!P:P)</f>
        <v>0</v>
      </c>
      <c r="AP99" s="60">
        <f t="shared" si="10"/>
        <v>0</v>
      </c>
      <c r="AQ99" s="238"/>
    </row>
    <row r="100" spans="1:43" ht="23.25" hidden="1" customHeight="1" thickBot="1" x14ac:dyDescent="0.35">
      <c r="A100" s="297"/>
      <c r="B100" s="298"/>
      <c r="C100" s="309"/>
      <c r="D100" s="946">
        <v>544254640213</v>
      </c>
      <c r="E100" s="313" t="s">
        <v>431</v>
      </c>
      <c r="F100" s="316" t="s">
        <v>479</v>
      </c>
      <c r="G100" s="184">
        <v>82</v>
      </c>
      <c r="H100" s="833">
        <f>SUM(G100:G101)</f>
        <v>82</v>
      </c>
      <c r="I100" s="895">
        <v>1</v>
      </c>
      <c r="J100" s="836">
        <f>Q100</f>
        <v>0</v>
      </c>
      <c r="K100" s="822">
        <f>SUM(R100:R101)</f>
        <v>0</v>
      </c>
      <c r="L100" s="838">
        <f>H100-K100</f>
        <v>82</v>
      </c>
      <c r="M100" s="816">
        <f>SUM(I100:I101)+J100-K100</f>
        <v>1</v>
      </c>
      <c r="N100" s="30">
        <f>SUMIF('3 D P'!$D:$D,Cockpit!$E$5:$E$146,'3 D P'!L:L)</f>
        <v>0</v>
      </c>
      <c r="O100" s="30">
        <f>SUMIF('3 D P'!$D:$D,Cockpit!$E$5:$E$146,'3 D P'!M:M)</f>
        <v>0</v>
      </c>
      <c r="P100" s="30">
        <f>SUMIF('3 D P'!$D:$D,Cockpit!$E$5:$E$146,'3 D P'!N:N)</f>
        <v>0</v>
      </c>
      <c r="Q100" s="132">
        <f>IFERROR(VLOOKUP($D100,'Aptiv Dispatch'!$A:$B,2,FALSE),0)</f>
        <v>0</v>
      </c>
      <c r="R100" s="34">
        <f>SUMIF('Consumption MTD'!B:B,Cockpit!$E$5:$E$146,'Consumption MTD'!C:C)</f>
        <v>0</v>
      </c>
      <c r="S100" s="34">
        <f>SUMIF('BIW Lifting A Shift'!$B:$B,Cockpit!$E$5:$E$146,'BIW Lifting A Shift'!C:C)</f>
        <v>0</v>
      </c>
      <c r="T100" s="34" t="e">
        <f>SUMIF('BIW Lifting A Shift'!$B:$B,Cockpit!$E$5:$E$146,'BIW Lifting A Shift'!#REF!)</f>
        <v>#REF!</v>
      </c>
      <c r="U100" s="818">
        <f>M100-X100-X101</f>
        <v>1</v>
      </c>
      <c r="V100" s="818">
        <f>M100-X100-X101-S100-S101</f>
        <v>1</v>
      </c>
      <c r="W100" s="818" t="e">
        <f>V100-T100-T101</f>
        <v>#REF!</v>
      </c>
      <c r="X100" s="135">
        <f>SUMIF(FLOAT!$D:$D,Cockpit!$E$5:$E$146,FLOAT!F:F)</f>
        <v>0</v>
      </c>
      <c r="Y100" s="38"/>
      <c r="AA100" s="49"/>
      <c r="AC100" s="147"/>
      <c r="AD100" s="49"/>
      <c r="AE100" s="185"/>
      <c r="AF100" s="62">
        <f>SUMIF(FLOAT!$D:$D,Cockpit!$E100:$E235,FLOAT!G:G)</f>
        <v>0</v>
      </c>
      <c r="AG100" s="62">
        <f>SUMIF(FLOAT!$D:$D,Cockpit!$E100:$E235,FLOAT!H:H)</f>
        <v>0</v>
      </c>
      <c r="AH100" s="62">
        <f>SUMIF(FLOAT!$D:$D,Cockpit!$E100:$E235,FLOAT!I:I)</f>
        <v>0</v>
      </c>
      <c r="AI100" s="62">
        <f>SUMIF(FLOAT!$D:$D,Cockpit!$E100:$E235,FLOAT!J:J)</f>
        <v>0</v>
      </c>
      <c r="AJ100" s="62">
        <f>SUMIF(FLOAT!$D:$D,Cockpit!$E100:$E235,FLOAT!K:K)</f>
        <v>0</v>
      </c>
      <c r="AK100" s="62">
        <f>SUMIF(FLOAT!$D:$D,Cockpit!$E100:$E235,FLOAT!L:L)</f>
        <v>0</v>
      </c>
      <c r="AL100" s="62">
        <f>SUMIF(FLOAT!$D:$D,Cockpit!$E100:$E235,FLOAT!M:M)</f>
        <v>0</v>
      </c>
      <c r="AM100" s="62">
        <f>SUMIF(FLOAT!$D:$D,Cockpit!$E100:$E235,FLOAT!N:N)</f>
        <v>0</v>
      </c>
      <c r="AN100" s="62">
        <f>SUMIF(FLOAT!$D:$D,Cockpit!$E100:$E235,FLOAT!O:O)</f>
        <v>0</v>
      </c>
      <c r="AO100" s="62">
        <f>SUMIF(FLOAT!$D:$D,Cockpit!$E100:$E235,FLOAT!P:P)</f>
        <v>0</v>
      </c>
      <c r="AP100" s="60">
        <f t="shared" si="10"/>
        <v>0</v>
      </c>
      <c r="AQ100" s="238"/>
    </row>
    <row r="101" spans="1:43" ht="23.25" hidden="1" customHeight="1" thickBot="1" x14ac:dyDescent="0.35">
      <c r="A101" s="297"/>
      <c r="B101" s="298"/>
      <c r="C101" s="309"/>
      <c r="D101" s="946"/>
      <c r="E101" s="313" t="s">
        <v>480</v>
      </c>
      <c r="F101" s="316" t="s">
        <v>481</v>
      </c>
      <c r="G101" s="184">
        <v>0</v>
      </c>
      <c r="H101" s="834"/>
      <c r="I101" s="823"/>
      <c r="J101" s="837"/>
      <c r="K101" s="823"/>
      <c r="L101" s="823"/>
      <c r="M101" s="816"/>
      <c r="N101" s="30">
        <f>SUMIF('3 D P'!$D:$D,Cockpit!$E$5:$E$146,'3 D P'!L:L)</f>
        <v>0</v>
      </c>
      <c r="O101" s="30">
        <f>SUMIF('3 D P'!$D:$D,Cockpit!$E$5:$E$146,'3 D P'!M:M)</f>
        <v>0</v>
      </c>
      <c r="P101" s="30">
        <f>SUMIF('3 D P'!$D:$D,Cockpit!$E$5:$E$146,'3 D P'!N:N)</f>
        <v>0</v>
      </c>
      <c r="Q101" s="132">
        <f>IFERROR(VLOOKUP($D101,'Aptiv Dispatch'!$A:$B,2,FALSE),0)</f>
        <v>0</v>
      </c>
      <c r="R101" s="34">
        <f>SUMIF('Consumption MTD'!B:B,Cockpit!$E$5:$E$146,'Consumption MTD'!C:C)</f>
        <v>0</v>
      </c>
      <c r="S101" s="34">
        <f>SUMIF('BIW Lifting A Shift'!$B:$B,Cockpit!$E$5:$E$146,'BIW Lifting A Shift'!C:C)</f>
        <v>0</v>
      </c>
      <c r="T101" s="34" t="e">
        <f>SUMIF('BIW Lifting A Shift'!$B:$B,Cockpit!$E$5:$E$146,'BIW Lifting A Shift'!#REF!)</f>
        <v>#REF!</v>
      </c>
      <c r="U101" s="818"/>
      <c r="V101" s="818"/>
      <c r="W101" s="818"/>
      <c r="X101" s="135">
        <f>SUMIF(FLOAT!$D:$D,Cockpit!$E$5:$E$146,FLOAT!F:F)</f>
        <v>0</v>
      </c>
      <c r="Y101" s="38"/>
      <c r="AA101" s="49"/>
      <c r="AC101" s="147"/>
      <c r="AD101" s="49"/>
      <c r="AE101" s="185"/>
      <c r="AF101" s="62">
        <f>SUMIF(FLOAT!$D:$D,Cockpit!$E101:$E236,FLOAT!G:G)</f>
        <v>0</v>
      </c>
      <c r="AG101" s="62">
        <f>SUMIF(FLOAT!$D:$D,Cockpit!$E101:$E236,FLOAT!H:H)</f>
        <v>0</v>
      </c>
      <c r="AH101" s="62">
        <f>SUMIF(FLOAT!$D:$D,Cockpit!$E101:$E236,FLOAT!I:I)</f>
        <v>0</v>
      </c>
      <c r="AI101" s="62">
        <f>SUMIF(FLOAT!$D:$D,Cockpit!$E101:$E236,FLOAT!J:J)</f>
        <v>0</v>
      </c>
      <c r="AJ101" s="62">
        <f>SUMIF(FLOAT!$D:$D,Cockpit!$E101:$E236,FLOAT!K:K)</f>
        <v>0</v>
      </c>
      <c r="AK101" s="62">
        <f>SUMIF(FLOAT!$D:$D,Cockpit!$E101:$E236,FLOAT!L:L)</f>
        <v>0</v>
      </c>
      <c r="AL101" s="62">
        <f>SUMIF(FLOAT!$D:$D,Cockpit!$E101:$E236,FLOAT!M:M)</f>
        <v>0</v>
      </c>
      <c r="AM101" s="62">
        <f>SUMIF(FLOAT!$D:$D,Cockpit!$E101:$E236,FLOAT!N:N)</f>
        <v>0</v>
      </c>
      <c r="AN101" s="62">
        <f>SUMIF(FLOAT!$D:$D,Cockpit!$E101:$E236,FLOAT!O:O)</f>
        <v>0</v>
      </c>
      <c r="AO101" s="62">
        <f>SUMIF(FLOAT!$D:$D,Cockpit!$E101:$E236,FLOAT!P:P)</f>
        <v>0</v>
      </c>
      <c r="AP101" s="60">
        <f t="shared" si="10"/>
        <v>0</v>
      </c>
      <c r="AQ101" s="238"/>
    </row>
    <row r="102" spans="1:43" ht="23.25" hidden="1" customHeight="1" thickBot="1" x14ac:dyDescent="0.35">
      <c r="A102" s="297"/>
      <c r="B102" s="298"/>
      <c r="C102" s="309"/>
      <c r="D102" s="756">
        <v>544254640210</v>
      </c>
      <c r="E102" s="313" t="s">
        <v>482</v>
      </c>
      <c r="F102" s="318" t="s">
        <v>483</v>
      </c>
      <c r="G102" s="184">
        <v>0</v>
      </c>
      <c r="H102" s="230">
        <f>G102</f>
        <v>0</v>
      </c>
      <c r="I102" s="232">
        <v>0</v>
      </c>
      <c r="J102" s="214">
        <f>Q102</f>
        <v>0</v>
      </c>
      <c r="K102" s="76">
        <f>R102</f>
        <v>0</v>
      </c>
      <c r="L102" s="155">
        <f>H102-K102</f>
        <v>0</v>
      </c>
      <c r="M102" s="77">
        <f>I102+J102-K102</f>
        <v>0</v>
      </c>
      <c r="N102" s="30">
        <f>SUMIF('3 D P'!$D:$D,Cockpit!$E$5:$E$146,'3 D P'!L:L)</f>
        <v>0</v>
      </c>
      <c r="O102" s="30">
        <f>SUMIF('3 D P'!$D:$D,Cockpit!$E$5:$E$146,'3 D P'!M:M)</f>
        <v>0</v>
      </c>
      <c r="P102" s="30">
        <f>SUMIF('3 D P'!$D:$D,Cockpit!$E$5:$E$146,'3 D P'!N:N)</f>
        <v>0</v>
      </c>
      <c r="Q102" s="132">
        <f>IFERROR(VLOOKUP($D102,'Aptiv Dispatch'!$A:$B,2,FALSE),0)</f>
        <v>0</v>
      </c>
      <c r="R102" s="34">
        <f>SUMIF('Consumption MTD'!B:B,Cockpit!$E$5:$E$146,'Consumption MTD'!C:C)</f>
        <v>0</v>
      </c>
      <c r="S102" s="34">
        <f>SUMIF('BIW Lifting A Shift'!$B:$B,Cockpit!$E$5:$E$146,'BIW Lifting A Shift'!C:C)</f>
        <v>0</v>
      </c>
      <c r="T102" s="34" t="e">
        <f>SUMIF('BIW Lifting A Shift'!$B:$B,Cockpit!$E$5:$E$146,'BIW Lifting A Shift'!#REF!)</f>
        <v>#REF!</v>
      </c>
      <c r="U102" s="74">
        <f>M102-X102</f>
        <v>0</v>
      </c>
      <c r="V102" s="74">
        <f>M102-S102-X102</f>
        <v>0</v>
      </c>
      <c r="W102" s="74" t="e">
        <f>V102-T102</f>
        <v>#REF!</v>
      </c>
      <c r="X102" s="135">
        <f>SUMIF(FLOAT!$D:$D,Cockpit!$E$5:$E$146,FLOAT!F:F)</f>
        <v>0</v>
      </c>
      <c r="Y102" s="38"/>
      <c r="AA102" s="49"/>
      <c r="AC102" s="147"/>
      <c r="AD102" s="50"/>
      <c r="AE102" s="234"/>
      <c r="AF102" s="62">
        <f>SUMIF(FLOAT!$D:$D,Cockpit!$E102:$E237,FLOAT!G:G)</f>
        <v>0</v>
      </c>
      <c r="AG102" s="62">
        <f>SUMIF(FLOAT!$D:$D,Cockpit!$E102:$E237,FLOAT!H:H)</f>
        <v>0</v>
      </c>
      <c r="AH102" s="62">
        <f>SUMIF(FLOAT!$D:$D,Cockpit!$E102:$E237,FLOAT!I:I)</f>
        <v>0</v>
      </c>
      <c r="AI102" s="62">
        <f>SUMIF(FLOAT!$D:$D,Cockpit!$E102:$E237,FLOAT!J:J)</f>
        <v>0</v>
      </c>
      <c r="AJ102" s="62">
        <f>SUMIF(FLOAT!$D:$D,Cockpit!$E102:$E237,FLOAT!K:K)</f>
        <v>0</v>
      </c>
      <c r="AK102" s="62">
        <f>SUMIF(FLOAT!$D:$D,Cockpit!$E102:$E237,FLOAT!L:L)</f>
        <v>0</v>
      </c>
      <c r="AL102" s="62">
        <f>SUMIF(FLOAT!$D:$D,Cockpit!$E102:$E237,FLOAT!M:M)</f>
        <v>0</v>
      </c>
      <c r="AM102" s="62">
        <f>SUMIF(FLOAT!$D:$D,Cockpit!$E102:$E237,FLOAT!N:N)</f>
        <v>0</v>
      </c>
      <c r="AN102" s="62">
        <f>SUMIF(FLOAT!$D:$D,Cockpit!$E102:$E237,FLOAT!O:O)</f>
        <v>0</v>
      </c>
      <c r="AO102" s="62">
        <f>SUMIF(FLOAT!$D:$D,Cockpit!$E102:$E237,FLOAT!P:P)</f>
        <v>0</v>
      </c>
      <c r="AP102" s="60">
        <f t="shared" si="10"/>
        <v>0</v>
      </c>
      <c r="AQ102" s="238"/>
    </row>
    <row r="103" spans="1:43" ht="23.25" hidden="1" customHeight="1" thickBot="1" x14ac:dyDescent="0.35">
      <c r="A103" s="297"/>
      <c r="B103" s="298"/>
      <c r="C103" s="309"/>
      <c r="D103" s="756">
        <v>544254640209</v>
      </c>
      <c r="E103" s="313" t="s">
        <v>484</v>
      </c>
      <c r="F103" s="318" t="s">
        <v>485</v>
      </c>
      <c r="G103" s="184">
        <v>0</v>
      </c>
      <c r="H103" s="230">
        <f>G103</f>
        <v>0</v>
      </c>
      <c r="I103" s="232">
        <v>0</v>
      </c>
      <c r="J103" s="214">
        <f>Q103</f>
        <v>0</v>
      </c>
      <c r="K103" s="76">
        <f>R103</f>
        <v>0</v>
      </c>
      <c r="L103" s="155">
        <f>H103-K103</f>
        <v>0</v>
      </c>
      <c r="M103" s="77">
        <f>I103+J103-K103</f>
        <v>0</v>
      </c>
      <c r="N103" s="30">
        <f>SUMIF('3 D P'!$D:$D,Cockpit!$E$5:$E$146,'3 D P'!L:L)</f>
        <v>0</v>
      </c>
      <c r="O103" s="30">
        <f>SUMIF('3 D P'!$D:$D,Cockpit!$E$5:$E$146,'3 D P'!M:M)</f>
        <v>0</v>
      </c>
      <c r="P103" s="30">
        <f>SUMIF('3 D P'!$D:$D,Cockpit!$E$5:$E$146,'3 D P'!N:N)</f>
        <v>0</v>
      </c>
      <c r="Q103" s="132">
        <f>IFERROR(VLOOKUP($D103,'Aptiv Dispatch'!$A:$B,2,FALSE),0)</f>
        <v>0</v>
      </c>
      <c r="R103" s="34">
        <f>SUMIF('Consumption MTD'!B:B,Cockpit!$E$5:$E$146,'Consumption MTD'!C:C)</f>
        <v>0</v>
      </c>
      <c r="S103" s="34">
        <f>SUMIF('BIW Lifting A Shift'!$B:$B,Cockpit!$E$5:$E$146,'BIW Lifting A Shift'!C:C)</f>
        <v>0</v>
      </c>
      <c r="T103" s="34" t="e">
        <f>SUMIF('BIW Lifting A Shift'!$B:$B,Cockpit!$E$5:$E$146,'BIW Lifting A Shift'!#REF!)</f>
        <v>#REF!</v>
      </c>
      <c r="U103" s="74">
        <f>M103-X103</f>
        <v>0</v>
      </c>
      <c r="V103" s="74">
        <f>M103-S103-X103</f>
        <v>0</v>
      </c>
      <c r="W103" s="74" t="e">
        <f>V103-T103</f>
        <v>#REF!</v>
      </c>
      <c r="X103" s="135">
        <f>SUMIF(FLOAT!$D:$D,Cockpit!$E$5:$E$146,FLOAT!F:F)</f>
        <v>0</v>
      </c>
      <c r="Y103" s="38"/>
      <c r="AA103" s="49"/>
      <c r="AC103" s="147"/>
      <c r="AD103" s="50"/>
      <c r="AE103" s="234"/>
      <c r="AF103" s="62">
        <f>SUMIF(FLOAT!$D:$D,Cockpit!$E103:$E238,FLOAT!G:G)</f>
        <v>0</v>
      </c>
      <c r="AG103" s="62">
        <f>SUMIF(FLOAT!$D:$D,Cockpit!$E103:$E238,FLOAT!H:H)</f>
        <v>0</v>
      </c>
      <c r="AH103" s="62">
        <f>SUMIF(FLOAT!$D:$D,Cockpit!$E103:$E238,FLOAT!I:I)</f>
        <v>0</v>
      </c>
      <c r="AI103" s="62">
        <f>SUMIF(FLOAT!$D:$D,Cockpit!$E103:$E238,FLOAT!J:J)</f>
        <v>0</v>
      </c>
      <c r="AJ103" s="62">
        <f>SUMIF(FLOAT!$D:$D,Cockpit!$E103:$E238,FLOAT!K:K)</f>
        <v>0</v>
      </c>
      <c r="AK103" s="62">
        <f>SUMIF(FLOAT!$D:$D,Cockpit!$E103:$E238,FLOAT!L:L)</f>
        <v>0</v>
      </c>
      <c r="AL103" s="62">
        <f>SUMIF(FLOAT!$D:$D,Cockpit!$E103:$E238,FLOAT!M:M)</f>
        <v>0</v>
      </c>
      <c r="AM103" s="62">
        <f>SUMIF(FLOAT!$D:$D,Cockpit!$E103:$E238,FLOAT!N:N)</f>
        <v>0</v>
      </c>
      <c r="AN103" s="62">
        <f>SUMIF(FLOAT!$D:$D,Cockpit!$E103:$E238,FLOAT!O:O)</f>
        <v>0</v>
      </c>
      <c r="AO103" s="62">
        <f>SUMIF(FLOAT!$D:$D,Cockpit!$E103:$E238,FLOAT!P:P)</f>
        <v>0</v>
      </c>
      <c r="AP103" s="60">
        <f t="shared" si="10"/>
        <v>0</v>
      </c>
      <c r="AQ103" s="238"/>
    </row>
    <row r="104" spans="1:43" ht="23.25" hidden="1" customHeight="1" thickBot="1" x14ac:dyDescent="0.35">
      <c r="A104" s="297"/>
      <c r="B104" s="298"/>
      <c r="C104" s="309"/>
      <c r="D104" s="946">
        <v>544254640204</v>
      </c>
      <c r="E104" s="313" t="s">
        <v>486</v>
      </c>
      <c r="F104" s="318" t="s">
        <v>487</v>
      </c>
      <c r="G104" s="184">
        <v>0</v>
      </c>
      <c r="H104" s="833">
        <f>SUM(G104:G105)</f>
        <v>0</v>
      </c>
      <c r="I104" s="895">
        <v>1</v>
      </c>
      <c r="J104" s="836">
        <f>Q104</f>
        <v>0</v>
      </c>
      <c r="K104" s="822">
        <f>SUM(R104:R105)</f>
        <v>0</v>
      </c>
      <c r="L104" s="838">
        <f>H104-K104</f>
        <v>0</v>
      </c>
      <c r="M104" s="816">
        <f>SUM(I104:I105)+J104-K104</f>
        <v>1</v>
      </c>
      <c r="N104" s="30">
        <f>SUMIF('3 D P'!$D:$D,Cockpit!$E$5:$E$146,'3 D P'!L:L)</f>
        <v>0</v>
      </c>
      <c r="O104" s="30">
        <f>SUMIF('3 D P'!$D:$D,Cockpit!$E$5:$E$146,'3 D P'!M:M)</f>
        <v>0</v>
      </c>
      <c r="P104" s="30">
        <f>SUMIF('3 D P'!$D:$D,Cockpit!$E$5:$E$146,'3 D P'!N:N)</f>
        <v>0</v>
      </c>
      <c r="Q104" s="132">
        <f>IFERROR(VLOOKUP($D104,'Aptiv Dispatch'!$A:$B,2,FALSE),0)</f>
        <v>0</v>
      </c>
      <c r="R104" s="34">
        <f>SUMIF('Consumption MTD'!B:B,Cockpit!$E$5:$E$146,'Consumption MTD'!C:C)</f>
        <v>0</v>
      </c>
      <c r="S104" s="34">
        <f>SUMIF('BIW Lifting A Shift'!$B:$B,Cockpit!$E$5:$E$146,'BIW Lifting A Shift'!C:C)</f>
        <v>0</v>
      </c>
      <c r="T104" s="34" t="e">
        <f>SUMIF('BIW Lifting A Shift'!$B:$B,Cockpit!$E$5:$E$146,'BIW Lifting A Shift'!#REF!)</f>
        <v>#REF!</v>
      </c>
      <c r="U104" s="818">
        <f>M104-X104-X105</f>
        <v>1</v>
      </c>
      <c r="V104" s="818">
        <f>M104-X104-X105-S104-S105</f>
        <v>1</v>
      </c>
      <c r="W104" s="818" t="e">
        <f>V104-T104-T105</f>
        <v>#REF!</v>
      </c>
      <c r="X104" s="135">
        <f>SUMIF(FLOAT!$D:$D,Cockpit!$E$5:$E$146,FLOAT!F:F)</f>
        <v>0</v>
      </c>
      <c r="Y104" s="38"/>
      <c r="AA104" s="49"/>
      <c r="AC104" s="147"/>
      <c r="AD104" s="49"/>
      <c r="AE104" s="185"/>
      <c r="AF104" s="62">
        <f>SUMIF(FLOAT!$D:$D,Cockpit!$E104:$E239,FLOAT!G:G)</f>
        <v>0</v>
      </c>
      <c r="AG104" s="62">
        <f>SUMIF(FLOAT!$D:$D,Cockpit!$E104:$E239,FLOAT!H:H)</f>
        <v>0</v>
      </c>
      <c r="AH104" s="62">
        <f>SUMIF(FLOAT!$D:$D,Cockpit!$E104:$E239,FLOAT!I:I)</f>
        <v>0</v>
      </c>
      <c r="AI104" s="62">
        <f>SUMIF(FLOAT!$D:$D,Cockpit!$E104:$E239,FLOAT!J:J)</f>
        <v>0</v>
      </c>
      <c r="AJ104" s="62">
        <f>SUMIF(FLOAT!$D:$D,Cockpit!$E104:$E239,FLOAT!K:K)</f>
        <v>0</v>
      </c>
      <c r="AK104" s="62">
        <f>SUMIF(FLOAT!$D:$D,Cockpit!$E104:$E239,FLOAT!L:L)</f>
        <v>0</v>
      </c>
      <c r="AL104" s="62">
        <f>SUMIF(FLOAT!$D:$D,Cockpit!$E104:$E239,FLOAT!M:M)</f>
        <v>0</v>
      </c>
      <c r="AM104" s="62">
        <f>SUMIF(FLOAT!$D:$D,Cockpit!$E104:$E239,FLOAT!N:N)</f>
        <v>0</v>
      </c>
      <c r="AN104" s="62">
        <f>SUMIF(FLOAT!$D:$D,Cockpit!$E104:$E239,FLOAT!O:O)</f>
        <v>0</v>
      </c>
      <c r="AO104" s="62">
        <f>SUMIF(FLOAT!$D:$D,Cockpit!$E104:$E239,FLOAT!P:P)</f>
        <v>0</v>
      </c>
      <c r="AP104" s="60">
        <f t="shared" si="10"/>
        <v>0</v>
      </c>
      <c r="AQ104" s="238"/>
    </row>
    <row r="105" spans="1:43" ht="23.25" hidden="1" customHeight="1" thickBot="1" x14ac:dyDescent="0.35">
      <c r="A105" s="297"/>
      <c r="B105" s="298"/>
      <c r="C105" s="309"/>
      <c r="D105" s="946"/>
      <c r="E105" s="313" t="s">
        <v>488</v>
      </c>
      <c r="F105" s="318" t="s">
        <v>489</v>
      </c>
      <c r="G105" s="184">
        <v>0</v>
      </c>
      <c r="H105" s="834"/>
      <c r="I105" s="823"/>
      <c r="J105" s="837"/>
      <c r="K105" s="823"/>
      <c r="L105" s="823"/>
      <c r="M105" s="816"/>
      <c r="N105" s="30">
        <f>SUMIF('3 D P'!$D:$D,Cockpit!$E$5:$E$146,'3 D P'!L:L)</f>
        <v>0</v>
      </c>
      <c r="O105" s="30">
        <f>SUMIF('3 D P'!$D:$D,Cockpit!$E$5:$E$146,'3 D P'!M:M)</f>
        <v>0</v>
      </c>
      <c r="P105" s="30">
        <f>SUMIF('3 D P'!$D:$D,Cockpit!$E$5:$E$146,'3 D P'!N:N)</f>
        <v>0</v>
      </c>
      <c r="Q105" s="132">
        <f>IFERROR(VLOOKUP($D105,'Aptiv Dispatch'!$A:$B,2,FALSE),0)</f>
        <v>0</v>
      </c>
      <c r="R105" s="34">
        <f>SUMIF('Consumption MTD'!B:B,Cockpit!$E$5:$E$146,'Consumption MTD'!C:C)</f>
        <v>0</v>
      </c>
      <c r="S105" s="34">
        <f>SUMIF('BIW Lifting A Shift'!$B:$B,Cockpit!$E$5:$E$146,'BIW Lifting A Shift'!C:C)</f>
        <v>0</v>
      </c>
      <c r="T105" s="34" t="e">
        <f>SUMIF('BIW Lifting A Shift'!$B:$B,Cockpit!$E$5:$E$146,'BIW Lifting A Shift'!#REF!)</f>
        <v>#REF!</v>
      </c>
      <c r="U105" s="818"/>
      <c r="V105" s="818"/>
      <c r="W105" s="818"/>
      <c r="X105" s="135">
        <f>SUMIF(FLOAT!$D:$D,Cockpit!$E$5:$E$146,FLOAT!F:F)</f>
        <v>0</v>
      </c>
      <c r="Y105" s="38"/>
      <c r="AA105" s="49"/>
      <c r="AC105" s="147"/>
      <c r="AD105" s="49"/>
      <c r="AE105" s="185"/>
      <c r="AF105" s="62">
        <f>SUMIF(FLOAT!$D:$D,Cockpit!$E105:$E240,FLOAT!G:G)</f>
        <v>0</v>
      </c>
      <c r="AG105" s="62">
        <f>SUMIF(FLOAT!$D:$D,Cockpit!$E105:$E240,FLOAT!H:H)</f>
        <v>0</v>
      </c>
      <c r="AH105" s="62">
        <f>SUMIF(FLOAT!$D:$D,Cockpit!$E105:$E240,FLOAT!I:I)</f>
        <v>0</v>
      </c>
      <c r="AI105" s="62">
        <f>SUMIF(FLOAT!$D:$D,Cockpit!$E105:$E240,FLOAT!J:J)</f>
        <v>0</v>
      </c>
      <c r="AJ105" s="62">
        <f>SUMIF(FLOAT!$D:$D,Cockpit!$E105:$E240,FLOAT!K:K)</f>
        <v>0</v>
      </c>
      <c r="AK105" s="62">
        <f>SUMIF(FLOAT!$D:$D,Cockpit!$E105:$E240,FLOAT!L:L)</f>
        <v>0</v>
      </c>
      <c r="AL105" s="62">
        <f>SUMIF(FLOAT!$D:$D,Cockpit!$E105:$E240,FLOAT!M:M)</f>
        <v>0</v>
      </c>
      <c r="AM105" s="62">
        <f>SUMIF(FLOAT!$D:$D,Cockpit!$E105:$E240,FLOAT!N:N)</f>
        <v>0</v>
      </c>
      <c r="AN105" s="62">
        <f>SUMIF(FLOAT!$D:$D,Cockpit!$E105:$E240,FLOAT!O:O)</f>
        <v>0</v>
      </c>
      <c r="AO105" s="62">
        <f>SUMIF(FLOAT!$D:$D,Cockpit!$E105:$E240,FLOAT!P:P)</f>
        <v>0</v>
      </c>
      <c r="AP105" s="60">
        <f t="shared" si="10"/>
        <v>0</v>
      </c>
      <c r="AQ105" s="238"/>
    </row>
    <row r="106" spans="1:43" ht="23.25" hidden="1" customHeight="1" thickBot="1" x14ac:dyDescent="0.35">
      <c r="A106" s="297"/>
      <c r="B106" s="298"/>
      <c r="C106" s="309"/>
      <c r="D106" s="756">
        <v>544254640203</v>
      </c>
      <c r="E106" s="313" t="s">
        <v>436</v>
      </c>
      <c r="F106" s="316" t="s">
        <v>490</v>
      </c>
      <c r="G106" s="184">
        <v>0</v>
      </c>
      <c r="H106" s="230">
        <f t="shared" ref="H106:H115" si="14">G106</f>
        <v>0</v>
      </c>
      <c r="I106" s="232">
        <v>6</v>
      </c>
      <c r="J106" s="214">
        <f t="shared" ref="J106:K115" si="15">Q106</f>
        <v>0</v>
      </c>
      <c r="K106" s="76">
        <f t="shared" si="15"/>
        <v>0</v>
      </c>
      <c r="L106" s="155">
        <f t="shared" ref="L106:L115" si="16">H106-K106</f>
        <v>0</v>
      </c>
      <c r="M106" s="77">
        <f t="shared" ref="M106:M115" si="17">I106+J106-K106</f>
        <v>6</v>
      </c>
      <c r="N106" s="30">
        <f>SUMIF('3 D P'!$D:$D,Cockpit!$E$5:$E$146,'3 D P'!L:L)</f>
        <v>0</v>
      </c>
      <c r="O106" s="30">
        <f>SUMIF('3 D P'!$D:$D,Cockpit!$E$5:$E$146,'3 D P'!M:M)</f>
        <v>0</v>
      </c>
      <c r="P106" s="30">
        <f>SUMIF('3 D P'!$D:$D,Cockpit!$E$5:$E$146,'3 D P'!N:N)</f>
        <v>0</v>
      </c>
      <c r="Q106" s="132">
        <f>IFERROR(VLOOKUP($D106,'Aptiv Dispatch'!$A:$B,2,FALSE),0)</f>
        <v>0</v>
      </c>
      <c r="R106" s="34">
        <f>SUMIF('Consumption MTD'!B:B,Cockpit!$E$5:$E$146,'Consumption MTD'!C:C)</f>
        <v>0</v>
      </c>
      <c r="S106" s="34">
        <f>SUMIF('BIW Lifting A Shift'!$B:$B,Cockpit!$E$5:$E$146,'BIW Lifting A Shift'!C:C)</f>
        <v>0</v>
      </c>
      <c r="T106" s="34" t="e">
        <f>SUMIF('BIW Lifting A Shift'!$B:$B,Cockpit!$E$5:$E$146,'BIW Lifting A Shift'!#REF!)</f>
        <v>#REF!</v>
      </c>
      <c r="U106" s="74">
        <f t="shared" ref="U106:U115" si="18">M106-X106</f>
        <v>6</v>
      </c>
      <c r="V106" s="74">
        <f t="shared" ref="V106:V115" si="19">M106-S106-X106</f>
        <v>6</v>
      </c>
      <c r="W106" s="74" t="e">
        <f t="shared" ref="W106:W115" si="20">V106-T106</f>
        <v>#REF!</v>
      </c>
      <c r="X106" s="135">
        <f>SUMIF(FLOAT!$D:$D,Cockpit!$E$5:$E$146,FLOAT!F:F)</f>
        <v>0</v>
      </c>
      <c r="Y106" s="38"/>
      <c r="AA106" s="49"/>
      <c r="AC106" s="147"/>
      <c r="AD106" s="50"/>
      <c r="AE106" s="234"/>
      <c r="AF106" s="62">
        <f>SUMIF(FLOAT!$D:$D,Cockpit!$E106:$E241,FLOAT!G:G)</f>
        <v>0</v>
      </c>
      <c r="AG106" s="62">
        <f>SUMIF(FLOAT!$D:$D,Cockpit!$E106:$E241,FLOAT!H:H)</f>
        <v>0</v>
      </c>
      <c r="AH106" s="62">
        <f>SUMIF(FLOAT!$D:$D,Cockpit!$E106:$E241,FLOAT!I:I)</f>
        <v>0</v>
      </c>
      <c r="AI106" s="62">
        <f>SUMIF(FLOAT!$D:$D,Cockpit!$E106:$E241,FLOAT!J:J)</f>
        <v>0</v>
      </c>
      <c r="AJ106" s="62">
        <f>SUMIF(FLOAT!$D:$D,Cockpit!$E106:$E241,FLOAT!K:K)</f>
        <v>0</v>
      </c>
      <c r="AK106" s="62">
        <f>SUMIF(FLOAT!$D:$D,Cockpit!$E106:$E241,FLOAT!L:L)</f>
        <v>0</v>
      </c>
      <c r="AL106" s="62">
        <f>SUMIF(FLOAT!$D:$D,Cockpit!$E106:$E241,FLOAT!M:M)</f>
        <v>0</v>
      </c>
      <c r="AM106" s="62">
        <f>SUMIF(FLOAT!$D:$D,Cockpit!$E106:$E241,FLOAT!N:N)</f>
        <v>0</v>
      </c>
      <c r="AN106" s="62">
        <f>SUMIF(FLOAT!$D:$D,Cockpit!$E106:$E241,FLOAT!O:O)</f>
        <v>0</v>
      </c>
      <c r="AO106" s="62">
        <f>SUMIF(FLOAT!$D:$D,Cockpit!$E106:$E241,FLOAT!P:P)</f>
        <v>0</v>
      </c>
      <c r="AP106" s="60">
        <f t="shared" si="10"/>
        <v>0</v>
      </c>
      <c r="AQ106" s="238"/>
    </row>
    <row r="107" spans="1:43" ht="23.25" hidden="1" customHeight="1" thickBot="1" x14ac:dyDescent="0.35">
      <c r="A107" s="297"/>
      <c r="B107" s="298"/>
      <c r="C107" s="309"/>
      <c r="D107" s="756">
        <v>544254640205</v>
      </c>
      <c r="E107" s="313" t="s">
        <v>491</v>
      </c>
      <c r="F107" s="316" t="s">
        <v>492</v>
      </c>
      <c r="G107" s="184">
        <v>0</v>
      </c>
      <c r="H107" s="230">
        <f t="shared" si="14"/>
        <v>0</v>
      </c>
      <c r="I107" s="232">
        <v>5</v>
      </c>
      <c r="J107" s="214">
        <f t="shared" si="15"/>
        <v>0</v>
      </c>
      <c r="K107" s="76">
        <f t="shared" si="15"/>
        <v>0</v>
      </c>
      <c r="L107" s="155">
        <f t="shared" si="16"/>
        <v>0</v>
      </c>
      <c r="M107" s="77">
        <f t="shared" si="17"/>
        <v>5</v>
      </c>
      <c r="N107" s="30">
        <f>SUMIF('3 D P'!$D:$D,Cockpit!$E$5:$E$146,'3 D P'!L:L)</f>
        <v>0</v>
      </c>
      <c r="O107" s="30">
        <f>SUMIF('3 D P'!$D:$D,Cockpit!$E$5:$E$146,'3 D P'!M:M)</f>
        <v>0</v>
      </c>
      <c r="P107" s="30">
        <f>SUMIF('3 D P'!$D:$D,Cockpit!$E$5:$E$146,'3 D P'!N:N)</f>
        <v>0</v>
      </c>
      <c r="Q107" s="132">
        <f>IFERROR(VLOOKUP($D107,'Aptiv Dispatch'!$A:$B,2,FALSE),0)</f>
        <v>0</v>
      </c>
      <c r="R107" s="34">
        <f>SUMIF('Consumption MTD'!B:B,Cockpit!$E$5:$E$146,'Consumption MTD'!C:C)</f>
        <v>0</v>
      </c>
      <c r="S107" s="34">
        <f>SUMIF('BIW Lifting A Shift'!$B:$B,Cockpit!$E$5:$E$146,'BIW Lifting A Shift'!C:C)</f>
        <v>0</v>
      </c>
      <c r="T107" s="34" t="e">
        <f>SUMIF('BIW Lifting A Shift'!$B:$B,Cockpit!$E$5:$E$146,'BIW Lifting A Shift'!#REF!)</f>
        <v>#REF!</v>
      </c>
      <c r="U107" s="74">
        <f t="shared" si="18"/>
        <v>5</v>
      </c>
      <c r="V107" s="74">
        <f t="shared" si="19"/>
        <v>5</v>
      </c>
      <c r="W107" s="74" t="e">
        <f t="shared" si="20"/>
        <v>#REF!</v>
      </c>
      <c r="X107" s="135">
        <f>SUMIF(FLOAT!$D:$D,Cockpit!$E$5:$E$146,FLOAT!F:F)</f>
        <v>0</v>
      </c>
      <c r="Y107" s="38"/>
      <c r="AA107" s="49"/>
      <c r="AC107" s="147"/>
      <c r="AD107" s="50"/>
      <c r="AE107" s="234"/>
      <c r="AF107" s="62">
        <f>SUMIF(FLOAT!$D:$D,Cockpit!$E107:$E242,FLOAT!G:G)</f>
        <v>0</v>
      </c>
      <c r="AG107" s="62">
        <f>SUMIF(FLOAT!$D:$D,Cockpit!$E107:$E242,FLOAT!H:H)</f>
        <v>0</v>
      </c>
      <c r="AH107" s="62">
        <f>SUMIF(FLOAT!$D:$D,Cockpit!$E107:$E242,FLOAT!I:I)</f>
        <v>0</v>
      </c>
      <c r="AI107" s="62">
        <f>SUMIF(FLOAT!$D:$D,Cockpit!$E107:$E242,FLOAT!J:J)</f>
        <v>0</v>
      </c>
      <c r="AJ107" s="62">
        <f>SUMIF(FLOAT!$D:$D,Cockpit!$E107:$E242,FLOAT!K:K)</f>
        <v>0</v>
      </c>
      <c r="AK107" s="62">
        <f>SUMIF(FLOAT!$D:$D,Cockpit!$E107:$E242,FLOAT!L:L)</f>
        <v>0</v>
      </c>
      <c r="AL107" s="62">
        <f>SUMIF(FLOAT!$D:$D,Cockpit!$E107:$E242,FLOAT!M:M)</f>
        <v>0</v>
      </c>
      <c r="AM107" s="62">
        <f>SUMIF(FLOAT!$D:$D,Cockpit!$E107:$E242,FLOAT!N:N)</f>
        <v>0</v>
      </c>
      <c r="AN107" s="62">
        <f>SUMIF(FLOAT!$D:$D,Cockpit!$E107:$E242,FLOAT!O:O)</f>
        <v>0</v>
      </c>
      <c r="AO107" s="62">
        <f>SUMIF(FLOAT!$D:$D,Cockpit!$E107:$E242,FLOAT!P:P)</f>
        <v>0</v>
      </c>
      <c r="AP107" s="60">
        <f t="shared" si="10"/>
        <v>0</v>
      </c>
      <c r="AQ107" s="238"/>
    </row>
    <row r="108" spans="1:43" ht="23.25" hidden="1" customHeight="1" thickBot="1" x14ac:dyDescent="0.35">
      <c r="A108" s="297"/>
      <c r="B108" s="298"/>
      <c r="C108" s="309"/>
      <c r="D108" s="756">
        <v>544254640198</v>
      </c>
      <c r="E108" s="313" t="s">
        <v>493</v>
      </c>
      <c r="F108" s="318" t="s">
        <v>494</v>
      </c>
      <c r="G108" s="184">
        <v>0</v>
      </c>
      <c r="H108" s="230">
        <f t="shared" si="14"/>
        <v>0</v>
      </c>
      <c r="I108" s="232">
        <v>0</v>
      </c>
      <c r="J108" s="214">
        <f t="shared" si="15"/>
        <v>0</v>
      </c>
      <c r="K108" s="76">
        <f t="shared" si="15"/>
        <v>0</v>
      </c>
      <c r="L108" s="155">
        <f t="shared" si="16"/>
        <v>0</v>
      </c>
      <c r="M108" s="77">
        <f t="shared" si="17"/>
        <v>0</v>
      </c>
      <c r="N108" s="30">
        <f>SUMIF('3 D P'!$D:$D,Cockpit!$E$5:$E$146,'3 D P'!L:L)</f>
        <v>0</v>
      </c>
      <c r="O108" s="30">
        <f>SUMIF('3 D P'!$D:$D,Cockpit!$E$5:$E$146,'3 D P'!M:M)</f>
        <v>0</v>
      </c>
      <c r="P108" s="30">
        <f>SUMIF('3 D P'!$D:$D,Cockpit!$E$5:$E$146,'3 D P'!N:N)</f>
        <v>0</v>
      </c>
      <c r="Q108" s="132">
        <f>IFERROR(VLOOKUP($D108,'Aptiv Dispatch'!$A:$B,2,FALSE),0)</f>
        <v>0</v>
      </c>
      <c r="R108" s="34">
        <f>SUMIF('Consumption MTD'!B:B,Cockpit!$E$5:$E$146,'Consumption MTD'!C:C)</f>
        <v>0</v>
      </c>
      <c r="S108" s="34">
        <f>SUMIF('BIW Lifting A Shift'!$B:$B,Cockpit!$E$5:$E$146,'BIW Lifting A Shift'!C:C)</f>
        <v>0</v>
      </c>
      <c r="T108" s="34" t="e">
        <f>SUMIF('BIW Lifting A Shift'!$B:$B,Cockpit!$E$5:$E$146,'BIW Lifting A Shift'!#REF!)</f>
        <v>#REF!</v>
      </c>
      <c r="U108" s="74">
        <f t="shared" si="18"/>
        <v>0</v>
      </c>
      <c r="V108" s="74">
        <f t="shared" si="19"/>
        <v>0</v>
      </c>
      <c r="W108" s="74" t="e">
        <f t="shared" si="20"/>
        <v>#REF!</v>
      </c>
      <c r="X108" s="135">
        <f>SUMIF(FLOAT!$D:$D,Cockpit!$E$5:$E$146,FLOAT!F:F)</f>
        <v>0</v>
      </c>
      <c r="Y108" s="38"/>
      <c r="AA108" s="49"/>
      <c r="AC108" s="147"/>
      <c r="AD108" s="50"/>
      <c r="AE108" s="234"/>
      <c r="AF108" s="62">
        <f>SUMIF(FLOAT!$D:$D,Cockpit!$E108:$E243,FLOAT!G:G)</f>
        <v>0</v>
      </c>
      <c r="AG108" s="62">
        <f>SUMIF(FLOAT!$D:$D,Cockpit!$E108:$E243,FLOAT!H:H)</f>
        <v>0</v>
      </c>
      <c r="AH108" s="62">
        <f>SUMIF(FLOAT!$D:$D,Cockpit!$E108:$E243,FLOAT!I:I)</f>
        <v>0</v>
      </c>
      <c r="AI108" s="62">
        <f>SUMIF(FLOAT!$D:$D,Cockpit!$E108:$E243,FLOAT!J:J)</f>
        <v>0</v>
      </c>
      <c r="AJ108" s="62">
        <f>SUMIF(FLOAT!$D:$D,Cockpit!$E108:$E243,FLOAT!K:K)</f>
        <v>0</v>
      </c>
      <c r="AK108" s="62">
        <f>SUMIF(FLOAT!$D:$D,Cockpit!$E108:$E243,FLOAT!L:L)</f>
        <v>0</v>
      </c>
      <c r="AL108" s="62">
        <f>SUMIF(FLOAT!$D:$D,Cockpit!$E108:$E243,FLOAT!M:M)</f>
        <v>0</v>
      </c>
      <c r="AM108" s="62">
        <f>SUMIF(FLOAT!$D:$D,Cockpit!$E108:$E243,FLOAT!N:N)</f>
        <v>0</v>
      </c>
      <c r="AN108" s="62">
        <f>SUMIF(FLOAT!$D:$D,Cockpit!$E108:$E243,FLOAT!O:O)</f>
        <v>0</v>
      </c>
      <c r="AO108" s="62">
        <f>SUMIF(FLOAT!$D:$D,Cockpit!$E108:$E243,FLOAT!P:P)</f>
        <v>0</v>
      </c>
      <c r="AP108" s="60">
        <f t="shared" si="10"/>
        <v>0</v>
      </c>
      <c r="AQ108" s="238"/>
    </row>
    <row r="109" spans="1:43" ht="23.25" hidden="1" customHeight="1" thickBot="1" x14ac:dyDescent="0.35">
      <c r="A109" s="297"/>
      <c r="B109" s="298"/>
      <c r="C109" s="309"/>
      <c r="D109" s="756">
        <v>544254640197</v>
      </c>
      <c r="E109" s="313" t="s">
        <v>434</v>
      </c>
      <c r="F109" s="318" t="s">
        <v>495</v>
      </c>
      <c r="G109" s="184">
        <v>0</v>
      </c>
      <c r="H109" s="230">
        <f t="shared" si="14"/>
        <v>0</v>
      </c>
      <c r="I109" s="232">
        <v>6</v>
      </c>
      <c r="J109" s="214">
        <f t="shared" si="15"/>
        <v>0</v>
      </c>
      <c r="K109" s="76">
        <f t="shared" si="15"/>
        <v>0</v>
      </c>
      <c r="L109" s="155">
        <f t="shared" si="16"/>
        <v>0</v>
      </c>
      <c r="M109" s="77">
        <f t="shared" si="17"/>
        <v>6</v>
      </c>
      <c r="N109" s="30">
        <f>SUMIF('3 D P'!$D:$D,Cockpit!$E$5:$E$146,'3 D P'!L:L)</f>
        <v>0</v>
      </c>
      <c r="O109" s="30">
        <f>SUMIF('3 D P'!$D:$D,Cockpit!$E$5:$E$146,'3 D P'!M:M)</f>
        <v>0</v>
      </c>
      <c r="P109" s="30">
        <f>SUMIF('3 D P'!$D:$D,Cockpit!$E$5:$E$146,'3 D P'!N:N)</f>
        <v>0</v>
      </c>
      <c r="Q109" s="132">
        <f>IFERROR(VLOOKUP($D109,'Aptiv Dispatch'!$A:$B,2,FALSE),0)</f>
        <v>0</v>
      </c>
      <c r="R109" s="34">
        <f>SUMIF('Consumption MTD'!B:B,Cockpit!$E$5:$E$146,'Consumption MTD'!C:C)</f>
        <v>0</v>
      </c>
      <c r="S109" s="34">
        <f>SUMIF('BIW Lifting A Shift'!$B:$B,Cockpit!$E$5:$E$146,'BIW Lifting A Shift'!C:C)</f>
        <v>0</v>
      </c>
      <c r="T109" s="34" t="e">
        <f>SUMIF('BIW Lifting A Shift'!$B:$B,Cockpit!$E$5:$E$146,'BIW Lifting A Shift'!#REF!)</f>
        <v>#REF!</v>
      </c>
      <c r="U109" s="74">
        <f t="shared" si="18"/>
        <v>6</v>
      </c>
      <c r="V109" s="74">
        <f t="shared" si="19"/>
        <v>6</v>
      </c>
      <c r="W109" s="74" t="e">
        <f t="shared" si="20"/>
        <v>#REF!</v>
      </c>
      <c r="X109" s="135">
        <f>SUMIF(FLOAT!$D:$D,Cockpit!$E$5:$E$146,FLOAT!F:F)</f>
        <v>0</v>
      </c>
      <c r="Y109" s="38"/>
      <c r="AA109" s="49"/>
      <c r="AC109" s="147"/>
      <c r="AD109" s="50"/>
      <c r="AE109" s="234"/>
      <c r="AF109" s="62">
        <f>SUMIF(FLOAT!$D:$D,Cockpit!$E109:$E244,FLOAT!G:G)</f>
        <v>0</v>
      </c>
      <c r="AG109" s="62">
        <f>SUMIF(FLOAT!$D:$D,Cockpit!$E109:$E244,FLOAT!H:H)</f>
        <v>0</v>
      </c>
      <c r="AH109" s="62">
        <f>SUMIF(FLOAT!$D:$D,Cockpit!$E109:$E244,FLOAT!I:I)</f>
        <v>0</v>
      </c>
      <c r="AI109" s="62">
        <f>SUMIF(FLOAT!$D:$D,Cockpit!$E109:$E244,FLOAT!J:J)</f>
        <v>0</v>
      </c>
      <c r="AJ109" s="62">
        <f>SUMIF(FLOAT!$D:$D,Cockpit!$E109:$E244,FLOAT!K:K)</f>
        <v>0</v>
      </c>
      <c r="AK109" s="62">
        <f>SUMIF(FLOAT!$D:$D,Cockpit!$E109:$E244,FLOAT!L:L)</f>
        <v>0</v>
      </c>
      <c r="AL109" s="62">
        <f>SUMIF(FLOAT!$D:$D,Cockpit!$E109:$E244,FLOAT!M:M)</f>
        <v>0</v>
      </c>
      <c r="AM109" s="62">
        <f>SUMIF(FLOAT!$D:$D,Cockpit!$E109:$E244,FLOAT!N:N)</f>
        <v>0</v>
      </c>
      <c r="AN109" s="62">
        <f>SUMIF(FLOAT!$D:$D,Cockpit!$E109:$E244,FLOAT!O:O)</f>
        <v>0</v>
      </c>
      <c r="AO109" s="62">
        <f>SUMIF(FLOAT!$D:$D,Cockpit!$E109:$E244,FLOAT!P:P)</f>
        <v>0</v>
      </c>
      <c r="AP109" s="60">
        <f t="shared" si="10"/>
        <v>0</v>
      </c>
      <c r="AQ109" s="238"/>
    </row>
    <row r="110" spans="1:43" ht="23.25" hidden="1" customHeight="1" thickBot="1" x14ac:dyDescent="0.35">
      <c r="A110" s="297"/>
      <c r="B110" s="298"/>
      <c r="C110" s="309"/>
      <c r="D110" s="756">
        <v>544254640199</v>
      </c>
      <c r="E110" s="313" t="s">
        <v>496</v>
      </c>
      <c r="F110" s="318" t="s">
        <v>497</v>
      </c>
      <c r="G110" s="184">
        <v>0</v>
      </c>
      <c r="H110" s="230">
        <f t="shared" si="14"/>
        <v>0</v>
      </c>
      <c r="I110" s="232">
        <v>0</v>
      </c>
      <c r="J110" s="214">
        <f t="shared" si="15"/>
        <v>0</v>
      </c>
      <c r="K110" s="76">
        <f t="shared" si="15"/>
        <v>0</v>
      </c>
      <c r="L110" s="155">
        <f t="shared" si="16"/>
        <v>0</v>
      </c>
      <c r="M110" s="77">
        <f t="shared" si="17"/>
        <v>0</v>
      </c>
      <c r="N110" s="30">
        <f>SUMIF('3 D P'!$D:$D,Cockpit!$E$5:$E$146,'3 D P'!L:L)</f>
        <v>0</v>
      </c>
      <c r="O110" s="30">
        <f>SUMIF('3 D P'!$D:$D,Cockpit!$E$5:$E$146,'3 D P'!M:M)</f>
        <v>0</v>
      </c>
      <c r="P110" s="30">
        <f>SUMIF('3 D P'!$D:$D,Cockpit!$E$5:$E$146,'3 D P'!N:N)</f>
        <v>0</v>
      </c>
      <c r="Q110" s="132">
        <f>IFERROR(VLOOKUP($D110,'Aptiv Dispatch'!$A:$B,2,FALSE),0)</f>
        <v>0</v>
      </c>
      <c r="R110" s="34">
        <f>SUMIF('Consumption MTD'!B:B,Cockpit!$E$5:$E$146,'Consumption MTD'!C:C)</f>
        <v>0</v>
      </c>
      <c r="S110" s="34">
        <f>SUMIF('BIW Lifting A Shift'!$B:$B,Cockpit!$E$5:$E$146,'BIW Lifting A Shift'!C:C)</f>
        <v>0</v>
      </c>
      <c r="T110" s="34" t="e">
        <f>SUMIF('BIW Lifting A Shift'!$B:$B,Cockpit!$E$5:$E$146,'BIW Lifting A Shift'!#REF!)</f>
        <v>#REF!</v>
      </c>
      <c r="U110" s="74">
        <f t="shared" si="18"/>
        <v>0</v>
      </c>
      <c r="V110" s="74">
        <f t="shared" si="19"/>
        <v>0</v>
      </c>
      <c r="W110" s="74" t="e">
        <f t="shared" si="20"/>
        <v>#REF!</v>
      </c>
      <c r="X110" s="135">
        <f>SUMIF(FLOAT!$D:$D,Cockpit!$E$5:$E$146,FLOAT!F:F)</f>
        <v>0</v>
      </c>
      <c r="Y110" s="38"/>
      <c r="AA110" s="49"/>
      <c r="AC110" s="147"/>
      <c r="AD110" s="50"/>
      <c r="AE110" s="234"/>
      <c r="AF110" s="62">
        <f>SUMIF(FLOAT!$D:$D,Cockpit!$E110:$E245,FLOAT!G:G)</f>
        <v>0</v>
      </c>
      <c r="AG110" s="62">
        <f>SUMIF(FLOAT!$D:$D,Cockpit!$E110:$E245,FLOAT!H:H)</f>
        <v>0</v>
      </c>
      <c r="AH110" s="62">
        <f>SUMIF(FLOAT!$D:$D,Cockpit!$E110:$E245,FLOAT!I:I)</f>
        <v>0</v>
      </c>
      <c r="AI110" s="62">
        <f>SUMIF(FLOAT!$D:$D,Cockpit!$E110:$E245,FLOAT!J:J)</f>
        <v>0</v>
      </c>
      <c r="AJ110" s="62">
        <f>SUMIF(FLOAT!$D:$D,Cockpit!$E110:$E245,FLOAT!K:K)</f>
        <v>0</v>
      </c>
      <c r="AK110" s="62">
        <f>SUMIF(FLOAT!$D:$D,Cockpit!$E110:$E245,FLOAT!L:L)</f>
        <v>0</v>
      </c>
      <c r="AL110" s="62">
        <f>SUMIF(FLOAT!$D:$D,Cockpit!$E110:$E245,FLOAT!M:M)</f>
        <v>0</v>
      </c>
      <c r="AM110" s="62">
        <f>SUMIF(FLOAT!$D:$D,Cockpit!$E110:$E245,FLOAT!N:N)</f>
        <v>0</v>
      </c>
      <c r="AN110" s="62">
        <f>SUMIF(FLOAT!$D:$D,Cockpit!$E110:$E245,FLOAT!O:O)</f>
        <v>0</v>
      </c>
      <c r="AO110" s="62">
        <f>SUMIF(FLOAT!$D:$D,Cockpit!$E110:$E245,FLOAT!P:P)</f>
        <v>0</v>
      </c>
      <c r="AP110" s="60">
        <f t="shared" si="10"/>
        <v>0</v>
      </c>
      <c r="AQ110" s="238"/>
    </row>
    <row r="111" spans="1:43" ht="26.25" hidden="1" customHeight="1" thickBot="1" x14ac:dyDescent="0.35">
      <c r="A111" s="297"/>
      <c r="B111" s="298"/>
      <c r="C111" s="309"/>
      <c r="D111" s="756">
        <v>544254640217</v>
      </c>
      <c r="E111" s="313" t="s">
        <v>498</v>
      </c>
      <c r="F111" s="318" t="s">
        <v>499</v>
      </c>
      <c r="G111" s="184">
        <v>0</v>
      </c>
      <c r="H111" s="230">
        <f t="shared" si="14"/>
        <v>0</v>
      </c>
      <c r="I111" s="232">
        <v>7</v>
      </c>
      <c r="J111" s="214">
        <f t="shared" si="15"/>
        <v>0</v>
      </c>
      <c r="K111" s="76">
        <f t="shared" si="15"/>
        <v>0</v>
      </c>
      <c r="L111" s="155">
        <f t="shared" si="16"/>
        <v>0</v>
      </c>
      <c r="M111" s="77">
        <f t="shared" si="17"/>
        <v>7</v>
      </c>
      <c r="N111" s="30">
        <f>SUMIF('3 D P'!$D:$D,Cockpit!$E$5:$E$146,'3 D P'!L:L)</f>
        <v>0</v>
      </c>
      <c r="O111" s="30">
        <f>SUMIF('3 D P'!$D:$D,Cockpit!$E$5:$E$146,'3 D P'!M:M)</f>
        <v>0</v>
      </c>
      <c r="P111" s="30">
        <f>SUMIF('3 D P'!$D:$D,Cockpit!$E$5:$E$146,'3 D P'!N:N)</f>
        <v>0</v>
      </c>
      <c r="Q111" s="132">
        <f>IFERROR(VLOOKUP($D111,'Aptiv Dispatch'!$A:$B,2,FALSE),0)</f>
        <v>0</v>
      </c>
      <c r="R111" s="34">
        <f>SUMIF('Consumption MTD'!B:B,Cockpit!$E$5:$E$146,'Consumption MTD'!C:C)</f>
        <v>0</v>
      </c>
      <c r="S111" s="34">
        <f>SUMIF('BIW Lifting A Shift'!$B:$B,Cockpit!$E$5:$E$146,'BIW Lifting A Shift'!C:C)</f>
        <v>0</v>
      </c>
      <c r="T111" s="34" t="e">
        <f>SUMIF('BIW Lifting A Shift'!$B:$B,Cockpit!$E$5:$E$146,'BIW Lifting A Shift'!#REF!)</f>
        <v>#REF!</v>
      </c>
      <c r="U111" s="74">
        <f t="shared" si="18"/>
        <v>7</v>
      </c>
      <c r="V111" s="74">
        <f t="shared" si="19"/>
        <v>7</v>
      </c>
      <c r="W111" s="74" t="e">
        <f t="shared" si="20"/>
        <v>#REF!</v>
      </c>
      <c r="X111" s="135">
        <f>SUMIF(FLOAT!$D:$D,Cockpit!$E$5:$E$146,FLOAT!F:F)</f>
        <v>0</v>
      </c>
      <c r="Y111" s="38"/>
      <c r="AA111" s="49"/>
      <c r="AC111" s="147"/>
      <c r="AD111" s="50"/>
      <c r="AE111" s="234"/>
      <c r="AF111" s="62">
        <f>SUMIF(FLOAT!$D:$D,Cockpit!$E111:$E246,FLOAT!G:G)</f>
        <v>0</v>
      </c>
      <c r="AG111" s="62">
        <f>SUMIF(FLOAT!$D:$D,Cockpit!$E111:$E246,FLOAT!H:H)</f>
        <v>0</v>
      </c>
      <c r="AH111" s="62">
        <f>SUMIF(FLOAT!$D:$D,Cockpit!$E111:$E246,FLOAT!I:I)</f>
        <v>0</v>
      </c>
      <c r="AI111" s="62">
        <f>SUMIF(FLOAT!$D:$D,Cockpit!$E111:$E246,FLOAT!J:J)</f>
        <v>0</v>
      </c>
      <c r="AJ111" s="62">
        <f>SUMIF(FLOAT!$D:$D,Cockpit!$E111:$E246,FLOAT!K:K)</f>
        <v>0</v>
      </c>
      <c r="AK111" s="62">
        <f>SUMIF(FLOAT!$D:$D,Cockpit!$E111:$E246,FLOAT!L:L)</f>
        <v>0</v>
      </c>
      <c r="AL111" s="62">
        <f>SUMIF(FLOAT!$D:$D,Cockpit!$E111:$E246,FLOAT!M:M)</f>
        <v>0</v>
      </c>
      <c r="AM111" s="62">
        <f>SUMIF(FLOAT!$D:$D,Cockpit!$E111:$E246,FLOAT!N:N)</f>
        <v>0</v>
      </c>
      <c r="AN111" s="62">
        <f>SUMIF(FLOAT!$D:$D,Cockpit!$E111:$E246,FLOAT!O:O)</f>
        <v>0</v>
      </c>
      <c r="AO111" s="62">
        <f>SUMIF(FLOAT!$D:$D,Cockpit!$E111:$E246,FLOAT!P:P)</f>
        <v>0</v>
      </c>
      <c r="AP111" s="60">
        <f t="shared" si="10"/>
        <v>0</v>
      </c>
      <c r="AQ111" s="238"/>
    </row>
    <row r="112" spans="1:43" ht="23.25" hidden="1" customHeight="1" thickBot="1" x14ac:dyDescent="0.35">
      <c r="A112" s="297"/>
      <c r="B112" s="298"/>
      <c r="C112" s="309"/>
      <c r="D112" s="756">
        <v>544254630871</v>
      </c>
      <c r="E112" s="313" t="s">
        <v>500</v>
      </c>
      <c r="F112" s="317" t="s">
        <v>501</v>
      </c>
      <c r="G112" s="184">
        <v>0</v>
      </c>
      <c r="H112" s="230">
        <f t="shared" si="14"/>
        <v>0</v>
      </c>
      <c r="I112" s="232">
        <v>4</v>
      </c>
      <c r="J112" s="214">
        <f t="shared" si="15"/>
        <v>0</v>
      </c>
      <c r="K112" s="76">
        <f t="shared" si="15"/>
        <v>0</v>
      </c>
      <c r="L112" s="155">
        <f t="shared" si="16"/>
        <v>0</v>
      </c>
      <c r="M112" s="77">
        <f t="shared" si="17"/>
        <v>4</v>
      </c>
      <c r="N112" s="30">
        <f>SUMIF('3 D P'!$D:$D,Cockpit!$E$5:$E$146,'3 D P'!L:L)</f>
        <v>0</v>
      </c>
      <c r="O112" s="30">
        <f>SUMIF('3 D P'!$D:$D,Cockpit!$E$5:$E$146,'3 D P'!M:M)</f>
        <v>0</v>
      </c>
      <c r="P112" s="30">
        <f>SUMIF('3 D P'!$D:$D,Cockpit!$E$5:$E$146,'3 D P'!N:N)</f>
        <v>0</v>
      </c>
      <c r="Q112" s="132">
        <f>IFERROR(VLOOKUP($D112,'Aptiv Dispatch'!$A:$B,2,FALSE),0)</f>
        <v>0</v>
      </c>
      <c r="R112" s="34">
        <f>SUMIF('Consumption MTD'!B:B,Cockpit!$E$5:$E$146,'Consumption MTD'!C:C)</f>
        <v>0</v>
      </c>
      <c r="S112" s="34">
        <f>SUMIF('BIW Lifting A Shift'!$B:$B,Cockpit!$E$5:$E$146,'BIW Lifting A Shift'!C:C)</f>
        <v>0</v>
      </c>
      <c r="T112" s="34" t="e">
        <f>SUMIF('BIW Lifting A Shift'!$B:$B,Cockpit!$E$5:$E$146,'BIW Lifting A Shift'!#REF!)</f>
        <v>#REF!</v>
      </c>
      <c r="U112" s="74">
        <f t="shared" si="18"/>
        <v>4</v>
      </c>
      <c r="V112" s="74">
        <f t="shared" si="19"/>
        <v>4</v>
      </c>
      <c r="W112" s="74" t="e">
        <f t="shared" si="20"/>
        <v>#REF!</v>
      </c>
      <c r="X112" s="135">
        <f>SUMIF(FLOAT!$D:$D,Cockpit!$E$5:$E$146,FLOAT!F:F)</f>
        <v>0</v>
      </c>
      <c r="Y112" s="38"/>
      <c r="AA112" s="49"/>
      <c r="AC112" s="147"/>
      <c r="AD112" s="50"/>
      <c r="AE112" s="234"/>
      <c r="AF112" s="62">
        <f>SUMIF(FLOAT!$D:$D,Cockpit!$E112:$E247,FLOAT!G:G)</f>
        <v>0</v>
      </c>
      <c r="AG112" s="62">
        <f>SUMIF(FLOAT!$D:$D,Cockpit!$E112:$E247,FLOAT!H:H)</f>
        <v>0</v>
      </c>
      <c r="AH112" s="62">
        <f>SUMIF(FLOAT!$D:$D,Cockpit!$E112:$E247,FLOAT!I:I)</f>
        <v>0</v>
      </c>
      <c r="AI112" s="62">
        <f>SUMIF(FLOAT!$D:$D,Cockpit!$E112:$E247,FLOAT!J:J)</f>
        <v>0</v>
      </c>
      <c r="AJ112" s="62">
        <f>SUMIF(FLOAT!$D:$D,Cockpit!$E112:$E247,FLOAT!K:K)</f>
        <v>0</v>
      </c>
      <c r="AK112" s="62">
        <f>SUMIF(FLOAT!$D:$D,Cockpit!$E112:$E247,FLOAT!L:L)</f>
        <v>0</v>
      </c>
      <c r="AL112" s="62">
        <f>SUMIF(FLOAT!$D:$D,Cockpit!$E112:$E247,FLOAT!M:M)</f>
        <v>0</v>
      </c>
      <c r="AM112" s="62">
        <f>SUMIF(FLOAT!$D:$D,Cockpit!$E112:$E247,FLOAT!N:N)</f>
        <v>0</v>
      </c>
      <c r="AN112" s="62">
        <f>SUMIF(FLOAT!$D:$D,Cockpit!$E112:$E247,FLOAT!O:O)</f>
        <v>0</v>
      </c>
      <c r="AO112" s="62">
        <f>SUMIF(FLOAT!$D:$D,Cockpit!$E112:$E247,FLOAT!P:P)</f>
        <v>0</v>
      </c>
      <c r="AP112" s="60">
        <f t="shared" si="10"/>
        <v>0</v>
      </c>
      <c r="AQ112" s="238"/>
    </row>
    <row r="113" spans="1:43" ht="23.25" hidden="1" customHeight="1" thickBot="1" x14ac:dyDescent="0.35">
      <c r="A113" s="297"/>
      <c r="B113" s="298"/>
      <c r="C113" s="309"/>
      <c r="D113" s="756">
        <v>544254640267</v>
      </c>
      <c r="E113" s="313" t="s">
        <v>433</v>
      </c>
      <c r="F113" s="317" t="s">
        <v>556</v>
      </c>
      <c r="G113" s="184">
        <v>0</v>
      </c>
      <c r="H113" s="230">
        <f t="shared" si="14"/>
        <v>0</v>
      </c>
      <c r="I113" s="232">
        <v>3</v>
      </c>
      <c r="J113" s="214">
        <f t="shared" si="15"/>
        <v>0</v>
      </c>
      <c r="K113" s="76">
        <f t="shared" si="15"/>
        <v>0</v>
      </c>
      <c r="L113" s="155">
        <f t="shared" si="16"/>
        <v>0</v>
      </c>
      <c r="M113" s="77">
        <f t="shared" si="17"/>
        <v>3</v>
      </c>
      <c r="N113" s="30">
        <f>SUMIF('3 D P'!$D:$D,Cockpit!$E$5:$E$146,'3 D P'!L:L)</f>
        <v>0</v>
      </c>
      <c r="O113" s="30">
        <f>SUMIF('3 D P'!$D:$D,Cockpit!$E$5:$E$146,'3 D P'!M:M)</f>
        <v>0</v>
      </c>
      <c r="P113" s="30">
        <f>SUMIF('3 D P'!$D:$D,Cockpit!$E$5:$E$146,'3 D P'!N:N)</f>
        <v>0</v>
      </c>
      <c r="Q113" s="132">
        <f>IFERROR(VLOOKUP($D113,'Aptiv Dispatch'!$A:$B,2,FALSE),0)</f>
        <v>0</v>
      </c>
      <c r="R113" s="34">
        <f>SUMIF('Consumption MTD'!B:B,Cockpit!$E$5:$E$146,'Consumption MTD'!C:C)</f>
        <v>0</v>
      </c>
      <c r="S113" s="34">
        <f>SUMIF('BIW Lifting A Shift'!$B:$B,Cockpit!$E$5:$E$146,'BIW Lifting A Shift'!C:C)</f>
        <v>0</v>
      </c>
      <c r="T113" s="34" t="e">
        <f>SUMIF('BIW Lifting A Shift'!$B:$B,Cockpit!$E$5:$E$146,'BIW Lifting A Shift'!#REF!)</f>
        <v>#REF!</v>
      </c>
      <c r="U113" s="74">
        <f t="shared" si="18"/>
        <v>3</v>
      </c>
      <c r="V113" s="74">
        <f t="shared" si="19"/>
        <v>3</v>
      </c>
      <c r="W113" s="74" t="e">
        <f t="shared" si="20"/>
        <v>#REF!</v>
      </c>
      <c r="X113" s="135">
        <f>SUMIF(FLOAT!$D:$D,Cockpit!$E$5:$E$146,FLOAT!F:F)</f>
        <v>0</v>
      </c>
      <c r="Y113" s="38"/>
      <c r="AA113" s="49"/>
      <c r="AC113" s="147"/>
      <c r="AD113" s="50"/>
      <c r="AE113" s="234"/>
      <c r="AF113" s="62">
        <f>SUMIF(FLOAT!$D:$D,Cockpit!$E113:$E248,FLOAT!G:G)</f>
        <v>0</v>
      </c>
      <c r="AG113" s="62">
        <f>SUMIF(FLOAT!$D:$D,Cockpit!$E113:$E248,FLOAT!H:H)</f>
        <v>0</v>
      </c>
      <c r="AH113" s="62">
        <f>SUMIF(FLOAT!$D:$D,Cockpit!$E113:$E248,FLOAT!I:I)</f>
        <v>0</v>
      </c>
      <c r="AI113" s="62">
        <f>SUMIF(FLOAT!$D:$D,Cockpit!$E113:$E248,FLOAT!J:J)</f>
        <v>0</v>
      </c>
      <c r="AJ113" s="62">
        <f>SUMIF(FLOAT!$D:$D,Cockpit!$E113:$E248,FLOAT!K:K)</f>
        <v>0</v>
      </c>
      <c r="AK113" s="62">
        <f>SUMIF(FLOAT!$D:$D,Cockpit!$E113:$E248,FLOAT!L:L)</f>
        <v>0</v>
      </c>
      <c r="AL113" s="62">
        <f>SUMIF(FLOAT!$D:$D,Cockpit!$E113:$E248,FLOAT!M:M)</f>
        <v>0</v>
      </c>
      <c r="AM113" s="62">
        <f>SUMIF(FLOAT!$D:$D,Cockpit!$E113:$E248,FLOAT!N:N)</f>
        <v>0</v>
      </c>
      <c r="AN113" s="62">
        <f>SUMIF(FLOAT!$D:$D,Cockpit!$E113:$E248,FLOAT!O:O)</f>
        <v>0</v>
      </c>
      <c r="AO113" s="62">
        <f>SUMIF(FLOAT!$D:$D,Cockpit!$E113:$E248,FLOAT!P:P)</f>
        <v>0</v>
      </c>
      <c r="AP113" s="60">
        <f t="shared" si="10"/>
        <v>0</v>
      </c>
      <c r="AQ113" s="238"/>
    </row>
    <row r="114" spans="1:43" ht="23.25" hidden="1" customHeight="1" thickBot="1" x14ac:dyDescent="0.35">
      <c r="A114" s="297"/>
      <c r="B114" s="298"/>
      <c r="C114" s="309"/>
      <c r="D114" s="756">
        <v>544254610241</v>
      </c>
      <c r="E114" s="313" t="s">
        <v>363</v>
      </c>
      <c r="F114" s="314" t="s">
        <v>362</v>
      </c>
      <c r="G114" s="184">
        <v>0</v>
      </c>
      <c r="H114" s="230">
        <f t="shared" si="14"/>
        <v>0</v>
      </c>
      <c r="I114" s="232">
        <v>23</v>
      </c>
      <c r="J114" s="214">
        <f t="shared" si="15"/>
        <v>0</v>
      </c>
      <c r="K114" s="76">
        <f t="shared" si="15"/>
        <v>0</v>
      </c>
      <c r="L114" s="155">
        <f t="shared" si="16"/>
        <v>0</v>
      </c>
      <c r="M114" s="77">
        <f t="shared" si="17"/>
        <v>23</v>
      </c>
      <c r="N114" s="30">
        <f>SUMIF('3 D P'!$D:$D,Cockpit!$E$5:$E$146,'3 D P'!L:L)</f>
        <v>0</v>
      </c>
      <c r="O114" s="30">
        <f>SUMIF('3 D P'!$D:$D,Cockpit!$E$5:$E$146,'3 D P'!M:M)</f>
        <v>0</v>
      </c>
      <c r="P114" s="30">
        <f>SUMIF('3 D P'!$D:$D,Cockpit!$E$5:$E$146,'3 D P'!N:N)</f>
        <v>0</v>
      </c>
      <c r="Q114" s="132">
        <f>IFERROR(VLOOKUP($D114,'Aptiv Dispatch'!$A:$B,2,FALSE),0)</f>
        <v>0</v>
      </c>
      <c r="R114" s="34">
        <f>SUMIF('Consumption MTD'!B:B,Cockpit!$E$5:$E$146,'Consumption MTD'!C:C)</f>
        <v>0</v>
      </c>
      <c r="S114" s="34">
        <f>SUMIF('BIW Lifting A Shift'!$B:$B,Cockpit!$E$5:$E$146,'BIW Lifting A Shift'!C:C)</f>
        <v>0</v>
      </c>
      <c r="T114" s="34" t="e">
        <f>SUMIF('BIW Lifting A Shift'!$B:$B,Cockpit!$E$5:$E$146,'BIW Lifting A Shift'!#REF!)</f>
        <v>#REF!</v>
      </c>
      <c r="U114" s="74">
        <f t="shared" si="18"/>
        <v>23</v>
      </c>
      <c r="V114" s="74">
        <f t="shared" si="19"/>
        <v>23</v>
      </c>
      <c r="W114" s="74" t="e">
        <f t="shared" si="20"/>
        <v>#REF!</v>
      </c>
      <c r="X114" s="135">
        <f>SUMIF(FLOAT!$D:$D,Cockpit!$E$5:$E$146,FLOAT!F:F)</f>
        <v>0</v>
      </c>
      <c r="Y114" s="38"/>
      <c r="AA114" s="49"/>
      <c r="AC114" s="147"/>
      <c r="AD114" s="50"/>
      <c r="AE114" s="234"/>
      <c r="AF114" s="62">
        <f>SUMIF(FLOAT!$D:$D,Cockpit!$E114:$E250,FLOAT!G:G)</f>
        <v>0</v>
      </c>
      <c r="AG114" s="62">
        <f>SUMIF(FLOAT!$D:$D,Cockpit!$E114:$E250,FLOAT!H:H)</f>
        <v>0</v>
      </c>
      <c r="AH114" s="62">
        <f>SUMIF(FLOAT!$D:$D,Cockpit!$E114:$E250,FLOAT!I:I)</f>
        <v>0</v>
      </c>
      <c r="AI114" s="62">
        <f>SUMIF(FLOAT!$D:$D,Cockpit!$E114:$E250,FLOAT!J:J)</f>
        <v>0</v>
      </c>
      <c r="AJ114" s="62">
        <f>SUMIF(FLOAT!$D:$D,Cockpit!$E114:$E250,FLOAT!K:K)</f>
        <v>0</v>
      </c>
      <c r="AK114" s="62">
        <f>SUMIF(FLOAT!$D:$D,Cockpit!$E114:$E250,FLOAT!L:L)</f>
        <v>0</v>
      </c>
      <c r="AL114" s="62">
        <f>SUMIF(FLOAT!$D:$D,Cockpit!$E114:$E250,FLOAT!M:M)</f>
        <v>0</v>
      </c>
      <c r="AM114" s="62">
        <f>SUMIF(FLOAT!$D:$D,Cockpit!$E114:$E250,FLOAT!N:N)</f>
        <v>0</v>
      </c>
      <c r="AN114" s="62">
        <f>SUMIF(FLOAT!$D:$D,Cockpit!$E114:$E250,FLOAT!O:O)</f>
        <v>0</v>
      </c>
      <c r="AO114" s="62">
        <f>SUMIF(FLOAT!$D:$D,Cockpit!$E114:$E250,FLOAT!P:P)</f>
        <v>0</v>
      </c>
      <c r="AP114" s="60">
        <f t="shared" si="10"/>
        <v>0</v>
      </c>
      <c r="AQ114" s="238"/>
    </row>
    <row r="115" spans="1:43" ht="23.25" hidden="1" customHeight="1" thickBot="1" x14ac:dyDescent="0.35">
      <c r="A115" s="297"/>
      <c r="B115" s="298"/>
      <c r="C115" s="309"/>
      <c r="D115" s="756">
        <v>544254640248</v>
      </c>
      <c r="E115" s="313" t="s">
        <v>432</v>
      </c>
      <c r="F115" s="317" t="s">
        <v>435</v>
      </c>
      <c r="G115" s="184">
        <v>0</v>
      </c>
      <c r="H115" s="230">
        <f t="shared" si="14"/>
        <v>0</v>
      </c>
      <c r="I115" s="232">
        <v>13</v>
      </c>
      <c r="J115" s="214">
        <f t="shared" si="15"/>
        <v>0</v>
      </c>
      <c r="K115" s="76">
        <f t="shared" si="15"/>
        <v>0</v>
      </c>
      <c r="L115" s="155">
        <f t="shared" si="16"/>
        <v>0</v>
      </c>
      <c r="M115" s="77">
        <f t="shared" si="17"/>
        <v>13</v>
      </c>
      <c r="N115" s="30">
        <f>SUMIF('3 D P'!$D:$D,Cockpit!$E$5:$E$146,'3 D P'!L:L)</f>
        <v>0</v>
      </c>
      <c r="O115" s="30">
        <f>SUMIF('3 D P'!$D:$D,Cockpit!$E$5:$E$146,'3 D P'!M:M)</f>
        <v>0</v>
      </c>
      <c r="P115" s="30">
        <f>SUMIF('3 D P'!$D:$D,Cockpit!$E$5:$E$146,'3 D P'!N:N)</f>
        <v>0</v>
      </c>
      <c r="Q115" s="132">
        <f>IFERROR(VLOOKUP($D115,'Aptiv Dispatch'!$A:$B,2,FALSE),0)</f>
        <v>0</v>
      </c>
      <c r="R115" s="34">
        <f>SUMIF('Consumption MTD'!B:B,Cockpit!$E$5:$E$146,'Consumption MTD'!C:C)</f>
        <v>0</v>
      </c>
      <c r="S115" s="34">
        <f>SUMIF('BIW Lifting A Shift'!$B:$B,Cockpit!$E$5:$E$146,'BIW Lifting A Shift'!C:C)</f>
        <v>0</v>
      </c>
      <c r="T115" s="34" t="e">
        <f>SUMIF('BIW Lifting A Shift'!$B:$B,Cockpit!$E$5:$E$146,'BIW Lifting A Shift'!#REF!)</f>
        <v>#REF!</v>
      </c>
      <c r="U115" s="74">
        <f t="shared" si="18"/>
        <v>13</v>
      </c>
      <c r="V115" s="74">
        <f t="shared" si="19"/>
        <v>13</v>
      </c>
      <c r="W115" s="74" t="e">
        <f t="shared" si="20"/>
        <v>#REF!</v>
      </c>
      <c r="X115" s="135">
        <f>SUMIF(FLOAT!$D:$D,Cockpit!$E$5:$E$146,FLOAT!F:F)</f>
        <v>0</v>
      </c>
      <c r="Y115" s="38"/>
      <c r="AA115" s="49"/>
      <c r="AC115" s="147"/>
      <c r="AD115" s="50"/>
      <c r="AE115" s="234"/>
      <c r="AF115" s="62">
        <f>SUMIF(FLOAT!$D:$D,Cockpit!$E115:$E251,FLOAT!G:G)</f>
        <v>0</v>
      </c>
      <c r="AG115" s="62">
        <f>SUMIF(FLOAT!$D:$D,Cockpit!$E115:$E251,FLOAT!H:H)</f>
        <v>0</v>
      </c>
      <c r="AH115" s="62">
        <f>SUMIF(FLOAT!$D:$D,Cockpit!$E115:$E251,FLOAT!I:I)</f>
        <v>0</v>
      </c>
      <c r="AI115" s="62">
        <f>SUMIF(FLOAT!$D:$D,Cockpit!$E115:$E251,FLOAT!J:J)</f>
        <v>0</v>
      </c>
      <c r="AJ115" s="62">
        <f>SUMIF(FLOAT!$D:$D,Cockpit!$E115:$E251,FLOAT!K:K)</f>
        <v>0</v>
      </c>
      <c r="AK115" s="62">
        <f>SUMIF(FLOAT!$D:$D,Cockpit!$E115:$E251,FLOAT!L:L)</f>
        <v>0</v>
      </c>
      <c r="AL115" s="62">
        <f>SUMIF(FLOAT!$D:$D,Cockpit!$E115:$E251,FLOAT!M:M)</f>
        <v>0</v>
      </c>
      <c r="AM115" s="62">
        <f>SUMIF(FLOAT!$D:$D,Cockpit!$E115:$E251,FLOAT!N:N)</f>
        <v>0</v>
      </c>
      <c r="AN115" s="62">
        <f>SUMIF(FLOAT!$D:$D,Cockpit!$E115:$E251,FLOAT!O:O)</f>
        <v>0</v>
      </c>
      <c r="AO115" s="62">
        <f>SUMIF(FLOAT!$D:$D,Cockpit!$E115:$E251,FLOAT!P:P)</f>
        <v>0</v>
      </c>
      <c r="AP115" s="60">
        <f t="shared" si="10"/>
        <v>0</v>
      </c>
      <c r="AQ115" s="238"/>
    </row>
    <row r="116" spans="1:43" ht="23.25" hidden="1" customHeight="1" thickBot="1" x14ac:dyDescent="0.35">
      <c r="A116" s="297"/>
      <c r="B116" s="298"/>
      <c r="C116" s="309"/>
      <c r="D116" s="756">
        <v>544254640251</v>
      </c>
      <c r="E116" s="313" t="s">
        <v>420</v>
      </c>
      <c r="F116" s="315" t="s">
        <v>503</v>
      </c>
      <c r="G116" s="184">
        <v>0</v>
      </c>
      <c r="H116" s="230">
        <f t="shared" ref="H116:H135" si="21">G116</f>
        <v>0</v>
      </c>
      <c r="I116" s="232">
        <v>5</v>
      </c>
      <c r="J116" s="214">
        <f t="shared" ref="J116:K135" si="22">Q116</f>
        <v>0</v>
      </c>
      <c r="K116" s="76">
        <f t="shared" si="22"/>
        <v>0</v>
      </c>
      <c r="L116" s="155">
        <f t="shared" ref="L116:L135" si="23">H116-K116</f>
        <v>0</v>
      </c>
      <c r="M116" s="77">
        <f t="shared" ref="M116:M135" si="24">I116+J116-K116</f>
        <v>5</v>
      </c>
      <c r="N116" s="30">
        <f>SUMIF('3 D P'!$D:$D,Cockpit!$E$5:$E$146,'3 D P'!L:L)</f>
        <v>0</v>
      </c>
      <c r="O116" s="30">
        <f>SUMIF('3 D P'!$D:$D,Cockpit!$E$5:$E$146,'3 D P'!M:M)</f>
        <v>0</v>
      </c>
      <c r="P116" s="30">
        <f>SUMIF('3 D P'!$D:$D,Cockpit!$E$5:$E$146,'3 D P'!N:N)</f>
        <v>0</v>
      </c>
      <c r="Q116" s="132">
        <f>IFERROR(VLOOKUP($D116,'Aptiv Dispatch'!$A:$B,2,FALSE),0)</f>
        <v>0</v>
      </c>
      <c r="R116" s="34">
        <f>SUMIF('Consumption MTD'!B:B,Cockpit!$E$5:$E$146,'Consumption MTD'!C:C)</f>
        <v>0</v>
      </c>
      <c r="S116" s="34">
        <f>SUMIF('BIW Lifting A Shift'!$B:$B,Cockpit!$E$5:$E$146,'BIW Lifting A Shift'!C:C)</f>
        <v>0</v>
      </c>
      <c r="T116" s="34" t="e">
        <f>SUMIF('BIW Lifting A Shift'!$B:$B,Cockpit!$E$5:$E$146,'BIW Lifting A Shift'!#REF!)</f>
        <v>#REF!</v>
      </c>
      <c r="U116" s="74">
        <f t="shared" ref="U116:U135" si="25">M116-X116</f>
        <v>5</v>
      </c>
      <c r="V116" s="74">
        <f t="shared" ref="V116:V135" si="26">M116-S116-X116</f>
        <v>5</v>
      </c>
      <c r="W116" s="74" t="e">
        <f t="shared" ref="W116:W135" si="27">V116-T116</f>
        <v>#REF!</v>
      </c>
      <c r="X116" s="135">
        <f>SUMIF(FLOAT!$D:$D,Cockpit!$E$5:$E$146,FLOAT!F:F)</f>
        <v>0</v>
      </c>
      <c r="Y116" s="38"/>
      <c r="AA116" s="49"/>
      <c r="AC116" s="147"/>
      <c r="AD116" s="50"/>
      <c r="AE116" s="234"/>
      <c r="AF116" s="62">
        <f>SUMIF(FLOAT!$D:$D,Cockpit!$E116:$E253,FLOAT!G:G)</f>
        <v>0</v>
      </c>
      <c r="AG116" s="62">
        <f>SUMIF(FLOAT!$D:$D,Cockpit!$E116:$E253,FLOAT!H:H)</f>
        <v>0</v>
      </c>
      <c r="AH116" s="62">
        <f>SUMIF(FLOAT!$D:$D,Cockpit!$E116:$E253,FLOAT!I:I)</f>
        <v>0</v>
      </c>
      <c r="AI116" s="62">
        <f>SUMIF(FLOAT!$D:$D,Cockpit!$E116:$E253,FLOAT!J:J)</f>
        <v>0</v>
      </c>
      <c r="AJ116" s="62">
        <f>SUMIF(FLOAT!$D:$D,Cockpit!$E116:$E253,FLOAT!K:K)</f>
        <v>0</v>
      </c>
      <c r="AK116" s="62">
        <f>SUMIF(FLOAT!$D:$D,Cockpit!$E116:$E253,FLOAT!L:L)</f>
        <v>0</v>
      </c>
      <c r="AL116" s="62">
        <f>SUMIF(FLOAT!$D:$D,Cockpit!$E116:$E253,FLOAT!M:M)</f>
        <v>0</v>
      </c>
      <c r="AM116" s="62">
        <f>SUMIF(FLOAT!$D:$D,Cockpit!$E116:$E253,FLOAT!N:N)</f>
        <v>0</v>
      </c>
      <c r="AN116" s="62">
        <f>SUMIF(FLOAT!$D:$D,Cockpit!$E116:$E253,FLOAT!O:O)</f>
        <v>0</v>
      </c>
      <c r="AO116" s="62">
        <f>SUMIF(FLOAT!$D:$D,Cockpit!$E116:$E253,FLOAT!P:P)</f>
        <v>0</v>
      </c>
      <c r="AP116" s="60">
        <f t="shared" si="10"/>
        <v>0</v>
      </c>
      <c r="AQ116" s="238"/>
    </row>
    <row r="117" spans="1:43" ht="23.25" hidden="1" customHeight="1" thickBot="1" x14ac:dyDescent="0.35">
      <c r="A117" s="297"/>
      <c r="B117" s="298"/>
      <c r="C117" s="309"/>
      <c r="D117" s="756"/>
      <c r="E117" s="313" t="s">
        <v>504</v>
      </c>
      <c r="F117" s="316" t="s">
        <v>505</v>
      </c>
      <c r="G117" s="184">
        <v>0</v>
      </c>
      <c r="H117" s="230">
        <f t="shared" si="21"/>
        <v>0</v>
      </c>
      <c r="I117" s="232">
        <v>0</v>
      </c>
      <c r="J117" s="214">
        <f t="shared" si="22"/>
        <v>0</v>
      </c>
      <c r="K117" s="76">
        <f t="shared" si="22"/>
        <v>0</v>
      </c>
      <c r="L117" s="155">
        <f t="shared" si="23"/>
        <v>0</v>
      </c>
      <c r="M117" s="77">
        <f t="shared" si="24"/>
        <v>0</v>
      </c>
      <c r="N117" s="30">
        <f>SUMIF('3 D P'!$D:$D,Cockpit!$E$5:$E$146,'3 D P'!L:L)</f>
        <v>0</v>
      </c>
      <c r="O117" s="30">
        <f>SUMIF('3 D P'!$D:$D,Cockpit!$E$5:$E$146,'3 D P'!M:M)</f>
        <v>0</v>
      </c>
      <c r="P117" s="30">
        <f>SUMIF('3 D P'!$D:$D,Cockpit!$E$5:$E$146,'3 D P'!N:N)</f>
        <v>0</v>
      </c>
      <c r="Q117" s="132">
        <f>IFERROR(VLOOKUP($D117,'Aptiv Dispatch'!$A:$B,2,FALSE),0)</f>
        <v>0</v>
      </c>
      <c r="R117" s="34">
        <f>SUMIF('Consumption MTD'!B:B,Cockpit!$E$5:$E$146,'Consumption MTD'!C:C)</f>
        <v>0</v>
      </c>
      <c r="S117" s="34">
        <f>SUMIF('BIW Lifting A Shift'!$B:$B,Cockpit!$E$5:$E$146,'BIW Lifting A Shift'!C:C)</f>
        <v>0</v>
      </c>
      <c r="T117" s="34" t="e">
        <f>SUMIF('BIW Lifting A Shift'!$B:$B,Cockpit!$E$5:$E$146,'BIW Lifting A Shift'!#REF!)</f>
        <v>#REF!</v>
      </c>
      <c r="U117" s="74">
        <f t="shared" si="25"/>
        <v>0</v>
      </c>
      <c r="V117" s="74">
        <f t="shared" si="26"/>
        <v>0</v>
      </c>
      <c r="W117" s="74" t="e">
        <f t="shared" si="27"/>
        <v>#REF!</v>
      </c>
      <c r="X117" s="135">
        <f>SUMIF(FLOAT!$D:$D,Cockpit!$E$5:$E$146,FLOAT!F:F)</f>
        <v>0</v>
      </c>
      <c r="Y117" s="38"/>
      <c r="AA117" s="49"/>
      <c r="AC117" s="147"/>
      <c r="AD117" s="50"/>
      <c r="AE117" s="234"/>
      <c r="AF117" s="62">
        <f>SUMIF(FLOAT!$D:$D,Cockpit!$E117:$E254,FLOAT!G:G)</f>
        <v>0</v>
      </c>
      <c r="AG117" s="62">
        <f>SUMIF(FLOAT!$D:$D,Cockpit!$E117:$E254,FLOAT!H:H)</f>
        <v>0</v>
      </c>
      <c r="AH117" s="62">
        <f>SUMIF(FLOAT!$D:$D,Cockpit!$E117:$E254,FLOAT!I:I)</f>
        <v>0</v>
      </c>
      <c r="AI117" s="62">
        <f>SUMIF(FLOAT!$D:$D,Cockpit!$E117:$E254,FLOAT!J:J)</f>
        <v>0</v>
      </c>
      <c r="AJ117" s="62">
        <f>SUMIF(FLOAT!$D:$D,Cockpit!$E117:$E254,FLOAT!K:K)</f>
        <v>0</v>
      </c>
      <c r="AK117" s="62">
        <f>SUMIF(FLOAT!$D:$D,Cockpit!$E117:$E254,FLOAT!L:L)</f>
        <v>0</v>
      </c>
      <c r="AL117" s="62">
        <f>SUMIF(FLOAT!$D:$D,Cockpit!$E117:$E254,FLOAT!M:M)</f>
        <v>0</v>
      </c>
      <c r="AM117" s="62">
        <f>SUMIF(FLOAT!$D:$D,Cockpit!$E117:$E254,FLOAT!N:N)</f>
        <v>0</v>
      </c>
      <c r="AN117" s="62">
        <f>SUMIF(FLOAT!$D:$D,Cockpit!$E117:$E254,FLOAT!O:O)</f>
        <v>0</v>
      </c>
      <c r="AO117" s="62">
        <f>SUMIF(FLOAT!$D:$D,Cockpit!$E117:$E254,FLOAT!P:P)</f>
        <v>0</v>
      </c>
      <c r="AP117" s="60">
        <f t="shared" si="10"/>
        <v>0</v>
      </c>
      <c r="AQ117" s="238"/>
    </row>
    <row r="118" spans="1:43" ht="23.25" hidden="1" customHeight="1" thickBot="1" x14ac:dyDescent="0.35">
      <c r="A118" s="297"/>
      <c r="B118" s="298"/>
      <c r="C118" s="309"/>
      <c r="D118" s="756"/>
      <c r="E118" s="313" t="s">
        <v>506</v>
      </c>
      <c r="F118" s="316" t="s">
        <v>507</v>
      </c>
      <c r="G118" s="184">
        <v>0</v>
      </c>
      <c r="H118" s="230">
        <f t="shared" si="21"/>
        <v>0</v>
      </c>
      <c r="I118" s="232">
        <v>0</v>
      </c>
      <c r="J118" s="214">
        <f t="shared" si="22"/>
        <v>0</v>
      </c>
      <c r="K118" s="76">
        <f t="shared" si="22"/>
        <v>0</v>
      </c>
      <c r="L118" s="155">
        <f t="shared" si="23"/>
        <v>0</v>
      </c>
      <c r="M118" s="77">
        <f t="shared" si="24"/>
        <v>0</v>
      </c>
      <c r="N118" s="30">
        <f>SUMIF('3 D P'!$D:$D,Cockpit!$E$5:$E$146,'3 D P'!L:L)</f>
        <v>0</v>
      </c>
      <c r="O118" s="30">
        <f>SUMIF('3 D P'!$D:$D,Cockpit!$E$5:$E$146,'3 D P'!M:M)</f>
        <v>0</v>
      </c>
      <c r="P118" s="30">
        <f>SUMIF('3 D P'!$D:$D,Cockpit!$E$5:$E$146,'3 D P'!N:N)</f>
        <v>0</v>
      </c>
      <c r="Q118" s="132">
        <f>IFERROR(VLOOKUP($D118,'Aptiv Dispatch'!$A:$B,2,FALSE),0)</f>
        <v>0</v>
      </c>
      <c r="R118" s="34">
        <f>SUMIF('Consumption MTD'!B:B,Cockpit!$E$5:$E$146,'Consumption MTD'!C:C)</f>
        <v>0</v>
      </c>
      <c r="S118" s="34">
        <f>SUMIF('BIW Lifting A Shift'!$B:$B,Cockpit!$E$5:$E$146,'BIW Lifting A Shift'!C:C)</f>
        <v>0</v>
      </c>
      <c r="T118" s="34" t="e">
        <f>SUMIF('BIW Lifting A Shift'!$B:$B,Cockpit!$E$5:$E$146,'BIW Lifting A Shift'!#REF!)</f>
        <v>#REF!</v>
      </c>
      <c r="U118" s="74">
        <f t="shared" si="25"/>
        <v>0</v>
      </c>
      <c r="V118" s="74">
        <f t="shared" si="26"/>
        <v>0</v>
      </c>
      <c r="W118" s="74" t="e">
        <f t="shared" si="27"/>
        <v>#REF!</v>
      </c>
      <c r="X118" s="135">
        <f>SUMIF(FLOAT!$D:$D,Cockpit!$E$5:$E$146,FLOAT!F:F)</f>
        <v>0</v>
      </c>
      <c r="Y118" s="38"/>
      <c r="AA118" s="49"/>
      <c r="AC118" s="147"/>
      <c r="AD118" s="50"/>
      <c r="AE118" s="234"/>
      <c r="AF118" s="62">
        <f>SUMIF(FLOAT!$D:$D,Cockpit!$E118:$E255,FLOAT!G:G)</f>
        <v>0</v>
      </c>
      <c r="AG118" s="62">
        <f>SUMIF(FLOAT!$D:$D,Cockpit!$E118:$E255,FLOAT!H:H)</f>
        <v>0</v>
      </c>
      <c r="AH118" s="62">
        <f>SUMIF(FLOAT!$D:$D,Cockpit!$E118:$E255,FLOAT!I:I)</f>
        <v>0</v>
      </c>
      <c r="AI118" s="62">
        <f>SUMIF(FLOAT!$D:$D,Cockpit!$E118:$E255,FLOAT!J:J)</f>
        <v>0</v>
      </c>
      <c r="AJ118" s="62">
        <f>SUMIF(FLOAT!$D:$D,Cockpit!$E118:$E255,FLOAT!K:K)</f>
        <v>0</v>
      </c>
      <c r="AK118" s="62">
        <f>SUMIF(FLOAT!$D:$D,Cockpit!$E118:$E255,FLOAT!L:L)</f>
        <v>0</v>
      </c>
      <c r="AL118" s="62">
        <f>SUMIF(FLOAT!$D:$D,Cockpit!$E118:$E255,FLOAT!M:M)</f>
        <v>0</v>
      </c>
      <c r="AM118" s="62">
        <f>SUMIF(FLOAT!$D:$D,Cockpit!$E118:$E255,FLOAT!N:N)</f>
        <v>0</v>
      </c>
      <c r="AN118" s="62">
        <f>SUMIF(FLOAT!$D:$D,Cockpit!$E118:$E255,FLOAT!O:O)</f>
        <v>0</v>
      </c>
      <c r="AO118" s="62">
        <f>SUMIF(FLOAT!$D:$D,Cockpit!$E118:$E255,FLOAT!P:P)</f>
        <v>0</v>
      </c>
      <c r="AP118" s="60">
        <f t="shared" si="10"/>
        <v>0</v>
      </c>
      <c r="AQ118" s="238"/>
    </row>
    <row r="119" spans="1:43" ht="23.25" hidden="1" customHeight="1" thickBot="1" x14ac:dyDescent="0.35">
      <c r="A119" s="297"/>
      <c r="B119" s="298"/>
      <c r="C119" s="309"/>
      <c r="D119" s="756"/>
      <c r="E119" s="313" t="s">
        <v>508</v>
      </c>
      <c r="F119" s="316" t="s">
        <v>509</v>
      </c>
      <c r="G119" s="184">
        <v>0</v>
      </c>
      <c r="H119" s="230">
        <f t="shared" si="21"/>
        <v>0</v>
      </c>
      <c r="I119" s="232">
        <v>0</v>
      </c>
      <c r="J119" s="214">
        <f t="shared" si="22"/>
        <v>0</v>
      </c>
      <c r="K119" s="76">
        <f t="shared" si="22"/>
        <v>0</v>
      </c>
      <c r="L119" s="155">
        <f t="shared" si="23"/>
        <v>0</v>
      </c>
      <c r="M119" s="77">
        <f t="shared" si="24"/>
        <v>0</v>
      </c>
      <c r="N119" s="30">
        <f>SUMIF('3 D P'!$D:$D,Cockpit!$E$5:$E$146,'3 D P'!L:L)</f>
        <v>0</v>
      </c>
      <c r="O119" s="30">
        <f>SUMIF('3 D P'!$D:$D,Cockpit!$E$5:$E$146,'3 D P'!M:M)</f>
        <v>0</v>
      </c>
      <c r="P119" s="30">
        <f>SUMIF('3 D P'!$D:$D,Cockpit!$E$5:$E$146,'3 D P'!N:N)</f>
        <v>0</v>
      </c>
      <c r="Q119" s="132">
        <f>IFERROR(VLOOKUP($D119,'Aptiv Dispatch'!$A:$B,2,FALSE),0)</f>
        <v>0</v>
      </c>
      <c r="R119" s="34">
        <f>SUMIF('Consumption MTD'!B:B,Cockpit!$E$5:$E$146,'Consumption MTD'!C:C)</f>
        <v>0</v>
      </c>
      <c r="S119" s="34">
        <f>SUMIF('BIW Lifting A Shift'!$B:$B,Cockpit!$E$5:$E$146,'BIW Lifting A Shift'!C:C)</f>
        <v>0</v>
      </c>
      <c r="T119" s="34" t="e">
        <f>SUMIF('BIW Lifting A Shift'!$B:$B,Cockpit!$E$5:$E$146,'BIW Lifting A Shift'!#REF!)</f>
        <v>#REF!</v>
      </c>
      <c r="U119" s="74">
        <f t="shared" si="25"/>
        <v>0</v>
      </c>
      <c r="V119" s="74">
        <f t="shared" si="26"/>
        <v>0</v>
      </c>
      <c r="W119" s="74" t="e">
        <f t="shared" si="27"/>
        <v>#REF!</v>
      </c>
      <c r="X119" s="135">
        <f>SUMIF(FLOAT!$D:$D,Cockpit!$E$5:$E$146,FLOAT!F:F)</f>
        <v>0</v>
      </c>
      <c r="Y119" s="38"/>
      <c r="AA119" s="49"/>
      <c r="AC119" s="147"/>
      <c r="AD119" s="50"/>
      <c r="AE119" s="234"/>
      <c r="AF119" s="62">
        <f>SUMIF(FLOAT!$D:$D,Cockpit!$E119:$E256,FLOAT!G:G)</f>
        <v>0</v>
      </c>
      <c r="AG119" s="62">
        <f>SUMIF(FLOAT!$D:$D,Cockpit!$E119:$E256,FLOAT!H:H)</f>
        <v>0</v>
      </c>
      <c r="AH119" s="62">
        <f>SUMIF(FLOAT!$D:$D,Cockpit!$E119:$E256,FLOAT!I:I)</f>
        <v>0</v>
      </c>
      <c r="AI119" s="62">
        <f>SUMIF(FLOAT!$D:$D,Cockpit!$E119:$E256,FLOAT!J:J)</f>
        <v>0</v>
      </c>
      <c r="AJ119" s="62">
        <f>SUMIF(FLOAT!$D:$D,Cockpit!$E119:$E256,FLOAT!K:K)</f>
        <v>0</v>
      </c>
      <c r="AK119" s="62">
        <f>SUMIF(FLOAT!$D:$D,Cockpit!$E119:$E256,FLOAT!L:L)</f>
        <v>0</v>
      </c>
      <c r="AL119" s="62">
        <f>SUMIF(FLOAT!$D:$D,Cockpit!$E119:$E256,FLOAT!M:M)</f>
        <v>0</v>
      </c>
      <c r="AM119" s="62">
        <f>SUMIF(FLOAT!$D:$D,Cockpit!$E119:$E256,FLOAT!N:N)</f>
        <v>0</v>
      </c>
      <c r="AN119" s="62">
        <f>SUMIF(FLOAT!$D:$D,Cockpit!$E119:$E256,FLOAT!O:O)</f>
        <v>0</v>
      </c>
      <c r="AO119" s="62">
        <f>SUMIF(FLOAT!$D:$D,Cockpit!$E119:$E256,FLOAT!P:P)</f>
        <v>0</v>
      </c>
      <c r="AP119" s="60">
        <f t="shared" si="10"/>
        <v>0</v>
      </c>
      <c r="AQ119" s="238"/>
    </row>
    <row r="120" spans="1:43" ht="23.25" hidden="1" customHeight="1" thickBot="1" x14ac:dyDescent="0.35">
      <c r="A120" s="297"/>
      <c r="B120" s="298"/>
      <c r="C120" s="309"/>
      <c r="D120" s="756"/>
      <c r="E120" s="313" t="s">
        <v>510</v>
      </c>
      <c r="F120" s="316" t="s">
        <v>511</v>
      </c>
      <c r="G120" s="184">
        <v>0</v>
      </c>
      <c r="H120" s="230">
        <f t="shared" si="21"/>
        <v>0</v>
      </c>
      <c r="I120" s="232">
        <v>0</v>
      </c>
      <c r="J120" s="214">
        <f t="shared" si="22"/>
        <v>0</v>
      </c>
      <c r="K120" s="76">
        <f t="shared" si="22"/>
        <v>0</v>
      </c>
      <c r="L120" s="155">
        <f t="shared" si="23"/>
        <v>0</v>
      </c>
      <c r="M120" s="77">
        <f t="shared" si="24"/>
        <v>0</v>
      </c>
      <c r="N120" s="30">
        <f>SUMIF('3 D P'!$D:$D,Cockpit!$E$5:$E$146,'3 D P'!L:L)</f>
        <v>0</v>
      </c>
      <c r="O120" s="30">
        <f>SUMIF('3 D P'!$D:$D,Cockpit!$E$5:$E$146,'3 D P'!M:M)</f>
        <v>0</v>
      </c>
      <c r="P120" s="30">
        <f>SUMIF('3 D P'!$D:$D,Cockpit!$E$5:$E$146,'3 D P'!N:N)</f>
        <v>0</v>
      </c>
      <c r="Q120" s="132">
        <f>IFERROR(VLOOKUP($D120,'Aptiv Dispatch'!$A:$B,2,FALSE),0)</f>
        <v>0</v>
      </c>
      <c r="R120" s="34">
        <f>SUMIF('Consumption MTD'!B:B,Cockpit!$E$5:$E$146,'Consumption MTD'!C:C)</f>
        <v>0</v>
      </c>
      <c r="S120" s="34">
        <f>SUMIF('BIW Lifting A Shift'!$B:$B,Cockpit!$E$5:$E$146,'BIW Lifting A Shift'!C:C)</f>
        <v>0</v>
      </c>
      <c r="T120" s="34" t="e">
        <f>SUMIF('BIW Lifting A Shift'!$B:$B,Cockpit!$E$5:$E$146,'BIW Lifting A Shift'!#REF!)</f>
        <v>#REF!</v>
      </c>
      <c r="U120" s="74">
        <f t="shared" si="25"/>
        <v>0</v>
      </c>
      <c r="V120" s="74">
        <f t="shared" si="26"/>
        <v>0</v>
      </c>
      <c r="W120" s="74" t="e">
        <f t="shared" si="27"/>
        <v>#REF!</v>
      </c>
      <c r="X120" s="135">
        <f>SUMIF(FLOAT!$D:$D,Cockpit!$E$5:$E$146,FLOAT!F:F)</f>
        <v>0</v>
      </c>
      <c r="Y120" s="38"/>
      <c r="AA120" s="49"/>
      <c r="AC120" s="147"/>
      <c r="AD120" s="50"/>
      <c r="AE120" s="234"/>
      <c r="AF120" s="62">
        <f>SUMIF(FLOAT!$D:$D,Cockpit!$E120:$E257,FLOAT!G:G)</f>
        <v>0</v>
      </c>
      <c r="AG120" s="62">
        <f>SUMIF(FLOAT!$D:$D,Cockpit!$E120:$E257,FLOAT!H:H)</f>
        <v>0</v>
      </c>
      <c r="AH120" s="62">
        <f>SUMIF(FLOAT!$D:$D,Cockpit!$E120:$E257,FLOAT!I:I)</f>
        <v>0</v>
      </c>
      <c r="AI120" s="62">
        <f>SUMIF(FLOAT!$D:$D,Cockpit!$E120:$E257,FLOAT!J:J)</f>
        <v>0</v>
      </c>
      <c r="AJ120" s="62">
        <f>SUMIF(FLOAT!$D:$D,Cockpit!$E120:$E257,FLOAT!K:K)</f>
        <v>0</v>
      </c>
      <c r="AK120" s="62">
        <f>SUMIF(FLOAT!$D:$D,Cockpit!$E120:$E257,FLOAT!L:L)</f>
        <v>0</v>
      </c>
      <c r="AL120" s="62">
        <f>SUMIF(FLOAT!$D:$D,Cockpit!$E120:$E257,FLOAT!M:M)</f>
        <v>0</v>
      </c>
      <c r="AM120" s="62">
        <f>SUMIF(FLOAT!$D:$D,Cockpit!$E120:$E257,FLOAT!N:N)</f>
        <v>0</v>
      </c>
      <c r="AN120" s="62">
        <f>SUMIF(FLOAT!$D:$D,Cockpit!$E120:$E257,FLOAT!O:O)</f>
        <v>0</v>
      </c>
      <c r="AO120" s="62">
        <f>SUMIF(FLOAT!$D:$D,Cockpit!$E120:$E257,FLOAT!P:P)</f>
        <v>0</v>
      </c>
      <c r="AP120" s="60">
        <f t="shared" si="10"/>
        <v>0</v>
      </c>
      <c r="AQ120" s="238"/>
    </row>
    <row r="121" spans="1:43" ht="23.25" hidden="1" customHeight="1" thickBot="1" x14ac:dyDescent="0.35">
      <c r="A121" s="297"/>
      <c r="B121" s="298"/>
      <c r="C121" s="309"/>
      <c r="D121" s="756"/>
      <c r="E121" s="313" t="s">
        <v>512</v>
      </c>
      <c r="F121" s="316" t="s">
        <v>513</v>
      </c>
      <c r="G121" s="184">
        <v>0</v>
      </c>
      <c r="H121" s="230">
        <f t="shared" si="21"/>
        <v>0</v>
      </c>
      <c r="I121" s="232">
        <v>0</v>
      </c>
      <c r="J121" s="214">
        <f t="shared" si="22"/>
        <v>0</v>
      </c>
      <c r="K121" s="76">
        <f t="shared" si="22"/>
        <v>0</v>
      </c>
      <c r="L121" s="155">
        <f t="shared" si="23"/>
        <v>0</v>
      </c>
      <c r="M121" s="77">
        <f t="shared" si="24"/>
        <v>0</v>
      </c>
      <c r="N121" s="30">
        <f>SUMIF('3 D P'!$D:$D,Cockpit!$E$5:$E$146,'3 D P'!L:L)</f>
        <v>0</v>
      </c>
      <c r="O121" s="30">
        <f>SUMIF('3 D P'!$D:$D,Cockpit!$E$5:$E$146,'3 D P'!M:M)</f>
        <v>0</v>
      </c>
      <c r="P121" s="30">
        <f>SUMIF('3 D P'!$D:$D,Cockpit!$E$5:$E$146,'3 D P'!N:N)</f>
        <v>0</v>
      </c>
      <c r="Q121" s="132">
        <f>IFERROR(VLOOKUP($D121,'Aptiv Dispatch'!$A:$B,2,FALSE),0)</f>
        <v>0</v>
      </c>
      <c r="R121" s="34">
        <f>SUMIF('Consumption MTD'!B:B,Cockpit!$E$5:$E$146,'Consumption MTD'!C:C)</f>
        <v>0</v>
      </c>
      <c r="S121" s="34">
        <f>SUMIF('BIW Lifting A Shift'!$B:$B,Cockpit!$E$5:$E$146,'BIW Lifting A Shift'!C:C)</f>
        <v>0</v>
      </c>
      <c r="T121" s="34" t="e">
        <f>SUMIF('BIW Lifting A Shift'!$B:$B,Cockpit!$E$5:$E$146,'BIW Lifting A Shift'!#REF!)</f>
        <v>#REF!</v>
      </c>
      <c r="U121" s="74">
        <f t="shared" si="25"/>
        <v>0</v>
      </c>
      <c r="V121" s="74">
        <f t="shared" si="26"/>
        <v>0</v>
      </c>
      <c r="W121" s="74" t="e">
        <f t="shared" si="27"/>
        <v>#REF!</v>
      </c>
      <c r="X121" s="135">
        <f>SUMIF(FLOAT!$D:$D,Cockpit!$E$5:$E$146,FLOAT!F:F)</f>
        <v>0</v>
      </c>
      <c r="Y121" s="38"/>
      <c r="AA121" s="49"/>
      <c r="AC121" s="147"/>
      <c r="AD121" s="50"/>
      <c r="AE121" s="234"/>
      <c r="AF121" s="62">
        <f>SUMIF(FLOAT!$D:$D,Cockpit!$E121:$E258,FLOAT!G:G)</f>
        <v>0</v>
      </c>
      <c r="AG121" s="62">
        <f>SUMIF(FLOAT!$D:$D,Cockpit!$E121:$E258,FLOAT!H:H)</f>
        <v>0</v>
      </c>
      <c r="AH121" s="62">
        <f>SUMIF(FLOAT!$D:$D,Cockpit!$E121:$E258,FLOAT!I:I)</f>
        <v>0</v>
      </c>
      <c r="AI121" s="62">
        <f>SUMIF(FLOAT!$D:$D,Cockpit!$E121:$E258,FLOAT!J:J)</f>
        <v>0</v>
      </c>
      <c r="AJ121" s="62">
        <f>SUMIF(FLOAT!$D:$D,Cockpit!$E121:$E258,FLOAT!K:K)</f>
        <v>0</v>
      </c>
      <c r="AK121" s="62">
        <f>SUMIF(FLOAT!$D:$D,Cockpit!$E121:$E258,FLOAT!L:L)</f>
        <v>0</v>
      </c>
      <c r="AL121" s="62">
        <f>SUMIF(FLOAT!$D:$D,Cockpit!$E121:$E258,FLOAT!M:M)</f>
        <v>0</v>
      </c>
      <c r="AM121" s="62">
        <f>SUMIF(FLOAT!$D:$D,Cockpit!$E121:$E258,FLOAT!N:N)</f>
        <v>0</v>
      </c>
      <c r="AN121" s="62">
        <f>SUMIF(FLOAT!$D:$D,Cockpit!$E121:$E258,FLOAT!O:O)</f>
        <v>0</v>
      </c>
      <c r="AO121" s="62">
        <f>SUMIF(FLOAT!$D:$D,Cockpit!$E121:$E258,FLOAT!P:P)</f>
        <v>0</v>
      </c>
      <c r="AP121" s="60">
        <f t="shared" si="10"/>
        <v>0</v>
      </c>
      <c r="AQ121" s="238"/>
    </row>
    <row r="122" spans="1:43" ht="23.25" hidden="1" customHeight="1" thickBot="1" x14ac:dyDescent="0.35">
      <c r="A122" s="297"/>
      <c r="B122" s="298"/>
      <c r="C122" s="309"/>
      <c r="D122" s="756"/>
      <c r="E122" s="313" t="s">
        <v>514</v>
      </c>
      <c r="F122" s="320" t="s">
        <v>502</v>
      </c>
      <c r="G122" s="184">
        <v>0</v>
      </c>
      <c r="H122" s="230">
        <f t="shared" si="21"/>
        <v>0</v>
      </c>
      <c r="I122" s="232">
        <v>0</v>
      </c>
      <c r="J122" s="214">
        <f t="shared" si="22"/>
        <v>0</v>
      </c>
      <c r="K122" s="76">
        <f t="shared" si="22"/>
        <v>0</v>
      </c>
      <c r="L122" s="155">
        <f t="shared" si="23"/>
        <v>0</v>
      </c>
      <c r="M122" s="77">
        <f t="shared" si="24"/>
        <v>0</v>
      </c>
      <c r="N122" s="30">
        <f>SUMIF('3 D P'!$D:$D,Cockpit!$E$5:$E$146,'3 D P'!L:L)</f>
        <v>0</v>
      </c>
      <c r="O122" s="30">
        <f>SUMIF('3 D P'!$D:$D,Cockpit!$E$5:$E$146,'3 D P'!M:M)</f>
        <v>0</v>
      </c>
      <c r="P122" s="30">
        <f>SUMIF('3 D P'!$D:$D,Cockpit!$E$5:$E$146,'3 D P'!N:N)</f>
        <v>0</v>
      </c>
      <c r="Q122" s="132">
        <f>IFERROR(VLOOKUP($D122,'Aptiv Dispatch'!$A:$B,2,FALSE),0)</f>
        <v>0</v>
      </c>
      <c r="R122" s="34">
        <f>SUMIF('Consumption MTD'!B:B,Cockpit!$E$5:$E$146,'Consumption MTD'!C:C)</f>
        <v>0</v>
      </c>
      <c r="S122" s="34">
        <f>SUMIF('BIW Lifting A Shift'!$B:$B,Cockpit!$E$5:$E$146,'BIW Lifting A Shift'!C:C)</f>
        <v>0</v>
      </c>
      <c r="T122" s="34" t="e">
        <f>SUMIF('BIW Lifting A Shift'!$B:$B,Cockpit!$E$5:$E$146,'BIW Lifting A Shift'!#REF!)</f>
        <v>#REF!</v>
      </c>
      <c r="U122" s="74">
        <f t="shared" si="25"/>
        <v>0</v>
      </c>
      <c r="V122" s="74">
        <f t="shared" si="26"/>
        <v>0</v>
      </c>
      <c r="W122" s="74" t="e">
        <f t="shared" si="27"/>
        <v>#REF!</v>
      </c>
      <c r="X122" s="135">
        <f>SUMIF(FLOAT!$D:$D,Cockpit!$E$5:$E$146,FLOAT!F:F)</f>
        <v>0</v>
      </c>
      <c r="Y122" s="38"/>
      <c r="AA122" s="49"/>
      <c r="AC122" s="147"/>
      <c r="AD122" s="50"/>
      <c r="AE122" s="234"/>
      <c r="AF122" s="62">
        <f>SUMIF(FLOAT!$D:$D,Cockpit!$E122:$E259,FLOAT!G:G)</f>
        <v>0</v>
      </c>
      <c r="AG122" s="62">
        <f>SUMIF(FLOAT!$D:$D,Cockpit!$E122:$E259,FLOAT!H:H)</f>
        <v>0</v>
      </c>
      <c r="AH122" s="62">
        <f>SUMIF(FLOAT!$D:$D,Cockpit!$E122:$E259,FLOAT!I:I)</f>
        <v>0</v>
      </c>
      <c r="AI122" s="62">
        <f>SUMIF(FLOAT!$D:$D,Cockpit!$E122:$E259,FLOAT!J:J)</f>
        <v>0</v>
      </c>
      <c r="AJ122" s="62">
        <f>SUMIF(FLOAT!$D:$D,Cockpit!$E122:$E259,FLOAT!K:K)</f>
        <v>0</v>
      </c>
      <c r="AK122" s="62">
        <f>SUMIF(FLOAT!$D:$D,Cockpit!$E122:$E259,FLOAT!L:L)</f>
        <v>0</v>
      </c>
      <c r="AL122" s="62">
        <f>SUMIF(FLOAT!$D:$D,Cockpit!$E122:$E259,FLOAT!M:M)</f>
        <v>0</v>
      </c>
      <c r="AM122" s="62">
        <f>SUMIF(FLOAT!$D:$D,Cockpit!$E122:$E259,FLOAT!N:N)</f>
        <v>0</v>
      </c>
      <c r="AN122" s="62">
        <f>SUMIF(FLOAT!$D:$D,Cockpit!$E122:$E259,FLOAT!O:O)</f>
        <v>0</v>
      </c>
      <c r="AO122" s="62">
        <f>SUMIF(FLOAT!$D:$D,Cockpit!$E122:$E259,FLOAT!P:P)</f>
        <v>0</v>
      </c>
      <c r="AP122" s="60">
        <f t="shared" si="10"/>
        <v>0</v>
      </c>
      <c r="AQ122" s="238"/>
    </row>
    <row r="123" spans="1:43" ht="23.25" hidden="1" customHeight="1" thickBot="1" x14ac:dyDescent="0.35">
      <c r="A123" s="297"/>
      <c r="B123" s="298"/>
      <c r="C123" s="309"/>
      <c r="D123" s="756"/>
      <c r="E123" s="313" t="s">
        <v>515</v>
      </c>
      <c r="F123" s="316" t="s">
        <v>516</v>
      </c>
      <c r="G123" s="184">
        <v>0</v>
      </c>
      <c r="H123" s="230">
        <f t="shared" si="21"/>
        <v>0</v>
      </c>
      <c r="I123" s="232">
        <v>0</v>
      </c>
      <c r="J123" s="214">
        <f t="shared" si="22"/>
        <v>0</v>
      </c>
      <c r="K123" s="76">
        <f t="shared" si="22"/>
        <v>0</v>
      </c>
      <c r="L123" s="155">
        <f t="shared" si="23"/>
        <v>0</v>
      </c>
      <c r="M123" s="77">
        <f t="shared" si="24"/>
        <v>0</v>
      </c>
      <c r="N123" s="30">
        <f>SUMIF('3 D P'!$D:$D,Cockpit!$E$5:$E$146,'3 D P'!L:L)</f>
        <v>0</v>
      </c>
      <c r="O123" s="30">
        <f>SUMIF('3 D P'!$D:$D,Cockpit!$E$5:$E$146,'3 D P'!M:M)</f>
        <v>0</v>
      </c>
      <c r="P123" s="30">
        <f>SUMIF('3 D P'!$D:$D,Cockpit!$E$5:$E$146,'3 D P'!N:N)</f>
        <v>0</v>
      </c>
      <c r="Q123" s="132">
        <f>IFERROR(VLOOKUP($D123,'Aptiv Dispatch'!$A:$B,2,FALSE),0)</f>
        <v>0</v>
      </c>
      <c r="R123" s="34">
        <f>SUMIF('Consumption MTD'!B:B,Cockpit!$E$5:$E$146,'Consumption MTD'!C:C)</f>
        <v>0</v>
      </c>
      <c r="S123" s="34">
        <f>SUMIF('BIW Lifting A Shift'!$B:$B,Cockpit!$E$5:$E$146,'BIW Lifting A Shift'!C:C)</f>
        <v>0</v>
      </c>
      <c r="T123" s="34" t="e">
        <f>SUMIF('BIW Lifting A Shift'!$B:$B,Cockpit!$E$5:$E$146,'BIW Lifting A Shift'!#REF!)</f>
        <v>#REF!</v>
      </c>
      <c r="U123" s="74">
        <f t="shared" si="25"/>
        <v>0</v>
      </c>
      <c r="V123" s="74">
        <f t="shared" si="26"/>
        <v>0</v>
      </c>
      <c r="W123" s="74" t="e">
        <f t="shared" si="27"/>
        <v>#REF!</v>
      </c>
      <c r="X123" s="135">
        <f>SUMIF(FLOAT!$D:$D,Cockpit!$E$5:$E$146,FLOAT!F:F)</f>
        <v>0</v>
      </c>
      <c r="Y123" s="38"/>
      <c r="AA123" s="49"/>
      <c r="AC123" s="147"/>
      <c r="AD123" s="50"/>
      <c r="AE123" s="234"/>
      <c r="AF123" s="62">
        <f>SUMIF(FLOAT!$D:$D,Cockpit!$E123:$E260,FLOAT!G:G)</f>
        <v>0</v>
      </c>
      <c r="AG123" s="62">
        <f>SUMIF(FLOAT!$D:$D,Cockpit!$E123:$E260,FLOAT!H:H)</f>
        <v>0</v>
      </c>
      <c r="AH123" s="62">
        <f>SUMIF(FLOAT!$D:$D,Cockpit!$E123:$E260,FLOAT!I:I)</f>
        <v>0</v>
      </c>
      <c r="AI123" s="62">
        <f>SUMIF(FLOAT!$D:$D,Cockpit!$E123:$E260,FLOAT!J:J)</f>
        <v>0</v>
      </c>
      <c r="AJ123" s="62">
        <f>SUMIF(FLOAT!$D:$D,Cockpit!$E123:$E260,FLOAT!K:K)</f>
        <v>0</v>
      </c>
      <c r="AK123" s="62">
        <f>SUMIF(FLOAT!$D:$D,Cockpit!$E123:$E260,FLOAT!L:L)</f>
        <v>0</v>
      </c>
      <c r="AL123" s="62">
        <f>SUMIF(FLOAT!$D:$D,Cockpit!$E123:$E260,FLOAT!M:M)</f>
        <v>0</v>
      </c>
      <c r="AM123" s="62">
        <f>SUMIF(FLOAT!$D:$D,Cockpit!$E123:$E260,FLOAT!N:N)</f>
        <v>0</v>
      </c>
      <c r="AN123" s="62">
        <f>SUMIF(FLOAT!$D:$D,Cockpit!$E123:$E260,FLOAT!O:O)</f>
        <v>0</v>
      </c>
      <c r="AO123" s="62">
        <f>SUMIF(FLOAT!$D:$D,Cockpit!$E123:$E260,FLOAT!P:P)</f>
        <v>0</v>
      </c>
      <c r="AP123" s="60">
        <f t="shared" si="10"/>
        <v>0</v>
      </c>
      <c r="AQ123" s="238"/>
    </row>
    <row r="124" spans="1:43" ht="23.25" hidden="1" customHeight="1" thickBot="1" x14ac:dyDescent="0.35">
      <c r="A124" s="297"/>
      <c r="B124" s="298"/>
      <c r="C124" s="309"/>
      <c r="D124" s="756"/>
      <c r="E124" s="313" t="s">
        <v>517</v>
      </c>
      <c r="F124" s="316" t="s">
        <v>518</v>
      </c>
      <c r="G124" s="184">
        <v>0</v>
      </c>
      <c r="H124" s="230">
        <f t="shared" si="21"/>
        <v>0</v>
      </c>
      <c r="I124" s="232">
        <v>0</v>
      </c>
      <c r="J124" s="214">
        <f t="shared" si="22"/>
        <v>0</v>
      </c>
      <c r="K124" s="76">
        <f t="shared" si="22"/>
        <v>0</v>
      </c>
      <c r="L124" s="155">
        <f t="shared" si="23"/>
        <v>0</v>
      </c>
      <c r="M124" s="77">
        <f t="shared" si="24"/>
        <v>0</v>
      </c>
      <c r="N124" s="30">
        <f>SUMIF('3 D P'!$D:$D,Cockpit!$E$5:$E$146,'3 D P'!L:L)</f>
        <v>0</v>
      </c>
      <c r="O124" s="30">
        <f>SUMIF('3 D P'!$D:$D,Cockpit!$E$5:$E$146,'3 D P'!M:M)</f>
        <v>0</v>
      </c>
      <c r="P124" s="30">
        <f>SUMIF('3 D P'!$D:$D,Cockpit!$E$5:$E$146,'3 D P'!N:N)</f>
        <v>0</v>
      </c>
      <c r="Q124" s="132">
        <f>IFERROR(VLOOKUP($D124,'Aptiv Dispatch'!$A:$B,2,FALSE),0)</f>
        <v>0</v>
      </c>
      <c r="R124" s="34">
        <f>SUMIF('Consumption MTD'!B:B,Cockpit!$E$5:$E$146,'Consumption MTD'!C:C)</f>
        <v>0</v>
      </c>
      <c r="S124" s="34">
        <f>SUMIF('BIW Lifting A Shift'!$B:$B,Cockpit!$E$5:$E$146,'BIW Lifting A Shift'!C:C)</f>
        <v>0</v>
      </c>
      <c r="T124" s="34" t="e">
        <f>SUMIF('BIW Lifting A Shift'!$B:$B,Cockpit!$E$5:$E$146,'BIW Lifting A Shift'!#REF!)</f>
        <v>#REF!</v>
      </c>
      <c r="U124" s="74">
        <f t="shared" si="25"/>
        <v>0</v>
      </c>
      <c r="V124" s="74">
        <f t="shared" si="26"/>
        <v>0</v>
      </c>
      <c r="W124" s="74" t="e">
        <f t="shared" si="27"/>
        <v>#REF!</v>
      </c>
      <c r="X124" s="135">
        <f>SUMIF(FLOAT!$D:$D,Cockpit!$E$5:$E$146,FLOAT!F:F)</f>
        <v>0</v>
      </c>
      <c r="Y124" s="38"/>
      <c r="AA124" s="49"/>
      <c r="AC124" s="147"/>
      <c r="AD124" s="50"/>
      <c r="AE124" s="234"/>
      <c r="AF124" s="62">
        <f>SUMIF(FLOAT!$D:$D,Cockpit!$E124:$E261,FLOAT!G:G)</f>
        <v>0</v>
      </c>
      <c r="AG124" s="62">
        <f>SUMIF(FLOAT!$D:$D,Cockpit!$E124:$E261,FLOAT!H:H)</f>
        <v>0</v>
      </c>
      <c r="AH124" s="62">
        <f>SUMIF(FLOAT!$D:$D,Cockpit!$E124:$E261,FLOAT!I:I)</f>
        <v>0</v>
      </c>
      <c r="AI124" s="62">
        <f>SUMIF(FLOAT!$D:$D,Cockpit!$E124:$E261,FLOAT!J:J)</f>
        <v>0</v>
      </c>
      <c r="AJ124" s="62">
        <f>SUMIF(FLOAT!$D:$D,Cockpit!$E124:$E261,FLOAT!K:K)</f>
        <v>0</v>
      </c>
      <c r="AK124" s="62">
        <f>SUMIF(FLOAT!$D:$D,Cockpit!$E124:$E261,FLOAT!L:L)</f>
        <v>0</v>
      </c>
      <c r="AL124" s="62">
        <f>SUMIF(FLOAT!$D:$D,Cockpit!$E124:$E261,FLOAT!M:M)</f>
        <v>0</v>
      </c>
      <c r="AM124" s="62">
        <f>SUMIF(FLOAT!$D:$D,Cockpit!$E124:$E261,FLOAT!N:N)</f>
        <v>0</v>
      </c>
      <c r="AN124" s="62">
        <f>SUMIF(FLOAT!$D:$D,Cockpit!$E124:$E261,FLOAT!O:O)</f>
        <v>0</v>
      </c>
      <c r="AO124" s="62">
        <f>SUMIF(FLOAT!$D:$D,Cockpit!$E124:$E261,FLOAT!P:P)</f>
        <v>0</v>
      </c>
      <c r="AP124" s="60">
        <f t="shared" si="10"/>
        <v>0</v>
      </c>
      <c r="AQ124" s="238"/>
    </row>
    <row r="125" spans="1:43" ht="23.25" hidden="1" customHeight="1" thickBot="1" x14ac:dyDescent="0.35">
      <c r="A125" s="297"/>
      <c r="B125" s="298"/>
      <c r="C125" s="309"/>
      <c r="D125" s="756"/>
      <c r="E125" s="313" t="s">
        <v>519</v>
      </c>
      <c r="F125" s="316" t="s">
        <v>520</v>
      </c>
      <c r="G125" s="184">
        <v>0</v>
      </c>
      <c r="H125" s="230">
        <f t="shared" si="21"/>
        <v>0</v>
      </c>
      <c r="I125" s="232">
        <v>0</v>
      </c>
      <c r="J125" s="214">
        <f t="shared" si="22"/>
        <v>0</v>
      </c>
      <c r="K125" s="76">
        <f t="shared" si="22"/>
        <v>0</v>
      </c>
      <c r="L125" s="155">
        <f t="shared" si="23"/>
        <v>0</v>
      </c>
      <c r="M125" s="77">
        <f t="shared" si="24"/>
        <v>0</v>
      </c>
      <c r="N125" s="30">
        <f>SUMIF('3 D P'!$D:$D,Cockpit!$E$5:$E$146,'3 D P'!L:L)</f>
        <v>0</v>
      </c>
      <c r="O125" s="30">
        <f>SUMIF('3 D P'!$D:$D,Cockpit!$E$5:$E$146,'3 D P'!M:M)</f>
        <v>0</v>
      </c>
      <c r="P125" s="30">
        <f>SUMIF('3 D P'!$D:$D,Cockpit!$E$5:$E$146,'3 D P'!N:N)</f>
        <v>0</v>
      </c>
      <c r="Q125" s="132">
        <f>IFERROR(VLOOKUP($D125,'Aptiv Dispatch'!$A:$B,2,FALSE),0)</f>
        <v>0</v>
      </c>
      <c r="R125" s="34">
        <f>SUMIF('Consumption MTD'!B:B,Cockpit!$E$5:$E$146,'Consumption MTD'!C:C)</f>
        <v>0</v>
      </c>
      <c r="S125" s="34">
        <f>SUMIF('BIW Lifting A Shift'!$B:$B,Cockpit!$E$5:$E$146,'BIW Lifting A Shift'!C:C)</f>
        <v>0</v>
      </c>
      <c r="T125" s="34" t="e">
        <f>SUMIF('BIW Lifting A Shift'!$B:$B,Cockpit!$E$5:$E$146,'BIW Lifting A Shift'!#REF!)</f>
        <v>#REF!</v>
      </c>
      <c r="U125" s="74">
        <f t="shared" si="25"/>
        <v>0</v>
      </c>
      <c r="V125" s="74">
        <f t="shared" si="26"/>
        <v>0</v>
      </c>
      <c r="W125" s="74" t="e">
        <f t="shared" si="27"/>
        <v>#REF!</v>
      </c>
      <c r="X125" s="135">
        <f>SUMIF(FLOAT!$D:$D,Cockpit!$E$5:$E$146,FLOAT!F:F)</f>
        <v>0</v>
      </c>
      <c r="Y125" s="38"/>
      <c r="AA125" s="49"/>
      <c r="AC125" s="147"/>
      <c r="AD125" s="50"/>
      <c r="AE125" s="234"/>
      <c r="AF125" s="62">
        <f>SUMIF(FLOAT!$D:$D,Cockpit!$E125:$E262,FLOAT!G:G)</f>
        <v>0</v>
      </c>
      <c r="AG125" s="62">
        <f>SUMIF(FLOAT!$D:$D,Cockpit!$E125:$E262,FLOAT!H:H)</f>
        <v>0</v>
      </c>
      <c r="AH125" s="62">
        <f>SUMIF(FLOAT!$D:$D,Cockpit!$E125:$E262,FLOAT!I:I)</f>
        <v>0</v>
      </c>
      <c r="AI125" s="62">
        <f>SUMIF(FLOAT!$D:$D,Cockpit!$E125:$E262,FLOAT!J:J)</f>
        <v>0</v>
      </c>
      <c r="AJ125" s="62">
        <f>SUMIF(FLOAT!$D:$D,Cockpit!$E125:$E262,FLOAT!K:K)</f>
        <v>0</v>
      </c>
      <c r="AK125" s="62">
        <f>SUMIF(FLOAT!$D:$D,Cockpit!$E125:$E262,FLOAT!L:L)</f>
        <v>0</v>
      </c>
      <c r="AL125" s="62">
        <f>SUMIF(FLOAT!$D:$D,Cockpit!$E125:$E262,FLOAT!M:M)</f>
        <v>0</v>
      </c>
      <c r="AM125" s="62">
        <f>SUMIF(FLOAT!$D:$D,Cockpit!$E125:$E262,FLOAT!N:N)</f>
        <v>0</v>
      </c>
      <c r="AN125" s="62">
        <f>SUMIF(FLOAT!$D:$D,Cockpit!$E125:$E262,FLOAT!O:O)</f>
        <v>0</v>
      </c>
      <c r="AO125" s="62">
        <f>SUMIF(FLOAT!$D:$D,Cockpit!$E125:$E262,FLOAT!P:P)</f>
        <v>0</v>
      </c>
      <c r="AP125" s="60">
        <f t="shared" si="10"/>
        <v>0</v>
      </c>
      <c r="AQ125" s="238"/>
    </row>
    <row r="126" spans="1:43" ht="23.25" hidden="1" customHeight="1" thickBot="1" x14ac:dyDescent="0.35">
      <c r="A126" s="297"/>
      <c r="B126" s="298"/>
      <c r="C126" s="309"/>
      <c r="D126" s="756"/>
      <c r="E126" s="313" t="s">
        <v>521</v>
      </c>
      <c r="F126" s="316" t="s">
        <v>522</v>
      </c>
      <c r="G126" s="184">
        <v>0</v>
      </c>
      <c r="H126" s="230">
        <f t="shared" si="21"/>
        <v>0</v>
      </c>
      <c r="I126" s="232">
        <v>0</v>
      </c>
      <c r="J126" s="214">
        <f t="shared" si="22"/>
        <v>0</v>
      </c>
      <c r="K126" s="76">
        <f t="shared" si="22"/>
        <v>0</v>
      </c>
      <c r="L126" s="155">
        <f t="shared" si="23"/>
        <v>0</v>
      </c>
      <c r="M126" s="77">
        <f t="shared" si="24"/>
        <v>0</v>
      </c>
      <c r="N126" s="30">
        <f>SUMIF('3 D P'!$D:$D,Cockpit!$E$5:$E$146,'3 D P'!L:L)</f>
        <v>0</v>
      </c>
      <c r="O126" s="30">
        <f>SUMIF('3 D P'!$D:$D,Cockpit!$E$5:$E$146,'3 D P'!M:M)</f>
        <v>0</v>
      </c>
      <c r="P126" s="30">
        <f>SUMIF('3 D P'!$D:$D,Cockpit!$E$5:$E$146,'3 D P'!N:N)</f>
        <v>0</v>
      </c>
      <c r="Q126" s="132">
        <f>IFERROR(VLOOKUP($D126,'Aptiv Dispatch'!$A:$B,2,FALSE),0)</f>
        <v>0</v>
      </c>
      <c r="R126" s="34">
        <f>SUMIF('Consumption MTD'!B:B,Cockpit!$E$5:$E$146,'Consumption MTD'!C:C)</f>
        <v>0</v>
      </c>
      <c r="S126" s="34">
        <f>SUMIF('BIW Lifting A Shift'!$B:$B,Cockpit!$E$5:$E$146,'BIW Lifting A Shift'!C:C)</f>
        <v>0</v>
      </c>
      <c r="T126" s="34" t="e">
        <f>SUMIF('BIW Lifting A Shift'!$B:$B,Cockpit!$E$5:$E$146,'BIW Lifting A Shift'!#REF!)</f>
        <v>#REF!</v>
      </c>
      <c r="U126" s="74">
        <f t="shared" si="25"/>
        <v>0</v>
      </c>
      <c r="V126" s="74">
        <f t="shared" si="26"/>
        <v>0</v>
      </c>
      <c r="W126" s="74" t="e">
        <f t="shared" si="27"/>
        <v>#REF!</v>
      </c>
      <c r="X126" s="135">
        <f>SUMIF(FLOAT!$D:$D,Cockpit!$E$5:$E$146,FLOAT!F:F)</f>
        <v>0</v>
      </c>
      <c r="Y126" s="38"/>
      <c r="AA126" s="49"/>
      <c r="AC126" s="147"/>
      <c r="AD126" s="50"/>
      <c r="AE126" s="234"/>
      <c r="AF126" s="62">
        <f>SUMIF(FLOAT!$D:$D,Cockpit!$E126:$E263,FLOAT!G:G)</f>
        <v>0</v>
      </c>
      <c r="AG126" s="62">
        <f>SUMIF(FLOAT!$D:$D,Cockpit!$E126:$E263,FLOAT!H:H)</f>
        <v>0</v>
      </c>
      <c r="AH126" s="62">
        <f>SUMIF(FLOAT!$D:$D,Cockpit!$E126:$E263,FLOAT!I:I)</f>
        <v>0</v>
      </c>
      <c r="AI126" s="62">
        <f>SUMIF(FLOAT!$D:$D,Cockpit!$E126:$E263,FLOAT!J:J)</f>
        <v>0</v>
      </c>
      <c r="AJ126" s="62">
        <f>SUMIF(FLOAT!$D:$D,Cockpit!$E126:$E263,FLOAT!K:K)</f>
        <v>0</v>
      </c>
      <c r="AK126" s="62">
        <f>SUMIF(FLOAT!$D:$D,Cockpit!$E126:$E263,FLOAT!L:L)</f>
        <v>0</v>
      </c>
      <c r="AL126" s="62">
        <f>SUMIF(FLOAT!$D:$D,Cockpit!$E126:$E263,FLOAT!M:M)</f>
        <v>0</v>
      </c>
      <c r="AM126" s="62">
        <f>SUMIF(FLOAT!$D:$D,Cockpit!$E126:$E263,FLOAT!N:N)</f>
        <v>0</v>
      </c>
      <c r="AN126" s="62">
        <f>SUMIF(FLOAT!$D:$D,Cockpit!$E126:$E263,FLOAT!O:O)</f>
        <v>0</v>
      </c>
      <c r="AO126" s="62">
        <f>SUMIF(FLOAT!$D:$D,Cockpit!$E126:$E263,FLOAT!P:P)</f>
        <v>0</v>
      </c>
      <c r="AP126" s="60">
        <f t="shared" si="10"/>
        <v>0</v>
      </c>
      <c r="AQ126" s="238"/>
    </row>
    <row r="127" spans="1:43" ht="23.25" hidden="1" customHeight="1" thickBot="1" x14ac:dyDescent="0.35">
      <c r="A127" s="297"/>
      <c r="B127" s="298"/>
      <c r="C127" s="309"/>
      <c r="D127" s="756"/>
      <c r="E127" s="313" t="s">
        <v>523</v>
      </c>
      <c r="F127" s="316" t="s">
        <v>524</v>
      </c>
      <c r="G127" s="184">
        <v>0</v>
      </c>
      <c r="H127" s="230">
        <f t="shared" si="21"/>
        <v>0</v>
      </c>
      <c r="I127" s="232">
        <v>0</v>
      </c>
      <c r="J127" s="214">
        <f t="shared" si="22"/>
        <v>0</v>
      </c>
      <c r="K127" s="76">
        <f t="shared" si="22"/>
        <v>0</v>
      </c>
      <c r="L127" s="155">
        <f t="shared" si="23"/>
        <v>0</v>
      </c>
      <c r="M127" s="77">
        <f t="shared" si="24"/>
        <v>0</v>
      </c>
      <c r="N127" s="30">
        <f>SUMIF('3 D P'!$D:$D,Cockpit!$E$5:$E$146,'3 D P'!L:L)</f>
        <v>0</v>
      </c>
      <c r="O127" s="30">
        <f>SUMIF('3 D P'!$D:$D,Cockpit!$E$5:$E$146,'3 D P'!M:M)</f>
        <v>0</v>
      </c>
      <c r="P127" s="30">
        <f>SUMIF('3 D P'!$D:$D,Cockpit!$E$5:$E$146,'3 D P'!N:N)</f>
        <v>0</v>
      </c>
      <c r="Q127" s="132">
        <f>IFERROR(VLOOKUP($D127,'Aptiv Dispatch'!$A:$B,2,FALSE),0)</f>
        <v>0</v>
      </c>
      <c r="R127" s="34">
        <f>SUMIF('Consumption MTD'!B:B,Cockpit!$E$5:$E$146,'Consumption MTD'!C:C)</f>
        <v>0</v>
      </c>
      <c r="S127" s="34">
        <f>SUMIF('BIW Lifting A Shift'!$B:$B,Cockpit!$E$5:$E$146,'BIW Lifting A Shift'!C:C)</f>
        <v>0</v>
      </c>
      <c r="T127" s="34" t="e">
        <f>SUMIF('BIW Lifting A Shift'!$B:$B,Cockpit!$E$5:$E$146,'BIW Lifting A Shift'!#REF!)</f>
        <v>#REF!</v>
      </c>
      <c r="U127" s="74">
        <f t="shared" si="25"/>
        <v>0</v>
      </c>
      <c r="V127" s="74">
        <f t="shared" si="26"/>
        <v>0</v>
      </c>
      <c r="W127" s="74" t="e">
        <f t="shared" si="27"/>
        <v>#REF!</v>
      </c>
      <c r="X127" s="135">
        <f>SUMIF(FLOAT!$D:$D,Cockpit!$E$5:$E$146,FLOAT!F:F)</f>
        <v>0</v>
      </c>
      <c r="Y127" s="38"/>
      <c r="AA127" s="49"/>
      <c r="AC127" s="147"/>
      <c r="AD127" s="50"/>
      <c r="AE127" s="234"/>
      <c r="AF127" s="62">
        <f>SUMIF(FLOAT!$D:$D,Cockpit!$E127:$E264,FLOAT!G:G)</f>
        <v>0</v>
      </c>
      <c r="AG127" s="62">
        <f>SUMIF(FLOAT!$D:$D,Cockpit!$E127:$E264,FLOAT!H:H)</f>
        <v>0</v>
      </c>
      <c r="AH127" s="62">
        <f>SUMIF(FLOAT!$D:$D,Cockpit!$E127:$E264,FLOAT!I:I)</f>
        <v>0</v>
      </c>
      <c r="AI127" s="62">
        <f>SUMIF(FLOAT!$D:$D,Cockpit!$E127:$E264,FLOAT!J:J)</f>
        <v>0</v>
      </c>
      <c r="AJ127" s="62">
        <f>SUMIF(FLOAT!$D:$D,Cockpit!$E127:$E264,FLOAT!K:K)</f>
        <v>0</v>
      </c>
      <c r="AK127" s="62">
        <f>SUMIF(FLOAT!$D:$D,Cockpit!$E127:$E264,FLOAT!L:L)</f>
        <v>0</v>
      </c>
      <c r="AL127" s="62">
        <f>SUMIF(FLOAT!$D:$D,Cockpit!$E127:$E264,FLOAT!M:M)</f>
        <v>0</v>
      </c>
      <c r="AM127" s="62">
        <f>SUMIF(FLOAT!$D:$D,Cockpit!$E127:$E264,FLOAT!N:N)</f>
        <v>0</v>
      </c>
      <c r="AN127" s="62">
        <f>SUMIF(FLOAT!$D:$D,Cockpit!$E127:$E264,FLOAT!O:O)</f>
        <v>0</v>
      </c>
      <c r="AO127" s="62">
        <f>SUMIF(FLOAT!$D:$D,Cockpit!$E127:$E264,FLOAT!P:P)</f>
        <v>0</v>
      </c>
      <c r="AP127" s="60">
        <f t="shared" si="10"/>
        <v>0</v>
      </c>
      <c r="AQ127" s="238"/>
    </row>
    <row r="128" spans="1:43" ht="23.25" hidden="1" customHeight="1" thickBot="1" x14ac:dyDescent="0.35">
      <c r="A128" s="297"/>
      <c r="B128" s="298"/>
      <c r="C128" s="309"/>
      <c r="D128" s="756"/>
      <c r="E128" s="313" t="s">
        <v>525</v>
      </c>
      <c r="F128" s="316" t="s">
        <v>526</v>
      </c>
      <c r="G128" s="184">
        <v>0</v>
      </c>
      <c r="H128" s="230">
        <f t="shared" si="21"/>
        <v>0</v>
      </c>
      <c r="I128" s="232">
        <v>0</v>
      </c>
      <c r="J128" s="214">
        <f t="shared" si="22"/>
        <v>0</v>
      </c>
      <c r="K128" s="76">
        <f t="shared" si="22"/>
        <v>0</v>
      </c>
      <c r="L128" s="155">
        <f t="shared" si="23"/>
        <v>0</v>
      </c>
      <c r="M128" s="77">
        <f t="shared" si="24"/>
        <v>0</v>
      </c>
      <c r="N128" s="30">
        <f>SUMIF('3 D P'!$D:$D,Cockpit!$E$5:$E$146,'3 D P'!L:L)</f>
        <v>0</v>
      </c>
      <c r="O128" s="30">
        <f>SUMIF('3 D P'!$D:$D,Cockpit!$E$5:$E$146,'3 D P'!M:M)</f>
        <v>0</v>
      </c>
      <c r="P128" s="30">
        <f>SUMIF('3 D P'!$D:$D,Cockpit!$E$5:$E$146,'3 D P'!N:N)</f>
        <v>0</v>
      </c>
      <c r="Q128" s="132">
        <f>IFERROR(VLOOKUP($D128,'Aptiv Dispatch'!$A:$B,2,FALSE),0)</f>
        <v>0</v>
      </c>
      <c r="R128" s="34">
        <f>SUMIF('Consumption MTD'!B:B,Cockpit!$E$5:$E$146,'Consumption MTD'!C:C)</f>
        <v>0</v>
      </c>
      <c r="S128" s="34">
        <f>SUMIF('BIW Lifting A Shift'!$B:$B,Cockpit!$E$5:$E$146,'BIW Lifting A Shift'!C:C)</f>
        <v>0</v>
      </c>
      <c r="T128" s="34" t="e">
        <f>SUMIF('BIW Lifting A Shift'!$B:$B,Cockpit!$E$5:$E$146,'BIW Lifting A Shift'!#REF!)</f>
        <v>#REF!</v>
      </c>
      <c r="U128" s="74">
        <f t="shared" si="25"/>
        <v>0</v>
      </c>
      <c r="V128" s="74">
        <f t="shared" si="26"/>
        <v>0</v>
      </c>
      <c r="W128" s="74" t="e">
        <f t="shared" si="27"/>
        <v>#REF!</v>
      </c>
      <c r="X128" s="135">
        <f>SUMIF(FLOAT!$D:$D,Cockpit!$E$5:$E$146,FLOAT!F:F)</f>
        <v>0</v>
      </c>
      <c r="Y128" s="38"/>
      <c r="AA128" s="49"/>
      <c r="AC128" s="147"/>
      <c r="AD128" s="50"/>
      <c r="AE128" s="234"/>
      <c r="AF128" s="62">
        <f>SUMIF(FLOAT!$D:$D,Cockpit!$E128:$E265,FLOAT!G:G)</f>
        <v>0</v>
      </c>
      <c r="AG128" s="62">
        <f>SUMIF(FLOAT!$D:$D,Cockpit!$E128:$E265,FLOAT!H:H)</f>
        <v>0</v>
      </c>
      <c r="AH128" s="62">
        <f>SUMIF(FLOAT!$D:$D,Cockpit!$E128:$E265,FLOAT!I:I)</f>
        <v>0</v>
      </c>
      <c r="AI128" s="62">
        <f>SUMIF(FLOAT!$D:$D,Cockpit!$E128:$E265,FLOAT!J:J)</f>
        <v>0</v>
      </c>
      <c r="AJ128" s="62">
        <f>SUMIF(FLOAT!$D:$D,Cockpit!$E128:$E265,FLOAT!K:K)</f>
        <v>0</v>
      </c>
      <c r="AK128" s="62">
        <f>SUMIF(FLOAT!$D:$D,Cockpit!$E128:$E265,FLOAT!L:L)</f>
        <v>0</v>
      </c>
      <c r="AL128" s="62">
        <f>SUMIF(FLOAT!$D:$D,Cockpit!$E128:$E265,FLOAT!M:M)</f>
        <v>0</v>
      </c>
      <c r="AM128" s="62">
        <f>SUMIF(FLOAT!$D:$D,Cockpit!$E128:$E265,FLOAT!N:N)</f>
        <v>0</v>
      </c>
      <c r="AN128" s="62">
        <f>SUMIF(FLOAT!$D:$D,Cockpit!$E128:$E265,FLOAT!O:O)</f>
        <v>0</v>
      </c>
      <c r="AO128" s="62">
        <f>SUMIF(FLOAT!$D:$D,Cockpit!$E128:$E265,FLOAT!P:P)</f>
        <v>0</v>
      </c>
      <c r="AP128" s="60">
        <f t="shared" si="10"/>
        <v>0</v>
      </c>
      <c r="AQ128" s="238"/>
    </row>
    <row r="129" spans="1:43" ht="23.25" hidden="1" customHeight="1" thickBot="1" x14ac:dyDescent="0.35">
      <c r="A129" s="297"/>
      <c r="B129" s="298"/>
      <c r="C129" s="309"/>
      <c r="D129" s="756"/>
      <c r="E129" s="313" t="s">
        <v>527</v>
      </c>
      <c r="F129" s="316" t="s">
        <v>528</v>
      </c>
      <c r="G129" s="184">
        <v>0</v>
      </c>
      <c r="H129" s="230">
        <f t="shared" si="21"/>
        <v>0</v>
      </c>
      <c r="I129" s="232">
        <v>0</v>
      </c>
      <c r="J129" s="214">
        <f t="shared" si="22"/>
        <v>0</v>
      </c>
      <c r="K129" s="76">
        <f t="shared" si="22"/>
        <v>0</v>
      </c>
      <c r="L129" s="155">
        <f t="shared" si="23"/>
        <v>0</v>
      </c>
      <c r="M129" s="77">
        <f t="shared" si="24"/>
        <v>0</v>
      </c>
      <c r="N129" s="30">
        <f>SUMIF('3 D P'!$D:$D,Cockpit!$E$5:$E$146,'3 D P'!L:L)</f>
        <v>0</v>
      </c>
      <c r="O129" s="30">
        <f>SUMIF('3 D P'!$D:$D,Cockpit!$E$5:$E$146,'3 D P'!M:M)</f>
        <v>0</v>
      </c>
      <c r="P129" s="30">
        <f>SUMIF('3 D P'!$D:$D,Cockpit!$E$5:$E$146,'3 D P'!N:N)</f>
        <v>0</v>
      </c>
      <c r="Q129" s="132">
        <f>IFERROR(VLOOKUP($D129,'Aptiv Dispatch'!$A:$B,2,FALSE),0)</f>
        <v>0</v>
      </c>
      <c r="R129" s="34">
        <f>SUMIF('Consumption MTD'!B:B,Cockpit!$E$5:$E$146,'Consumption MTD'!C:C)</f>
        <v>0</v>
      </c>
      <c r="S129" s="34">
        <f>SUMIF('BIW Lifting A Shift'!$B:$B,Cockpit!$E$5:$E$146,'BIW Lifting A Shift'!C:C)</f>
        <v>0</v>
      </c>
      <c r="T129" s="34" t="e">
        <f>SUMIF('BIW Lifting A Shift'!$B:$B,Cockpit!$E$5:$E$146,'BIW Lifting A Shift'!#REF!)</f>
        <v>#REF!</v>
      </c>
      <c r="U129" s="74">
        <f t="shared" si="25"/>
        <v>0</v>
      </c>
      <c r="V129" s="74">
        <f t="shared" si="26"/>
        <v>0</v>
      </c>
      <c r="W129" s="74" t="e">
        <f t="shared" si="27"/>
        <v>#REF!</v>
      </c>
      <c r="X129" s="135">
        <f>SUMIF(FLOAT!$D:$D,Cockpit!$E$5:$E$146,FLOAT!F:F)</f>
        <v>0</v>
      </c>
      <c r="Y129" s="38"/>
      <c r="AA129" s="49"/>
      <c r="AC129" s="147"/>
      <c r="AD129" s="50"/>
      <c r="AE129" s="234"/>
      <c r="AF129" s="62">
        <f>SUMIF(FLOAT!$D:$D,Cockpit!$E129:$E266,FLOAT!G:G)</f>
        <v>0</v>
      </c>
      <c r="AG129" s="62">
        <f>SUMIF(FLOAT!$D:$D,Cockpit!$E129:$E266,FLOAT!H:H)</f>
        <v>0</v>
      </c>
      <c r="AH129" s="62">
        <f>SUMIF(FLOAT!$D:$D,Cockpit!$E129:$E266,FLOAT!I:I)</f>
        <v>0</v>
      </c>
      <c r="AI129" s="62">
        <f>SUMIF(FLOAT!$D:$D,Cockpit!$E129:$E266,FLOAT!J:J)</f>
        <v>0</v>
      </c>
      <c r="AJ129" s="62">
        <f>SUMIF(FLOAT!$D:$D,Cockpit!$E129:$E266,FLOAT!K:K)</f>
        <v>0</v>
      </c>
      <c r="AK129" s="62">
        <f>SUMIF(FLOAT!$D:$D,Cockpit!$E129:$E266,FLOAT!L:L)</f>
        <v>0</v>
      </c>
      <c r="AL129" s="62">
        <f>SUMIF(FLOAT!$D:$D,Cockpit!$E129:$E266,FLOAT!M:M)</f>
        <v>0</v>
      </c>
      <c r="AM129" s="62">
        <f>SUMIF(FLOAT!$D:$D,Cockpit!$E129:$E266,FLOAT!N:N)</f>
        <v>0</v>
      </c>
      <c r="AN129" s="62">
        <f>SUMIF(FLOAT!$D:$D,Cockpit!$E129:$E266,FLOAT!O:O)</f>
        <v>0</v>
      </c>
      <c r="AO129" s="62">
        <f>SUMIF(FLOAT!$D:$D,Cockpit!$E129:$E266,FLOAT!P:P)</f>
        <v>0</v>
      </c>
      <c r="AP129" s="60">
        <f t="shared" si="10"/>
        <v>0</v>
      </c>
      <c r="AQ129" s="238"/>
    </row>
    <row r="130" spans="1:43" ht="23.25" hidden="1" customHeight="1" thickBot="1" x14ac:dyDescent="0.35">
      <c r="A130" s="297"/>
      <c r="B130" s="298"/>
      <c r="C130" s="309"/>
      <c r="D130" s="756"/>
      <c r="E130" s="313" t="s">
        <v>529</v>
      </c>
      <c r="F130" s="316" t="s">
        <v>530</v>
      </c>
      <c r="G130" s="184">
        <v>0</v>
      </c>
      <c r="H130" s="230">
        <f t="shared" si="21"/>
        <v>0</v>
      </c>
      <c r="I130" s="232">
        <v>0</v>
      </c>
      <c r="J130" s="214">
        <f t="shared" si="22"/>
        <v>0</v>
      </c>
      <c r="K130" s="76">
        <f t="shared" si="22"/>
        <v>0</v>
      </c>
      <c r="L130" s="155">
        <f t="shared" si="23"/>
        <v>0</v>
      </c>
      <c r="M130" s="77">
        <f t="shared" si="24"/>
        <v>0</v>
      </c>
      <c r="N130" s="30">
        <f>SUMIF('3 D P'!$D:$D,Cockpit!$E$5:$E$146,'3 D P'!L:L)</f>
        <v>0</v>
      </c>
      <c r="O130" s="30">
        <f>SUMIF('3 D P'!$D:$D,Cockpit!$E$5:$E$146,'3 D P'!M:M)</f>
        <v>0</v>
      </c>
      <c r="P130" s="30">
        <f>SUMIF('3 D P'!$D:$D,Cockpit!$E$5:$E$146,'3 D P'!N:N)</f>
        <v>0</v>
      </c>
      <c r="Q130" s="132">
        <f>IFERROR(VLOOKUP($D130,'Aptiv Dispatch'!$A:$B,2,FALSE),0)</f>
        <v>0</v>
      </c>
      <c r="R130" s="34">
        <f>SUMIF('Consumption MTD'!B:B,Cockpit!$E$5:$E$146,'Consumption MTD'!C:C)</f>
        <v>0</v>
      </c>
      <c r="S130" s="34">
        <f>SUMIF('BIW Lifting A Shift'!$B:$B,Cockpit!$E$5:$E$146,'BIW Lifting A Shift'!C:C)</f>
        <v>0</v>
      </c>
      <c r="T130" s="34" t="e">
        <f>SUMIF('BIW Lifting A Shift'!$B:$B,Cockpit!$E$5:$E$146,'BIW Lifting A Shift'!#REF!)</f>
        <v>#REF!</v>
      </c>
      <c r="U130" s="74">
        <f t="shared" si="25"/>
        <v>0</v>
      </c>
      <c r="V130" s="74">
        <f t="shared" si="26"/>
        <v>0</v>
      </c>
      <c r="W130" s="74" t="e">
        <f t="shared" si="27"/>
        <v>#REF!</v>
      </c>
      <c r="X130" s="135">
        <f>SUMIF(FLOAT!$D:$D,Cockpit!$E$5:$E$146,FLOAT!F:F)</f>
        <v>0</v>
      </c>
      <c r="Y130" s="38"/>
      <c r="AA130" s="49"/>
      <c r="AC130" s="147"/>
      <c r="AD130" s="50"/>
      <c r="AE130" s="234"/>
      <c r="AF130" s="62">
        <f>SUMIF(FLOAT!$D:$D,Cockpit!$E130:$E267,FLOAT!G:G)</f>
        <v>0</v>
      </c>
      <c r="AG130" s="62">
        <f>SUMIF(FLOAT!$D:$D,Cockpit!$E130:$E267,FLOAT!H:H)</f>
        <v>0</v>
      </c>
      <c r="AH130" s="62">
        <f>SUMIF(FLOAT!$D:$D,Cockpit!$E130:$E267,FLOAT!I:I)</f>
        <v>0</v>
      </c>
      <c r="AI130" s="62">
        <f>SUMIF(FLOAT!$D:$D,Cockpit!$E130:$E267,FLOAT!J:J)</f>
        <v>0</v>
      </c>
      <c r="AJ130" s="62">
        <f>SUMIF(FLOAT!$D:$D,Cockpit!$E130:$E267,FLOAT!K:K)</f>
        <v>0</v>
      </c>
      <c r="AK130" s="62">
        <f>SUMIF(FLOAT!$D:$D,Cockpit!$E130:$E267,FLOAT!L:L)</f>
        <v>0</v>
      </c>
      <c r="AL130" s="62">
        <f>SUMIF(FLOAT!$D:$D,Cockpit!$E130:$E267,FLOAT!M:M)</f>
        <v>0</v>
      </c>
      <c r="AM130" s="62">
        <f>SUMIF(FLOAT!$D:$D,Cockpit!$E130:$E267,FLOAT!N:N)</f>
        <v>0</v>
      </c>
      <c r="AN130" s="62">
        <f>SUMIF(FLOAT!$D:$D,Cockpit!$E130:$E267,FLOAT!O:O)</f>
        <v>0</v>
      </c>
      <c r="AO130" s="62">
        <f>SUMIF(FLOAT!$D:$D,Cockpit!$E130:$E267,FLOAT!P:P)</f>
        <v>0</v>
      </c>
      <c r="AP130" s="60">
        <f t="shared" si="10"/>
        <v>0</v>
      </c>
      <c r="AQ130" s="238"/>
    </row>
    <row r="131" spans="1:43" ht="23.25" hidden="1" customHeight="1" thickBot="1" x14ac:dyDescent="0.35">
      <c r="A131" s="297"/>
      <c r="B131" s="298"/>
      <c r="C131" s="309"/>
      <c r="D131" s="756"/>
      <c r="E131" s="313" t="s">
        <v>531</v>
      </c>
      <c r="F131" s="318" t="s">
        <v>532</v>
      </c>
      <c r="G131" s="184">
        <v>0</v>
      </c>
      <c r="H131" s="230">
        <f t="shared" si="21"/>
        <v>0</v>
      </c>
      <c r="I131" s="232">
        <v>0</v>
      </c>
      <c r="J131" s="214">
        <f t="shared" si="22"/>
        <v>0</v>
      </c>
      <c r="K131" s="76">
        <f t="shared" si="22"/>
        <v>0</v>
      </c>
      <c r="L131" s="155">
        <f t="shared" si="23"/>
        <v>0</v>
      </c>
      <c r="M131" s="77">
        <f t="shared" si="24"/>
        <v>0</v>
      </c>
      <c r="N131" s="30">
        <f>SUMIF('3 D P'!$D:$D,Cockpit!$E$5:$E$146,'3 D P'!L:L)</f>
        <v>0</v>
      </c>
      <c r="O131" s="30">
        <f>SUMIF('3 D P'!$D:$D,Cockpit!$E$5:$E$146,'3 D P'!M:M)</f>
        <v>0</v>
      </c>
      <c r="P131" s="30">
        <f>SUMIF('3 D P'!$D:$D,Cockpit!$E$5:$E$146,'3 D P'!N:N)</f>
        <v>0</v>
      </c>
      <c r="Q131" s="132">
        <f>IFERROR(VLOOKUP($D131,'Aptiv Dispatch'!$A:$B,2,FALSE),0)</f>
        <v>0</v>
      </c>
      <c r="R131" s="34">
        <f>SUMIF('Consumption MTD'!B:B,Cockpit!$E$5:$E$146,'Consumption MTD'!C:C)</f>
        <v>0</v>
      </c>
      <c r="S131" s="34">
        <f>SUMIF('BIW Lifting A Shift'!$B:$B,Cockpit!$E$5:$E$146,'BIW Lifting A Shift'!C:C)</f>
        <v>0</v>
      </c>
      <c r="T131" s="34" t="e">
        <f>SUMIF('BIW Lifting A Shift'!$B:$B,Cockpit!$E$5:$E$146,'BIW Lifting A Shift'!#REF!)</f>
        <v>#REF!</v>
      </c>
      <c r="U131" s="74">
        <f t="shared" si="25"/>
        <v>0</v>
      </c>
      <c r="V131" s="74">
        <f t="shared" si="26"/>
        <v>0</v>
      </c>
      <c r="W131" s="74" t="e">
        <f t="shared" si="27"/>
        <v>#REF!</v>
      </c>
      <c r="X131" s="135">
        <f>SUMIF(FLOAT!$D:$D,Cockpit!$E$5:$E$146,FLOAT!F:F)</f>
        <v>0</v>
      </c>
      <c r="Y131" s="38"/>
      <c r="AA131" s="49"/>
      <c r="AC131" s="147"/>
      <c r="AD131" s="50"/>
      <c r="AE131" s="234"/>
      <c r="AF131" s="62">
        <f>SUMIF(FLOAT!$D:$D,Cockpit!$E131:$E268,FLOAT!G:G)</f>
        <v>0</v>
      </c>
      <c r="AG131" s="62">
        <f>SUMIF(FLOAT!$D:$D,Cockpit!$E131:$E268,FLOAT!H:H)</f>
        <v>0</v>
      </c>
      <c r="AH131" s="62">
        <f>SUMIF(FLOAT!$D:$D,Cockpit!$E131:$E268,FLOAT!I:I)</f>
        <v>0</v>
      </c>
      <c r="AI131" s="62">
        <f>SUMIF(FLOAT!$D:$D,Cockpit!$E131:$E268,FLOAT!J:J)</f>
        <v>0</v>
      </c>
      <c r="AJ131" s="62">
        <f>SUMIF(FLOAT!$D:$D,Cockpit!$E131:$E268,FLOAT!K:K)</f>
        <v>0</v>
      </c>
      <c r="AK131" s="62">
        <f>SUMIF(FLOAT!$D:$D,Cockpit!$E131:$E268,FLOAT!L:L)</f>
        <v>0</v>
      </c>
      <c r="AL131" s="62">
        <f>SUMIF(FLOAT!$D:$D,Cockpit!$E131:$E268,FLOAT!M:M)</f>
        <v>0</v>
      </c>
      <c r="AM131" s="62">
        <f>SUMIF(FLOAT!$D:$D,Cockpit!$E131:$E268,FLOAT!N:N)</f>
        <v>0</v>
      </c>
      <c r="AN131" s="62">
        <f>SUMIF(FLOAT!$D:$D,Cockpit!$E131:$E268,FLOAT!O:O)</f>
        <v>0</v>
      </c>
      <c r="AO131" s="62">
        <f>SUMIF(FLOAT!$D:$D,Cockpit!$E131:$E268,FLOAT!P:P)</f>
        <v>0</v>
      </c>
      <c r="AP131" s="60">
        <f t="shared" si="10"/>
        <v>0</v>
      </c>
      <c r="AQ131" s="238"/>
    </row>
    <row r="132" spans="1:43" ht="23.25" hidden="1" customHeight="1" thickBot="1" x14ac:dyDescent="0.35">
      <c r="A132" s="297"/>
      <c r="B132" s="298"/>
      <c r="C132" s="309"/>
      <c r="D132" s="756"/>
      <c r="E132" s="313" t="s">
        <v>533</v>
      </c>
      <c r="F132" s="316" t="s">
        <v>443</v>
      </c>
      <c r="G132" s="184">
        <v>0</v>
      </c>
      <c r="H132" s="230">
        <f t="shared" si="21"/>
        <v>0</v>
      </c>
      <c r="I132" s="232">
        <v>0</v>
      </c>
      <c r="J132" s="214">
        <f t="shared" si="22"/>
        <v>0</v>
      </c>
      <c r="K132" s="76">
        <f t="shared" si="22"/>
        <v>0</v>
      </c>
      <c r="L132" s="155">
        <f t="shared" si="23"/>
        <v>0</v>
      </c>
      <c r="M132" s="77">
        <f t="shared" si="24"/>
        <v>0</v>
      </c>
      <c r="N132" s="30">
        <f>SUMIF('3 D P'!$D:$D,Cockpit!$E$5:$E$146,'3 D P'!L:L)</f>
        <v>0</v>
      </c>
      <c r="O132" s="30">
        <f>SUMIF('3 D P'!$D:$D,Cockpit!$E$5:$E$146,'3 D P'!M:M)</f>
        <v>0</v>
      </c>
      <c r="P132" s="30">
        <f>SUMIF('3 D P'!$D:$D,Cockpit!$E$5:$E$146,'3 D P'!N:N)</f>
        <v>0</v>
      </c>
      <c r="Q132" s="132">
        <f>IFERROR(VLOOKUP($D132,'Aptiv Dispatch'!$A:$B,2,FALSE),0)</f>
        <v>0</v>
      </c>
      <c r="R132" s="34">
        <f>SUMIF('Consumption MTD'!B:B,Cockpit!$E$5:$E$146,'Consumption MTD'!C:C)</f>
        <v>0</v>
      </c>
      <c r="S132" s="34">
        <f>SUMIF('BIW Lifting A Shift'!$B:$B,Cockpit!$E$5:$E$146,'BIW Lifting A Shift'!C:C)</f>
        <v>0</v>
      </c>
      <c r="T132" s="34" t="e">
        <f>SUMIF('BIW Lifting A Shift'!$B:$B,Cockpit!$E$5:$E$146,'BIW Lifting A Shift'!#REF!)</f>
        <v>#REF!</v>
      </c>
      <c r="U132" s="74">
        <f t="shared" si="25"/>
        <v>0</v>
      </c>
      <c r="V132" s="74">
        <f t="shared" si="26"/>
        <v>0</v>
      </c>
      <c r="W132" s="74" t="e">
        <f t="shared" si="27"/>
        <v>#REF!</v>
      </c>
      <c r="X132" s="135">
        <f>SUMIF(FLOAT!$D:$D,Cockpit!$E$5:$E$146,FLOAT!F:F)</f>
        <v>0</v>
      </c>
      <c r="Y132" s="38"/>
      <c r="AA132" s="49"/>
      <c r="AC132" s="147"/>
      <c r="AD132" s="50"/>
      <c r="AE132" s="234"/>
      <c r="AF132" s="62">
        <f>SUMIF(FLOAT!$D:$D,Cockpit!$E132:$E269,FLOAT!G:G)</f>
        <v>0</v>
      </c>
      <c r="AG132" s="62">
        <f>SUMIF(FLOAT!$D:$D,Cockpit!$E132:$E269,FLOAT!H:H)</f>
        <v>0</v>
      </c>
      <c r="AH132" s="62">
        <f>SUMIF(FLOAT!$D:$D,Cockpit!$E132:$E269,FLOAT!I:I)</f>
        <v>0</v>
      </c>
      <c r="AI132" s="62">
        <f>SUMIF(FLOAT!$D:$D,Cockpit!$E132:$E269,FLOAT!J:J)</f>
        <v>0</v>
      </c>
      <c r="AJ132" s="62">
        <f>SUMIF(FLOAT!$D:$D,Cockpit!$E132:$E269,FLOAT!K:K)</f>
        <v>0</v>
      </c>
      <c r="AK132" s="62">
        <f>SUMIF(FLOAT!$D:$D,Cockpit!$E132:$E269,FLOAT!L:L)</f>
        <v>0</v>
      </c>
      <c r="AL132" s="62">
        <f>SUMIF(FLOAT!$D:$D,Cockpit!$E132:$E269,FLOAT!M:M)</f>
        <v>0</v>
      </c>
      <c r="AM132" s="62">
        <f>SUMIF(FLOAT!$D:$D,Cockpit!$E132:$E269,FLOAT!N:N)</f>
        <v>0</v>
      </c>
      <c r="AN132" s="62">
        <f>SUMIF(FLOAT!$D:$D,Cockpit!$E132:$E269,FLOAT!O:O)</f>
        <v>0</v>
      </c>
      <c r="AO132" s="62">
        <f>SUMIF(FLOAT!$D:$D,Cockpit!$E132:$E269,FLOAT!P:P)</f>
        <v>0</v>
      </c>
      <c r="AP132" s="60">
        <f t="shared" si="10"/>
        <v>0</v>
      </c>
      <c r="AQ132" s="238"/>
    </row>
    <row r="133" spans="1:43" ht="23.25" hidden="1" customHeight="1" thickBot="1" x14ac:dyDescent="0.35">
      <c r="A133" s="297"/>
      <c r="B133" s="298"/>
      <c r="C133" s="309"/>
      <c r="D133" s="756"/>
      <c r="E133" s="313" t="s">
        <v>534</v>
      </c>
      <c r="F133" s="316" t="s">
        <v>535</v>
      </c>
      <c r="G133" s="184">
        <v>0</v>
      </c>
      <c r="H133" s="230">
        <f t="shared" si="21"/>
        <v>0</v>
      </c>
      <c r="I133" s="232">
        <v>0</v>
      </c>
      <c r="J133" s="214">
        <f t="shared" si="22"/>
        <v>0</v>
      </c>
      <c r="K133" s="76">
        <f t="shared" si="22"/>
        <v>0</v>
      </c>
      <c r="L133" s="155">
        <f t="shared" si="23"/>
        <v>0</v>
      </c>
      <c r="M133" s="77">
        <f t="shared" si="24"/>
        <v>0</v>
      </c>
      <c r="N133" s="30">
        <f>SUMIF('3 D P'!$D:$D,Cockpit!$E$5:$E$146,'3 D P'!L:L)</f>
        <v>0</v>
      </c>
      <c r="O133" s="30">
        <f>SUMIF('3 D P'!$D:$D,Cockpit!$E$5:$E$146,'3 D P'!M:M)</f>
        <v>0</v>
      </c>
      <c r="P133" s="30">
        <f>SUMIF('3 D P'!$D:$D,Cockpit!$E$5:$E$146,'3 D P'!N:N)</f>
        <v>0</v>
      </c>
      <c r="Q133" s="132">
        <f>IFERROR(VLOOKUP($D133,'Aptiv Dispatch'!$A:$B,2,FALSE),0)</f>
        <v>0</v>
      </c>
      <c r="R133" s="34">
        <f>SUMIF('Consumption MTD'!B:B,Cockpit!$E$5:$E$146,'Consumption MTD'!C:C)</f>
        <v>0</v>
      </c>
      <c r="S133" s="34">
        <f>SUMIF('BIW Lifting A Shift'!$B:$B,Cockpit!$E$5:$E$146,'BIW Lifting A Shift'!C:C)</f>
        <v>0</v>
      </c>
      <c r="T133" s="34" t="e">
        <f>SUMIF('BIW Lifting A Shift'!$B:$B,Cockpit!$E$5:$E$146,'BIW Lifting A Shift'!#REF!)</f>
        <v>#REF!</v>
      </c>
      <c r="U133" s="74">
        <f t="shared" si="25"/>
        <v>0</v>
      </c>
      <c r="V133" s="74">
        <f t="shared" si="26"/>
        <v>0</v>
      </c>
      <c r="W133" s="74" t="e">
        <f t="shared" si="27"/>
        <v>#REF!</v>
      </c>
      <c r="X133" s="135">
        <f>SUMIF(FLOAT!$D:$D,Cockpit!$E$5:$E$146,FLOAT!F:F)</f>
        <v>0</v>
      </c>
      <c r="Y133" s="38"/>
      <c r="AA133" s="49"/>
      <c r="AC133" s="147"/>
      <c r="AD133" s="50"/>
      <c r="AE133" s="234"/>
      <c r="AF133" s="62">
        <f>SUMIF(FLOAT!$D:$D,Cockpit!$E133:$E270,FLOAT!G:G)</f>
        <v>0</v>
      </c>
      <c r="AG133" s="62">
        <f>SUMIF(FLOAT!$D:$D,Cockpit!$E133:$E270,FLOAT!H:H)</f>
        <v>0</v>
      </c>
      <c r="AH133" s="62">
        <f>SUMIF(FLOAT!$D:$D,Cockpit!$E133:$E270,FLOAT!I:I)</f>
        <v>0</v>
      </c>
      <c r="AI133" s="62">
        <f>SUMIF(FLOAT!$D:$D,Cockpit!$E133:$E270,FLOAT!J:J)</f>
        <v>0</v>
      </c>
      <c r="AJ133" s="62">
        <f>SUMIF(FLOAT!$D:$D,Cockpit!$E133:$E270,FLOAT!K:K)</f>
        <v>0</v>
      </c>
      <c r="AK133" s="62">
        <f>SUMIF(FLOAT!$D:$D,Cockpit!$E133:$E270,FLOAT!L:L)</f>
        <v>0</v>
      </c>
      <c r="AL133" s="62">
        <f>SUMIF(FLOAT!$D:$D,Cockpit!$E133:$E270,FLOAT!M:M)</f>
        <v>0</v>
      </c>
      <c r="AM133" s="62">
        <f>SUMIF(FLOAT!$D:$D,Cockpit!$E133:$E270,FLOAT!N:N)</f>
        <v>0</v>
      </c>
      <c r="AN133" s="62">
        <f>SUMIF(FLOAT!$D:$D,Cockpit!$E133:$E270,FLOAT!O:O)</f>
        <v>0</v>
      </c>
      <c r="AO133" s="62">
        <f>SUMIF(FLOAT!$D:$D,Cockpit!$E133:$E270,FLOAT!P:P)</f>
        <v>0</v>
      </c>
      <c r="AP133" s="60">
        <f t="shared" si="10"/>
        <v>0</v>
      </c>
      <c r="AQ133" s="238"/>
    </row>
    <row r="134" spans="1:43" ht="23.25" hidden="1" customHeight="1" thickBot="1" x14ac:dyDescent="0.35">
      <c r="A134" s="297"/>
      <c r="B134" s="298"/>
      <c r="C134" s="309"/>
      <c r="D134" s="277"/>
      <c r="E134" s="313" t="s">
        <v>536</v>
      </c>
      <c r="F134" s="318" t="s">
        <v>537</v>
      </c>
      <c r="G134" s="184">
        <v>0</v>
      </c>
      <c r="H134" s="230">
        <f t="shared" si="21"/>
        <v>0</v>
      </c>
      <c r="I134" s="232">
        <v>0</v>
      </c>
      <c r="J134" s="214">
        <f t="shared" si="22"/>
        <v>0</v>
      </c>
      <c r="K134" s="76">
        <f t="shared" si="22"/>
        <v>0</v>
      </c>
      <c r="L134" s="155">
        <f t="shared" si="23"/>
        <v>0</v>
      </c>
      <c r="M134" s="77">
        <f t="shared" si="24"/>
        <v>0</v>
      </c>
      <c r="N134" s="30">
        <f>SUMIF('3 D P'!$D:$D,Cockpit!$E$5:$E$146,'3 D P'!L:L)</f>
        <v>0</v>
      </c>
      <c r="O134" s="30">
        <f>SUMIF('3 D P'!$D:$D,Cockpit!$E$5:$E$146,'3 D P'!M:M)</f>
        <v>0</v>
      </c>
      <c r="P134" s="30">
        <f>SUMIF('3 D P'!$D:$D,Cockpit!$E$5:$E$146,'3 D P'!N:N)</f>
        <v>0</v>
      </c>
      <c r="Q134" s="132">
        <f>IFERROR(VLOOKUP($D134,'Aptiv Dispatch'!$A:$B,2,FALSE),0)</f>
        <v>0</v>
      </c>
      <c r="R134" s="34">
        <f>SUMIF('Consumption MTD'!B:B,Cockpit!$E$5:$E$146,'Consumption MTD'!C:C)</f>
        <v>0</v>
      </c>
      <c r="S134" s="34">
        <f>SUMIF('BIW Lifting A Shift'!$B:$B,Cockpit!$E$5:$E$146,'BIW Lifting A Shift'!C:C)</f>
        <v>0</v>
      </c>
      <c r="T134" s="34" t="e">
        <f>SUMIF('BIW Lifting A Shift'!$B:$B,Cockpit!$E$5:$E$146,'BIW Lifting A Shift'!#REF!)</f>
        <v>#REF!</v>
      </c>
      <c r="U134" s="74">
        <f t="shared" si="25"/>
        <v>0</v>
      </c>
      <c r="V134" s="74">
        <f t="shared" si="26"/>
        <v>0</v>
      </c>
      <c r="W134" s="74" t="e">
        <f t="shared" si="27"/>
        <v>#REF!</v>
      </c>
      <c r="X134" s="135">
        <f>SUMIF(FLOAT!$D:$D,Cockpit!$E$5:$E$146,FLOAT!F:F)</f>
        <v>0</v>
      </c>
      <c r="Y134" s="38"/>
      <c r="AA134" s="49"/>
      <c r="AC134" s="147"/>
      <c r="AD134" s="50"/>
      <c r="AE134" s="234"/>
      <c r="AF134" s="62">
        <f>SUMIF(FLOAT!$D:$D,Cockpit!$E134:$E271,FLOAT!G:G)</f>
        <v>0</v>
      </c>
      <c r="AG134" s="62">
        <f>SUMIF(FLOAT!$D:$D,Cockpit!$E134:$E271,FLOAT!H:H)</f>
        <v>0</v>
      </c>
      <c r="AH134" s="62">
        <f>SUMIF(FLOAT!$D:$D,Cockpit!$E134:$E271,FLOAT!I:I)</f>
        <v>0</v>
      </c>
      <c r="AI134" s="62">
        <f>SUMIF(FLOAT!$D:$D,Cockpit!$E134:$E271,FLOAT!J:J)</f>
        <v>0</v>
      </c>
      <c r="AJ134" s="62">
        <f>SUMIF(FLOAT!$D:$D,Cockpit!$E134:$E271,FLOAT!K:K)</f>
        <v>0</v>
      </c>
      <c r="AK134" s="62">
        <f>SUMIF(FLOAT!$D:$D,Cockpit!$E134:$E271,FLOAT!L:L)</f>
        <v>0</v>
      </c>
      <c r="AL134" s="62">
        <f>SUMIF(FLOAT!$D:$D,Cockpit!$E134:$E271,FLOAT!M:M)</f>
        <v>0</v>
      </c>
      <c r="AM134" s="62">
        <f>SUMIF(FLOAT!$D:$D,Cockpit!$E134:$E271,FLOAT!N:N)</f>
        <v>0</v>
      </c>
      <c r="AN134" s="62">
        <f>SUMIF(FLOAT!$D:$D,Cockpit!$E134:$E271,FLOAT!O:O)</f>
        <v>0</v>
      </c>
      <c r="AO134" s="62">
        <f>SUMIF(FLOAT!$D:$D,Cockpit!$E134:$E271,FLOAT!P:P)</f>
        <v>0</v>
      </c>
      <c r="AP134" s="60">
        <f>AF134+AG134+AH134+AI134+AJ134+AK134+AM134+AN134+AO134</f>
        <v>0</v>
      </c>
      <c r="AQ134" s="238"/>
    </row>
    <row r="135" spans="1:43" ht="23.25" hidden="1" customHeight="1" thickBot="1" x14ac:dyDescent="0.35">
      <c r="A135" s="297"/>
      <c r="B135" s="298"/>
      <c r="C135" s="309"/>
      <c r="D135" s="277"/>
      <c r="E135" s="313" t="s">
        <v>538</v>
      </c>
      <c r="F135" s="318" t="s">
        <v>539</v>
      </c>
      <c r="G135" s="184">
        <v>0</v>
      </c>
      <c r="H135" s="230">
        <f t="shared" si="21"/>
        <v>0</v>
      </c>
      <c r="I135" s="232">
        <v>0</v>
      </c>
      <c r="J135" s="214">
        <f t="shared" si="22"/>
        <v>0</v>
      </c>
      <c r="K135" s="76">
        <f t="shared" si="22"/>
        <v>0</v>
      </c>
      <c r="L135" s="155">
        <f t="shared" si="23"/>
        <v>0</v>
      </c>
      <c r="M135" s="77">
        <f t="shared" si="24"/>
        <v>0</v>
      </c>
      <c r="N135" s="30">
        <f>SUMIF('3 D P'!$D:$D,Cockpit!$E$5:$E$146,'3 D P'!L:L)</f>
        <v>0</v>
      </c>
      <c r="O135" s="30">
        <f>SUMIF('3 D P'!$D:$D,Cockpit!$E$5:$E$146,'3 D P'!M:M)</f>
        <v>0</v>
      </c>
      <c r="P135" s="30">
        <f>SUMIF('3 D P'!$D:$D,Cockpit!$E$5:$E$146,'3 D P'!N:N)</f>
        <v>0</v>
      </c>
      <c r="Q135" s="132">
        <f>IFERROR(VLOOKUP($D135,'Aptiv Dispatch'!$A:$B,2,FALSE),0)</f>
        <v>0</v>
      </c>
      <c r="R135" s="34">
        <f>SUMIF('Consumption MTD'!B:B,Cockpit!$E$5:$E$146,'Consumption MTD'!C:C)</f>
        <v>0</v>
      </c>
      <c r="S135" s="34">
        <f>SUMIF('BIW Lifting A Shift'!$B:$B,Cockpit!$E$5:$E$146,'BIW Lifting A Shift'!C:C)</f>
        <v>0</v>
      </c>
      <c r="T135" s="34" t="e">
        <f>SUMIF('BIW Lifting A Shift'!$B:$B,Cockpit!$E$5:$E$146,'BIW Lifting A Shift'!#REF!)</f>
        <v>#REF!</v>
      </c>
      <c r="U135" s="74">
        <f t="shared" si="25"/>
        <v>0</v>
      </c>
      <c r="V135" s="74">
        <f t="shared" si="26"/>
        <v>0</v>
      </c>
      <c r="W135" s="74" t="e">
        <f t="shared" si="27"/>
        <v>#REF!</v>
      </c>
      <c r="X135" s="135">
        <f>SUMIF(FLOAT!$D:$D,Cockpit!$E$5:$E$146,FLOAT!F:F)</f>
        <v>0</v>
      </c>
      <c r="Y135" s="38"/>
      <c r="AA135" s="49"/>
      <c r="AC135" s="147"/>
      <c r="AD135" s="50"/>
      <c r="AE135" s="234"/>
      <c r="AF135" s="62">
        <f>SUMIF(FLOAT!$D:$D,Cockpit!$E135:$E272,FLOAT!G:G)</f>
        <v>0</v>
      </c>
      <c r="AG135" s="62">
        <f>SUMIF(FLOAT!$D:$D,Cockpit!$E135:$E272,FLOAT!H:H)</f>
        <v>0</v>
      </c>
      <c r="AH135" s="62">
        <f>SUMIF(FLOAT!$D:$D,Cockpit!$E135:$E272,FLOAT!I:I)</f>
        <v>0</v>
      </c>
      <c r="AI135" s="62">
        <f>SUMIF(FLOAT!$D:$D,Cockpit!$E135:$E272,FLOAT!J:J)</f>
        <v>0</v>
      </c>
      <c r="AJ135" s="62">
        <f>SUMIF(FLOAT!$D:$D,Cockpit!$E135:$E272,FLOAT!K:K)</f>
        <v>0</v>
      </c>
      <c r="AK135" s="62">
        <f>SUMIF(FLOAT!$D:$D,Cockpit!$E135:$E272,FLOAT!L:L)</f>
        <v>0</v>
      </c>
      <c r="AL135" s="62">
        <f>SUMIF(FLOAT!$D:$D,Cockpit!$E135:$E272,FLOAT!M:M)</f>
        <v>0</v>
      </c>
      <c r="AM135" s="62">
        <f>SUMIF(FLOAT!$D:$D,Cockpit!$E135:$E272,FLOAT!N:N)</f>
        <v>0</v>
      </c>
      <c r="AN135" s="62">
        <f>SUMIF(FLOAT!$D:$D,Cockpit!$E135:$E272,FLOAT!O:O)</f>
        <v>0</v>
      </c>
      <c r="AO135" s="62">
        <f>SUMIF(FLOAT!$D:$D,Cockpit!$E135:$E272,FLOAT!P:P)</f>
        <v>0</v>
      </c>
      <c r="AP135" s="60">
        <f>AF135+AG135+AH135+AI135+AJ135+AK135+AM135+AN135+AO135</f>
        <v>0</v>
      </c>
      <c r="AQ135" s="238"/>
    </row>
    <row r="136" spans="1:43" ht="23.25" hidden="1" customHeight="1" thickBot="1" x14ac:dyDescent="0.35">
      <c r="A136" s="297"/>
      <c r="B136" s="298"/>
      <c r="C136" s="309"/>
      <c r="D136" s="756">
        <v>544254640241</v>
      </c>
      <c r="E136" s="313" t="s">
        <v>557</v>
      </c>
      <c r="F136" s="321" t="s">
        <v>558</v>
      </c>
      <c r="G136" s="184">
        <v>0</v>
      </c>
      <c r="H136" s="230">
        <f>G136</f>
        <v>0</v>
      </c>
      <c r="I136" s="232">
        <v>0</v>
      </c>
      <c r="J136" s="214">
        <f t="shared" ref="J136:K138" si="28">Q136</f>
        <v>0</v>
      </c>
      <c r="K136" s="76">
        <f t="shared" si="28"/>
        <v>0</v>
      </c>
      <c r="L136" s="155">
        <f>H136-K136</f>
        <v>0</v>
      </c>
      <c r="M136" s="77">
        <f>I136+J136-K136</f>
        <v>0</v>
      </c>
      <c r="N136" s="30">
        <f>SUMIF('3 D P'!$D:$D,Cockpit!$E$5:$E$146,'3 D P'!L:L)</f>
        <v>0</v>
      </c>
      <c r="O136" s="30">
        <f>SUMIF('3 D P'!$D:$D,Cockpit!$E$5:$E$146,'3 D P'!M:M)</f>
        <v>0</v>
      </c>
      <c r="P136" s="30">
        <f>SUMIF('3 D P'!$D:$D,Cockpit!$E$5:$E$146,'3 D P'!N:N)</f>
        <v>0</v>
      </c>
      <c r="Q136" s="132">
        <f>IFERROR(VLOOKUP($D136,'Aptiv Dispatch'!$A:$B,2,FALSE),0)</f>
        <v>0</v>
      </c>
      <c r="R136" s="34">
        <f>SUMIF('Consumption MTD'!B:B,Cockpit!$E$5:$E$146,'Consumption MTD'!C:C)</f>
        <v>0</v>
      </c>
      <c r="S136" s="34">
        <f>SUMIF('BIW Lifting A Shift'!$B:$B,Cockpit!$E$5:$E$146,'BIW Lifting A Shift'!C:C)</f>
        <v>0</v>
      </c>
      <c r="T136" s="34" t="e">
        <f>SUMIF('BIW Lifting A Shift'!$B:$B,Cockpit!$E$5:$E$146,'BIW Lifting A Shift'!#REF!)</f>
        <v>#REF!</v>
      </c>
      <c r="U136" s="74">
        <f>M136-X136</f>
        <v>0</v>
      </c>
      <c r="V136" s="74">
        <f>M136-S136-X136</f>
        <v>0</v>
      </c>
      <c r="W136" s="74" t="e">
        <f>V136-T136</f>
        <v>#REF!</v>
      </c>
      <c r="X136" s="135">
        <f>SUMIF(FLOAT!$D:$D,Cockpit!$E$5:$E$146,FLOAT!F:F)</f>
        <v>0</v>
      </c>
      <c r="Y136" s="38"/>
      <c r="AA136" s="49"/>
      <c r="AC136" s="147"/>
      <c r="AD136" s="50"/>
      <c r="AE136" s="234"/>
      <c r="AF136" s="62">
        <f>SUMIF(FLOAT!$D:$D,Cockpit!$E136:$E273,FLOAT!G:G)</f>
        <v>0</v>
      </c>
      <c r="AG136" s="62">
        <f>SUMIF(FLOAT!$D:$D,Cockpit!$E136:$E273,FLOAT!H:H)</f>
        <v>0</v>
      </c>
      <c r="AH136" s="62">
        <f>SUMIF(FLOAT!$D:$D,Cockpit!$E136:$E273,FLOAT!I:I)</f>
        <v>0</v>
      </c>
      <c r="AI136" s="62">
        <f>SUMIF(FLOAT!$D:$D,Cockpit!$E136:$E273,FLOAT!J:J)</f>
        <v>0</v>
      </c>
      <c r="AJ136" s="62">
        <f>SUMIF(FLOAT!$D:$D,Cockpit!$E136:$E273,FLOAT!K:K)</f>
        <v>0</v>
      </c>
      <c r="AK136" s="62">
        <f>SUMIF(FLOAT!$D:$D,Cockpit!$E136:$E273,FLOAT!L:L)</f>
        <v>0</v>
      </c>
      <c r="AL136" s="62">
        <f>SUMIF(FLOAT!$D:$D,Cockpit!$E136:$E273,FLOAT!M:M)</f>
        <v>0</v>
      </c>
      <c r="AM136" s="62">
        <f>SUMIF(FLOAT!$D:$D,Cockpit!$E136:$E273,FLOAT!N:N)</f>
        <v>0</v>
      </c>
      <c r="AN136" s="62">
        <f>SUMIF(FLOAT!$D:$D,Cockpit!$E136:$E273,FLOAT!O:O)</f>
        <v>0</v>
      </c>
      <c r="AO136" s="62">
        <f>SUMIF(FLOAT!$D:$D,Cockpit!$E136:$E273,FLOAT!P:P)</f>
        <v>0</v>
      </c>
      <c r="AP136" s="60">
        <f>AF136+AG136+AH136+AI136+AJ136+AK136+AM136+AN136+AO136</f>
        <v>0</v>
      </c>
    </row>
    <row r="137" spans="1:43" ht="23.25" hidden="1" customHeight="1" thickBot="1" x14ac:dyDescent="0.35">
      <c r="A137" s="297"/>
      <c r="B137" s="298"/>
      <c r="C137" s="309"/>
      <c r="D137" s="756">
        <v>544254640215</v>
      </c>
      <c r="E137" s="362" t="s">
        <v>566</v>
      </c>
      <c r="F137" s="363" t="s">
        <v>567</v>
      </c>
      <c r="G137" s="184">
        <v>60</v>
      </c>
      <c r="H137" s="230">
        <f>G137</f>
        <v>60</v>
      </c>
      <c r="I137" s="232">
        <v>0</v>
      </c>
      <c r="J137" s="214">
        <f t="shared" si="28"/>
        <v>0</v>
      </c>
      <c r="K137" s="76">
        <f t="shared" si="28"/>
        <v>0</v>
      </c>
      <c r="L137" s="155">
        <f>H137-K137</f>
        <v>60</v>
      </c>
      <c r="M137" s="77">
        <f>I137+J137-K137</f>
        <v>0</v>
      </c>
      <c r="N137" s="30">
        <f>SUMIF('3 D P'!$D:$D,Cockpit!$E$5:$E$146,'3 D P'!L:L)</f>
        <v>0</v>
      </c>
      <c r="O137" s="30">
        <f>SUMIF('3 D P'!$D:$D,Cockpit!$E$5:$E$146,'3 D P'!M:M)</f>
        <v>0</v>
      </c>
      <c r="P137" s="30">
        <f>SUMIF('3 D P'!$D:$D,Cockpit!$E$5:$E$146,'3 D P'!N:N)</f>
        <v>0</v>
      </c>
      <c r="Q137" s="132">
        <f>IFERROR(VLOOKUP($D137,'Aptiv Dispatch'!$A:$B,2,FALSE),0)</f>
        <v>0</v>
      </c>
      <c r="R137" s="34">
        <f>SUMIF('Consumption MTD'!B:B,Cockpit!$E$5:$E$146,'Consumption MTD'!C:C)</f>
        <v>0</v>
      </c>
      <c r="S137" s="34">
        <f>SUMIF('BIW Lifting A Shift'!$B:$B,Cockpit!$E$5:$E$146,'BIW Lifting A Shift'!C:C)</f>
        <v>0</v>
      </c>
      <c r="T137" s="34">
        <f>SUMIF('BIW Lifting B Shift'!$B:$B,Cockpit!$E$5:$E$146,'BIW Lifting B Shift'!C:C)</f>
        <v>0</v>
      </c>
      <c r="U137" s="74">
        <f>M137-X137</f>
        <v>0</v>
      </c>
      <c r="V137" s="74">
        <f>M137-S137-X137</f>
        <v>0</v>
      </c>
      <c r="W137" s="74">
        <f>V137-T137</f>
        <v>0</v>
      </c>
      <c r="X137" s="135">
        <f>SUMIF(FLOAT!$D:$D,Cockpit!$E$5:$E$146,FLOAT!F:F)</f>
        <v>0</v>
      </c>
      <c r="Y137" s="38"/>
      <c r="AA137" s="49"/>
      <c r="AC137" s="78"/>
      <c r="AE137" s="268"/>
      <c r="AF137" s="62"/>
      <c r="AG137" s="62">
        <f>SUMIF(FLOAT!$D:$D,Cockpit!$E137:$E274,FLOAT!H:H)</f>
        <v>0</v>
      </c>
      <c r="AH137" s="62">
        <f>SUMIF(FLOAT!$D:$D,Cockpit!$E137:$E274,FLOAT!I:I)</f>
        <v>0</v>
      </c>
      <c r="AI137" s="62">
        <f>SUMIF(FLOAT!$D:$D,Cockpit!$E137:$E274,FLOAT!J:J)</f>
        <v>0</v>
      </c>
      <c r="AJ137" s="62">
        <f>SUMIF(FLOAT!$D:$D,Cockpit!$E137:$E274,FLOAT!K:K)</f>
        <v>0</v>
      </c>
      <c r="AK137" s="62">
        <f>SUMIF(FLOAT!$D:$D,Cockpit!$E137:$E274,FLOAT!L:L)</f>
        <v>0</v>
      </c>
      <c r="AL137" s="62">
        <f>SUMIF(FLOAT!$D:$D,Cockpit!$E137:$E274,FLOAT!M:M)</f>
        <v>0</v>
      </c>
      <c r="AM137" s="62">
        <f>SUMIF(FLOAT!$D:$D,Cockpit!$E137:$E274,FLOAT!N:N)</f>
        <v>0</v>
      </c>
      <c r="AN137" s="62">
        <f>SUMIF(FLOAT!$D:$D,Cockpit!$E137:$E274,FLOAT!O:O)</f>
        <v>0</v>
      </c>
      <c r="AO137" s="62">
        <f>SUMIF(FLOAT!$D:$D,Cockpit!$E137:$E274,FLOAT!P:P)</f>
        <v>0</v>
      </c>
      <c r="AP137" s="60">
        <f>AF137+AG137+AH137+AI137+AJ137+AK137+AM137+AN137+AO137</f>
        <v>0</v>
      </c>
    </row>
    <row r="138" spans="1:43" ht="23.25" hidden="1" customHeight="1" thickBot="1" x14ac:dyDescent="0.35">
      <c r="A138" s="297"/>
      <c r="B138" s="298"/>
      <c r="C138" s="309"/>
      <c r="D138" s="277">
        <v>544254640253</v>
      </c>
      <c r="E138" s="340" t="s">
        <v>568</v>
      </c>
      <c r="F138" s="318" t="s">
        <v>569</v>
      </c>
      <c r="G138" s="184">
        <v>0</v>
      </c>
      <c r="H138" s="230">
        <f>G138</f>
        <v>0</v>
      </c>
      <c r="I138" s="267">
        <v>0</v>
      </c>
      <c r="J138" s="214">
        <f t="shared" si="28"/>
        <v>0</v>
      </c>
      <c r="K138" s="76">
        <f t="shared" si="28"/>
        <v>0</v>
      </c>
      <c r="L138" s="155">
        <f>H138-K138</f>
        <v>0</v>
      </c>
      <c r="M138" s="77">
        <f>I138+J138-K138</f>
        <v>0</v>
      </c>
      <c r="N138" s="30">
        <f>SUMIF('3 D P'!$D:$D,Cockpit!$E$5:$E$146,'3 D P'!L:L)</f>
        <v>0</v>
      </c>
      <c r="O138" s="30">
        <f>SUMIF('3 D P'!$D:$D,Cockpit!$E$5:$E$146,'3 D P'!M:M)</f>
        <v>0</v>
      </c>
      <c r="P138" s="30">
        <f>SUMIF('3 D P'!$D:$D,Cockpit!$E$5:$E$146,'3 D P'!N:N)</f>
        <v>0</v>
      </c>
      <c r="Q138" s="132">
        <f>IFERROR(VLOOKUP($D138,'Aptiv Dispatch'!$A:$B,2,FALSE),0)</f>
        <v>0</v>
      </c>
      <c r="R138" s="34">
        <f>SUMIF('Consumption MTD'!B:B,Cockpit!$E$5:$E$146,'Consumption MTD'!C:C)</f>
        <v>0</v>
      </c>
      <c r="S138" s="34">
        <f>SUMIF('BIW Lifting A Shift'!$B:$B,Cockpit!$E$5:$E$146,'BIW Lifting A Shift'!C:C)</f>
        <v>0</v>
      </c>
      <c r="T138" s="34">
        <f>SUMIF('BIW Lifting B Shift'!$B:$B,Cockpit!$E$5:$E$146,'BIW Lifting B Shift'!C:C)</f>
        <v>0</v>
      </c>
      <c r="U138" s="74">
        <f>M138-X138</f>
        <v>0</v>
      </c>
      <c r="V138" s="74">
        <f>M138-S138-X138</f>
        <v>0</v>
      </c>
      <c r="W138" s="74">
        <f>V138-T138</f>
        <v>0</v>
      </c>
      <c r="X138" s="135">
        <f>SUMIF(FLOAT!$D:$D,Cockpit!$E$5:$E$146,FLOAT!F:F)</f>
        <v>0</v>
      </c>
      <c r="Y138" s="38"/>
      <c r="AA138" s="49"/>
      <c r="AC138" s="147"/>
      <c r="AD138" s="50"/>
      <c r="AE138" s="281"/>
      <c r="AF138" s="62">
        <f>SUMIF(FLOAT!$D:$D,Cockpit!$E138:$E275,FLOAT!G:G)</f>
        <v>0</v>
      </c>
      <c r="AG138" s="62">
        <f>SUMIF(FLOAT!$D:$D,Cockpit!$E138:$E275,FLOAT!H:H)</f>
        <v>0</v>
      </c>
      <c r="AH138" s="62">
        <f>SUMIF(FLOAT!$D:$D,Cockpit!$E138:$E275,FLOAT!I:I)</f>
        <v>0</v>
      </c>
      <c r="AI138" s="62">
        <f>SUMIF(FLOAT!$D:$D,Cockpit!$E138:$E275,FLOAT!J:J)</f>
        <v>0</v>
      </c>
      <c r="AJ138" s="62">
        <f>SUMIF(FLOAT!$D:$D,Cockpit!$E138:$E275,FLOAT!K:K)</f>
        <v>0</v>
      </c>
      <c r="AK138" s="62">
        <f>SUMIF(FLOAT!$D:$D,Cockpit!$E138:$E275,FLOAT!L:L)</f>
        <v>0</v>
      </c>
      <c r="AL138" s="62">
        <f>SUMIF(FLOAT!$D:$D,Cockpit!$E138:$E275,FLOAT!M:M)</f>
        <v>0</v>
      </c>
      <c r="AM138" s="283">
        <f>SUMIF(FLOAT!$D:$D,Cockpit!$E138:$E275,FLOAT!N:N)</f>
        <v>0</v>
      </c>
      <c r="AN138" s="283">
        <f>SUMIF(FLOAT!$D:$D,Cockpit!$E138:$E275,FLOAT!O:O)</f>
        <v>0</v>
      </c>
      <c r="AO138" s="62">
        <f>SUMIF(FLOAT!$D:$D,Cockpit!$E138:$E275,FLOAT!P:P)</f>
        <v>0</v>
      </c>
      <c r="AP138" s="60">
        <f>AF138+AG138+AH138+AI138+AJ138+AK138+AM138+AN138+AO138</f>
        <v>0</v>
      </c>
    </row>
    <row r="139" spans="1:43" ht="23.25" hidden="1" customHeight="1" thickBot="1" x14ac:dyDescent="0.35">
      <c r="A139" s="297"/>
      <c r="B139" s="298"/>
      <c r="C139" s="309"/>
      <c r="D139" s="757"/>
      <c r="E139" s="322"/>
      <c r="F139" s="323"/>
      <c r="G139" s="129"/>
      <c r="H139" s="129"/>
      <c r="I139" s="560"/>
      <c r="J139" s="125"/>
      <c r="K139" s="127"/>
      <c r="L139" s="129"/>
      <c r="M139" s="78"/>
      <c r="N139" s="98"/>
      <c r="O139" s="98"/>
      <c r="P139" s="98"/>
      <c r="Q139" s="264"/>
      <c r="R139" s="37"/>
      <c r="S139" s="37"/>
      <c r="T139" s="37"/>
      <c r="U139" s="72"/>
      <c r="V139" s="72"/>
      <c r="W139" s="72"/>
      <c r="X139" s="266"/>
      <c r="Y139" s="38"/>
      <c r="AA139" s="49"/>
      <c r="AC139" s="78"/>
      <c r="AE139" s="268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0"/>
    </row>
    <row r="140" spans="1:43" ht="19.5" hidden="1" thickBot="1" x14ac:dyDescent="0.35">
      <c r="A140" s="324"/>
      <c r="B140" s="325"/>
      <c r="C140" s="326"/>
      <c r="D140" s="758" t="s">
        <v>29</v>
      </c>
      <c r="E140" s="477"/>
      <c r="F140" s="478"/>
      <c r="G140" s="89">
        <f t="shared" ref="G140:O140" si="29">SUM(G5:G139)</f>
        <v>200</v>
      </c>
      <c r="H140" s="89">
        <f t="shared" si="29"/>
        <v>200</v>
      </c>
      <c r="I140" s="89">
        <f t="shared" si="29"/>
        <v>249</v>
      </c>
      <c r="J140" s="89">
        <f t="shared" si="29"/>
        <v>0</v>
      </c>
      <c r="K140" s="89">
        <f t="shared" si="29"/>
        <v>0</v>
      </c>
      <c r="L140" s="89">
        <f t="shared" si="29"/>
        <v>200</v>
      </c>
      <c r="M140" s="89">
        <f t="shared" si="29"/>
        <v>249</v>
      </c>
      <c r="N140" s="89">
        <f t="shared" si="29"/>
        <v>0</v>
      </c>
      <c r="O140" s="89">
        <f t="shared" si="29"/>
        <v>0</v>
      </c>
      <c r="P140" s="89">
        <f>SUM(P5:P139)</f>
        <v>0</v>
      </c>
      <c r="Q140" s="89">
        <f>SUM(Q5:Q139)</f>
        <v>0</v>
      </c>
      <c r="R140" s="89">
        <f>SUM(R5:R139)</f>
        <v>0</v>
      </c>
      <c r="S140" s="89">
        <f>SUM(S5:S139)</f>
        <v>0</v>
      </c>
      <c r="T140" s="89" t="e">
        <f>SUM(T5:T139)</f>
        <v>#REF!</v>
      </c>
      <c r="U140" s="28"/>
      <c r="V140" s="28"/>
      <c r="W140" s="28"/>
      <c r="X140" s="89">
        <f>SUM(X5:X139)</f>
        <v>0</v>
      </c>
      <c r="Y140" s="38">
        <f>IFERROR(VLOOKUP(E140,[4]Sheet1!$D$4:$G$83,4,0),0)</f>
        <v>0</v>
      </c>
      <c r="Z140" s="17">
        <f>IFERROR(VLOOKUP(E140,'[5]Cockpit Main'!$D$4:$G$83,4,0),0)</f>
        <v>0</v>
      </c>
      <c r="AA140" s="49">
        <v>83</v>
      </c>
      <c r="AC140" s="29"/>
      <c r="AF140" s="89">
        <f t="shared" ref="AF140:AP140" si="30">SUM(AF5:AF139)</f>
        <v>0</v>
      </c>
      <c r="AG140" s="89">
        <f t="shared" si="30"/>
        <v>0</v>
      </c>
      <c r="AH140" s="89">
        <f t="shared" si="30"/>
        <v>0</v>
      </c>
      <c r="AI140" s="89">
        <f t="shared" si="30"/>
        <v>0</v>
      </c>
      <c r="AJ140" s="89">
        <f t="shared" si="30"/>
        <v>0</v>
      </c>
      <c r="AK140" s="89">
        <f t="shared" si="30"/>
        <v>0</v>
      </c>
      <c r="AL140" s="89">
        <f t="shared" si="30"/>
        <v>0</v>
      </c>
      <c r="AM140" s="89">
        <f t="shared" si="30"/>
        <v>0</v>
      </c>
      <c r="AN140" s="89">
        <f t="shared" si="30"/>
        <v>0</v>
      </c>
      <c r="AO140" s="89">
        <f t="shared" si="30"/>
        <v>0</v>
      </c>
      <c r="AP140" s="89">
        <f t="shared" si="30"/>
        <v>0</v>
      </c>
    </row>
    <row r="141" spans="1:43" ht="21" x14ac:dyDescent="0.3">
      <c r="A141" s="324"/>
      <c r="B141" s="324"/>
      <c r="C141" s="327"/>
      <c r="D141" s="30"/>
      <c r="E141" s="327"/>
      <c r="F141" s="328"/>
      <c r="G141" s="31"/>
      <c r="H141" s="32"/>
      <c r="I141" s="32"/>
      <c r="J141" s="33">
        <f>J140+J146</f>
        <v>132</v>
      </c>
      <c r="K141" s="33">
        <f>K140+K146</f>
        <v>0</v>
      </c>
      <c r="L141" s="32"/>
      <c r="M141" s="32"/>
      <c r="N141" s="32"/>
      <c r="O141" s="30"/>
      <c r="P141" s="30"/>
      <c r="S141" s="34"/>
      <c r="T141" s="34"/>
      <c r="U141" s="73"/>
      <c r="V141" s="73"/>
      <c r="W141" s="42"/>
      <c r="X141" s="22"/>
      <c r="Y141" s="38">
        <f>IFERROR(VLOOKUP(E141,[4]Sheet1!$D$4:$G$83,4,0),0)</f>
        <v>0</v>
      </c>
      <c r="Z141" s="17">
        <f>IFERROR(VLOOKUP(E141,'[5]Cockpit Main'!$D$4:$G$83,4,0),0)</f>
        <v>0</v>
      </c>
      <c r="AA141" s="49">
        <v>0</v>
      </c>
      <c r="AC141" s="32"/>
      <c r="AF141" s="57"/>
      <c r="AG141" s="26"/>
      <c r="AH141" s="26"/>
      <c r="AI141" s="26"/>
      <c r="AJ141" s="26"/>
      <c r="AK141" s="26"/>
      <c r="AL141" s="26"/>
      <c r="AM141" s="26"/>
      <c r="AN141" s="26"/>
      <c r="AO141" s="26"/>
      <c r="AP141" s="61"/>
    </row>
    <row r="142" spans="1:43" ht="21.75" thickBot="1" x14ac:dyDescent="0.4">
      <c r="A142" s="329"/>
      <c r="B142" s="329"/>
      <c r="C142" s="330"/>
      <c r="D142" s="98"/>
      <c r="E142" s="330"/>
      <c r="F142" s="329"/>
      <c r="G142" s="36"/>
      <c r="H142" s="35"/>
      <c r="I142" s="35"/>
      <c r="J142" s="35"/>
      <c r="K142" s="35"/>
      <c r="L142" s="35"/>
      <c r="M142" s="35"/>
      <c r="N142" s="37"/>
      <c r="O142" s="37"/>
      <c r="P142" s="37"/>
      <c r="R142" s="38"/>
      <c r="S142" s="37"/>
      <c r="T142" s="37"/>
      <c r="U142" s="72"/>
      <c r="V142" s="43"/>
      <c r="W142" s="44"/>
      <c r="X142" s="22"/>
      <c r="Y142" s="38">
        <f>IFERROR(VLOOKUP(E142,[4]Sheet1!$D$4:$G$83,4,0),0)</f>
        <v>0</v>
      </c>
      <c r="Z142" s="17">
        <f>IFERROR(VLOOKUP(E142,'[5]Cockpit Main'!$D$4:$G$83,4,0),0)</f>
        <v>0</v>
      </c>
      <c r="AA142" s="49">
        <v>0</v>
      </c>
      <c r="AC142" s="35"/>
      <c r="AF142" s="57"/>
      <c r="AG142" s="26"/>
      <c r="AH142" s="26"/>
      <c r="AI142" s="26"/>
      <c r="AJ142" s="26"/>
      <c r="AK142" s="26"/>
      <c r="AL142" s="26"/>
      <c r="AM142" s="26"/>
      <c r="AN142" s="26"/>
      <c r="AO142" s="26"/>
      <c r="AP142" s="61"/>
    </row>
    <row r="143" spans="1:43" ht="66" customHeight="1" thickBot="1" x14ac:dyDescent="0.35">
      <c r="A143" s="331" t="s">
        <v>1</v>
      </c>
      <c r="B143" s="332" t="s">
        <v>27</v>
      </c>
      <c r="C143" s="432" t="s">
        <v>28</v>
      </c>
      <c r="D143" s="518" t="s">
        <v>28</v>
      </c>
      <c r="E143" s="433" t="s">
        <v>3</v>
      </c>
      <c r="F143" s="433" t="s">
        <v>4</v>
      </c>
      <c r="G143" s="422" t="s">
        <v>5</v>
      </c>
      <c r="H143" s="422" t="s">
        <v>117</v>
      </c>
      <c r="I143" s="422" t="s">
        <v>6</v>
      </c>
      <c r="J143" s="422" t="s">
        <v>7</v>
      </c>
      <c r="K143" s="422" t="s">
        <v>8</v>
      </c>
      <c r="L143" s="422" t="s">
        <v>136</v>
      </c>
      <c r="M143" s="423" t="s">
        <v>9</v>
      </c>
      <c r="N143" s="424">
        <f ca="1">N4</f>
        <v>46221</v>
      </c>
      <c r="O143" s="424">
        <f ca="1">O4</f>
        <v>46222</v>
      </c>
      <c r="P143" s="424">
        <f ca="1">P4</f>
        <v>46223</v>
      </c>
      <c r="Q143" s="425" t="s">
        <v>69</v>
      </c>
      <c r="R143" s="422" t="s">
        <v>8</v>
      </c>
      <c r="S143" s="426" t="s">
        <v>121</v>
      </c>
      <c r="T143" s="434" t="s">
        <v>122</v>
      </c>
      <c r="U143" s="436" t="s">
        <v>146</v>
      </c>
      <c r="V143" s="437" t="s">
        <v>148</v>
      </c>
      <c r="W143" s="438" t="s">
        <v>147</v>
      </c>
      <c r="X143" s="435" t="s">
        <v>144</v>
      </c>
      <c r="Y143" s="428" t="s">
        <v>600</v>
      </c>
      <c r="Z143" s="17">
        <f>IFERROR(VLOOKUP(E143,'[5]Cockpit Main'!$D$4:$G$83,4,0),0)</f>
        <v>0</v>
      </c>
      <c r="AA143" s="49" t="e">
        <v>#VALUE!</v>
      </c>
      <c r="AC143" s="19"/>
      <c r="AF143" s="58" t="s">
        <v>171</v>
      </c>
      <c r="AG143" s="56" t="s">
        <v>172</v>
      </c>
      <c r="AH143" s="56" t="s">
        <v>173</v>
      </c>
      <c r="AI143" s="56" t="s">
        <v>174</v>
      </c>
      <c r="AJ143" s="56" t="s">
        <v>175</v>
      </c>
      <c r="AK143" s="56" t="s">
        <v>176</v>
      </c>
      <c r="AL143" s="56" t="s">
        <v>177</v>
      </c>
      <c r="AM143" s="56" t="s">
        <v>178</v>
      </c>
      <c r="AN143" s="56" t="s">
        <v>179</v>
      </c>
      <c r="AO143" s="56" t="s">
        <v>180</v>
      </c>
      <c r="AP143" s="59" t="s">
        <v>162</v>
      </c>
    </row>
    <row r="144" spans="1:43" ht="18.75" customHeight="1" x14ac:dyDescent="0.3">
      <c r="A144" s="335"/>
      <c r="B144" s="336"/>
      <c r="C144" s="337"/>
      <c r="D144" s="947">
        <v>544554640104</v>
      </c>
      <c r="E144" s="300" t="s">
        <v>262</v>
      </c>
      <c r="F144" s="300" t="s">
        <v>358</v>
      </c>
      <c r="G144" s="184">
        <v>0</v>
      </c>
      <c r="H144" s="901">
        <f>SUM(G144:G145)</f>
        <v>152</v>
      </c>
      <c r="I144" s="903">
        <f>20</f>
        <v>20</v>
      </c>
      <c r="J144" s="905">
        <f>Q144</f>
        <v>132</v>
      </c>
      <c r="K144" s="905">
        <f>SUM(R144:R145)</f>
        <v>0</v>
      </c>
      <c r="L144" s="905">
        <f>H144-K144</f>
        <v>152</v>
      </c>
      <c r="M144" s="894">
        <f>I144+J144-K144</f>
        <v>152</v>
      </c>
      <c r="N144" s="30">
        <f>SUMIF('3 D P'!$D:$D,Cockpit!$E$5:$E$146,'3 D P'!L:L)</f>
        <v>0</v>
      </c>
      <c r="O144" s="30">
        <f>SUMIF('3 D P'!$D:$D,Cockpit!$E$5:$E$146,'3 D P'!M:M)</f>
        <v>0</v>
      </c>
      <c r="P144" s="30">
        <f>SUMIF('3 D P'!$D:$D,Cockpit!$E$5:$E$146,'3 D P'!N:N)</f>
        <v>0</v>
      </c>
      <c r="Q144" s="132">
        <f>IFERROR(VLOOKUP($D144,'Aptiv Dispatch'!$A:$B,2,FALSE),0)</f>
        <v>132</v>
      </c>
      <c r="R144" s="30">
        <f>SUMIF('Consumption MTD'!B:B,Cockpit!$E$5:$E$146,'Consumption MTD'!C:C)</f>
        <v>0</v>
      </c>
      <c r="S144" s="30">
        <f>SUMIF('BIW Lifting A Shift'!$B:$B,'Fresh VIN PPC'!$E$5:$E$184,'BIW Lifting A Shift'!$C:$C)</f>
        <v>0</v>
      </c>
      <c r="T144" s="30">
        <f>SUMIF('BIW Lifting B Shift'!$B:$B,Cockpit!$E$5:$E$146,'BIW Lifting B Shift'!C:C)</f>
        <v>0</v>
      </c>
      <c r="U144" s="817">
        <f>M144-X144-X145</f>
        <v>152</v>
      </c>
      <c r="V144" s="817">
        <f>M144-X144-X145-S144-S145</f>
        <v>152</v>
      </c>
      <c r="W144" s="817">
        <f>V144-T144-T145</f>
        <v>152</v>
      </c>
      <c r="X144" s="420">
        <f>SUMIF(FLOAT!$D:$D,Cockpit!$E$5:$E$146,FLOAT!F:F)</f>
        <v>0</v>
      </c>
      <c r="Y144" s="897">
        <f>H144-(I144+J144)</f>
        <v>0</v>
      </c>
      <c r="AC144" s="120"/>
      <c r="AD144" s="49">
        <v>7</v>
      </c>
      <c r="AE144" s="98"/>
      <c r="AF144" s="62">
        <f>SUMIF(FLOAT!$D:$D,'Fresh VIN PPC'!$E$144:$E$178,FLOAT!$G:$G)</f>
        <v>0</v>
      </c>
      <c r="AG144" s="53">
        <f>SUMIF(FLOAT!$D:$D,'Fresh VIN PPC'!$E$144:$E$178,FLOAT!$H:$H)</f>
        <v>0</v>
      </c>
      <c r="AH144" s="53">
        <f>SUMIF(FLOAT!$D:$D,'Fresh VIN PPC'!$E$144:$E$178,FLOAT!$I:$I)</f>
        <v>0</v>
      </c>
      <c r="AI144" s="53">
        <f>SUMIF(FLOAT!$D:$D,'Fresh VIN PPC'!$E$144:$E$178,FLOAT!$J:$J)</f>
        <v>0</v>
      </c>
      <c r="AJ144" s="53">
        <f>SUMIF(FLOAT!$D:$D,'Fresh VIN PPC'!$E$144:$E$178,FLOAT!$K:$K)</f>
        <v>0</v>
      </c>
      <c r="AK144" s="53">
        <f>SUMIF(FLOAT!$D:$D,'Fresh VIN PPC'!$E$144:$E$178,FLOAT!$L:$L)</f>
        <v>0</v>
      </c>
      <c r="AL144" s="53">
        <f>SUMIF(FLOAT!$D:$D,'Fresh VIN PPC'!$E$144:$E$178,FLOAT!$M:$M)</f>
        <v>0</v>
      </c>
      <c r="AM144" s="53">
        <f>SUMIF(FLOAT!$D:$D,'Fresh VIN PPC'!$E$144:$E$178,FLOAT!$N:$N)</f>
        <v>0</v>
      </c>
      <c r="AN144" s="53">
        <f>SUMIF(FLOAT!$D:$D,'Fresh VIN PPC'!$E$144:$E$178,FLOAT!$O:$O)</f>
        <v>0</v>
      </c>
      <c r="AO144" s="53">
        <f>SUMIF(FLOAT!$D:$D,'Fresh VIN PPC'!$E$144:$E$178,FLOAT!$P:$P)</f>
        <v>0</v>
      </c>
      <c r="AP144" s="60">
        <f>AF144+AG144+AH144+AI144+AJ144+AK144+AM144+AN144+AO144</f>
        <v>0</v>
      </c>
    </row>
    <row r="145" spans="1:42" ht="18.75" customHeight="1" thickBot="1" x14ac:dyDescent="0.35">
      <c r="A145" s="335"/>
      <c r="B145" s="336"/>
      <c r="C145" s="337"/>
      <c r="D145" s="948"/>
      <c r="E145" s="548" t="s">
        <v>561</v>
      </c>
      <c r="F145" s="334" t="s">
        <v>564</v>
      </c>
      <c r="G145" s="184">
        <v>152</v>
      </c>
      <c r="H145" s="902"/>
      <c r="I145" s="904"/>
      <c r="J145" s="906"/>
      <c r="K145" s="906"/>
      <c r="L145" s="906"/>
      <c r="M145" s="894"/>
      <c r="N145" s="30">
        <f>SUMIF('3 D P'!$D:$D,Cockpit!$E$5:$E$146,'3 D P'!L:L)</f>
        <v>0</v>
      </c>
      <c r="O145" s="30">
        <f>SUMIF('3 D P'!$D:$D,Cockpit!$E$5:$E$146,'3 D P'!M:M)</f>
        <v>0</v>
      </c>
      <c r="P145" s="30">
        <f>SUMIF('3 D P'!$D:$D,Cockpit!$E$5:$E$146,'3 D P'!N:N)</f>
        <v>0</v>
      </c>
      <c r="Q145" s="132">
        <f>IFERROR(VLOOKUP($D145,'Aptiv Dispatch'!$A:$B,2,FALSE),0)</f>
        <v>0</v>
      </c>
      <c r="R145" s="30">
        <f>SUMIF('Consumption MTD'!B:B,Cockpit!$E$5:$E$146,'Consumption MTD'!C:C)</f>
        <v>0</v>
      </c>
      <c r="S145" s="30">
        <f>SUMIF('BIW Lifting A Shift'!$B:$B,'Fresh VIN PPC'!$E$5:$E$184,'BIW Lifting A Shift'!$C:$C)</f>
        <v>0</v>
      </c>
      <c r="T145" s="30">
        <f>SUMIF('BIW Lifting B Shift'!$B:$B,Cockpit!$E$5:$E$146,'BIW Lifting B Shift'!C:C)</f>
        <v>0</v>
      </c>
      <c r="U145" s="817"/>
      <c r="V145" s="817"/>
      <c r="W145" s="817"/>
      <c r="X145" s="420">
        <f>SUMIF(FLOAT!$D:$D,Cockpit!$E$5:$E$146,FLOAT!F:F)</f>
        <v>0</v>
      </c>
      <c r="Y145" s="898"/>
      <c r="AC145" s="120"/>
      <c r="AD145" s="49"/>
      <c r="AE145" s="98"/>
      <c r="AF145" s="62"/>
      <c r="AG145" s="53">
        <f>SUMIF(FLOAT!$D:$D,'Fresh VIN PPC'!$E$144:$E$178,FLOAT!$H:$H)</f>
        <v>0</v>
      </c>
      <c r="AH145" s="53">
        <f>SUMIF(FLOAT!$D:$D,'Fresh VIN PPC'!$E$144:$E$178,FLOAT!$I:$I)</f>
        <v>0</v>
      </c>
      <c r="AI145" s="53">
        <f>SUMIF(FLOAT!$D:$D,'Fresh VIN PPC'!$E$144:$E$178,FLOAT!$J:$J)</f>
        <v>0</v>
      </c>
      <c r="AJ145" s="53">
        <f>SUMIF(FLOAT!$D:$D,'Fresh VIN PPC'!$E$144:$E$178,FLOAT!$K:$K)</f>
        <v>0</v>
      </c>
      <c r="AK145" s="53">
        <f>SUMIF(FLOAT!$D:$D,'Fresh VIN PPC'!$E$144:$E$178,FLOAT!$L:$L)</f>
        <v>0</v>
      </c>
      <c r="AL145" s="53">
        <f>SUMIF(FLOAT!$D:$D,'Fresh VIN PPC'!$E$144:$E$178,FLOAT!$M:$M)</f>
        <v>0</v>
      </c>
      <c r="AM145" s="53">
        <f>SUMIF(FLOAT!$D:$D,'Fresh VIN PPC'!$E$144:$E$178,FLOAT!$N:$N)</f>
        <v>0</v>
      </c>
      <c r="AN145" s="53">
        <f>SUMIF(FLOAT!$D:$D,'Fresh VIN PPC'!$E$144:$E$178,FLOAT!$O:$O)</f>
        <v>0</v>
      </c>
      <c r="AO145" s="53">
        <f>SUMIF(FLOAT!$D:$D,'Fresh VIN PPC'!$E$144:$E$178,FLOAT!$P:$P)</f>
        <v>0</v>
      </c>
      <c r="AP145" s="60">
        <f>AF145+AG145+AH145+AI145+AJ145+AK145+AM145+AN145+AO145</f>
        <v>0</v>
      </c>
    </row>
    <row r="146" spans="1:42" ht="19.5" thickBot="1" x14ac:dyDescent="0.35">
      <c r="A146" s="505" t="s">
        <v>29</v>
      </c>
      <c r="B146" s="506"/>
      <c r="C146" s="506"/>
      <c r="D146" s="369"/>
      <c r="E146" s="506"/>
      <c r="F146" s="506"/>
      <c r="G146" s="368">
        <f t="shared" ref="G146:T146" si="31">SUM(G144:G145)</f>
        <v>152</v>
      </c>
      <c r="H146" s="368">
        <f t="shared" si="31"/>
        <v>152</v>
      </c>
      <c r="I146" s="368">
        <f t="shared" si="31"/>
        <v>20</v>
      </c>
      <c r="J146" s="368">
        <f t="shared" si="31"/>
        <v>132</v>
      </c>
      <c r="K146" s="368">
        <f t="shared" si="31"/>
        <v>0</v>
      </c>
      <c r="L146" s="368">
        <f t="shared" si="31"/>
        <v>152</v>
      </c>
      <c r="M146" s="368">
        <f t="shared" si="31"/>
        <v>152</v>
      </c>
      <c r="N146" s="368">
        <f t="shared" si="31"/>
        <v>0</v>
      </c>
      <c r="O146" s="368">
        <f t="shared" si="31"/>
        <v>0</v>
      </c>
      <c r="P146" s="368">
        <f t="shared" si="31"/>
        <v>0</v>
      </c>
      <c r="Q146" s="368">
        <f t="shared" si="31"/>
        <v>132</v>
      </c>
      <c r="R146" s="368">
        <f t="shared" si="31"/>
        <v>0</v>
      </c>
      <c r="S146" s="368">
        <f t="shared" si="31"/>
        <v>0</v>
      </c>
      <c r="T146" s="368">
        <f t="shared" si="31"/>
        <v>0</v>
      </c>
      <c r="U146" s="369"/>
      <c r="V146" s="369"/>
      <c r="W146" s="369"/>
      <c r="X146" s="431">
        <f>SUM(X144:X145)</f>
        <v>0</v>
      </c>
      <c r="Y146" s="439">
        <f>SUM(Y144:Y145)</f>
        <v>0</v>
      </c>
      <c r="Z146" s="419"/>
      <c r="AA146" s="87" t="e">
        <f>SUM(#REF!)</f>
        <v>#REF!</v>
      </c>
      <c r="AB146" s="87" t="e">
        <f>SUM(#REF!)</f>
        <v>#REF!</v>
      </c>
      <c r="AC146" s="87" t="e">
        <f>SUM(#REF!)</f>
        <v>#REF!</v>
      </c>
      <c r="AE146" s="54"/>
      <c r="AF146" s="154">
        <f t="shared" ref="AF146:AP146" si="32">SUM(AF144:AF145)</f>
        <v>0</v>
      </c>
      <c r="AG146" s="154">
        <f t="shared" si="32"/>
        <v>0</v>
      </c>
      <c r="AH146" s="154">
        <f t="shared" si="32"/>
        <v>0</v>
      </c>
      <c r="AI146" s="154">
        <f t="shared" si="32"/>
        <v>0</v>
      </c>
      <c r="AJ146" s="154">
        <f t="shared" si="32"/>
        <v>0</v>
      </c>
      <c r="AK146" s="154">
        <f t="shared" si="32"/>
        <v>0</v>
      </c>
      <c r="AL146" s="154">
        <f t="shared" si="32"/>
        <v>0</v>
      </c>
      <c r="AM146" s="154">
        <f t="shared" si="32"/>
        <v>0</v>
      </c>
      <c r="AN146" s="154">
        <f t="shared" si="32"/>
        <v>0</v>
      </c>
      <c r="AO146" s="154">
        <f t="shared" si="32"/>
        <v>0</v>
      </c>
      <c r="AP146" s="154">
        <f t="shared" si="32"/>
        <v>0</v>
      </c>
    </row>
    <row r="147" spans="1:42" x14ac:dyDescent="0.3">
      <c r="R147" s="88">
        <f>SUMIF('Consumption MTD'!$B:$B,'Fresh VIN PPC'!$E$144:$E$178,'Consumption MTD'!$C:$C)</f>
        <v>0</v>
      </c>
      <c r="S147" s="88">
        <f>SUMIF('BIW Lifting A Shift'!$B:$B,'Fresh VIN PPC'!$E$5:$E$184,'BIW Lifting A Shift'!$C:$C)</f>
        <v>0</v>
      </c>
      <c r="T147" s="88">
        <f>SUMIF('BIW Lifting B Shift'!$B:$B,'Fresh VIN PPC'!$E$5:$E$178,'BIW Lifting B Shift'!$C:$C)</f>
        <v>0</v>
      </c>
      <c r="Y147" s="38"/>
    </row>
    <row r="148" spans="1:42" ht="19.5" thickBot="1" x14ac:dyDescent="0.35">
      <c r="R148" s="88">
        <f>SUMIF('Consumption MTD'!$B:$B,'Fresh VIN PPC'!$E$144:$E$178,'Consumption MTD'!$C:$C)</f>
        <v>0</v>
      </c>
      <c r="S148" s="88">
        <f>SUMIF('BIW Lifting A Shift'!$B:$B,'Fresh VIN PPC'!$E$5:$E$184,'BIW Lifting A Shift'!$C:$C)</f>
        <v>0</v>
      </c>
      <c r="T148" s="88">
        <f>SUMIF('BIW Lifting B Shift'!$B:$B,'Fresh VIN PPC'!$E$5:$E$178,'BIW Lifting B Shift'!$C:$C)</f>
        <v>0</v>
      </c>
      <c r="Y148" s="38"/>
    </row>
    <row r="149" spans="1:42" ht="78.75" thickBot="1" x14ac:dyDescent="0.35">
      <c r="D149" s="497" t="s">
        <v>28</v>
      </c>
      <c r="E149" s="739" t="s">
        <v>3</v>
      </c>
      <c r="F149" s="740" t="s">
        <v>4</v>
      </c>
      <c r="G149" s="509" t="s">
        <v>5</v>
      </c>
      <c r="H149" s="583" t="s">
        <v>117</v>
      </c>
      <c r="I149" s="583" t="s">
        <v>6</v>
      </c>
      <c r="J149" s="508" t="s">
        <v>7</v>
      </c>
      <c r="K149" s="498" t="s">
        <v>8</v>
      </c>
      <c r="L149" s="585" t="s">
        <v>136</v>
      </c>
      <c r="M149" s="563" t="s">
        <v>9</v>
      </c>
      <c r="N149" s="499">
        <f ca="1">TODAY()</f>
        <v>46221</v>
      </c>
      <c r="O149" s="499">
        <f ca="1">TODAY()+1</f>
        <v>46222</v>
      </c>
      <c r="P149" s="500">
        <f ca="1">TODAY()+2</f>
        <v>46223</v>
      </c>
      <c r="Q149" s="501" t="s">
        <v>69</v>
      </c>
      <c r="R149" s="502" t="s">
        <v>8</v>
      </c>
      <c r="S149" s="525" t="s">
        <v>121</v>
      </c>
      <c r="T149" s="526" t="s">
        <v>122</v>
      </c>
      <c r="U149" s="503" t="s">
        <v>142</v>
      </c>
      <c r="V149" s="504" t="s">
        <v>120</v>
      </c>
      <c r="W149" s="741" t="s">
        <v>143</v>
      </c>
      <c r="X149" s="745" t="s">
        <v>144</v>
      </c>
      <c r="Y149" s="742" t="s">
        <v>688</v>
      </c>
      <c r="AA149" s="48" t="s">
        <v>155</v>
      </c>
      <c r="AC149" s="117" t="s">
        <v>755</v>
      </c>
      <c r="AD149" s="151" t="s">
        <v>274</v>
      </c>
      <c r="AF149" s="58" t="s">
        <v>171</v>
      </c>
      <c r="AG149" s="56" t="s">
        <v>172</v>
      </c>
      <c r="AH149" s="56" t="s">
        <v>173</v>
      </c>
      <c r="AI149" s="56" t="s">
        <v>174</v>
      </c>
      <c r="AJ149" s="56" t="s">
        <v>175</v>
      </c>
      <c r="AK149" s="56" t="s">
        <v>176</v>
      </c>
      <c r="AL149" s="56" t="s">
        <v>177</v>
      </c>
      <c r="AM149" s="56" t="s">
        <v>178</v>
      </c>
      <c r="AN149" s="56" t="s">
        <v>179</v>
      </c>
      <c r="AO149" s="56" t="s">
        <v>180</v>
      </c>
      <c r="AP149" s="59" t="s">
        <v>162</v>
      </c>
    </row>
    <row r="150" spans="1:42" ht="21.75" thickBot="1" x14ac:dyDescent="0.35">
      <c r="D150" s="955">
        <v>549754600119</v>
      </c>
      <c r="E150" s="738" t="s">
        <v>592</v>
      </c>
      <c r="F150" s="318" t="s">
        <v>661</v>
      </c>
      <c r="G150" s="584">
        <v>320</v>
      </c>
      <c r="H150" s="956">
        <f>G150+G151</f>
        <v>320</v>
      </c>
      <c r="I150" s="952">
        <v>37</v>
      </c>
      <c r="J150" s="916">
        <f>Q150</f>
        <v>67</v>
      </c>
      <c r="K150" s="823">
        <f>SUM(R150:R151)</f>
        <v>93</v>
      </c>
      <c r="L150" s="957">
        <f>H150-K150</f>
        <v>227</v>
      </c>
      <c r="M150" s="954">
        <f>I150+J150-K150</f>
        <v>11</v>
      </c>
      <c r="N150" s="88">
        <f>SUMIF('3 D P'!$D:$D,'Fresh VIN PPC'!$E$144:$E$197,'3 D P'!$L:$L)</f>
        <v>5</v>
      </c>
      <c r="O150" s="88">
        <f>SUMIF('3 D P'!$D:$D,'Fresh VIN PPC'!$E$144:$E$197,'3 D P'!$M:$M)</f>
        <v>0</v>
      </c>
      <c r="P150" s="88">
        <f>SUMIF('3 D P'!$D:$D,'Fresh VIN PPC'!$E$144:$E$197,'3 D P'!$N:$N)</f>
        <v>1</v>
      </c>
      <c r="Q150" s="132">
        <f>IFERROR(VLOOKUP($D150,'Yazaki Dispatch'!$A:$B,2,FALSE),0)</f>
        <v>67</v>
      </c>
      <c r="R150" s="30">
        <f>SUMIF('Consumption MTD'!$B:$B,'Fresh VIN PPC'!$E$144:$E$184,'Consumption MTD'!$C:$C)</f>
        <v>93</v>
      </c>
      <c r="S150" s="30">
        <f>SUMIF('BIW Lifting A Shift'!$B:$B,'Fresh VIN PPC'!$E$5:$E$184,'BIW Lifting A Shift'!$C:$C)</f>
        <v>0</v>
      </c>
      <c r="T150" s="30">
        <f>SUMIF('BIW Lifting B Shift'!$B:$B,'Fresh VIN PPC'!$E$5:$E$178,'BIW Lifting B Shift'!$C:$C)</f>
        <v>0</v>
      </c>
      <c r="U150" s="818">
        <f>M150-X150-X151</f>
        <v>9</v>
      </c>
      <c r="V150" s="818">
        <f>M150-X150-X151-S150-S151</f>
        <v>9</v>
      </c>
      <c r="W150" s="820">
        <f>V150-T150-T151</f>
        <v>9</v>
      </c>
      <c r="X150" s="570">
        <f>SUMIF(FLOAT!$D:$D,'Fresh VIN PPC'!$E$144:$E$184,FLOAT!$F:$F)</f>
        <v>2</v>
      </c>
      <c r="Y150" s="743">
        <f>H150-K150</f>
        <v>227</v>
      </c>
      <c r="Z150" s="949">
        <v>27</v>
      </c>
      <c r="AA150" s="49">
        <v>17</v>
      </c>
      <c r="AC150" s="907">
        <v>37</v>
      </c>
      <c r="AD150" s="49"/>
      <c r="AF150" s="62">
        <f>SUMIF(FLOAT!$D:$D,Cockpit!$E149:$E355,FLOAT!G:G)</f>
        <v>0</v>
      </c>
      <c r="AG150" s="62">
        <f>SUMIF(FLOAT!$D:$D,Cockpit!$E149:$E355,FLOAT!H:H)</f>
        <v>0</v>
      </c>
      <c r="AH150" s="62">
        <f>SUMIF(FLOAT!$D:$D,Cockpit!$E149:$E355,FLOAT!I:I)</f>
        <v>0</v>
      </c>
      <c r="AI150" s="62">
        <f>SUMIF(FLOAT!$D:$D,Cockpit!$E149:$E355,FLOAT!J:J)</f>
        <v>0</v>
      </c>
      <c r="AJ150" s="62">
        <f>SUMIF(FLOAT!$D:$D,Cockpit!$E149:$E355,FLOAT!K:K)</f>
        <v>0</v>
      </c>
      <c r="AK150" s="62">
        <f>SUMIF(FLOAT!$D:$D,Cockpit!$E149:$E355,FLOAT!L:L)</f>
        <v>0</v>
      </c>
      <c r="AL150" s="62">
        <f>SUMIF(FLOAT!$D:$D,Cockpit!$E149:$E355,FLOAT!M:M)</f>
        <v>0</v>
      </c>
      <c r="AM150" s="62">
        <f>SUMIF(FLOAT!$D:$D,Cockpit!$E149:$E355,FLOAT!N:N)</f>
        <v>0</v>
      </c>
      <c r="AN150" s="283">
        <f>SUMIF(FLOAT!$D:$D,Cockpit!$E149:$E355,FLOAT!O:O)</f>
        <v>0</v>
      </c>
      <c r="AO150" s="62">
        <f>SUMIF(FLOAT!$D:$D,Cockpit!$E149:$E355,FLOAT!P:P)</f>
        <v>0</v>
      </c>
      <c r="AP150" s="60">
        <f t="shared" ref="AP150:AP159" si="33">AF150+AG150+AH150+AI150+AJ150+AK150+AM150+AN150+AO150</f>
        <v>0</v>
      </c>
    </row>
    <row r="151" spans="1:42" ht="21.75" thickBot="1" x14ac:dyDescent="0.35">
      <c r="D151" s="896"/>
      <c r="E151" s="511" t="s">
        <v>593</v>
      </c>
      <c r="F151" s="318" t="s">
        <v>667</v>
      </c>
      <c r="G151" s="584">
        <v>0</v>
      </c>
      <c r="H151" s="956"/>
      <c r="I151" s="952"/>
      <c r="J151" s="831"/>
      <c r="K151" s="832"/>
      <c r="L151" s="953"/>
      <c r="M151" s="954"/>
      <c r="N151" s="88">
        <f>SUMIF('3 D P'!$D:$D,'Fresh VIN PPC'!$E$144:$E$197,'3 D P'!$L:$L)</f>
        <v>0</v>
      </c>
      <c r="O151" s="88">
        <f>SUMIF('3 D P'!$D:$D,'Fresh VIN PPC'!$E$144:$E$197,'3 D P'!$M:$M)</f>
        <v>0</v>
      </c>
      <c r="P151" s="88">
        <f>SUMIF('3 D P'!$D:$D,'Fresh VIN PPC'!$E$144:$E$197,'3 D P'!$N:$N)</f>
        <v>0</v>
      </c>
      <c r="Q151" s="132">
        <f>IFERROR(VLOOKUP($D151,'Yazaki Dispatch'!$A:$B,2,FALSE),0)</f>
        <v>0</v>
      </c>
      <c r="R151" s="88">
        <f>SUMIF('Consumption MTD'!$B:$B,'Fresh VIN PPC'!$E$144:$E$184,'Consumption MTD'!$C:$C)</f>
        <v>0</v>
      </c>
      <c r="S151" s="88">
        <f>SUMIF('BIW Lifting A Shift'!$B:$B,'Fresh VIN PPC'!$E$5:$E$184,'BIW Lifting A Shift'!$C:$C)</f>
        <v>0</v>
      </c>
      <c r="T151" s="88">
        <f>SUMIF('BIW Lifting B Shift'!$B:$B,'Fresh VIN PPC'!$E$5:$E$178,'BIW Lifting B Shift'!$C:$C)</f>
        <v>0</v>
      </c>
      <c r="U151" s="818"/>
      <c r="V151" s="818"/>
      <c r="W151" s="820"/>
      <c r="X151" s="746">
        <f>SUMIF(FLOAT!$D:$D,'Fresh VIN PPC'!$E$144:$E$184,FLOAT!$F:$F)</f>
        <v>0</v>
      </c>
      <c r="Y151" s="743">
        <f t="shared" ref="Y151:Y184" si="34">H151-K151</f>
        <v>0</v>
      </c>
      <c r="Z151" s="949"/>
      <c r="AA151" s="49"/>
      <c r="AC151" s="908"/>
      <c r="AD151" s="513"/>
      <c r="AF151" s="471">
        <f>SUMIF(FLOAT!$D:$D,Cockpit!$E150:$E356,FLOAT!G:G)</f>
        <v>0</v>
      </c>
      <c r="AG151" s="62">
        <f>SUMIF(FLOAT!$D:$D,Cockpit!$E150:$E356,FLOAT!H:H)</f>
        <v>0</v>
      </c>
      <c r="AH151" s="62">
        <f>SUMIF(FLOAT!$D:$D,Cockpit!$E150:$E356,FLOAT!I:I)</f>
        <v>0</v>
      </c>
      <c r="AI151" s="62">
        <f>SUMIF(FLOAT!$D:$D,Cockpit!$E150:$E356,FLOAT!J:J)</f>
        <v>0</v>
      </c>
      <c r="AJ151" s="62">
        <f>SUMIF(FLOAT!$D:$D,Cockpit!$E150:$E356,FLOAT!K:K)</f>
        <v>0</v>
      </c>
      <c r="AK151" s="62">
        <f>SUMIF(FLOAT!$D:$D,Cockpit!$E150:$E356,FLOAT!L:L)</f>
        <v>0</v>
      </c>
      <c r="AL151" s="62">
        <f>SUMIF(FLOAT!$D:$D,Cockpit!$E150:$E356,FLOAT!M:M)</f>
        <v>0</v>
      </c>
      <c r="AM151" s="62">
        <f>SUMIF(FLOAT!$D:$D,Cockpit!$E150:$E356,FLOAT!N:N)</f>
        <v>0</v>
      </c>
      <c r="AN151" s="62">
        <f>SUMIF(FLOAT!$D:$D,Cockpit!$E150:$E356,FLOAT!O:O)</f>
        <v>2</v>
      </c>
      <c r="AO151" s="62">
        <f>SUMIF(FLOAT!$D:$D,Cockpit!$E150:$E356,FLOAT!P:P)</f>
        <v>0</v>
      </c>
      <c r="AP151" s="60">
        <f t="shared" si="33"/>
        <v>2</v>
      </c>
    </row>
    <row r="152" spans="1:42" ht="21.75" thickBot="1" x14ac:dyDescent="0.35">
      <c r="D152" s="693">
        <v>549754600102</v>
      </c>
      <c r="E152" s="511" t="s">
        <v>578</v>
      </c>
      <c r="F152" s="318" t="s">
        <v>668</v>
      </c>
      <c r="G152" s="584">
        <v>781</v>
      </c>
      <c r="H152" s="578">
        <f>G152</f>
        <v>781</v>
      </c>
      <c r="I152" s="147">
        <f>26-5</f>
        <v>21</v>
      </c>
      <c r="J152" s="215">
        <f t="shared" ref="J152:K159" si="35">Q152</f>
        <v>1052</v>
      </c>
      <c r="K152" s="128">
        <f t="shared" si="35"/>
        <v>1002</v>
      </c>
      <c r="L152" s="510">
        <f t="shared" ref="L152:L159" si="36">H152-K152</f>
        <v>-221</v>
      </c>
      <c r="M152" s="77">
        <f t="shared" ref="M152:M159" si="37">I152+J152-K152</f>
        <v>71</v>
      </c>
      <c r="N152" s="88">
        <f>SUMIF('3 D P'!$D:$D,'Fresh VIN PPC'!$E$144:$E$197,'3 D P'!$L:$L)</f>
        <v>178</v>
      </c>
      <c r="O152" s="88">
        <f>SUMIF('3 D P'!$D:$D,'Fresh VIN PPC'!$E$144:$E$197,'3 D P'!$M:$M)</f>
        <v>144</v>
      </c>
      <c r="P152" s="88">
        <f>SUMIF('3 D P'!$D:$D,'Fresh VIN PPC'!$E$144:$E$197,'3 D P'!$N:$N)</f>
        <v>0</v>
      </c>
      <c r="Q152" s="132">
        <f>IFERROR(VLOOKUP($D152,'Yazaki Dispatch'!$A:$B,2,FALSE),0)</f>
        <v>1052</v>
      </c>
      <c r="R152" s="88">
        <f>SUMIF('Consumption MTD'!$B:$B,'Fresh VIN PPC'!$E$144:$E$184,'Consumption MTD'!$C:$C)</f>
        <v>1002</v>
      </c>
      <c r="S152" s="88">
        <f>SUMIF('BIW Lifting A Shift'!$B:$B,'Fresh VIN PPC'!$E$5:$E$184,'BIW Lifting A Shift'!$C:$C)</f>
        <v>0</v>
      </c>
      <c r="T152" s="88">
        <f>SUMIF('BIW Lifting B Shift'!$B:$B,'Fresh VIN PPC'!$E$5:$E$178,'BIW Lifting B Shift'!$C:$C)</f>
        <v>0</v>
      </c>
      <c r="U152" s="74">
        <f t="shared" ref="U152:U159" si="38">M152-X152</f>
        <v>-7</v>
      </c>
      <c r="V152" s="74">
        <f t="shared" ref="V152:V159" si="39">M152-S152-X152</f>
        <v>-7</v>
      </c>
      <c r="W152" s="457">
        <f t="shared" ref="W152:W159" si="40">V152-T152</f>
        <v>-7</v>
      </c>
      <c r="X152" s="746">
        <f>SUMIF(FLOAT!$D:$D,'Fresh VIN PPC'!$E$144:$E$184,FLOAT!$F:$F)</f>
        <v>78</v>
      </c>
      <c r="Y152" s="743">
        <f t="shared" si="34"/>
        <v>-221</v>
      </c>
      <c r="Z152" s="38">
        <v>60</v>
      </c>
      <c r="AA152" s="49">
        <v>96</v>
      </c>
      <c r="AC152" s="147">
        <v>24</v>
      </c>
      <c r="AD152" s="514"/>
      <c r="AE152" s="278"/>
      <c r="AF152" s="471">
        <f>SUMIF(FLOAT!$D:$D,Cockpit!$E151:$E357,FLOAT!G:G)</f>
        <v>0</v>
      </c>
      <c r="AG152" s="62">
        <f>SUMIF(FLOAT!$D:$D,Cockpit!$E151:$E357,FLOAT!H:H)</f>
        <v>0</v>
      </c>
      <c r="AH152" s="62">
        <f>SUMIF(FLOAT!$D:$D,Cockpit!$E151:$E357,FLOAT!I:I)</f>
        <v>0</v>
      </c>
      <c r="AI152" s="62">
        <f>SUMIF(FLOAT!$D:$D,Cockpit!$E151:$E357,FLOAT!J:J)</f>
        <v>0</v>
      </c>
      <c r="AJ152" s="62">
        <f>SUMIF(FLOAT!$D:$D,Cockpit!$E151:$E357,FLOAT!K:K)</f>
        <v>0</v>
      </c>
      <c r="AK152" s="62">
        <f>SUMIF(FLOAT!$D:$D,Cockpit!$E151:$E357,FLOAT!L:L)</f>
        <v>0</v>
      </c>
      <c r="AL152" s="62">
        <f>SUMIF(FLOAT!$D:$D,Cockpit!$E151:$E357,FLOAT!M:M)</f>
        <v>0</v>
      </c>
      <c r="AM152" s="62">
        <f>SUMIF(FLOAT!$D:$D,Cockpit!$E151:$E357,FLOAT!N:N)</f>
        <v>0</v>
      </c>
      <c r="AN152" s="283">
        <f>SUMIF(FLOAT!$D:$D,Cockpit!$E151:$E357,FLOAT!O:O)</f>
        <v>0</v>
      </c>
      <c r="AO152" s="62">
        <f>SUMIF(FLOAT!$D:$D,Cockpit!$E151:$E357,FLOAT!P:P)</f>
        <v>0</v>
      </c>
      <c r="AP152" s="60">
        <f t="shared" si="33"/>
        <v>0</v>
      </c>
    </row>
    <row r="153" spans="1:42" ht="21.75" thickBot="1" x14ac:dyDescent="0.35">
      <c r="D153" s="693">
        <v>549754600124</v>
      </c>
      <c r="E153" s="511" t="s">
        <v>580</v>
      </c>
      <c r="F153" s="318" t="s">
        <v>669</v>
      </c>
      <c r="G153" s="584">
        <v>483</v>
      </c>
      <c r="H153" s="579">
        <f t="shared" ref="H153:H184" si="41">G153</f>
        <v>483</v>
      </c>
      <c r="I153" s="147">
        <v>26</v>
      </c>
      <c r="J153" s="214">
        <f t="shared" si="35"/>
        <v>567</v>
      </c>
      <c r="K153" s="76">
        <f t="shared" si="35"/>
        <v>572</v>
      </c>
      <c r="L153" s="155">
        <f t="shared" si="36"/>
        <v>-89</v>
      </c>
      <c r="M153" s="77">
        <f t="shared" si="37"/>
        <v>21</v>
      </c>
      <c r="N153" s="88">
        <f>SUMIF('3 D P'!$D:$D,'Fresh VIN PPC'!$E$144:$E$197,'3 D P'!$L:$L)</f>
        <v>1</v>
      </c>
      <c r="O153" s="88">
        <f>SUMIF('3 D P'!$D:$D,'Fresh VIN PPC'!$E$144:$E$197,'3 D P'!$M:$M)</f>
        <v>0</v>
      </c>
      <c r="P153" s="88">
        <f>SUMIF('3 D P'!$D:$D,'Fresh VIN PPC'!$E$144:$E$197,'3 D P'!$N:$N)</f>
        <v>0</v>
      </c>
      <c r="Q153" s="132">
        <f>IFERROR(VLOOKUP($D153,'Yazaki Dispatch'!$A:$B,2,FALSE),0)</f>
        <v>567</v>
      </c>
      <c r="R153" s="88">
        <f>SUMIF('Consumption MTD'!$B:$B,'Fresh VIN PPC'!$E$144:$E$184,'Consumption MTD'!$C:$C)</f>
        <v>572</v>
      </c>
      <c r="S153" s="88">
        <f>SUMIF('BIW Lifting A Shift'!$B:$B,'Fresh VIN PPC'!$E$5:$E$184,'BIW Lifting A Shift'!$C:$C)</f>
        <v>0</v>
      </c>
      <c r="T153" s="88">
        <f>SUMIF('BIW Lifting B Shift'!$B:$B,'Fresh VIN PPC'!$E$5:$E$178,'BIW Lifting B Shift'!$C:$C)</f>
        <v>0</v>
      </c>
      <c r="U153" s="74">
        <f t="shared" si="38"/>
        <v>-38</v>
      </c>
      <c r="V153" s="74">
        <f t="shared" si="39"/>
        <v>-38</v>
      </c>
      <c r="W153" s="457">
        <f t="shared" si="40"/>
        <v>-38</v>
      </c>
      <c r="X153" s="746">
        <f>SUMIF(FLOAT!$D:$D,'Fresh VIN PPC'!$E$144:$E$184,FLOAT!$F:$F)</f>
        <v>59</v>
      </c>
      <c r="Y153" s="743">
        <f t="shared" si="34"/>
        <v>-89</v>
      </c>
      <c r="Z153" s="38">
        <v>28</v>
      </c>
      <c r="AA153" s="49">
        <v>59</v>
      </c>
      <c r="AC153" s="147">
        <v>22</v>
      </c>
      <c r="AD153" s="514"/>
      <c r="AE153" s="278"/>
      <c r="AF153" s="471">
        <f>SUMIF(FLOAT!$D:$D,Cockpit!$E152:$E358,FLOAT!G:G)</f>
        <v>1</v>
      </c>
      <c r="AG153" s="62">
        <f>SUMIF(FLOAT!$D:$D,Cockpit!$E152:$E358,FLOAT!H:H)</f>
        <v>4</v>
      </c>
      <c r="AH153" s="62">
        <f>SUMIF(FLOAT!$D:$D,Cockpit!$E152:$E358,FLOAT!I:I)</f>
        <v>9</v>
      </c>
      <c r="AI153" s="62">
        <f>SUMIF(FLOAT!$D:$D,Cockpit!$E152:$E358,FLOAT!J:J)</f>
        <v>0</v>
      </c>
      <c r="AJ153" s="62">
        <f>SUMIF(FLOAT!$D:$D,Cockpit!$E152:$E358,FLOAT!K:K)</f>
        <v>6</v>
      </c>
      <c r="AK153" s="62">
        <f>SUMIF(FLOAT!$D:$D,Cockpit!$E152:$E358,FLOAT!L:L)</f>
        <v>8</v>
      </c>
      <c r="AL153" s="62">
        <f>SUMIF(FLOAT!$D:$D,Cockpit!$E152:$E358,FLOAT!M:M)</f>
        <v>28</v>
      </c>
      <c r="AM153" s="62">
        <f>SUMIF(FLOAT!$D:$D,Cockpit!$E152:$E358,FLOAT!N:N)</f>
        <v>13</v>
      </c>
      <c r="AN153" s="62">
        <f>SUMIF(FLOAT!$D:$D,Cockpit!$E152:$E358,FLOAT!O:O)</f>
        <v>37</v>
      </c>
      <c r="AO153" s="62">
        <f>SUMIF(FLOAT!$D:$D,Cockpit!$E152:$E358,FLOAT!P:P)</f>
        <v>0</v>
      </c>
      <c r="AP153" s="60">
        <f t="shared" si="33"/>
        <v>78</v>
      </c>
    </row>
    <row r="154" spans="1:42" ht="21.75" thickBot="1" x14ac:dyDescent="0.35">
      <c r="D154" s="693">
        <v>549754600104</v>
      </c>
      <c r="E154" s="511" t="s">
        <v>579</v>
      </c>
      <c r="F154" s="318" t="s">
        <v>670</v>
      </c>
      <c r="G154" s="584">
        <v>337</v>
      </c>
      <c r="H154" s="579">
        <f t="shared" si="41"/>
        <v>337</v>
      </c>
      <c r="I154" s="147">
        <f>19-1</f>
        <v>18</v>
      </c>
      <c r="J154" s="214">
        <f t="shared" si="35"/>
        <v>189</v>
      </c>
      <c r="K154" s="76">
        <f t="shared" si="35"/>
        <v>188</v>
      </c>
      <c r="L154" s="155">
        <f t="shared" si="36"/>
        <v>149</v>
      </c>
      <c r="M154" s="77">
        <f t="shared" si="37"/>
        <v>19</v>
      </c>
      <c r="N154" s="88">
        <f>SUMIF('3 D P'!$D:$D,'Fresh VIN PPC'!$E$144:$E$197,'3 D P'!$L:$L)</f>
        <v>3</v>
      </c>
      <c r="O154" s="88">
        <f>SUMIF('3 D P'!$D:$D,'Fresh VIN PPC'!$E$144:$E$197,'3 D P'!$M:$M)</f>
        <v>0</v>
      </c>
      <c r="P154" s="88">
        <f>SUMIF('3 D P'!$D:$D,'Fresh VIN PPC'!$E$144:$E$197,'3 D P'!$N:$N)</f>
        <v>0</v>
      </c>
      <c r="Q154" s="132">
        <f>IFERROR(VLOOKUP($D154,'Yazaki Dispatch'!$A:$B,2,FALSE),0)</f>
        <v>189</v>
      </c>
      <c r="R154" s="88">
        <f>SUMIF('Consumption MTD'!$B:$B,'Fresh VIN PPC'!$E$144:$E$184,'Consumption MTD'!$C:$C)</f>
        <v>188</v>
      </c>
      <c r="S154" s="88">
        <f>SUMIF('BIW Lifting A Shift'!$B:$B,'Fresh VIN PPC'!$E$5:$E$184,'BIW Lifting A Shift'!$C:$C)</f>
        <v>0</v>
      </c>
      <c r="T154" s="88">
        <f>SUMIF('BIW Lifting B Shift'!$B:$B,'Fresh VIN PPC'!$E$5:$E$178,'BIW Lifting B Shift'!$C:$C)</f>
        <v>0</v>
      </c>
      <c r="U154" s="74">
        <f t="shared" si="38"/>
        <v>6</v>
      </c>
      <c r="V154" s="74">
        <f t="shared" si="39"/>
        <v>6</v>
      </c>
      <c r="W154" s="457">
        <f t="shared" si="40"/>
        <v>6</v>
      </c>
      <c r="X154" s="746">
        <f>SUMIF(FLOAT!$D:$D,'Fresh VIN PPC'!$E$144:$E$184,FLOAT!$F:$F)</f>
        <v>13</v>
      </c>
      <c r="Y154" s="743">
        <f t="shared" si="34"/>
        <v>149</v>
      </c>
      <c r="Z154" s="38">
        <v>11</v>
      </c>
      <c r="AA154" s="49">
        <v>26</v>
      </c>
      <c r="AC154" s="147">
        <v>15</v>
      </c>
      <c r="AD154" s="514"/>
      <c r="AE154" s="278"/>
      <c r="AF154" s="471">
        <f>SUMIF(FLOAT!$D:$D,Cockpit!$E153:$E359,FLOAT!G:G)</f>
        <v>1</v>
      </c>
      <c r="AG154" s="62">
        <f>SUMIF(FLOAT!$D:$D,Cockpit!$E153:$E359,FLOAT!H:H)</f>
        <v>0</v>
      </c>
      <c r="AH154" s="62">
        <f>SUMIF(FLOAT!$D:$D,Cockpit!$E153:$E359,FLOAT!I:I)</f>
        <v>3</v>
      </c>
      <c r="AI154" s="62">
        <f>SUMIF(FLOAT!$D:$D,Cockpit!$E153:$E359,FLOAT!J:J)</f>
        <v>0</v>
      </c>
      <c r="AJ154" s="62">
        <f>SUMIF(FLOAT!$D:$D,Cockpit!$E153:$E359,FLOAT!K:K)</f>
        <v>4</v>
      </c>
      <c r="AK154" s="62">
        <f>SUMIF(FLOAT!$D:$D,Cockpit!$E153:$E359,FLOAT!L:L)</f>
        <v>12</v>
      </c>
      <c r="AL154" s="62">
        <f>SUMIF(FLOAT!$D:$D,Cockpit!$E153:$E359,FLOAT!M:M)</f>
        <v>20</v>
      </c>
      <c r="AM154" s="62">
        <f>SUMIF(FLOAT!$D:$D,Cockpit!$E153:$E359,FLOAT!N:N)</f>
        <v>15</v>
      </c>
      <c r="AN154" s="62">
        <f>SUMIF(FLOAT!$D:$D,Cockpit!$E153:$E359,FLOAT!O:O)</f>
        <v>24</v>
      </c>
      <c r="AO154" s="62">
        <f>SUMIF(FLOAT!$D:$D,Cockpit!$E153:$E359,FLOAT!P:P)</f>
        <v>0</v>
      </c>
      <c r="AP154" s="60">
        <f t="shared" si="33"/>
        <v>59</v>
      </c>
    </row>
    <row r="155" spans="1:42" ht="21.75" thickBot="1" x14ac:dyDescent="0.35">
      <c r="D155" s="693">
        <v>549754600126</v>
      </c>
      <c r="E155" s="511" t="s">
        <v>581</v>
      </c>
      <c r="F155" s="318" t="s">
        <v>664</v>
      </c>
      <c r="G155" s="584">
        <v>262</v>
      </c>
      <c r="H155" s="579">
        <f t="shared" si="41"/>
        <v>262</v>
      </c>
      <c r="I155" s="147">
        <v>13</v>
      </c>
      <c r="J155" s="214">
        <f t="shared" si="35"/>
        <v>246</v>
      </c>
      <c r="K155" s="76">
        <f t="shared" si="35"/>
        <v>219</v>
      </c>
      <c r="L155" s="155">
        <f t="shared" si="36"/>
        <v>43</v>
      </c>
      <c r="M155" s="77">
        <f t="shared" si="37"/>
        <v>40</v>
      </c>
      <c r="N155" s="88">
        <f>SUMIF('3 D P'!$D:$D,'Fresh VIN PPC'!$E$144:$E$197,'3 D P'!$L:$L)</f>
        <v>1</v>
      </c>
      <c r="O155" s="88">
        <f>SUMIF('3 D P'!$D:$D,'Fresh VIN PPC'!$E$144:$E$197,'3 D P'!$M:$M)</f>
        <v>0</v>
      </c>
      <c r="P155" s="88">
        <f>SUMIF('3 D P'!$D:$D,'Fresh VIN PPC'!$E$144:$E$197,'3 D P'!$N:$N)</f>
        <v>0</v>
      </c>
      <c r="Q155" s="132">
        <f>IFERROR(VLOOKUP($D155,'Yazaki Dispatch'!$A:$B,2,FALSE),0)</f>
        <v>246</v>
      </c>
      <c r="R155" s="88">
        <f>SUMIF('Consumption MTD'!$B:$B,'Fresh VIN PPC'!$E$144:$E$184,'Consumption MTD'!$C:$C)</f>
        <v>219</v>
      </c>
      <c r="S155" s="88">
        <f>SUMIF('BIW Lifting A Shift'!$B:$B,'Fresh VIN PPC'!$E$5:$E$184,'BIW Lifting A Shift'!$C:$C)</f>
        <v>0</v>
      </c>
      <c r="T155" s="88">
        <f>SUMIF('BIW Lifting B Shift'!$B:$B,'Fresh VIN PPC'!$E$5:$E$178,'BIW Lifting B Shift'!$C:$C)</f>
        <v>0</v>
      </c>
      <c r="U155" s="74">
        <f t="shared" si="38"/>
        <v>17</v>
      </c>
      <c r="V155" s="74">
        <f t="shared" si="39"/>
        <v>17</v>
      </c>
      <c r="W155" s="457">
        <f t="shared" si="40"/>
        <v>17</v>
      </c>
      <c r="X155" s="746">
        <f>SUMIF(FLOAT!$D:$D,'Fresh VIN PPC'!$E$144:$E$184,FLOAT!$F:$F)</f>
        <v>23</v>
      </c>
      <c r="Y155" s="743">
        <f t="shared" si="34"/>
        <v>43</v>
      </c>
      <c r="Z155" s="38">
        <v>16</v>
      </c>
      <c r="AA155" s="49">
        <v>23</v>
      </c>
      <c r="AC155" s="147">
        <v>11</v>
      </c>
      <c r="AD155" s="514"/>
      <c r="AE155" s="278"/>
      <c r="AF155" s="471">
        <f>SUMIF(FLOAT!$D:$D,Cockpit!$E154:$E360,FLOAT!G:G)</f>
        <v>0</v>
      </c>
      <c r="AG155" s="62">
        <f>SUMIF(FLOAT!$D:$D,Cockpit!$E154:$E360,FLOAT!H:H)</f>
        <v>0</v>
      </c>
      <c r="AH155" s="62">
        <f>SUMIF(FLOAT!$D:$D,Cockpit!$E154:$E360,FLOAT!I:I)</f>
        <v>0</v>
      </c>
      <c r="AI155" s="62">
        <f>SUMIF(FLOAT!$D:$D,Cockpit!$E154:$E360,FLOAT!J:J)</f>
        <v>0</v>
      </c>
      <c r="AJ155" s="62">
        <f>SUMIF(FLOAT!$D:$D,Cockpit!$E154:$E360,FLOAT!K:K)</f>
        <v>0</v>
      </c>
      <c r="AK155" s="62">
        <f>SUMIF(FLOAT!$D:$D,Cockpit!$E154:$E360,FLOAT!L:L)</f>
        <v>3</v>
      </c>
      <c r="AL155" s="62">
        <f>SUMIF(FLOAT!$D:$D,Cockpit!$E154:$E360,FLOAT!M:M)</f>
        <v>3</v>
      </c>
      <c r="AM155" s="62">
        <f>SUMIF(FLOAT!$D:$D,Cockpit!$E154:$E360,FLOAT!N:N)</f>
        <v>0</v>
      </c>
      <c r="AN155" s="62">
        <f>SUMIF(FLOAT!$D:$D,Cockpit!$E154:$E360,FLOAT!O:O)</f>
        <v>10</v>
      </c>
      <c r="AO155" s="62">
        <f>SUMIF(FLOAT!$D:$D,Cockpit!$E154:$E360,FLOAT!P:P)</f>
        <v>0</v>
      </c>
      <c r="AP155" s="60">
        <f t="shared" si="33"/>
        <v>13</v>
      </c>
    </row>
    <row r="156" spans="1:42" ht="21.75" thickBot="1" x14ac:dyDescent="0.35">
      <c r="D156" s="693">
        <v>549754600106</v>
      </c>
      <c r="E156" s="511" t="s">
        <v>582</v>
      </c>
      <c r="F156" s="318" t="s">
        <v>671</v>
      </c>
      <c r="G156" s="584">
        <v>3976</v>
      </c>
      <c r="H156" s="579">
        <f t="shared" si="41"/>
        <v>3976</v>
      </c>
      <c r="I156" s="147">
        <f>73-1</f>
        <v>72</v>
      </c>
      <c r="J156" s="214">
        <f t="shared" si="35"/>
        <v>1411</v>
      </c>
      <c r="K156" s="76">
        <f t="shared" si="35"/>
        <v>1414</v>
      </c>
      <c r="L156" s="155">
        <f t="shared" si="36"/>
        <v>2562</v>
      </c>
      <c r="M156" s="77">
        <f t="shared" si="37"/>
        <v>69</v>
      </c>
      <c r="N156" s="88">
        <f>SUMIF('3 D P'!$D:$D,'Fresh VIN PPC'!$E$144:$E$197,'3 D P'!$L:$L)</f>
        <v>97</v>
      </c>
      <c r="O156" s="88">
        <f>SUMIF('3 D P'!$D:$D,'Fresh VIN PPC'!$E$144:$E$197,'3 D P'!$M:$M)</f>
        <v>112</v>
      </c>
      <c r="P156" s="88">
        <f>SUMIF('3 D P'!$D:$D,'Fresh VIN PPC'!$E$144:$E$197,'3 D P'!$N:$N)</f>
        <v>225</v>
      </c>
      <c r="Q156" s="132">
        <f>IFERROR(VLOOKUP($D156,'Yazaki Dispatch'!$A:$B,2,FALSE),0)</f>
        <v>1411</v>
      </c>
      <c r="R156" s="88">
        <f>SUMIF('Consumption MTD'!$B:$B,'Fresh VIN PPC'!$E$144:$E$184,'Consumption MTD'!$C:$C)</f>
        <v>1414</v>
      </c>
      <c r="S156" s="88">
        <f>SUMIF('BIW Lifting A Shift'!$B:$B,'Fresh VIN PPC'!$E$5:$E$184,'BIW Lifting A Shift'!$C:$C)</f>
        <v>0</v>
      </c>
      <c r="T156" s="88">
        <f>SUMIF('BIW Lifting B Shift'!$B:$B,'Fresh VIN PPC'!$E$5:$E$178,'BIW Lifting B Shift'!$C:$C)</f>
        <v>0</v>
      </c>
      <c r="U156" s="74">
        <f t="shared" si="38"/>
        <v>3</v>
      </c>
      <c r="V156" s="74">
        <f t="shared" si="39"/>
        <v>3</v>
      </c>
      <c r="W156" s="457">
        <f t="shared" si="40"/>
        <v>3</v>
      </c>
      <c r="X156" s="746">
        <f>SUMIF(FLOAT!$D:$D,'Fresh VIN PPC'!$E$144:$E$184,FLOAT!$F:$F)</f>
        <v>66</v>
      </c>
      <c r="Y156" s="743">
        <f t="shared" si="34"/>
        <v>2562</v>
      </c>
      <c r="Z156" s="38">
        <v>31</v>
      </c>
      <c r="AA156" s="49">
        <v>188</v>
      </c>
      <c r="AC156" s="147">
        <v>71</v>
      </c>
      <c r="AD156" s="514"/>
      <c r="AE156" s="278"/>
      <c r="AF156" s="471">
        <f>SUMIF(FLOAT!$D:$D,Cockpit!$E155:$E361,FLOAT!G:G)</f>
        <v>3</v>
      </c>
      <c r="AG156" s="62">
        <f>SUMIF(FLOAT!$D:$D,Cockpit!$E155:$E361,FLOAT!H:H)</f>
        <v>0</v>
      </c>
      <c r="AH156" s="62">
        <f>SUMIF(FLOAT!$D:$D,Cockpit!$E155:$E361,FLOAT!I:I)</f>
        <v>6</v>
      </c>
      <c r="AI156" s="62">
        <f>SUMIF(FLOAT!$D:$D,Cockpit!$E155:$E361,FLOAT!J:J)</f>
        <v>0</v>
      </c>
      <c r="AJ156" s="62">
        <f>SUMIF(FLOAT!$D:$D,Cockpit!$E155:$E361,FLOAT!K:K)</f>
        <v>1</v>
      </c>
      <c r="AK156" s="62">
        <f>SUMIF(FLOAT!$D:$D,Cockpit!$E155:$E361,FLOAT!L:L)</f>
        <v>1</v>
      </c>
      <c r="AL156" s="62">
        <f>SUMIF(FLOAT!$D:$D,Cockpit!$E155:$E361,FLOAT!M:M)</f>
        <v>11</v>
      </c>
      <c r="AM156" s="62">
        <f>SUMIF(FLOAT!$D:$D,Cockpit!$E155:$E361,FLOAT!N:N)</f>
        <v>1</v>
      </c>
      <c r="AN156" s="62">
        <f>SUMIF(FLOAT!$D:$D,Cockpit!$E155:$E361,FLOAT!O:O)</f>
        <v>11</v>
      </c>
      <c r="AO156" s="62">
        <f>SUMIF(FLOAT!$D:$D,Cockpit!$E155:$E361,FLOAT!P:P)</f>
        <v>0</v>
      </c>
      <c r="AP156" s="60">
        <f t="shared" si="33"/>
        <v>23</v>
      </c>
    </row>
    <row r="157" spans="1:42" ht="21.75" thickBot="1" x14ac:dyDescent="0.35">
      <c r="D157" s="693">
        <v>549754600108</v>
      </c>
      <c r="E157" s="511" t="s">
        <v>602</v>
      </c>
      <c r="F157" s="318" t="s">
        <v>663</v>
      </c>
      <c r="G157" s="584">
        <v>856</v>
      </c>
      <c r="H157" s="579">
        <f t="shared" si="41"/>
        <v>856</v>
      </c>
      <c r="I157" s="147">
        <v>14</v>
      </c>
      <c r="J157" s="214">
        <f t="shared" si="35"/>
        <v>288</v>
      </c>
      <c r="K157" s="76">
        <f t="shared" si="35"/>
        <v>271</v>
      </c>
      <c r="L157" s="155">
        <f t="shared" si="36"/>
        <v>585</v>
      </c>
      <c r="M157" s="77">
        <f t="shared" si="37"/>
        <v>31</v>
      </c>
      <c r="N157" s="88">
        <f>SUMIF('3 D P'!$D:$D,'Fresh VIN PPC'!$E$144:$E$197,'3 D P'!$L:$L)</f>
        <v>13</v>
      </c>
      <c r="O157" s="88">
        <f>SUMIF('3 D P'!$D:$D,'Fresh VIN PPC'!$E$144:$E$197,'3 D P'!$M:$M)</f>
        <v>40</v>
      </c>
      <c r="P157" s="88">
        <f>SUMIF('3 D P'!$D:$D,'Fresh VIN PPC'!$E$144:$E$197,'3 D P'!$N:$N)</f>
        <v>11</v>
      </c>
      <c r="Q157" s="132">
        <f>IFERROR(VLOOKUP($D157,'Yazaki Dispatch'!$A:$B,2,FALSE),0)</f>
        <v>288</v>
      </c>
      <c r="R157" s="88">
        <f>SUMIF('Consumption MTD'!$B:$B,'Fresh VIN PPC'!$E$144:$E$184,'Consumption MTD'!$C:$C)</f>
        <v>271</v>
      </c>
      <c r="S157" s="88">
        <f>SUMIF('BIW Lifting A Shift'!$B:$B,'Fresh VIN PPC'!$E$5:$E$184,'BIW Lifting A Shift'!$C:$C)</f>
        <v>0</v>
      </c>
      <c r="T157" s="88">
        <f>SUMIF('BIW Lifting B Shift'!$B:$B,'Fresh VIN PPC'!$E$5:$E$178,'BIW Lifting B Shift'!$C:$C)</f>
        <v>0</v>
      </c>
      <c r="U157" s="74">
        <f t="shared" si="38"/>
        <v>8</v>
      </c>
      <c r="V157" s="74">
        <f t="shared" si="39"/>
        <v>8</v>
      </c>
      <c r="W157" s="457">
        <f t="shared" si="40"/>
        <v>8</v>
      </c>
      <c r="X157" s="746">
        <f>SUMIF(FLOAT!$D:$D,'Fresh VIN PPC'!$E$144:$E$184,FLOAT!$F:$F)</f>
        <v>23</v>
      </c>
      <c r="Y157" s="743">
        <f t="shared" si="34"/>
        <v>585</v>
      </c>
      <c r="Z157" s="38">
        <v>32</v>
      </c>
      <c r="AA157" s="49">
        <v>30</v>
      </c>
      <c r="AC157" s="147">
        <v>13</v>
      </c>
      <c r="AD157" s="514"/>
      <c r="AE157" s="278"/>
      <c r="AF157" s="471">
        <f>SUMIF(FLOAT!$D:$D,Cockpit!$E156:$E362,FLOAT!G:G)</f>
        <v>5</v>
      </c>
      <c r="AG157" s="62">
        <f>SUMIF(FLOAT!$D:$D,Cockpit!$E156:$E362,FLOAT!H:H)</f>
        <v>1</v>
      </c>
      <c r="AH157" s="62">
        <f>SUMIF(FLOAT!$D:$D,Cockpit!$E156:$E362,FLOAT!I:I)</f>
        <v>5</v>
      </c>
      <c r="AI157" s="62">
        <f>SUMIF(FLOAT!$D:$D,Cockpit!$E156:$E362,FLOAT!J:J)</f>
        <v>0</v>
      </c>
      <c r="AJ157" s="62">
        <f>SUMIF(FLOAT!$D:$D,Cockpit!$E156:$E362,FLOAT!K:K)</f>
        <v>7</v>
      </c>
      <c r="AK157" s="62">
        <f>SUMIF(FLOAT!$D:$D,Cockpit!$E156:$E362,FLOAT!L:L)</f>
        <v>4</v>
      </c>
      <c r="AL157" s="62">
        <f>SUMIF(FLOAT!$D:$D,Cockpit!$E156:$E362,FLOAT!M:M)</f>
        <v>22</v>
      </c>
      <c r="AM157" s="62">
        <f>SUMIF(FLOAT!$D:$D,Cockpit!$E156:$E362,FLOAT!N:N)</f>
        <v>24</v>
      </c>
      <c r="AN157" s="62">
        <f>SUMIF(FLOAT!$D:$D,Cockpit!$E156:$E362,FLOAT!O:O)</f>
        <v>20</v>
      </c>
      <c r="AO157" s="62">
        <f>SUMIF(FLOAT!$D:$D,Cockpit!$E156:$E362,FLOAT!P:P)</f>
        <v>0</v>
      </c>
      <c r="AP157" s="60">
        <f t="shared" si="33"/>
        <v>66</v>
      </c>
    </row>
    <row r="158" spans="1:42" ht="21.75" thickBot="1" x14ac:dyDescent="0.35">
      <c r="D158" s="759">
        <v>549754600173</v>
      </c>
      <c r="E158" s="511" t="s">
        <v>603</v>
      </c>
      <c r="F158" s="318" t="s">
        <v>672</v>
      </c>
      <c r="G158" s="584">
        <v>3135</v>
      </c>
      <c r="H158" s="579">
        <f t="shared" si="41"/>
        <v>3135</v>
      </c>
      <c r="I158" s="147">
        <f>107-3</f>
        <v>104</v>
      </c>
      <c r="J158" s="214">
        <f t="shared" si="35"/>
        <v>1384</v>
      </c>
      <c r="K158" s="76">
        <f t="shared" si="35"/>
        <v>1393</v>
      </c>
      <c r="L158" s="155">
        <f t="shared" si="36"/>
        <v>1742</v>
      </c>
      <c r="M158" s="77">
        <f t="shared" si="37"/>
        <v>95</v>
      </c>
      <c r="N158" s="88">
        <f>SUMIF('3 D P'!$D:$D,'Fresh VIN PPC'!$E$144:$E$197,'3 D P'!$L:$L)</f>
        <v>132</v>
      </c>
      <c r="O158" s="88">
        <f>SUMIF('3 D P'!$D:$D,'Fresh VIN PPC'!$E$144:$E$197,'3 D P'!$M:$M)</f>
        <v>234</v>
      </c>
      <c r="P158" s="88">
        <f>SUMIF('3 D P'!$D:$D,'Fresh VIN PPC'!$E$144:$E$197,'3 D P'!$N:$N)</f>
        <v>277</v>
      </c>
      <c r="Q158" s="132">
        <f>IFERROR(VLOOKUP($D158,'Yazaki Dispatch'!$A:$B,2,FALSE),0)</f>
        <v>1384</v>
      </c>
      <c r="R158" s="88">
        <f>SUMIF('Consumption MTD'!$B:$B,'Fresh VIN PPC'!$E$144:$E$184,'Consumption MTD'!$C:$C)</f>
        <v>1393</v>
      </c>
      <c r="S158" s="88">
        <f>SUMIF('BIW Lifting A Shift'!$B:$B,'Fresh VIN PPC'!$E$5:$E$184,'BIW Lifting A Shift'!$C:$C)</f>
        <v>0</v>
      </c>
      <c r="T158" s="88">
        <f>SUMIF('BIW Lifting B Shift'!$B:$B,'Fresh VIN PPC'!$E$5:$E$178,'BIW Lifting B Shift'!$C:$C)</f>
        <v>0</v>
      </c>
      <c r="U158" s="74">
        <f t="shared" si="38"/>
        <v>-2</v>
      </c>
      <c r="V158" s="74">
        <f t="shared" si="39"/>
        <v>-2</v>
      </c>
      <c r="W158" s="457">
        <f t="shared" si="40"/>
        <v>-2</v>
      </c>
      <c r="X158" s="746">
        <f>SUMIF(FLOAT!$D:$D,'Fresh VIN PPC'!$E$144:$E$184,FLOAT!$F:$F)</f>
        <v>97</v>
      </c>
      <c r="Y158" s="743">
        <f t="shared" si="34"/>
        <v>1742</v>
      </c>
      <c r="Z158" s="38">
        <v>133</v>
      </c>
      <c r="AA158" s="49">
        <v>115</v>
      </c>
      <c r="AC158" s="147">
        <v>103</v>
      </c>
      <c r="AD158" s="514"/>
      <c r="AE158" s="278"/>
      <c r="AF158" s="471">
        <f>SUMIF(FLOAT!$D:$D,Cockpit!$E157:$E363,FLOAT!G:G)</f>
        <v>2</v>
      </c>
      <c r="AG158" s="62">
        <f>SUMIF(FLOAT!$D:$D,Cockpit!$E157:$E363,FLOAT!H:H)</f>
        <v>0</v>
      </c>
      <c r="AH158" s="62">
        <f>SUMIF(FLOAT!$D:$D,Cockpit!$E157:$E363,FLOAT!I:I)</f>
        <v>4</v>
      </c>
      <c r="AI158" s="62">
        <f>SUMIF(FLOAT!$D:$D,Cockpit!$E157:$E363,FLOAT!J:J)</f>
        <v>0</v>
      </c>
      <c r="AJ158" s="62">
        <f>SUMIF(FLOAT!$D:$D,Cockpit!$E157:$E363,FLOAT!K:K)</f>
        <v>2</v>
      </c>
      <c r="AK158" s="62">
        <f>SUMIF(FLOAT!$D:$D,Cockpit!$E157:$E363,FLOAT!L:L)</f>
        <v>4</v>
      </c>
      <c r="AL158" s="62">
        <f>SUMIF(FLOAT!$D:$D,Cockpit!$E157:$E363,FLOAT!M:M)</f>
        <v>12</v>
      </c>
      <c r="AM158" s="62">
        <f>SUMIF(FLOAT!$D:$D,Cockpit!$E157:$E363,FLOAT!N:N)</f>
        <v>3</v>
      </c>
      <c r="AN158" s="62">
        <f>SUMIF(FLOAT!$D:$D,Cockpit!$E157:$E363,FLOAT!O:O)</f>
        <v>8</v>
      </c>
      <c r="AO158" s="62">
        <f>SUMIF(FLOAT!$D:$D,Cockpit!$E157:$E363,FLOAT!P:P)</f>
        <v>0</v>
      </c>
      <c r="AP158" s="60">
        <f t="shared" si="33"/>
        <v>23</v>
      </c>
    </row>
    <row r="159" spans="1:42" ht="21.75" thickBot="1" x14ac:dyDescent="0.35">
      <c r="D159" s="693">
        <v>549754600227</v>
      </c>
      <c r="E159" s="511" t="s">
        <v>576</v>
      </c>
      <c r="F159" s="318" t="s">
        <v>673</v>
      </c>
      <c r="G159" s="584">
        <v>650</v>
      </c>
      <c r="H159" s="579">
        <f t="shared" si="41"/>
        <v>650</v>
      </c>
      <c r="I159" s="147">
        <v>23</v>
      </c>
      <c r="J159" s="214">
        <f t="shared" si="35"/>
        <v>305</v>
      </c>
      <c r="K159" s="76">
        <f t="shared" si="35"/>
        <v>312</v>
      </c>
      <c r="L159" s="155">
        <f t="shared" si="36"/>
        <v>338</v>
      </c>
      <c r="M159" s="77">
        <f t="shared" si="37"/>
        <v>16</v>
      </c>
      <c r="N159" s="88">
        <f>SUMIF('3 D P'!$D:$D,'Fresh VIN PPC'!$E$144:$E$197,'3 D P'!$L:$L)</f>
        <v>28</v>
      </c>
      <c r="O159" s="88">
        <f>SUMIF('3 D P'!$D:$D,'Fresh VIN PPC'!$E$144:$E$197,'3 D P'!$M:$M)</f>
        <v>0</v>
      </c>
      <c r="P159" s="88">
        <f>SUMIF('3 D P'!$D:$D,'Fresh VIN PPC'!$E$144:$E$197,'3 D P'!$N:$N)</f>
        <v>0</v>
      </c>
      <c r="Q159" s="132">
        <f>IFERROR(VLOOKUP($D159,'Yazaki Dispatch'!$A:$B,2,FALSE),0)</f>
        <v>305</v>
      </c>
      <c r="R159" s="88">
        <f>SUMIF('Consumption MTD'!$B:$B,'Fresh VIN PPC'!$E$144:$E$184,'Consumption MTD'!$C:$C)</f>
        <v>312</v>
      </c>
      <c r="S159" s="88">
        <f>SUMIF('BIW Lifting A Shift'!$B:$B,'Fresh VIN PPC'!$E$5:$E$184,'BIW Lifting A Shift'!$C:$C)</f>
        <v>0</v>
      </c>
      <c r="T159" s="88">
        <f>SUMIF('BIW Lifting B Shift'!$B:$B,'Fresh VIN PPC'!$E$5:$E$178,'BIW Lifting B Shift'!$C:$C)</f>
        <v>0</v>
      </c>
      <c r="U159" s="74">
        <f t="shared" si="38"/>
        <v>5</v>
      </c>
      <c r="V159" s="74">
        <f t="shared" si="39"/>
        <v>5</v>
      </c>
      <c r="W159" s="457">
        <f t="shared" si="40"/>
        <v>5</v>
      </c>
      <c r="X159" s="746">
        <f>SUMIF(FLOAT!$D:$D,'Fresh VIN PPC'!$E$144:$E$184,FLOAT!$F:$F)</f>
        <v>11</v>
      </c>
      <c r="Y159" s="743">
        <f t="shared" si="34"/>
        <v>338</v>
      </c>
      <c r="Z159" s="38">
        <v>22</v>
      </c>
      <c r="AA159" s="49">
        <v>17</v>
      </c>
      <c r="AC159" s="147">
        <v>21</v>
      </c>
      <c r="AD159" s="514"/>
      <c r="AE159" s="278"/>
      <c r="AF159" s="471">
        <f>SUMIF(FLOAT!$D:$D,Cockpit!$E158:$E364,FLOAT!G:G)</f>
        <v>3</v>
      </c>
      <c r="AG159" s="62">
        <f>SUMIF(FLOAT!$D:$D,Cockpit!$E158:$E364,FLOAT!H:H)</f>
        <v>4</v>
      </c>
      <c r="AH159" s="62">
        <f>SUMIF(FLOAT!$D:$D,Cockpit!$E158:$E364,FLOAT!I:I)</f>
        <v>10</v>
      </c>
      <c r="AI159" s="62">
        <f>SUMIF(FLOAT!$D:$D,Cockpit!$E158:$E364,FLOAT!J:J)</f>
        <v>0</v>
      </c>
      <c r="AJ159" s="62">
        <f>SUMIF(FLOAT!$D:$D,Cockpit!$E158:$E364,FLOAT!K:K)</f>
        <v>4</v>
      </c>
      <c r="AK159" s="62">
        <f>SUMIF(FLOAT!$D:$D,Cockpit!$E158:$E364,FLOAT!L:L)</f>
        <v>6</v>
      </c>
      <c r="AL159" s="62">
        <f>SUMIF(FLOAT!$D:$D,Cockpit!$E158:$E364,FLOAT!M:M)</f>
        <v>27</v>
      </c>
      <c r="AM159" s="62">
        <f>SUMIF(FLOAT!$D:$D,Cockpit!$E158:$E364,FLOAT!N:N)</f>
        <v>19</v>
      </c>
      <c r="AN159" s="62">
        <f>SUMIF(FLOAT!$D:$D,Cockpit!$E158:$E364,FLOAT!O:O)</f>
        <v>51</v>
      </c>
      <c r="AO159" s="62">
        <f>SUMIF(FLOAT!$D:$D,Cockpit!$E158:$E364,FLOAT!P:P)</f>
        <v>0</v>
      </c>
      <c r="AP159" s="60">
        <f t="shared" si="33"/>
        <v>97</v>
      </c>
    </row>
    <row r="160" spans="1:42" ht="21.75" thickBot="1" x14ac:dyDescent="0.35">
      <c r="D160" s="693">
        <v>549754600109</v>
      </c>
      <c r="E160" s="511" t="s">
        <v>604</v>
      </c>
      <c r="F160" s="318" t="s">
        <v>674</v>
      </c>
      <c r="G160" s="584">
        <v>1049</v>
      </c>
      <c r="H160" s="579">
        <f t="shared" si="41"/>
        <v>1049</v>
      </c>
      <c r="I160" s="147">
        <v>32</v>
      </c>
      <c r="J160" s="214">
        <f>Q160</f>
        <v>441</v>
      </c>
      <c r="K160" s="76">
        <f>R160</f>
        <v>439</v>
      </c>
      <c r="L160" s="155">
        <f>H160-K160</f>
        <v>610</v>
      </c>
      <c r="M160" s="77">
        <f>I160+J160-K160</f>
        <v>34</v>
      </c>
      <c r="N160" s="88">
        <f>SUMIF('3 D P'!$D:$D,'Fresh VIN PPC'!$E$144:$E$197,'3 D P'!$L:$L)</f>
        <v>29</v>
      </c>
      <c r="O160" s="88">
        <f>SUMIF('3 D P'!$D:$D,'Fresh VIN PPC'!$E$144:$E$197,'3 D P'!$M:$M)</f>
        <v>10</v>
      </c>
      <c r="P160" s="88">
        <f>SUMIF('3 D P'!$D:$D,'Fresh VIN PPC'!$E$144:$E$197,'3 D P'!$N:$N)</f>
        <v>21</v>
      </c>
      <c r="Q160" s="132">
        <f>IFERROR(VLOOKUP($D160,'Yazaki Dispatch'!$A:$B,2,FALSE),0)</f>
        <v>441</v>
      </c>
      <c r="R160" s="88">
        <f>SUMIF('Consumption MTD'!$B:$B,'Fresh VIN PPC'!$E$144:$E$184,'Consumption MTD'!$C:$C)</f>
        <v>439</v>
      </c>
      <c r="S160" s="88">
        <f>SUMIF('BIW Lifting A Shift'!$B:$B,'Fresh VIN PPC'!$E$5:$E$184,'BIW Lifting A Shift'!$C:$C)</f>
        <v>0</v>
      </c>
      <c r="T160" s="88">
        <f>SUMIF('BIW Lifting B Shift'!$B:$B,'Fresh VIN PPC'!$E$5:$E$178,'BIW Lifting B Shift'!$C:$C)</f>
        <v>0</v>
      </c>
      <c r="U160" s="74">
        <f>M160-X160</f>
        <v>7</v>
      </c>
      <c r="V160" s="74">
        <f>M160-S160-X160</f>
        <v>7</v>
      </c>
      <c r="W160" s="457">
        <f>V160-T160</f>
        <v>7</v>
      </c>
      <c r="X160" s="746">
        <f>SUMIF(FLOAT!$D:$D,'Fresh VIN PPC'!$E$144:$E$184,FLOAT!$F:$F)</f>
        <v>27</v>
      </c>
      <c r="Y160" s="743">
        <f t="shared" si="34"/>
        <v>610</v>
      </c>
      <c r="Z160" s="38">
        <v>29</v>
      </c>
      <c r="AA160" s="49">
        <v>14</v>
      </c>
      <c r="AC160" s="147">
        <v>17</v>
      </c>
      <c r="AD160" s="514"/>
      <c r="AE160" s="278"/>
      <c r="AF160" s="471">
        <f>SUMIF(FLOAT!$D:$D,Cockpit!$E159:$E366,FLOAT!G:G)</f>
        <v>1</v>
      </c>
      <c r="AG160" s="62">
        <f>SUMIF(FLOAT!$D:$D,Cockpit!$E159:$E366,FLOAT!H:H)</f>
        <v>0</v>
      </c>
      <c r="AH160" s="62">
        <f>SUMIF(FLOAT!$D:$D,Cockpit!$E159:$E366,FLOAT!I:I)</f>
        <v>0</v>
      </c>
      <c r="AI160" s="62">
        <f>SUMIF(FLOAT!$D:$D,Cockpit!$E159:$E366,FLOAT!J:J)</f>
        <v>0</v>
      </c>
      <c r="AJ160" s="62">
        <f>SUMIF(FLOAT!$D:$D,Cockpit!$E159:$E366,FLOAT!K:K)</f>
        <v>1</v>
      </c>
      <c r="AK160" s="62">
        <f>SUMIF(FLOAT!$D:$D,Cockpit!$E159:$E366,FLOAT!L:L)</f>
        <v>5</v>
      </c>
      <c r="AL160" s="62">
        <f>SUMIF(FLOAT!$D:$D,Cockpit!$E159:$E366,FLOAT!M:M)</f>
        <v>7</v>
      </c>
      <c r="AM160" s="62">
        <f>SUMIF(FLOAT!$D:$D,Cockpit!$E159:$E366,FLOAT!N:N)</f>
        <v>1</v>
      </c>
      <c r="AN160" s="62">
        <f>SUMIF(FLOAT!$D:$D,Cockpit!$E159:$E366,FLOAT!O:O)</f>
        <v>3</v>
      </c>
      <c r="AO160" s="62">
        <f>SUMIF(FLOAT!$D:$D,Cockpit!$E159:$E366,FLOAT!P:P)</f>
        <v>0</v>
      </c>
      <c r="AP160" s="60">
        <f>AF160+AG160+AH160+AI160+AJ160+AK160+AM160+AN160+AO160</f>
        <v>11</v>
      </c>
    </row>
    <row r="161" spans="4:42" ht="21.75" thickBot="1" x14ac:dyDescent="0.35">
      <c r="D161" s="693">
        <v>549754600110</v>
      </c>
      <c r="E161" s="511" t="s">
        <v>583</v>
      </c>
      <c r="F161" s="318" t="s">
        <v>606</v>
      </c>
      <c r="G161" s="584">
        <v>268</v>
      </c>
      <c r="H161" s="579">
        <f t="shared" si="41"/>
        <v>268</v>
      </c>
      <c r="I161" s="147">
        <v>10</v>
      </c>
      <c r="J161" s="214">
        <f>Q161</f>
        <v>127</v>
      </c>
      <c r="K161" s="76">
        <f>R161</f>
        <v>115</v>
      </c>
      <c r="L161" s="155">
        <f>H161-K161</f>
        <v>153</v>
      </c>
      <c r="M161" s="77">
        <f>I161+J161-K161</f>
        <v>22</v>
      </c>
      <c r="N161" s="88">
        <f>SUMIF('3 D P'!$D:$D,'Fresh VIN PPC'!$E$144:$E$197,'3 D P'!$L:$L)</f>
        <v>1</v>
      </c>
      <c r="O161" s="88">
        <f>SUMIF('3 D P'!$D:$D,'Fresh VIN PPC'!$E$144:$E$197,'3 D P'!$M:$M)</f>
        <v>0</v>
      </c>
      <c r="P161" s="88">
        <f>SUMIF('3 D P'!$D:$D,'Fresh VIN PPC'!$E$144:$E$197,'3 D P'!$N:$N)</f>
        <v>0</v>
      </c>
      <c r="Q161" s="132">
        <f>IFERROR(VLOOKUP($D161,'Yazaki Dispatch'!$A:$B,2,FALSE),0)</f>
        <v>127</v>
      </c>
      <c r="R161" s="88">
        <f>SUMIF('Consumption MTD'!$B:$B,'Fresh VIN PPC'!$E$144:$E$184,'Consumption MTD'!$C:$C)</f>
        <v>115</v>
      </c>
      <c r="S161" s="88">
        <f>SUMIF('BIW Lifting A Shift'!$B:$B,'Fresh VIN PPC'!$E$5:$E$184,'BIW Lifting A Shift'!$C:$C)</f>
        <v>0</v>
      </c>
      <c r="T161" s="88">
        <f>SUMIF('BIW Lifting B Shift'!$B:$B,'Fresh VIN PPC'!$E$5:$E$178,'BIW Lifting B Shift'!$C:$C)</f>
        <v>0</v>
      </c>
      <c r="U161" s="74">
        <f>M161-X161</f>
        <v>15</v>
      </c>
      <c r="V161" s="74">
        <f>M161-S161-X161</f>
        <v>15</v>
      </c>
      <c r="W161" s="457">
        <f>V161-T161</f>
        <v>15</v>
      </c>
      <c r="X161" s="746">
        <f>SUMIF(FLOAT!$D:$D,'Fresh VIN PPC'!$E$144:$E$184,FLOAT!$F:$F)</f>
        <v>7</v>
      </c>
      <c r="Y161" s="743">
        <f t="shared" si="34"/>
        <v>153</v>
      </c>
      <c r="Z161" s="38">
        <v>22</v>
      </c>
      <c r="AA161" s="49">
        <v>20</v>
      </c>
      <c r="AC161" s="147">
        <v>11</v>
      </c>
      <c r="AD161" s="514"/>
      <c r="AE161" s="278"/>
      <c r="AF161" s="471">
        <f>SUMIF(FLOAT!$D:$D,Cockpit!$E160:$E367,FLOAT!G:G)</f>
        <v>2</v>
      </c>
      <c r="AG161" s="62">
        <f>SUMIF(FLOAT!$D:$D,Cockpit!$E160:$E367,FLOAT!H:H)</f>
        <v>8</v>
      </c>
      <c r="AH161" s="283">
        <f>SUMIF(FLOAT!$D:$D,Cockpit!$E160:$E367,FLOAT!I:I)</f>
        <v>6</v>
      </c>
      <c r="AI161" s="62">
        <f>SUMIF(FLOAT!$D:$D,Cockpit!$E160:$E367,FLOAT!J:J)</f>
        <v>0</v>
      </c>
      <c r="AJ161" s="62">
        <f>SUMIF(FLOAT!$D:$D,Cockpit!$E160:$E367,FLOAT!K:K)</f>
        <v>0</v>
      </c>
      <c r="AK161" s="62">
        <f>SUMIF(FLOAT!$D:$D,Cockpit!$E160:$E367,FLOAT!L:L)</f>
        <v>0</v>
      </c>
      <c r="AL161" s="62">
        <f>SUMIF(FLOAT!$D:$D,Cockpit!$E160:$E367,FLOAT!M:M)</f>
        <v>16</v>
      </c>
      <c r="AM161" s="62">
        <f>SUMIF(FLOAT!$D:$D,Cockpit!$E160:$E367,FLOAT!N:N)</f>
        <v>3</v>
      </c>
      <c r="AN161" s="62">
        <f>SUMIF(FLOAT!$D:$D,Cockpit!$E160:$E367,FLOAT!O:O)</f>
        <v>8</v>
      </c>
      <c r="AO161" s="62">
        <f>SUMIF(FLOAT!$D:$D,Cockpit!$E160:$E367,FLOAT!P:P)</f>
        <v>0</v>
      </c>
      <c r="AP161" s="60">
        <f>AF161+AG161+AH161+AI161+AJ161+AK161+AM161+AN161+AO161</f>
        <v>27</v>
      </c>
    </row>
    <row r="162" spans="4:42" ht="21.75" thickBot="1" x14ac:dyDescent="0.35">
      <c r="D162" s="693">
        <v>549754600127</v>
      </c>
      <c r="E162" s="511" t="s">
        <v>584</v>
      </c>
      <c r="F162" s="318" t="s">
        <v>605</v>
      </c>
      <c r="G162" s="584">
        <v>823</v>
      </c>
      <c r="H162" s="579">
        <f t="shared" si="41"/>
        <v>823</v>
      </c>
      <c r="I162" s="147">
        <v>16</v>
      </c>
      <c r="J162" s="214">
        <f t="shared" ref="J162:K184" si="42">Q162</f>
        <v>350</v>
      </c>
      <c r="K162" s="76">
        <f t="shared" si="42"/>
        <v>335</v>
      </c>
      <c r="L162" s="155">
        <f t="shared" ref="L162:L181" si="43">H162-K162</f>
        <v>488</v>
      </c>
      <c r="M162" s="77">
        <f t="shared" ref="M162:M181" si="44">I162+J162-K162</f>
        <v>31</v>
      </c>
      <c r="N162" s="88">
        <f>SUMIF('3 D P'!$D:$D,'Fresh VIN PPC'!$E$144:$E$197,'3 D P'!$L:$L)</f>
        <v>28</v>
      </c>
      <c r="O162" s="88">
        <f>SUMIF('3 D P'!$D:$D,'Fresh VIN PPC'!$E$144:$E$197,'3 D P'!$M:$M)</f>
        <v>5</v>
      </c>
      <c r="P162" s="88">
        <f>SUMIF('3 D P'!$D:$D,'Fresh VIN PPC'!$E$144:$E$197,'3 D P'!$N:$N)</f>
        <v>36</v>
      </c>
      <c r="Q162" s="132">
        <f>IFERROR(VLOOKUP($D162,'Yazaki Dispatch'!$A:$B,2,FALSE),0)</f>
        <v>350</v>
      </c>
      <c r="R162" s="88">
        <f>SUMIF('Consumption MTD'!$B:$B,'Fresh VIN PPC'!$E$144:$E$184,'Consumption MTD'!$C:$C)</f>
        <v>335</v>
      </c>
      <c r="S162" s="88">
        <f>SUMIF('BIW Lifting A Shift'!$B:$B,'Fresh VIN PPC'!$E$5:$E$184,'BIW Lifting A Shift'!$C:$C)</f>
        <v>0</v>
      </c>
      <c r="T162" s="88">
        <f>SUMIF('BIW Lifting B Shift'!$B:$B,'Fresh VIN PPC'!$E$5:$E$178,'BIW Lifting B Shift'!$C:$C)</f>
        <v>0</v>
      </c>
      <c r="U162" s="74">
        <f t="shared" ref="U162:U181" si="45">M162-X162</f>
        <v>19</v>
      </c>
      <c r="V162" s="74">
        <f t="shared" ref="V162:V181" si="46">M162-S162-X162</f>
        <v>19</v>
      </c>
      <c r="W162" s="457">
        <f t="shared" ref="W162:W181" si="47">V162-T162</f>
        <v>19</v>
      </c>
      <c r="X162" s="746">
        <f>SUMIF(FLOAT!$D:$D,'Fresh VIN PPC'!$E$144:$E$184,FLOAT!$F:$F)</f>
        <v>12</v>
      </c>
      <c r="Y162" s="743">
        <f t="shared" si="34"/>
        <v>488</v>
      </c>
      <c r="Z162" s="38">
        <v>23</v>
      </c>
      <c r="AA162" s="49">
        <v>21</v>
      </c>
      <c r="AC162" s="147">
        <v>15</v>
      </c>
      <c r="AD162" s="514"/>
      <c r="AE162" s="278"/>
      <c r="AF162" s="471">
        <f>SUMIF(FLOAT!$D:$D,Cockpit!$E161:$E369,FLOAT!G:G)</f>
        <v>0</v>
      </c>
      <c r="AG162" s="62">
        <f>SUMIF(FLOAT!$D:$D,Cockpit!$E161:$E369,FLOAT!H:H)</f>
        <v>0</v>
      </c>
      <c r="AH162" s="62">
        <f>SUMIF(FLOAT!$D:$D,Cockpit!$E161:$E369,FLOAT!I:I)</f>
        <v>0</v>
      </c>
      <c r="AI162" s="62">
        <f>SUMIF(FLOAT!$D:$D,Cockpit!$E161:$E369,FLOAT!J:J)</f>
        <v>0</v>
      </c>
      <c r="AJ162" s="62">
        <f>SUMIF(FLOAT!$D:$D,Cockpit!$E161:$E369,FLOAT!K:K)</f>
        <v>0</v>
      </c>
      <c r="AK162" s="62">
        <f>SUMIF(FLOAT!$D:$D,Cockpit!$E161:$E369,FLOAT!L:L)</f>
        <v>0</v>
      </c>
      <c r="AL162" s="62">
        <f>SUMIF(FLOAT!$D:$D,Cockpit!$E161:$E369,FLOAT!M:M)</f>
        <v>0</v>
      </c>
      <c r="AM162" s="283">
        <f>SUMIF(FLOAT!$D:$D,Cockpit!$E161:$E369,FLOAT!N:N)</f>
        <v>3</v>
      </c>
      <c r="AN162" s="62">
        <f>SUMIF(FLOAT!$D:$D,Cockpit!$E161:$E369,FLOAT!O:O)</f>
        <v>4</v>
      </c>
      <c r="AO162" s="62">
        <f>SUMIF(FLOAT!$D:$D,Cockpit!$E161:$E369,FLOAT!P:P)</f>
        <v>0</v>
      </c>
      <c r="AP162" s="60">
        <f t="shared" ref="AP162:AP179" si="48">AF162+AG162+AH162+AI162+AJ162+AK162+AM162+AN162+AO162</f>
        <v>7</v>
      </c>
    </row>
    <row r="163" spans="4:42" ht="21.75" thickBot="1" x14ac:dyDescent="0.35">
      <c r="D163" s="693">
        <v>549754600111</v>
      </c>
      <c r="E163" s="511" t="s">
        <v>585</v>
      </c>
      <c r="F163" s="318" t="s">
        <v>662</v>
      </c>
      <c r="G163" s="584">
        <v>1126</v>
      </c>
      <c r="H163" s="579">
        <f t="shared" si="41"/>
        <v>1126</v>
      </c>
      <c r="I163" s="147">
        <v>44</v>
      </c>
      <c r="J163" s="214">
        <f t="shared" si="42"/>
        <v>409</v>
      </c>
      <c r="K163" s="76">
        <f t="shared" si="42"/>
        <v>430</v>
      </c>
      <c r="L163" s="155">
        <f t="shared" si="43"/>
        <v>696</v>
      </c>
      <c r="M163" s="77">
        <f t="shared" si="44"/>
        <v>23</v>
      </c>
      <c r="N163" s="88">
        <f>SUMIF('3 D P'!$D:$D,'Fresh VIN PPC'!$E$144:$E$197,'3 D P'!$L:$L)</f>
        <v>14</v>
      </c>
      <c r="O163" s="88">
        <f>SUMIF('3 D P'!$D:$D,'Fresh VIN PPC'!$E$144:$E$197,'3 D P'!$M:$M)</f>
        <v>34</v>
      </c>
      <c r="P163" s="88">
        <f>SUMIF('3 D P'!$D:$D,'Fresh VIN PPC'!$E$144:$E$197,'3 D P'!$N:$N)</f>
        <v>46</v>
      </c>
      <c r="Q163" s="132">
        <f>IFERROR(VLOOKUP($D163,'Yazaki Dispatch'!$A:$B,2,FALSE),0)</f>
        <v>409</v>
      </c>
      <c r="R163" s="88">
        <f>SUMIF('Consumption MTD'!$B:$B,'Fresh VIN PPC'!$E$144:$E$184,'Consumption MTD'!$C:$C)</f>
        <v>430</v>
      </c>
      <c r="S163" s="88">
        <f>SUMIF('BIW Lifting A Shift'!$B:$B,'Fresh VIN PPC'!$E$5:$E$184,'BIW Lifting A Shift'!$C:$C)</f>
        <v>0</v>
      </c>
      <c r="T163" s="88">
        <f>SUMIF('BIW Lifting B Shift'!$B:$B,'Fresh VIN PPC'!$E$5:$E$178,'BIW Lifting B Shift'!$C:$C)</f>
        <v>0</v>
      </c>
      <c r="U163" s="74">
        <f t="shared" si="45"/>
        <v>6</v>
      </c>
      <c r="V163" s="74">
        <f t="shared" si="46"/>
        <v>6</v>
      </c>
      <c r="W163" s="457">
        <f t="shared" si="47"/>
        <v>6</v>
      </c>
      <c r="X163" s="746">
        <f>SUMIF(FLOAT!$D:$D,'Fresh VIN PPC'!$E$144:$E$184,FLOAT!$F:$F)</f>
        <v>17</v>
      </c>
      <c r="Y163" s="743">
        <f t="shared" si="34"/>
        <v>696</v>
      </c>
      <c r="Z163" s="38">
        <v>40</v>
      </c>
      <c r="AA163" s="49">
        <v>84</v>
      </c>
      <c r="AC163" s="147">
        <v>43</v>
      </c>
      <c r="AD163" s="514"/>
      <c r="AE163" s="278"/>
      <c r="AF163" s="471">
        <f>SUMIF(FLOAT!$D:$D,Cockpit!$E162:$E370,FLOAT!G:G)</f>
        <v>0</v>
      </c>
      <c r="AG163" s="62">
        <f>SUMIF(FLOAT!$D:$D,Cockpit!$E162:$E370,FLOAT!H:H)</f>
        <v>2</v>
      </c>
      <c r="AH163" s="62">
        <f>SUMIF(FLOAT!$D:$D,Cockpit!$E162:$E370,FLOAT!I:I)</f>
        <v>3</v>
      </c>
      <c r="AI163" s="62">
        <f>SUMIF(FLOAT!$D:$D,Cockpit!$E162:$E370,FLOAT!J:J)</f>
        <v>0</v>
      </c>
      <c r="AJ163" s="62">
        <f>SUMIF(FLOAT!$D:$D,Cockpit!$E162:$E370,FLOAT!K:K)</f>
        <v>0</v>
      </c>
      <c r="AK163" s="62">
        <f>SUMIF(FLOAT!$D:$D,Cockpit!$E162:$E370,FLOAT!L:L)</f>
        <v>2</v>
      </c>
      <c r="AL163" s="62">
        <f>SUMIF(FLOAT!$D:$D,Cockpit!$E162:$E370,FLOAT!M:M)</f>
        <v>7</v>
      </c>
      <c r="AM163" s="62">
        <f>SUMIF(FLOAT!$D:$D,Cockpit!$E162:$E370,FLOAT!N:N)</f>
        <v>1</v>
      </c>
      <c r="AN163" s="62">
        <f>SUMIF(FLOAT!$D:$D,Cockpit!$E162:$E370,FLOAT!O:O)</f>
        <v>4</v>
      </c>
      <c r="AO163" s="62">
        <f>SUMIF(FLOAT!$D:$D,Cockpit!$E162:$E370,FLOAT!P:P)</f>
        <v>0</v>
      </c>
      <c r="AP163" s="60">
        <f t="shared" si="48"/>
        <v>12</v>
      </c>
    </row>
    <row r="164" spans="4:42" ht="21.75" thickBot="1" x14ac:dyDescent="0.35">
      <c r="D164" s="693">
        <v>549754600112</v>
      </c>
      <c r="E164" s="511" t="s">
        <v>586</v>
      </c>
      <c r="F164" s="318" t="s">
        <v>675</v>
      </c>
      <c r="G164" s="584">
        <v>825</v>
      </c>
      <c r="H164" s="579">
        <f t="shared" si="41"/>
        <v>825</v>
      </c>
      <c r="I164" s="147">
        <f>21-1</f>
        <v>20</v>
      </c>
      <c r="J164" s="214">
        <f t="shared" si="42"/>
        <v>281</v>
      </c>
      <c r="K164" s="76">
        <f t="shared" si="42"/>
        <v>272</v>
      </c>
      <c r="L164" s="155">
        <f t="shared" si="43"/>
        <v>553</v>
      </c>
      <c r="M164" s="77">
        <f t="shared" si="44"/>
        <v>29</v>
      </c>
      <c r="N164" s="88">
        <f>SUMIF('3 D P'!$D:$D,'Fresh VIN PPC'!$E$144:$E$197,'3 D P'!$L:$L)</f>
        <v>15</v>
      </c>
      <c r="O164" s="88">
        <f>SUMIF('3 D P'!$D:$D,'Fresh VIN PPC'!$E$144:$E$197,'3 D P'!$M:$M)</f>
        <v>30</v>
      </c>
      <c r="P164" s="88">
        <f>SUMIF('3 D P'!$D:$D,'Fresh VIN PPC'!$E$144:$E$197,'3 D P'!$N:$N)</f>
        <v>67</v>
      </c>
      <c r="Q164" s="132">
        <f>IFERROR(VLOOKUP($D164,'Yazaki Dispatch'!$A:$B,2,FALSE),0)</f>
        <v>281</v>
      </c>
      <c r="R164" s="88">
        <f>SUMIF('Consumption MTD'!$B:$B,'Fresh VIN PPC'!$E$144:$E$184,'Consumption MTD'!$C:$C)</f>
        <v>272</v>
      </c>
      <c r="S164" s="88">
        <f>SUMIF('BIW Lifting A Shift'!$B:$B,'Fresh VIN PPC'!$E$5:$E$184,'BIW Lifting A Shift'!$C:$C)</f>
        <v>0</v>
      </c>
      <c r="T164" s="88">
        <f>SUMIF('BIW Lifting B Shift'!$B:$B,'Fresh VIN PPC'!$E$5:$E$178,'BIW Lifting B Shift'!$C:$C)</f>
        <v>0</v>
      </c>
      <c r="U164" s="74">
        <f t="shared" si="45"/>
        <v>13</v>
      </c>
      <c r="V164" s="74">
        <f t="shared" si="46"/>
        <v>13</v>
      </c>
      <c r="W164" s="457">
        <f t="shared" si="47"/>
        <v>13</v>
      </c>
      <c r="X164" s="746">
        <f>SUMIF(FLOAT!$D:$D,'Fresh VIN PPC'!$E$144:$E$184,FLOAT!$F:$F)</f>
        <v>16</v>
      </c>
      <c r="Y164" s="743">
        <f t="shared" si="34"/>
        <v>553</v>
      </c>
      <c r="Z164" s="38">
        <v>27</v>
      </c>
      <c r="AA164" s="49">
        <v>17</v>
      </c>
      <c r="AC164" s="147">
        <v>20</v>
      </c>
      <c r="AD164" s="514"/>
      <c r="AE164" s="278"/>
      <c r="AF164" s="471">
        <f>SUMIF(FLOAT!$D:$D,Cockpit!$E163:$E371,FLOAT!G:G)</f>
        <v>1</v>
      </c>
      <c r="AG164" s="62">
        <f>SUMIF(FLOAT!$D:$D,Cockpit!$E163:$E371,FLOAT!H:H)</f>
        <v>1</v>
      </c>
      <c r="AH164" s="62">
        <f>SUMIF(FLOAT!$D:$D,Cockpit!$E163:$E371,FLOAT!I:I)</f>
        <v>3</v>
      </c>
      <c r="AI164" s="62">
        <f>SUMIF(FLOAT!$D:$D,Cockpit!$E163:$E371,FLOAT!J:J)</f>
        <v>0</v>
      </c>
      <c r="AJ164" s="62">
        <f>SUMIF(FLOAT!$D:$D,Cockpit!$E163:$E371,FLOAT!K:K)</f>
        <v>2</v>
      </c>
      <c r="AK164" s="62">
        <f>SUMIF(FLOAT!$D:$D,Cockpit!$E163:$E371,FLOAT!L:L)</f>
        <v>3</v>
      </c>
      <c r="AL164" s="62">
        <f>SUMIF(FLOAT!$D:$D,Cockpit!$E163:$E371,FLOAT!M:M)</f>
        <v>10</v>
      </c>
      <c r="AM164" s="62">
        <f>SUMIF(FLOAT!$D:$D,Cockpit!$E163:$E371,FLOAT!N:N)</f>
        <v>1</v>
      </c>
      <c r="AN164" s="62">
        <f>SUMIF(FLOAT!$D:$D,Cockpit!$E163:$E371,FLOAT!O:O)</f>
        <v>6</v>
      </c>
      <c r="AO164" s="62">
        <f>SUMIF(FLOAT!$D:$D,Cockpit!$E163:$E371,FLOAT!P:P)</f>
        <v>0</v>
      </c>
      <c r="AP164" s="60">
        <f t="shared" si="48"/>
        <v>17</v>
      </c>
    </row>
    <row r="165" spans="4:42" ht="21.75" thickBot="1" x14ac:dyDescent="0.35">
      <c r="D165" s="693">
        <v>549754600180</v>
      </c>
      <c r="E165" s="511" t="s">
        <v>587</v>
      </c>
      <c r="F165" s="318" t="s">
        <v>676</v>
      </c>
      <c r="G165" s="584">
        <v>978</v>
      </c>
      <c r="H165" s="579">
        <f t="shared" si="41"/>
        <v>978</v>
      </c>
      <c r="I165" s="147">
        <f>26-1</f>
        <v>25</v>
      </c>
      <c r="J165" s="214">
        <f t="shared" si="42"/>
        <v>331</v>
      </c>
      <c r="K165" s="76">
        <f t="shared" si="42"/>
        <v>336</v>
      </c>
      <c r="L165" s="155">
        <f t="shared" si="43"/>
        <v>642</v>
      </c>
      <c r="M165" s="77">
        <f t="shared" si="44"/>
        <v>20</v>
      </c>
      <c r="N165" s="88">
        <f>SUMIF('3 D P'!$D:$D,'Fresh VIN PPC'!$E$144:$E$197,'3 D P'!$L:$L)</f>
        <v>32</v>
      </c>
      <c r="O165" s="88">
        <f>SUMIF('3 D P'!$D:$D,'Fresh VIN PPC'!$E$144:$E$197,'3 D P'!$M:$M)</f>
        <v>19</v>
      </c>
      <c r="P165" s="88">
        <f>SUMIF('3 D P'!$D:$D,'Fresh VIN PPC'!$E$144:$E$197,'3 D P'!$N:$N)</f>
        <v>6</v>
      </c>
      <c r="Q165" s="132">
        <f>IFERROR(VLOOKUP($D165,'Yazaki Dispatch'!$A:$B,2,FALSE),0)</f>
        <v>331</v>
      </c>
      <c r="R165" s="88">
        <f>SUMIF('Consumption MTD'!$B:$B,'Fresh VIN PPC'!$E$144:$E$184,'Consumption MTD'!$C:$C)</f>
        <v>336</v>
      </c>
      <c r="S165" s="88">
        <f>SUMIF('BIW Lifting A Shift'!$B:$B,'Fresh VIN PPC'!$E$5:$E$184,'BIW Lifting A Shift'!$C:$C)</f>
        <v>0</v>
      </c>
      <c r="T165" s="88">
        <f>SUMIF('BIW Lifting B Shift'!$B:$B,'Fresh VIN PPC'!$E$5:$E$178,'BIW Lifting B Shift'!$C:$C)</f>
        <v>0</v>
      </c>
      <c r="U165" s="74">
        <f t="shared" si="45"/>
        <v>16</v>
      </c>
      <c r="V165" s="74">
        <f t="shared" si="46"/>
        <v>16</v>
      </c>
      <c r="W165" s="457">
        <f t="shared" si="47"/>
        <v>16</v>
      </c>
      <c r="X165" s="746">
        <f>SUMIF(FLOAT!$D:$D,'Fresh VIN PPC'!$E$144:$E$184,FLOAT!$F:$F)</f>
        <v>4</v>
      </c>
      <c r="Y165" s="743">
        <f t="shared" si="34"/>
        <v>642</v>
      </c>
      <c r="Z165" s="38">
        <v>58</v>
      </c>
      <c r="AA165" s="49">
        <v>31</v>
      </c>
      <c r="AC165" s="147">
        <v>21</v>
      </c>
      <c r="AD165" s="514"/>
      <c r="AE165" s="278"/>
      <c r="AF165" s="471">
        <f>SUMIF(FLOAT!$D:$D,Cockpit!$E164:$E372,FLOAT!G:G)</f>
        <v>0</v>
      </c>
      <c r="AG165" s="62">
        <f>SUMIF(FLOAT!$D:$D,Cockpit!$E164:$E372,FLOAT!H:H)</f>
        <v>0</v>
      </c>
      <c r="AH165" s="62">
        <f>SUMIF(FLOAT!$D:$D,Cockpit!$E164:$E372,FLOAT!I:I)</f>
        <v>0</v>
      </c>
      <c r="AI165" s="62">
        <f>SUMIF(FLOAT!$D:$D,Cockpit!$E164:$E372,FLOAT!J:J)</f>
        <v>0</v>
      </c>
      <c r="AJ165" s="62">
        <f>SUMIF(FLOAT!$D:$D,Cockpit!$E164:$E372,FLOAT!K:K)</f>
        <v>0</v>
      </c>
      <c r="AK165" s="62">
        <f>SUMIF(FLOAT!$D:$D,Cockpit!$E164:$E372,FLOAT!L:L)</f>
        <v>0</v>
      </c>
      <c r="AL165" s="62">
        <f>SUMIF(FLOAT!$D:$D,Cockpit!$E164:$E372,FLOAT!M:M)</f>
        <v>0</v>
      </c>
      <c r="AM165" s="62">
        <f>SUMIF(FLOAT!$D:$D,Cockpit!$E164:$E372,FLOAT!N:N)</f>
        <v>8</v>
      </c>
      <c r="AN165" s="62">
        <f>SUMIF(FLOAT!$D:$D,Cockpit!$E164:$E372,FLOAT!O:O)</f>
        <v>8</v>
      </c>
      <c r="AO165" s="62">
        <f>SUMIF(FLOAT!$D:$D,Cockpit!$E164:$E372,FLOAT!P:P)</f>
        <v>0</v>
      </c>
      <c r="AP165" s="60">
        <f t="shared" si="48"/>
        <v>16</v>
      </c>
    </row>
    <row r="166" spans="4:42" ht="21.75" thickBot="1" x14ac:dyDescent="0.35">
      <c r="D166" s="693">
        <v>549754600231</v>
      </c>
      <c r="E166" s="511" t="s">
        <v>589</v>
      </c>
      <c r="F166" s="318" t="s">
        <v>677</v>
      </c>
      <c r="G166" s="584">
        <v>772</v>
      </c>
      <c r="H166" s="579">
        <f t="shared" si="41"/>
        <v>772</v>
      </c>
      <c r="I166" s="147">
        <v>21</v>
      </c>
      <c r="J166" s="214">
        <f t="shared" si="42"/>
        <v>287</v>
      </c>
      <c r="K166" s="76">
        <f t="shared" si="42"/>
        <v>275</v>
      </c>
      <c r="L166" s="155">
        <f t="shared" si="43"/>
        <v>497</v>
      </c>
      <c r="M166" s="77">
        <f t="shared" si="44"/>
        <v>33</v>
      </c>
      <c r="N166" s="88">
        <f>SUMIF('3 D P'!$D:$D,'Fresh VIN PPC'!$E$144:$E$197,'3 D P'!$L:$L)</f>
        <v>42</v>
      </c>
      <c r="O166" s="88">
        <f>SUMIF('3 D P'!$D:$D,'Fresh VIN PPC'!$E$144:$E$197,'3 D P'!$M:$M)</f>
        <v>0</v>
      </c>
      <c r="P166" s="88">
        <f>SUMIF('3 D P'!$D:$D,'Fresh VIN PPC'!$E$144:$E$197,'3 D P'!$N:$N)</f>
        <v>0</v>
      </c>
      <c r="Q166" s="132">
        <f>IFERROR(VLOOKUP($D166,'Yazaki Dispatch'!$A:$B,2,FALSE),0)</f>
        <v>287</v>
      </c>
      <c r="R166" s="88">
        <f>SUMIF('Consumption MTD'!$B:$B,'Fresh VIN PPC'!$E$144:$E$184,'Consumption MTD'!$C:$C)</f>
        <v>275</v>
      </c>
      <c r="S166" s="88">
        <f>SUMIF('BIW Lifting A Shift'!$B:$B,'Fresh VIN PPC'!$E$5:$E$184,'BIW Lifting A Shift'!$C:$C)</f>
        <v>0</v>
      </c>
      <c r="T166" s="88">
        <f>SUMIF('BIW Lifting B Shift'!$B:$B,'Fresh VIN PPC'!$E$5:$E$178,'BIW Lifting B Shift'!$C:$C)</f>
        <v>0</v>
      </c>
      <c r="U166" s="74">
        <f t="shared" si="45"/>
        <v>13</v>
      </c>
      <c r="V166" s="74">
        <f t="shared" si="46"/>
        <v>13</v>
      </c>
      <c r="W166" s="457">
        <f t="shared" si="47"/>
        <v>13</v>
      </c>
      <c r="X166" s="746">
        <f>SUMIF(FLOAT!$D:$D,'Fresh VIN PPC'!$E$144:$E$184,FLOAT!$F:$F)</f>
        <v>20</v>
      </c>
      <c r="Y166" s="743">
        <f t="shared" si="34"/>
        <v>497</v>
      </c>
      <c r="Z166" s="38">
        <v>51</v>
      </c>
      <c r="AA166" s="49">
        <v>50</v>
      </c>
      <c r="AC166" s="147">
        <v>17</v>
      </c>
      <c r="AD166" s="514"/>
      <c r="AE166" s="278"/>
      <c r="AF166" s="471">
        <f>SUMIF(FLOAT!$D:$D,Cockpit!$E165:$E373,FLOAT!G:G)</f>
        <v>0</v>
      </c>
      <c r="AG166" s="62">
        <f>SUMIF(FLOAT!$D:$D,Cockpit!$E165:$E373,FLOAT!H:H)</f>
        <v>1</v>
      </c>
      <c r="AH166" s="62">
        <f>SUMIF(FLOAT!$D:$D,Cockpit!$E165:$E373,FLOAT!I:I)</f>
        <v>0</v>
      </c>
      <c r="AI166" s="62">
        <f>SUMIF(FLOAT!$D:$D,Cockpit!$E165:$E373,FLOAT!J:J)</f>
        <v>0</v>
      </c>
      <c r="AJ166" s="62">
        <f>SUMIF(FLOAT!$D:$D,Cockpit!$E165:$E373,FLOAT!K:K)</f>
        <v>0</v>
      </c>
      <c r="AK166" s="62">
        <f>SUMIF(FLOAT!$D:$D,Cockpit!$E165:$E373,FLOAT!L:L)</f>
        <v>0</v>
      </c>
      <c r="AL166" s="62">
        <f>SUMIF(FLOAT!$D:$D,Cockpit!$E165:$E373,FLOAT!M:M)</f>
        <v>1</v>
      </c>
      <c r="AM166" s="62">
        <f>SUMIF(FLOAT!$D:$D,Cockpit!$E165:$E373,FLOAT!N:N)</f>
        <v>0</v>
      </c>
      <c r="AN166" s="62">
        <f>SUMIF(FLOAT!$D:$D,Cockpit!$E165:$E373,FLOAT!O:O)</f>
        <v>3</v>
      </c>
      <c r="AO166" s="62">
        <f>SUMIF(FLOAT!$D:$D,Cockpit!$E165:$E373,FLOAT!P:P)</f>
        <v>0</v>
      </c>
      <c r="AP166" s="60">
        <f t="shared" si="48"/>
        <v>4</v>
      </c>
    </row>
    <row r="167" spans="4:42" ht="21.75" thickBot="1" x14ac:dyDescent="0.35">
      <c r="D167" s="693">
        <v>549754610185</v>
      </c>
      <c r="E167" s="511" t="s">
        <v>591</v>
      </c>
      <c r="F167" s="318" t="s">
        <v>678</v>
      </c>
      <c r="G167" s="584">
        <v>101</v>
      </c>
      <c r="H167" s="579">
        <f t="shared" si="41"/>
        <v>101</v>
      </c>
      <c r="I167" s="147">
        <v>24</v>
      </c>
      <c r="J167" s="214">
        <f t="shared" si="42"/>
        <v>10</v>
      </c>
      <c r="K167" s="76">
        <f t="shared" si="42"/>
        <v>16</v>
      </c>
      <c r="L167" s="155">
        <f t="shared" si="43"/>
        <v>85</v>
      </c>
      <c r="M167" s="77">
        <f t="shared" si="44"/>
        <v>18</v>
      </c>
      <c r="N167" s="88">
        <f>SUMIF('3 D P'!$D:$D,'Fresh VIN PPC'!$E$144:$E$197,'3 D P'!$L:$L)</f>
        <v>1</v>
      </c>
      <c r="O167" s="88">
        <f>SUMIF('3 D P'!$D:$D,'Fresh VIN PPC'!$E$144:$E$197,'3 D P'!$M:$M)</f>
        <v>0</v>
      </c>
      <c r="P167" s="88">
        <f>SUMIF('3 D P'!$D:$D,'Fresh VIN PPC'!$E$144:$E$197,'3 D P'!$N:$N)</f>
        <v>1</v>
      </c>
      <c r="Q167" s="132">
        <f>IFERROR(VLOOKUP($D167,'Yazaki Dispatch'!$A:$B,2,FALSE),0)</f>
        <v>10</v>
      </c>
      <c r="R167" s="88">
        <f>SUMIF('Consumption MTD'!$B:$B,'Fresh VIN PPC'!$E$144:$E$184,'Consumption MTD'!$C:$C)</f>
        <v>16</v>
      </c>
      <c r="S167" s="88">
        <f>SUMIF('BIW Lifting A Shift'!$B:$B,'Fresh VIN PPC'!$E$5:$E$184,'BIW Lifting A Shift'!$C:$C)</f>
        <v>0</v>
      </c>
      <c r="T167" s="88">
        <f>SUMIF('BIW Lifting B Shift'!$B:$B,'Fresh VIN PPC'!$E$5:$E$178,'BIW Lifting B Shift'!$C:$C)</f>
        <v>0</v>
      </c>
      <c r="U167" s="74">
        <f t="shared" si="45"/>
        <v>17</v>
      </c>
      <c r="V167" s="74">
        <f t="shared" si="46"/>
        <v>17</v>
      </c>
      <c r="W167" s="457">
        <f t="shared" si="47"/>
        <v>17</v>
      </c>
      <c r="X167" s="746">
        <f>SUMIF(FLOAT!$D:$D,'Fresh VIN PPC'!$E$144:$E$184,FLOAT!$F:$F)</f>
        <v>1</v>
      </c>
      <c r="Y167" s="743">
        <f t="shared" si="34"/>
        <v>85</v>
      </c>
      <c r="Z167" s="38">
        <v>15</v>
      </c>
      <c r="AA167" s="49">
        <v>14</v>
      </c>
      <c r="AC167" s="147">
        <v>26</v>
      </c>
      <c r="AD167" s="514"/>
      <c r="AE167" s="278"/>
      <c r="AF167" s="471">
        <f>SUMIF(FLOAT!$D:$D,Cockpit!$E166:$E374,FLOAT!G:G)</f>
        <v>1</v>
      </c>
      <c r="AG167" s="62">
        <f>SUMIF(FLOAT!$D:$D,Cockpit!$E166:$E374,FLOAT!H:H)</f>
        <v>1</v>
      </c>
      <c r="AH167" s="62">
        <f>SUMIF(FLOAT!$D:$D,Cockpit!$E166:$E374,FLOAT!I:I)</f>
        <v>0</v>
      </c>
      <c r="AI167" s="62">
        <f>SUMIF(FLOAT!$D:$D,Cockpit!$E166:$E374,FLOAT!J:J)</f>
        <v>0</v>
      </c>
      <c r="AJ167" s="62">
        <f>SUMIF(FLOAT!$D:$D,Cockpit!$E166:$E374,FLOAT!K:K)</f>
        <v>0</v>
      </c>
      <c r="AK167" s="62">
        <f>SUMIF(FLOAT!$D:$D,Cockpit!$E166:$E374,FLOAT!L:L)</f>
        <v>1</v>
      </c>
      <c r="AL167" s="62">
        <f>SUMIF(FLOAT!$D:$D,Cockpit!$E166:$E374,FLOAT!M:M)</f>
        <v>3</v>
      </c>
      <c r="AM167" s="62">
        <f>SUMIF(FLOAT!$D:$D,Cockpit!$E166:$E374,FLOAT!N:N)</f>
        <v>3</v>
      </c>
      <c r="AN167" s="62">
        <f>SUMIF(FLOAT!$D:$D,Cockpit!$E166:$E374,FLOAT!O:O)</f>
        <v>14</v>
      </c>
      <c r="AO167" s="62">
        <f>SUMIF(FLOAT!$D:$D,Cockpit!$E166:$E374,FLOAT!P:P)</f>
        <v>0</v>
      </c>
      <c r="AP167" s="60">
        <f t="shared" si="48"/>
        <v>20</v>
      </c>
    </row>
    <row r="168" spans="4:42" ht="21.75" thickBot="1" x14ac:dyDescent="0.35">
      <c r="D168" s="693">
        <v>549754600113</v>
      </c>
      <c r="E168" s="511" t="s">
        <v>573</v>
      </c>
      <c r="F168" s="318" t="s">
        <v>679</v>
      </c>
      <c r="G168" s="584">
        <v>468</v>
      </c>
      <c r="H168" s="579">
        <f t="shared" si="41"/>
        <v>468</v>
      </c>
      <c r="I168" s="147">
        <v>11</v>
      </c>
      <c r="J168" s="214">
        <f t="shared" si="42"/>
        <v>243</v>
      </c>
      <c r="K168" s="76">
        <f t="shared" si="42"/>
        <v>224</v>
      </c>
      <c r="L168" s="155">
        <f t="shared" si="43"/>
        <v>244</v>
      </c>
      <c r="M168" s="77">
        <f t="shared" si="44"/>
        <v>30</v>
      </c>
      <c r="N168" s="88">
        <f>SUMIF('3 D P'!$D:$D,'Fresh VIN PPC'!$E$144:$E$197,'3 D P'!$L:$L)</f>
        <v>2</v>
      </c>
      <c r="O168" s="88">
        <f>SUMIF('3 D P'!$D:$D,'Fresh VIN PPC'!$E$144:$E$197,'3 D P'!$M:$M)</f>
        <v>0</v>
      </c>
      <c r="P168" s="88">
        <f>SUMIF('3 D P'!$D:$D,'Fresh VIN PPC'!$E$144:$E$197,'3 D P'!$N:$N)</f>
        <v>0</v>
      </c>
      <c r="Q168" s="132">
        <f>IFERROR(VLOOKUP($D168,'Yazaki Dispatch'!$A:$B,2,FALSE),0)</f>
        <v>243</v>
      </c>
      <c r="R168" s="88">
        <f>SUMIF('Consumption MTD'!$B:$B,'Fresh VIN PPC'!$E$144:$E$184,'Consumption MTD'!$C:$C)</f>
        <v>224</v>
      </c>
      <c r="S168" s="88">
        <f>SUMIF('BIW Lifting A Shift'!$B:$B,'Fresh VIN PPC'!$E$5:$E$184,'BIW Lifting A Shift'!$C:$C)</f>
        <v>0</v>
      </c>
      <c r="T168" s="88">
        <f>SUMIF('BIW Lifting B Shift'!$B:$B,'Fresh VIN PPC'!$E$5:$E$178,'BIW Lifting B Shift'!$C:$C)</f>
        <v>0</v>
      </c>
      <c r="U168" s="74">
        <f t="shared" si="45"/>
        <v>17</v>
      </c>
      <c r="V168" s="74">
        <f t="shared" si="46"/>
        <v>17</v>
      </c>
      <c r="W168" s="457">
        <f t="shared" si="47"/>
        <v>17</v>
      </c>
      <c r="X168" s="746">
        <f>SUMIF(FLOAT!$D:$D,'Fresh VIN PPC'!$E$144:$E$184,FLOAT!$F:$F)</f>
        <v>13</v>
      </c>
      <c r="Y168" s="743">
        <f t="shared" si="34"/>
        <v>244</v>
      </c>
      <c r="Z168" s="38">
        <v>5</v>
      </c>
      <c r="AA168" s="49">
        <v>65</v>
      </c>
      <c r="AC168" s="147">
        <v>12</v>
      </c>
      <c r="AD168" s="514"/>
      <c r="AE168" s="278"/>
      <c r="AF168" s="471">
        <f>SUMIF(FLOAT!$D:$D,Cockpit!$E167:$E375,FLOAT!G:G)</f>
        <v>0</v>
      </c>
      <c r="AG168" s="62">
        <f>SUMIF(FLOAT!$D:$D,Cockpit!$E167:$E375,FLOAT!H:H)</f>
        <v>0</v>
      </c>
      <c r="AH168" s="62">
        <f>SUMIF(FLOAT!$D:$D,Cockpit!$E167:$E375,FLOAT!I:I)</f>
        <v>0</v>
      </c>
      <c r="AI168" s="62">
        <f>SUMIF(FLOAT!$D:$D,Cockpit!$E167:$E375,FLOAT!J:J)</f>
        <v>0</v>
      </c>
      <c r="AJ168" s="62">
        <f>SUMIF(FLOAT!$D:$D,Cockpit!$E167:$E375,FLOAT!K:K)</f>
        <v>0</v>
      </c>
      <c r="AK168" s="62">
        <f>SUMIF(FLOAT!$D:$D,Cockpit!$E167:$E375,FLOAT!L:L)</f>
        <v>0</v>
      </c>
      <c r="AL168" s="62">
        <f>SUMIF(FLOAT!$D:$D,Cockpit!$E167:$E375,FLOAT!M:M)</f>
        <v>0</v>
      </c>
      <c r="AM168" s="62">
        <f>SUMIF(FLOAT!$D:$D,Cockpit!$E167:$E375,FLOAT!N:N)</f>
        <v>0</v>
      </c>
      <c r="AN168" s="62">
        <f>SUMIF(FLOAT!$D:$D,Cockpit!$E167:$E375,FLOAT!O:O)</f>
        <v>1</v>
      </c>
      <c r="AO168" s="62">
        <f>SUMIF(FLOAT!$D:$D,Cockpit!$E167:$E375,FLOAT!P:P)</f>
        <v>0</v>
      </c>
      <c r="AP168" s="60">
        <f t="shared" si="48"/>
        <v>1</v>
      </c>
    </row>
    <row r="169" spans="4:42" ht="21.75" thickBot="1" x14ac:dyDescent="0.35">
      <c r="D169" s="693">
        <v>549754600128</v>
      </c>
      <c r="E169" s="511" t="s">
        <v>588</v>
      </c>
      <c r="F169" s="318" t="s">
        <v>658</v>
      </c>
      <c r="G169" s="584">
        <v>470</v>
      </c>
      <c r="H169" s="579">
        <f t="shared" si="41"/>
        <v>470</v>
      </c>
      <c r="I169" s="147">
        <v>13</v>
      </c>
      <c r="J169" s="214">
        <f t="shared" si="42"/>
        <v>216</v>
      </c>
      <c r="K169" s="76">
        <f t="shared" si="42"/>
        <v>191</v>
      </c>
      <c r="L169" s="155">
        <f t="shared" si="43"/>
        <v>279</v>
      </c>
      <c r="M169" s="77">
        <f t="shared" si="44"/>
        <v>38</v>
      </c>
      <c r="N169" s="88">
        <f>SUMIF('3 D P'!$D:$D,'Fresh VIN PPC'!$E$144:$E$197,'3 D P'!$L:$L)</f>
        <v>27</v>
      </c>
      <c r="O169" s="88">
        <f>SUMIF('3 D P'!$D:$D,'Fresh VIN PPC'!$E$144:$E$197,'3 D P'!$M:$M)</f>
        <v>17</v>
      </c>
      <c r="P169" s="88">
        <f>SUMIF('3 D P'!$D:$D,'Fresh VIN PPC'!$E$144:$E$197,'3 D P'!$N:$N)</f>
        <v>1</v>
      </c>
      <c r="Q169" s="132">
        <f>IFERROR(VLOOKUP($D169,'Yazaki Dispatch'!$A:$B,2,FALSE),0)</f>
        <v>216</v>
      </c>
      <c r="R169" s="88">
        <f>SUMIF('Consumption MTD'!$B:$B,'Fresh VIN PPC'!$E$144:$E$184,'Consumption MTD'!$C:$C)</f>
        <v>191</v>
      </c>
      <c r="S169" s="88">
        <f>SUMIF('BIW Lifting A Shift'!$B:$B,'Fresh VIN PPC'!$E$5:$E$184,'BIW Lifting A Shift'!$C:$C)</f>
        <v>0</v>
      </c>
      <c r="T169" s="88">
        <f>SUMIF('BIW Lifting B Shift'!$B:$B,'Fresh VIN PPC'!$E$5:$E$178,'BIW Lifting B Shift'!$C:$C)</f>
        <v>0</v>
      </c>
      <c r="U169" s="74">
        <f t="shared" si="45"/>
        <v>4</v>
      </c>
      <c r="V169" s="74">
        <f t="shared" si="46"/>
        <v>4</v>
      </c>
      <c r="W169" s="457">
        <f t="shared" si="47"/>
        <v>4</v>
      </c>
      <c r="X169" s="746">
        <f>SUMIF(FLOAT!$D:$D,'Fresh VIN PPC'!$E$144:$E$184,FLOAT!$F:$F)</f>
        <v>34</v>
      </c>
      <c r="Y169" s="743">
        <f t="shared" si="34"/>
        <v>279</v>
      </c>
      <c r="Z169" s="38">
        <v>29</v>
      </c>
      <c r="AA169" s="49">
        <v>17</v>
      </c>
      <c r="AC169" s="147">
        <v>6</v>
      </c>
      <c r="AD169" s="514"/>
      <c r="AE169" s="278"/>
      <c r="AF169" s="471">
        <f>SUMIF(FLOAT!$D:$D,Cockpit!$E168:$E376,FLOAT!G:G)</f>
        <v>3</v>
      </c>
      <c r="AG169" s="62">
        <f>SUMIF(FLOAT!$D:$D,Cockpit!$E168:$E376,FLOAT!H:H)</f>
        <v>2</v>
      </c>
      <c r="AH169" s="62">
        <f>SUMIF(FLOAT!$D:$D,Cockpit!$E168:$E376,FLOAT!I:I)</f>
        <v>1</v>
      </c>
      <c r="AI169" s="62">
        <f>SUMIF(FLOAT!$D:$D,Cockpit!$E168:$E376,FLOAT!J:J)</f>
        <v>0</v>
      </c>
      <c r="AJ169" s="62">
        <f>SUMIF(FLOAT!$D:$D,Cockpit!$E168:$E376,FLOAT!K:K)</f>
        <v>3</v>
      </c>
      <c r="AK169" s="62">
        <f>SUMIF(FLOAT!$D:$D,Cockpit!$E168:$E376,FLOAT!L:L)</f>
        <v>0</v>
      </c>
      <c r="AL169" s="62">
        <f>SUMIF(FLOAT!$D:$D,Cockpit!$E168:$E376,FLOAT!M:M)</f>
        <v>9</v>
      </c>
      <c r="AM169" s="62">
        <f>SUMIF(FLOAT!$D:$D,Cockpit!$E168:$E376,FLOAT!N:N)</f>
        <v>0</v>
      </c>
      <c r="AN169" s="62">
        <f>SUMIF(FLOAT!$D:$D,Cockpit!$E168:$E376,FLOAT!O:O)</f>
        <v>4</v>
      </c>
      <c r="AO169" s="62">
        <f>SUMIF(FLOAT!$D:$D,Cockpit!$E168:$E376,FLOAT!P:P)</f>
        <v>0</v>
      </c>
      <c r="AP169" s="60">
        <f t="shared" si="48"/>
        <v>13</v>
      </c>
    </row>
    <row r="170" spans="4:42" ht="21.75" thickBot="1" x14ac:dyDescent="0.35">
      <c r="D170" s="693">
        <v>549754600233</v>
      </c>
      <c r="E170" s="511" t="s">
        <v>590</v>
      </c>
      <c r="F170" s="318" t="s">
        <v>660</v>
      </c>
      <c r="G170" s="584">
        <v>409</v>
      </c>
      <c r="H170" s="579">
        <f t="shared" si="41"/>
        <v>409</v>
      </c>
      <c r="I170" s="147">
        <f>12-1</f>
        <v>11</v>
      </c>
      <c r="J170" s="214">
        <f t="shared" si="42"/>
        <v>174</v>
      </c>
      <c r="K170" s="76">
        <f t="shared" si="42"/>
        <v>163</v>
      </c>
      <c r="L170" s="155">
        <f t="shared" si="43"/>
        <v>246</v>
      </c>
      <c r="M170" s="77">
        <f t="shared" si="44"/>
        <v>22</v>
      </c>
      <c r="N170" s="88">
        <f>SUMIF('3 D P'!$D:$D,'Fresh VIN PPC'!$E$144:$E$197,'3 D P'!$L:$L)</f>
        <v>3</v>
      </c>
      <c r="O170" s="88">
        <f>SUMIF('3 D P'!$D:$D,'Fresh VIN PPC'!$E$144:$E$197,'3 D P'!$M:$M)</f>
        <v>0</v>
      </c>
      <c r="P170" s="88">
        <f>SUMIF('3 D P'!$D:$D,'Fresh VIN PPC'!$E$144:$E$197,'3 D P'!$N:$N)</f>
        <v>0</v>
      </c>
      <c r="Q170" s="132">
        <f>IFERROR(VLOOKUP($D170,'Yazaki Dispatch'!$A:$B,2,FALSE),0)</f>
        <v>174</v>
      </c>
      <c r="R170" s="88">
        <f>SUMIF('Consumption MTD'!$B:$B,'Fresh VIN PPC'!$E$144:$E$184,'Consumption MTD'!$C:$C)</f>
        <v>163</v>
      </c>
      <c r="S170" s="88">
        <f>SUMIF('BIW Lifting A Shift'!$B:$B,'Fresh VIN PPC'!$E$5:$E$184,'BIW Lifting A Shift'!$C:$C)</f>
        <v>0</v>
      </c>
      <c r="T170" s="88">
        <f>SUMIF('BIW Lifting B Shift'!$B:$B,'Fresh VIN PPC'!$E$5:$E$178,'BIW Lifting B Shift'!$C:$C)</f>
        <v>0</v>
      </c>
      <c r="U170" s="74">
        <f t="shared" si="45"/>
        <v>9</v>
      </c>
      <c r="V170" s="74">
        <f t="shared" si="46"/>
        <v>9</v>
      </c>
      <c r="W170" s="457">
        <f t="shared" si="47"/>
        <v>9</v>
      </c>
      <c r="X170" s="746">
        <f>SUMIF(FLOAT!$D:$D,'Fresh VIN PPC'!$E$144:$E$184,FLOAT!$F:$F)</f>
        <v>13</v>
      </c>
      <c r="Y170" s="743">
        <f t="shared" si="34"/>
        <v>246</v>
      </c>
      <c r="Z170" s="38">
        <v>38</v>
      </c>
      <c r="AA170" s="49">
        <v>28</v>
      </c>
      <c r="AC170" s="147">
        <v>10</v>
      </c>
      <c r="AD170" s="514"/>
      <c r="AE170" s="278"/>
      <c r="AF170" s="471">
        <f>SUMIF(FLOAT!$D:$D,Cockpit!$E169:$E377,FLOAT!G:G)</f>
        <v>1</v>
      </c>
      <c r="AG170" s="62">
        <f>SUMIF(FLOAT!$D:$D,Cockpit!$E169:$E377,FLOAT!H:H)</f>
        <v>3</v>
      </c>
      <c r="AH170" s="62">
        <f>SUMIF(FLOAT!$D:$D,Cockpit!$E169:$E377,FLOAT!I:I)</f>
        <v>0</v>
      </c>
      <c r="AI170" s="62">
        <f>SUMIF(FLOAT!$D:$D,Cockpit!$E169:$E377,FLOAT!J:J)</f>
        <v>0</v>
      </c>
      <c r="AJ170" s="62">
        <f>SUMIF(FLOAT!$D:$D,Cockpit!$E169:$E377,FLOAT!K:K)</f>
        <v>0</v>
      </c>
      <c r="AK170" s="62">
        <f>SUMIF(FLOAT!$D:$D,Cockpit!$E169:$E377,FLOAT!L:L)</f>
        <v>10</v>
      </c>
      <c r="AL170" s="62">
        <f>SUMIF(FLOAT!$D:$D,Cockpit!$E169:$E377,FLOAT!M:M)</f>
        <v>14</v>
      </c>
      <c r="AM170" s="62">
        <f>SUMIF(FLOAT!$D:$D,Cockpit!$E169:$E377,FLOAT!N:N)</f>
        <v>1</v>
      </c>
      <c r="AN170" s="62">
        <f>SUMIF(FLOAT!$D:$D,Cockpit!$E169:$E377,FLOAT!O:O)</f>
        <v>19</v>
      </c>
      <c r="AO170" s="62">
        <f>SUMIF(FLOAT!$D:$D,Cockpit!$E169:$E377,FLOAT!P:P)</f>
        <v>0</v>
      </c>
      <c r="AP170" s="60">
        <f t="shared" si="48"/>
        <v>34</v>
      </c>
    </row>
    <row r="171" spans="4:42" ht="21.75" thickBot="1" x14ac:dyDescent="0.35">
      <c r="D171" s="693">
        <v>549754600120</v>
      </c>
      <c r="E171" s="511" t="s">
        <v>594</v>
      </c>
      <c r="F171" s="318" t="s">
        <v>655</v>
      </c>
      <c r="G171" s="584">
        <v>449</v>
      </c>
      <c r="H171" s="579">
        <f t="shared" si="41"/>
        <v>449</v>
      </c>
      <c r="I171" s="147">
        <v>12</v>
      </c>
      <c r="J171" s="214">
        <f t="shared" si="42"/>
        <v>101</v>
      </c>
      <c r="K171" s="76">
        <f t="shared" si="42"/>
        <v>100</v>
      </c>
      <c r="L171" s="155">
        <f t="shared" si="43"/>
        <v>349</v>
      </c>
      <c r="M171" s="77">
        <f t="shared" si="44"/>
        <v>13</v>
      </c>
      <c r="N171" s="88">
        <f>SUMIF('3 D P'!$D:$D,'Fresh VIN PPC'!$E$144:$E$197,'3 D P'!$L:$L)</f>
        <v>18</v>
      </c>
      <c r="O171" s="88">
        <f>SUMIF('3 D P'!$D:$D,'Fresh VIN PPC'!$E$144:$E$197,'3 D P'!$M:$M)</f>
        <v>30</v>
      </c>
      <c r="P171" s="88">
        <f>SUMIF('3 D P'!$D:$D,'Fresh VIN PPC'!$E$144:$E$197,'3 D P'!$N:$N)</f>
        <v>5</v>
      </c>
      <c r="Q171" s="132">
        <f>IFERROR(VLOOKUP($D171,'Yazaki Dispatch'!$A:$B,2,FALSE),0)</f>
        <v>101</v>
      </c>
      <c r="R171" s="88">
        <f>SUMIF('Consumption MTD'!$B:$B,'Fresh VIN PPC'!$E$144:$E$184,'Consumption MTD'!$C:$C)</f>
        <v>100</v>
      </c>
      <c r="S171" s="88">
        <f>SUMIF('BIW Lifting A Shift'!$B:$B,'Fresh VIN PPC'!$E$5:$E$184,'BIW Lifting A Shift'!$C:$C)</f>
        <v>0</v>
      </c>
      <c r="T171" s="88">
        <f>SUMIF('BIW Lifting B Shift'!$B:$B,'Fresh VIN PPC'!$E$5:$E$178,'BIW Lifting B Shift'!$C:$C)</f>
        <v>0</v>
      </c>
      <c r="U171" s="74">
        <f t="shared" si="45"/>
        <v>9</v>
      </c>
      <c r="V171" s="74">
        <f t="shared" si="46"/>
        <v>9</v>
      </c>
      <c r="W171" s="457">
        <f t="shared" si="47"/>
        <v>9</v>
      </c>
      <c r="X171" s="746">
        <f>SUMIF(FLOAT!$D:$D,'Fresh VIN PPC'!$E$144:$E$184,FLOAT!$F:$F)</f>
        <v>4</v>
      </c>
      <c r="Y171" s="743">
        <f t="shared" si="34"/>
        <v>349</v>
      </c>
      <c r="Z171" s="38">
        <v>25</v>
      </c>
      <c r="AA171" s="49">
        <v>17</v>
      </c>
      <c r="AC171" s="147">
        <v>12</v>
      </c>
      <c r="AD171" s="514"/>
      <c r="AE171" s="278"/>
      <c r="AF171" s="471">
        <f>SUMIF(FLOAT!$D:$D,Cockpit!$E170:$E378,FLOAT!G:G)</f>
        <v>1</v>
      </c>
      <c r="AG171" s="62">
        <f>SUMIF(FLOAT!$D:$D,Cockpit!$E170:$E378,FLOAT!H:H)</f>
        <v>1</v>
      </c>
      <c r="AH171" s="62">
        <f>SUMIF(FLOAT!$D:$D,Cockpit!$E170:$E378,FLOAT!I:I)</f>
        <v>0</v>
      </c>
      <c r="AI171" s="62">
        <f>SUMIF(FLOAT!$D:$D,Cockpit!$E170:$E378,FLOAT!J:J)</f>
        <v>0</v>
      </c>
      <c r="AJ171" s="62">
        <f>SUMIF(FLOAT!$D:$D,Cockpit!$E170:$E378,FLOAT!K:K)</f>
        <v>1</v>
      </c>
      <c r="AK171" s="62">
        <f>SUMIF(FLOAT!$D:$D,Cockpit!$E170:$E378,FLOAT!L:L)</f>
        <v>2</v>
      </c>
      <c r="AL171" s="62">
        <f>SUMIF(FLOAT!$D:$D,Cockpit!$E170:$E378,FLOAT!M:M)</f>
        <v>5</v>
      </c>
      <c r="AM171" s="62">
        <f>SUMIF(FLOAT!$D:$D,Cockpit!$E170:$E378,FLOAT!N:N)</f>
        <v>2</v>
      </c>
      <c r="AN171" s="62">
        <f>SUMIF(FLOAT!$D:$D,Cockpit!$E170:$E378,FLOAT!O:O)</f>
        <v>6</v>
      </c>
      <c r="AO171" s="62">
        <f>SUMIF(FLOAT!$D:$D,Cockpit!$E170:$E378,FLOAT!P:P)</f>
        <v>0</v>
      </c>
      <c r="AP171" s="60">
        <f t="shared" si="48"/>
        <v>13</v>
      </c>
    </row>
    <row r="172" spans="4:42" ht="21.75" thickBot="1" x14ac:dyDescent="0.35">
      <c r="D172" s="693">
        <v>549754600186</v>
      </c>
      <c r="E172" s="511" t="s">
        <v>575</v>
      </c>
      <c r="F172" s="318" t="s">
        <v>659</v>
      </c>
      <c r="G172" s="584">
        <v>437</v>
      </c>
      <c r="H172" s="579">
        <f t="shared" si="41"/>
        <v>437</v>
      </c>
      <c r="I172" s="147">
        <v>14</v>
      </c>
      <c r="J172" s="214">
        <f t="shared" si="42"/>
        <v>116</v>
      </c>
      <c r="K172" s="76">
        <f t="shared" si="42"/>
        <v>111</v>
      </c>
      <c r="L172" s="155">
        <f t="shared" si="43"/>
        <v>326</v>
      </c>
      <c r="M172" s="77">
        <f t="shared" si="44"/>
        <v>19</v>
      </c>
      <c r="N172" s="88">
        <f>SUMIF('3 D P'!$D:$D,'Fresh VIN PPC'!$E$144:$E$197,'3 D P'!$L:$L)</f>
        <v>10</v>
      </c>
      <c r="O172" s="88">
        <f>SUMIF('3 D P'!$D:$D,'Fresh VIN PPC'!$E$144:$E$197,'3 D P'!$M:$M)</f>
        <v>24</v>
      </c>
      <c r="P172" s="88">
        <f>SUMIF('3 D P'!$D:$D,'Fresh VIN PPC'!$E$144:$E$197,'3 D P'!$N:$N)</f>
        <v>1</v>
      </c>
      <c r="Q172" s="132">
        <f>IFERROR(VLOOKUP($D172,'Yazaki Dispatch'!$A:$B,2,FALSE),0)</f>
        <v>116</v>
      </c>
      <c r="R172" s="88">
        <f>SUMIF('Consumption MTD'!$B:$B,'Fresh VIN PPC'!$E$144:$E$184,'Consumption MTD'!$C:$C)</f>
        <v>111</v>
      </c>
      <c r="S172" s="88">
        <f>SUMIF('BIW Lifting A Shift'!$B:$B,'Fresh VIN PPC'!$E$5:$E$184,'BIW Lifting A Shift'!$C:$C)</f>
        <v>0</v>
      </c>
      <c r="T172" s="88">
        <f>SUMIF('BIW Lifting B Shift'!$B:$B,'Fresh VIN PPC'!$E$5:$E$178,'BIW Lifting B Shift'!$C:$C)</f>
        <v>0</v>
      </c>
      <c r="U172" s="74">
        <f t="shared" si="45"/>
        <v>17</v>
      </c>
      <c r="V172" s="74">
        <f t="shared" si="46"/>
        <v>17</v>
      </c>
      <c r="W172" s="457">
        <f t="shared" si="47"/>
        <v>17</v>
      </c>
      <c r="X172" s="746">
        <f>SUMIF(FLOAT!$D:$D,'Fresh VIN PPC'!$E$144:$E$184,FLOAT!$F:$F)</f>
        <v>2</v>
      </c>
      <c r="Y172" s="743">
        <f t="shared" si="34"/>
        <v>326</v>
      </c>
      <c r="Z172" s="38">
        <v>38</v>
      </c>
      <c r="AA172" s="49">
        <v>10</v>
      </c>
      <c r="AC172" s="147">
        <v>14</v>
      </c>
      <c r="AD172" s="514"/>
      <c r="AE172" s="278"/>
      <c r="AF172" s="471">
        <f>SUMIF(FLOAT!$D:$D,Cockpit!$E171:$E379,FLOAT!G:G)</f>
        <v>1</v>
      </c>
      <c r="AG172" s="62">
        <f>SUMIF(FLOAT!$D:$D,Cockpit!$E171:$E379,FLOAT!H:H)</f>
        <v>0</v>
      </c>
      <c r="AH172" s="62">
        <f>SUMIF(FLOAT!$D:$D,Cockpit!$E171:$E379,FLOAT!I:I)</f>
        <v>0</v>
      </c>
      <c r="AI172" s="62">
        <f>SUMIF(FLOAT!$D:$D,Cockpit!$E171:$E379,FLOAT!J:J)</f>
        <v>0</v>
      </c>
      <c r="AJ172" s="62">
        <f>SUMIF(FLOAT!$D:$D,Cockpit!$E171:$E379,FLOAT!K:K)</f>
        <v>0</v>
      </c>
      <c r="AK172" s="62">
        <f>SUMIF(FLOAT!$D:$D,Cockpit!$E171:$E379,FLOAT!L:L)</f>
        <v>0</v>
      </c>
      <c r="AL172" s="62">
        <f>SUMIF(FLOAT!$D:$D,Cockpit!$E171:$E379,FLOAT!M:M)</f>
        <v>1</v>
      </c>
      <c r="AM172" s="62">
        <f>SUMIF(FLOAT!$D:$D,Cockpit!$E171:$E379,FLOAT!N:N)</f>
        <v>0</v>
      </c>
      <c r="AN172" s="62">
        <f>SUMIF(FLOAT!$D:$D,Cockpit!$E171:$E379,FLOAT!O:O)</f>
        <v>3</v>
      </c>
      <c r="AO172" s="62">
        <f>SUMIF(FLOAT!$D:$D,Cockpit!$E171:$E379,FLOAT!P:P)</f>
        <v>0</v>
      </c>
      <c r="AP172" s="60">
        <f t="shared" si="48"/>
        <v>4</v>
      </c>
    </row>
    <row r="173" spans="4:42" ht="21.75" thickBot="1" x14ac:dyDescent="0.35">
      <c r="D173" s="693">
        <v>549754600189</v>
      </c>
      <c r="E173" s="511" t="s">
        <v>596</v>
      </c>
      <c r="F173" s="318" t="s">
        <v>599</v>
      </c>
      <c r="G173" s="584">
        <v>671</v>
      </c>
      <c r="H173" s="579">
        <f t="shared" si="41"/>
        <v>671</v>
      </c>
      <c r="I173" s="147">
        <v>2</v>
      </c>
      <c r="J173" s="214">
        <f t="shared" si="42"/>
        <v>171</v>
      </c>
      <c r="K173" s="76">
        <f t="shared" si="42"/>
        <v>160</v>
      </c>
      <c r="L173" s="155">
        <f t="shared" si="43"/>
        <v>511</v>
      </c>
      <c r="M173" s="77">
        <f t="shared" si="44"/>
        <v>13</v>
      </c>
      <c r="N173" s="88">
        <f>SUMIF('3 D P'!$D:$D,'Fresh VIN PPC'!$E$144:$E$197,'3 D P'!$L:$L)</f>
        <v>36</v>
      </c>
      <c r="O173" s="88">
        <f>SUMIF('3 D P'!$D:$D,'Fresh VIN PPC'!$E$144:$E$197,'3 D P'!$M:$M)</f>
        <v>15</v>
      </c>
      <c r="P173" s="88">
        <f>SUMIF('3 D P'!$D:$D,'Fresh VIN PPC'!$E$144:$E$197,'3 D P'!$N:$N)</f>
        <v>21</v>
      </c>
      <c r="Q173" s="132">
        <f>IFERROR(VLOOKUP($D173,'Yazaki Dispatch'!$A:$B,2,FALSE),0)</f>
        <v>171</v>
      </c>
      <c r="R173" s="88">
        <f>SUMIF('Consumption MTD'!$B:$B,'Fresh VIN PPC'!$E$144:$E$184,'Consumption MTD'!$C:$C)</f>
        <v>160</v>
      </c>
      <c r="S173" s="88">
        <f>SUMIF('BIW Lifting A Shift'!$B:$B,'Fresh VIN PPC'!$E$5:$E$184,'BIW Lifting A Shift'!$C:$C)</f>
        <v>0</v>
      </c>
      <c r="T173" s="88">
        <f>SUMIF('BIW Lifting B Shift'!$B:$B,'Fresh VIN PPC'!$E$5:$E$178,'BIW Lifting B Shift'!$C:$C)</f>
        <v>0</v>
      </c>
      <c r="U173" s="74">
        <f t="shared" si="45"/>
        <v>0</v>
      </c>
      <c r="V173" s="74">
        <f t="shared" si="46"/>
        <v>0</v>
      </c>
      <c r="W173" s="457">
        <f t="shared" si="47"/>
        <v>0</v>
      </c>
      <c r="X173" s="746">
        <f>SUMIF(FLOAT!$D:$D,'Fresh VIN PPC'!$E$144:$E$184,FLOAT!$F:$F)</f>
        <v>13</v>
      </c>
      <c r="Y173" s="743">
        <f t="shared" si="34"/>
        <v>511</v>
      </c>
      <c r="Z173" s="38">
        <v>25</v>
      </c>
      <c r="AA173" s="49">
        <v>31</v>
      </c>
      <c r="AC173" s="147">
        <v>2</v>
      </c>
      <c r="AD173" s="514"/>
      <c r="AE173" s="278"/>
      <c r="AF173" s="471">
        <f>SUMIF(FLOAT!$D:$D,Cockpit!$E172:$E380,FLOAT!G:G)</f>
        <v>0</v>
      </c>
      <c r="AG173" s="62">
        <f>SUMIF(FLOAT!$D:$D,Cockpit!$E172:$E380,FLOAT!H:H)</f>
        <v>1</v>
      </c>
      <c r="AH173" s="62">
        <f>SUMIF(FLOAT!$D:$D,Cockpit!$E172:$E380,FLOAT!I:I)</f>
        <v>0</v>
      </c>
      <c r="AI173" s="62">
        <f>SUMIF(FLOAT!$D:$D,Cockpit!$E172:$E380,FLOAT!J:J)</f>
        <v>0</v>
      </c>
      <c r="AJ173" s="62">
        <f>SUMIF(FLOAT!$D:$D,Cockpit!$E172:$E380,FLOAT!K:K)</f>
        <v>0</v>
      </c>
      <c r="AK173" s="62">
        <f>SUMIF(FLOAT!$D:$D,Cockpit!$E172:$E380,FLOAT!L:L)</f>
        <v>1</v>
      </c>
      <c r="AL173" s="62">
        <f>SUMIF(FLOAT!$D:$D,Cockpit!$E172:$E380,FLOAT!M:M)</f>
        <v>2</v>
      </c>
      <c r="AM173" s="62">
        <f>SUMIF(FLOAT!$D:$D,Cockpit!$E172:$E380,FLOAT!N:N)</f>
        <v>0</v>
      </c>
      <c r="AN173" s="62">
        <f>SUMIF(FLOAT!$D:$D,Cockpit!$E172:$E380,FLOAT!O:O)</f>
        <v>0</v>
      </c>
      <c r="AO173" s="62">
        <f>SUMIF(FLOAT!$D:$D,Cockpit!$E172:$E380,FLOAT!P:P)</f>
        <v>0</v>
      </c>
      <c r="AP173" s="60">
        <f t="shared" si="48"/>
        <v>2</v>
      </c>
    </row>
    <row r="174" spans="4:42" ht="21.75" thickBot="1" x14ac:dyDescent="0.35">
      <c r="D174" s="759">
        <v>549754610173</v>
      </c>
      <c r="E174" s="511" t="s">
        <v>570</v>
      </c>
      <c r="F174" s="318" t="s">
        <v>656</v>
      </c>
      <c r="G174" s="584">
        <v>163</v>
      </c>
      <c r="H174" s="579">
        <f t="shared" si="41"/>
        <v>163</v>
      </c>
      <c r="I174" s="147">
        <v>26</v>
      </c>
      <c r="J174" s="214">
        <f t="shared" si="42"/>
        <v>10</v>
      </c>
      <c r="K174" s="76">
        <f t="shared" si="42"/>
        <v>8</v>
      </c>
      <c r="L174" s="155">
        <f t="shared" si="43"/>
        <v>155</v>
      </c>
      <c r="M174" s="77">
        <f t="shared" si="44"/>
        <v>28</v>
      </c>
      <c r="N174" s="88">
        <f>SUMIF('3 D P'!$D:$D,'Fresh VIN PPC'!$E$144:$E$197,'3 D P'!$L:$L)</f>
        <v>1</v>
      </c>
      <c r="O174" s="88">
        <f>SUMIF('3 D P'!$D:$D,'Fresh VIN PPC'!$E$144:$E$197,'3 D P'!$M:$M)</f>
        <v>0</v>
      </c>
      <c r="P174" s="88">
        <f>SUMIF('3 D P'!$D:$D,'Fresh VIN PPC'!$E$144:$E$197,'3 D P'!$N:$N)</f>
        <v>0</v>
      </c>
      <c r="Q174" s="132">
        <f>IFERROR(VLOOKUP($D174,'Yazaki Dispatch'!$A:$B,2,FALSE),0)</f>
        <v>10</v>
      </c>
      <c r="R174" s="88">
        <f>SUMIF('Consumption MTD'!$B:$B,'Fresh VIN PPC'!$E$144:$E$184,'Consumption MTD'!$C:$C)</f>
        <v>8</v>
      </c>
      <c r="S174" s="88">
        <f>SUMIF('BIW Lifting A Shift'!$B:$B,'Fresh VIN PPC'!$E$5:$E$184,'BIW Lifting A Shift'!$C:$C)</f>
        <v>0</v>
      </c>
      <c r="T174" s="88">
        <f>SUMIF('BIW Lifting B Shift'!$B:$B,'Fresh VIN PPC'!$E$5:$E$178,'BIW Lifting B Shift'!$C:$C)</f>
        <v>0</v>
      </c>
      <c r="U174" s="74">
        <f t="shared" si="45"/>
        <v>26</v>
      </c>
      <c r="V174" s="74">
        <f t="shared" si="46"/>
        <v>26</v>
      </c>
      <c r="W174" s="457">
        <f t="shared" si="47"/>
        <v>26</v>
      </c>
      <c r="X174" s="746">
        <f>SUMIF(FLOAT!$D:$D,'Fresh VIN PPC'!$E$144:$E$184,FLOAT!$F:$F)</f>
        <v>2</v>
      </c>
      <c r="Y174" s="743">
        <f t="shared" si="34"/>
        <v>155</v>
      </c>
      <c r="Z174" s="38">
        <v>29</v>
      </c>
      <c r="AA174" s="49">
        <v>14</v>
      </c>
      <c r="AC174" s="147">
        <v>22</v>
      </c>
      <c r="AD174" s="514"/>
      <c r="AE174" s="278"/>
      <c r="AF174" s="471">
        <f>SUMIF(FLOAT!$D:$D,Cockpit!$E173:$E381,FLOAT!G:G)</f>
        <v>1</v>
      </c>
      <c r="AG174" s="62">
        <f>SUMIF(FLOAT!$D:$D,Cockpit!$E173:$E381,FLOAT!H:H)</f>
        <v>0</v>
      </c>
      <c r="AH174" s="62">
        <f>SUMIF(FLOAT!$D:$D,Cockpit!$E173:$E381,FLOAT!I:I)</f>
        <v>0</v>
      </c>
      <c r="AI174" s="62">
        <f>SUMIF(FLOAT!$D:$D,Cockpit!$E173:$E381,FLOAT!J:J)</f>
        <v>0</v>
      </c>
      <c r="AJ174" s="62">
        <f>SUMIF(FLOAT!$D:$D,Cockpit!$E173:$E381,FLOAT!K:K)</f>
        <v>0</v>
      </c>
      <c r="AK174" s="62">
        <f>SUMIF(FLOAT!$D:$D,Cockpit!$E173:$E381,FLOAT!L:L)</f>
        <v>6</v>
      </c>
      <c r="AL174" s="62">
        <f>SUMIF(FLOAT!$D:$D,Cockpit!$E173:$E381,FLOAT!M:M)</f>
        <v>7</v>
      </c>
      <c r="AM174" s="62">
        <f>SUMIF(FLOAT!$D:$D,Cockpit!$E173:$E381,FLOAT!N:N)</f>
        <v>2</v>
      </c>
      <c r="AN174" s="62">
        <f>SUMIF(FLOAT!$D:$D,Cockpit!$E173:$E381,FLOAT!O:O)</f>
        <v>4</v>
      </c>
      <c r="AO174" s="62">
        <f>SUMIF(FLOAT!$D:$D,Cockpit!$E173:$E381,FLOAT!P:P)</f>
        <v>0</v>
      </c>
      <c r="AP174" s="60">
        <f t="shared" si="48"/>
        <v>13</v>
      </c>
    </row>
    <row r="175" spans="4:42" ht="21.75" thickBot="1" x14ac:dyDescent="0.35">
      <c r="D175" s="693">
        <v>549754610188</v>
      </c>
      <c r="E175" s="511" t="s">
        <v>574</v>
      </c>
      <c r="F175" s="318" t="s">
        <v>598</v>
      </c>
      <c r="G175" s="584">
        <v>581</v>
      </c>
      <c r="H175" s="580">
        <f t="shared" si="41"/>
        <v>581</v>
      </c>
      <c r="I175" s="147">
        <f>38-1</f>
        <v>37</v>
      </c>
      <c r="J175" s="265">
        <f t="shared" si="42"/>
        <v>156</v>
      </c>
      <c r="K175" s="127">
        <f t="shared" si="42"/>
        <v>178</v>
      </c>
      <c r="L175" s="263">
        <f t="shared" si="43"/>
        <v>403</v>
      </c>
      <c r="M175" s="77">
        <f t="shared" si="44"/>
        <v>15</v>
      </c>
      <c r="N175" s="88">
        <f>SUMIF('3 D P'!$D:$D,'Fresh VIN PPC'!$E$144:$E$197,'3 D P'!$L:$L)</f>
        <v>10</v>
      </c>
      <c r="O175" s="88">
        <f>SUMIF('3 D P'!$D:$D,'Fresh VIN PPC'!$E$144:$E$197,'3 D P'!$M:$M)</f>
        <v>21</v>
      </c>
      <c r="P175" s="88">
        <f>SUMIF('3 D P'!$D:$D,'Fresh VIN PPC'!$E$144:$E$197,'3 D P'!$N:$N)</f>
        <v>0</v>
      </c>
      <c r="Q175" s="132">
        <f>IFERROR(VLOOKUP($D175,'Yazaki Dispatch'!$A:$B,2,FALSE),0)</f>
        <v>156</v>
      </c>
      <c r="R175" s="88">
        <f>SUMIF('Consumption MTD'!$B:$B,'Fresh VIN PPC'!$E$144:$E$184,'Consumption MTD'!$C:$C)</f>
        <v>178</v>
      </c>
      <c r="S175" s="88">
        <f>SUMIF('BIW Lifting A Shift'!$B:$B,'Fresh VIN PPC'!$E$5:$E$184,'BIW Lifting A Shift'!$C:$C)</f>
        <v>0</v>
      </c>
      <c r="T175" s="88">
        <f>SUMIF('BIW Lifting B Shift'!$B:$B,'Fresh VIN PPC'!$E$5:$E$178,'BIW Lifting B Shift'!$C:$C)</f>
        <v>0</v>
      </c>
      <c r="U175" s="74">
        <f t="shared" si="45"/>
        <v>12</v>
      </c>
      <c r="V175" s="74">
        <f t="shared" si="46"/>
        <v>12</v>
      </c>
      <c r="W175" s="457">
        <f t="shared" si="47"/>
        <v>12</v>
      </c>
      <c r="X175" s="746">
        <f>SUMIF(FLOAT!$D:$D,'Fresh VIN PPC'!$E$144:$E$184,FLOAT!$F:$F)</f>
        <v>3</v>
      </c>
      <c r="Y175" s="743">
        <f t="shared" si="34"/>
        <v>403</v>
      </c>
      <c r="Z175" s="38">
        <v>25</v>
      </c>
      <c r="AA175" s="49">
        <v>18</v>
      </c>
      <c r="AC175" s="147">
        <v>38</v>
      </c>
      <c r="AD175" s="514"/>
      <c r="AE175" s="278"/>
      <c r="AF175" s="471">
        <f>SUMIF(FLOAT!$D:$D,Cockpit!$E174:$E382,FLOAT!G:G)</f>
        <v>0</v>
      </c>
      <c r="AG175" s="62">
        <f>SUMIF(FLOAT!$D:$D,Cockpit!$E174:$E382,FLOAT!H:H)</f>
        <v>0</v>
      </c>
      <c r="AH175" s="62">
        <f>SUMIF(FLOAT!$D:$D,Cockpit!$E174:$E382,FLOAT!I:I)</f>
        <v>0</v>
      </c>
      <c r="AI175" s="62">
        <f>SUMIF(FLOAT!$D:$D,Cockpit!$E174:$E382,FLOAT!J:J)</f>
        <v>0</v>
      </c>
      <c r="AJ175" s="62">
        <f>SUMIF(FLOAT!$D:$D,Cockpit!$E174:$E382,FLOAT!K:K)</f>
        <v>0</v>
      </c>
      <c r="AK175" s="62">
        <f>SUMIF(FLOAT!$D:$D,Cockpit!$E174:$E382,FLOAT!L:L)</f>
        <v>0</v>
      </c>
      <c r="AL175" s="62">
        <f>SUMIF(FLOAT!$D:$D,Cockpit!$E174:$E382,FLOAT!M:M)</f>
        <v>0</v>
      </c>
      <c r="AM175" s="62">
        <f>SUMIF(FLOAT!$D:$D,Cockpit!$E174:$E382,FLOAT!N:N)</f>
        <v>0</v>
      </c>
      <c r="AN175" s="62">
        <f>SUMIF(FLOAT!$D:$D,Cockpit!$E174:$E382,FLOAT!O:O)</f>
        <v>2</v>
      </c>
      <c r="AO175" s="62">
        <f>SUMIF(FLOAT!$D:$D,Cockpit!$E174:$E382,FLOAT!P:P)</f>
        <v>0</v>
      </c>
      <c r="AP175" s="60">
        <f t="shared" si="48"/>
        <v>2</v>
      </c>
    </row>
    <row r="176" spans="4:42" ht="21.75" thickBot="1" x14ac:dyDescent="0.35">
      <c r="D176" s="950">
        <v>549754600188</v>
      </c>
      <c r="E176" s="511" t="s">
        <v>595</v>
      </c>
      <c r="F176" s="318" t="s">
        <v>680</v>
      </c>
      <c r="G176" s="584">
        <v>428</v>
      </c>
      <c r="H176" s="956">
        <f>G176+G177</f>
        <v>428</v>
      </c>
      <c r="I176" s="952">
        <v>9</v>
      </c>
      <c r="J176" s="831">
        <f>Q176</f>
        <v>97</v>
      </c>
      <c r="K176" s="832">
        <f>SUM(R176:R177)</f>
        <v>87</v>
      </c>
      <c r="L176" s="953">
        <f>H176-K176</f>
        <v>341</v>
      </c>
      <c r="M176" s="954">
        <f>I176+J176-K176</f>
        <v>19</v>
      </c>
      <c r="N176" s="88">
        <f>SUMIF('3 D P'!$D:$D,'Fresh VIN PPC'!$E$144:$E$197,'3 D P'!$L:$L)</f>
        <v>13</v>
      </c>
      <c r="O176" s="88">
        <f>SUMIF('3 D P'!$D:$D,'Fresh VIN PPC'!$E$144:$E$197,'3 D P'!$M:$M)</f>
        <v>0</v>
      </c>
      <c r="P176" s="88">
        <f>SUMIF('3 D P'!$D:$D,'Fresh VIN PPC'!$E$144:$E$197,'3 D P'!$N:$N)</f>
        <v>16</v>
      </c>
      <c r="Q176" s="132">
        <f>IFERROR(VLOOKUP($D176,'Yazaki Dispatch'!$A:$B,2,FALSE),0)</f>
        <v>97</v>
      </c>
      <c r="R176" s="88">
        <f>SUMIF('Consumption MTD'!$B:$B,'Fresh VIN PPC'!$E$144:$E$184,'Consumption MTD'!$C:$C)</f>
        <v>87</v>
      </c>
      <c r="S176" s="88">
        <f>SUMIF('BIW Lifting A Shift'!$B:$B,'Fresh VIN PPC'!$E$5:$E$184,'BIW Lifting A Shift'!$C:$C)</f>
        <v>0</v>
      </c>
      <c r="T176" s="88">
        <f>SUMIF('BIW Lifting B Shift'!$B:$B,'Fresh VIN PPC'!$E$5:$E$178,'BIW Lifting B Shift'!$C:$C)</f>
        <v>0</v>
      </c>
      <c r="U176" s="818">
        <f>M176-X176-X177</f>
        <v>14</v>
      </c>
      <c r="V176" s="818">
        <f>M176-X176-X177-S176-S177</f>
        <v>14</v>
      </c>
      <c r="W176" s="820">
        <f>V176-T176-T177</f>
        <v>14</v>
      </c>
      <c r="X176" s="746">
        <f>SUMIF(FLOAT!$D:$D,'Fresh VIN PPC'!$E$144:$E$184,FLOAT!$F:$F)</f>
        <v>5</v>
      </c>
      <c r="Y176" s="743">
        <f t="shared" si="34"/>
        <v>341</v>
      </c>
      <c r="Z176" s="949">
        <v>37</v>
      </c>
      <c r="AA176" s="49">
        <v>26</v>
      </c>
      <c r="AC176" s="907">
        <v>7</v>
      </c>
      <c r="AD176" s="513"/>
      <c r="AF176" s="471">
        <f>SUMIF(FLOAT!$D:$D,Cockpit!$E175:$E381,FLOAT!G:G)</f>
        <v>1</v>
      </c>
      <c r="AG176" s="62">
        <f>SUMIF(FLOAT!$D:$D,Cockpit!$E175:$E381,FLOAT!H:H)</f>
        <v>1</v>
      </c>
      <c r="AH176" s="62">
        <f>SUMIF(FLOAT!$D:$D,Cockpit!$E175:$E381,FLOAT!I:I)</f>
        <v>1</v>
      </c>
      <c r="AI176" s="62">
        <f>SUMIF(FLOAT!$D:$D,Cockpit!$E175:$E381,FLOAT!J:J)</f>
        <v>0</v>
      </c>
      <c r="AJ176" s="62">
        <f>SUMIF(FLOAT!$D:$D,Cockpit!$E175:$E381,FLOAT!K:K)</f>
        <v>0</v>
      </c>
      <c r="AK176" s="62">
        <f>SUMIF(FLOAT!$D:$D,Cockpit!$E175:$E381,FLOAT!L:L)</f>
        <v>0</v>
      </c>
      <c r="AL176" s="62">
        <f>SUMIF(FLOAT!$D:$D,Cockpit!$E175:$E381,FLOAT!M:M)</f>
        <v>3</v>
      </c>
      <c r="AM176" s="62">
        <f>SUMIF(FLOAT!$D:$D,Cockpit!$E175:$E381,FLOAT!N:N)</f>
        <v>0</v>
      </c>
      <c r="AN176" s="283">
        <f>SUMIF(FLOAT!$D:$D,Cockpit!$E175:$E381,FLOAT!O:O)</f>
        <v>0</v>
      </c>
      <c r="AO176" s="62">
        <f>SUMIF(FLOAT!$D:$D,Cockpit!$E175:$E381,FLOAT!P:P)</f>
        <v>0</v>
      </c>
      <c r="AP176" s="60">
        <f t="shared" si="48"/>
        <v>3</v>
      </c>
    </row>
    <row r="177" spans="4:42" ht="21.75" thickBot="1" x14ac:dyDescent="0.35">
      <c r="D177" s="951"/>
      <c r="E177" s="511" t="s">
        <v>597</v>
      </c>
      <c r="F177" s="318" t="s">
        <v>681</v>
      </c>
      <c r="G177" s="584">
        <v>0</v>
      </c>
      <c r="H177" s="956"/>
      <c r="I177" s="952"/>
      <c r="J177" s="831"/>
      <c r="K177" s="832"/>
      <c r="L177" s="953"/>
      <c r="M177" s="954"/>
      <c r="N177" s="88">
        <f>SUMIF('3 D P'!$D:$D,'Fresh VIN PPC'!$E$144:$E$197,'3 D P'!$L:$L)</f>
        <v>0</v>
      </c>
      <c r="O177" s="88">
        <f>SUMIF('3 D P'!$D:$D,'Fresh VIN PPC'!$E$144:$E$197,'3 D P'!$M:$M)</f>
        <v>0</v>
      </c>
      <c r="P177" s="88">
        <f>SUMIF('3 D P'!$D:$D,'Fresh VIN PPC'!$E$144:$E$197,'3 D P'!$N:$N)</f>
        <v>0</v>
      </c>
      <c r="Q177" s="132">
        <f>IFERROR(VLOOKUP($D177,'Yazaki Dispatch'!$A:$B,2,FALSE),0)</f>
        <v>0</v>
      </c>
      <c r="R177" s="88">
        <f>SUMIF('Consumption MTD'!$B:$B,'Fresh VIN PPC'!$E$144:$E$184,'Consumption MTD'!$C:$C)</f>
        <v>0</v>
      </c>
      <c r="S177" s="88">
        <f>SUMIF('BIW Lifting A Shift'!$B:$B,'Fresh VIN PPC'!$E$5:$E$184,'BIW Lifting A Shift'!$C:$C)</f>
        <v>0</v>
      </c>
      <c r="T177" s="88">
        <f>SUMIF('BIW Lifting B Shift'!$B:$B,'Fresh VIN PPC'!$E$5:$E$178,'BIW Lifting B Shift'!$C:$C)</f>
        <v>0</v>
      </c>
      <c r="U177" s="818"/>
      <c r="V177" s="818"/>
      <c r="W177" s="820"/>
      <c r="X177" s="746">
        <f>SUMIF(FLOAT!$D:$D,'Fresh VIN PPC'!$E$144:$E$184,FLOAT!$F:$F)</f>
        <v>0</v>
      </c>
      <c r="Y177" s="743">
        <f t="shared" si="34"/>
        <v>0</v>
      </c>
      <c r="Z177" s="949"/>
      <c r="AA177" s="49"/>
      <c r="AC177" s="908"/>
      <c r="AD177" s="513"/>
      <c r="AF177" s="471">
        <f>SUMIF(FLOAT!$D:$D,Cockpit!$E176:$E382,FLOAT!G:G)</f>
        <v>0</v>
      </c>
      <c r="AG177" s="62">
        <f>SUMIF(FLOAT!$D:$D,Cockpit!$E176:$E382,FLOAT!H:H)</f>
        <v>0</v>
      </c>
      <c r="AH177" s="62">
        <f>SUMIF(FLOAT!$D:$D,Cockpit!$E176:$E382,FLOAT!I:I)</f>
        <v>0</v>
      </c>
      <c r="AI177" s="62">
        <f>SUMIF(FLOAT!$D:$D,Cockpit!$E176:$E382,FLOAT!J:J)</f>
        <v>0</v>
      </c>
      <c r="AJ177" s="62">
        <f>SUMIF(FLOAT!$D:$D,Cockpit!$E176:$E382,FLOAT!K:K)</f>
        <v>0</v>
      </c>
      <c r="AK177" s="62">
        <f>SUMIF(FLOAT!$D:$D,Cockpit!$E176:$E382,FLOAT!L:L)</f>
        <v>2</v>
      </c>
      <c r="AL177" s="62">
        <f>SUMIF(FLOAT!$D:$D,Cockpit!$E176:$E382,FLOAT!M:M)</f>
        <v>2</v>
      </c>
      <c r="AM177" s="62">
        <f>SUMIF(FLOAT!$D:$D,Cockpit!$E176:$E382,FLOAT!N:N)</f>
        <v>1</v>
      </c>
      <c r="AN177" s="62">
        <f>SUMIF(FLOAT!$D:$D,Cockpit!$E176:$E382,FLOAT!O:O)</f>
        <v>2</v>
      </c>
      <c r="AO177" s="62">
        <f>SUMIF(FLOAT!$D:$D,Cockpit!$E176:$E382,FLOAT!P:P)</f>
        <v>0</v>
      </c>
      <c r="AP177" s="60">
        <f t="shared" si="48"/>
        <v>5</v>
      </c>
    </row>
    <row r="178" spans="4:42" ht="21.75" thickBot="1" x14ac:dyDescent="0.35">
      <c r="D178" s="277"/>
      <c r="E178" s="333"/>
      <c r="F178" s="318"/>
      <c r="G178" s="584">
        <v>0</v>
      </c>
      <c r="H178" s="578">
        <f t="shared" si="41"/>
        <v>0</v>
      </c>
      <c r="I178" s="609">
        <v>0</v>
      </c>
      <c r="J178" s="215">
        <f t="shared" si="42"/>
        <v>0</v>
      </c>
      <c r="K178" s="128">
        <f t="shared" si="42"/>
        <v>0</v>
      </c>
      <c r="L178" s="510">
        <f t="shared" si="43"/>
        <v>0</v>
      </c>
      <c r="M178" s="77">
        <f t="shared" si="44"/>
        <v>0</v>
      </c>
      <c r="N178" s="88">
        <f>SUMIF('3 D P'!$D:$D,'Fresh VIN PPC'!$E$144:$E$197,'3 D P'!$L:$L)</f>
        <v>0</v>
      </c>
      <c r="O178" s="88">
        <f>SUMIF('3 D P'!$D:$D,'Fresh VIN PPC'!$E$144:$E$197,'3 D P'!$M:$M)</f>
        <v>0</v>
      </c>
      <c r="P178" s="88">
        <f>SUMIF('3 D P'!$D:$D,'Fresh VIN PPC'!$E$144:$E$197,'3 D P'!$N:$N)</f>
        <v>0</v>
      </c>
      <c r="Q178" s="132">
        <f>IFERROR(VLOOKUP($D178,'Yazaki Dispatch'!$A:$B,2,FALSE),0)</f>
        <v>0</v>
      </c>
      <c r="R178" s="88">
        <f>SUMIF('Consumption MTD'!$B:$B,'Fresh VIN PPC'!$E$144:$E$184,'Consumption MTD'!$C:$C)</f>
        <v>0</v>
      </c>
      <c r="S178" s="88">
        <f>SUMIF('BIW Lifting A Shift'!$B:$B,'Fresh VIN PPC'!$E$5:$E$184,'BIW Lifting A Shift'!$C:$C)</f>
        <v>0</v>
      </c>
      <c r="T178" s="88">
        <f>SUMIF('BIW Lifting B Shift'!$B:$B,'Fresh VIN PPC'!$E$5:$E$178,'BIW Lifting B Shift'!$C:$C)</f>
        <v>0</v>
      </c>
      <c r="U178" s="74">
        <f t="shared" si="45"/>
        <v>0</v>
      </c>
      <c r="V178" s="74">
        <f t="shared" si="46"/>
        <v>0</v>
      </c>
      <c r="W178" s="457">
        <f t="shared" si="47"/>
        <v>0</v>
      </c>
      <c r="X178" s="746">
        <f>SUMIF(FLOAT!$D:$D,'Fresh VIN PPC'!$E$144:$E$184,FLOAT!$F:$F)</f>
        <v>0</v>
      </c>
      <c r="Y178" s="743">
        <f t="shared" si="34"/>
        <v>0</v>
      </c>
      <c r="AA178" s="49">
        <v>0</v>
      </c>
      <c r="AC178" s="147"/>
      <c r="AD178" s="514"/>
      <c r="AE178" s="278"/>
      <c r="AF178" s="471">
        <f>SUMIF(FLOAT!$D:$D,Cockpit!$E177:$E385,FLOAT!G:G)</f>
        <v>0</v>
      </c>
      <c r="AG178" s="62">
        <f>SUMIF(FLOAT!$D:$D,Cockpit!$E177:$E385,FLOAT!H:H)</f>
        <v>0</v>
      </c>
      <c r="AH178" s="62">
        <f>SUMIF(FLOAT!$D:$D,Cockpit!$E177:$E385,FLOAT!I:I)</f>
        <v>0</v>
      </c>
      <c r="AI178" s="62">
        <f>SUMIF(FLOAT!$D:$D,Cockpit!$E177:$E385,FLOAT!J:J)</f>
        <v>0</v>
      </c>
      <c r="AJ178" s="62">
        <f>SUMIF(FLOAT!$D:$D,Cockpit!$E177:$E385,FLOAT!K:K)</f>
        <v>0</v>
      </c>
      <c r="AK178" s="62">
        <f>SUMIF(FLOAT!$D:$D,Cockpit!$E177:$E385,FLOAT!L:L)</f>
        <v>0</v>
      </c>
      <c r="AL178" s="62">
        <f>SUMIF(FLOAT!$D:$D,Cockpit!$E177:$E385,FLOAT!M:M)</f>
        <v>0</v>
      </c>
      <c r="AM178" s="62">
        <f>SUMIF(FLOAT!$D:$D,Cockpit!$E177:$E385,FLOAT!N:N)</f>
        <v>0</v>
      </c>
      <c r="AN178" s="62">
        <f>SUMIF(FLOAT!$D:$D,Cockpit!$E177:$E385,FLOAT!O:O)</f>
        <v>0</v>
      </c>
      <c r="AO178" s="62">
        <f>SUMIF(FLOAT!$D:$D,Cockpit!$E177:$E385,FLOAT!P:P)</f>
        <v>0</v>
      </c>
      <c r="AP178" s="60">
        <f t="shared" si="48"/>
        <v>0</v>
      </c>
    </row>
    <row r="179" spans="4:42" ht="21.75" thickBot="1" x14ac:dyDescent="0.35">
      <c r="D179" s="277"/>
      <c r="E179" s="333"/>
      <c r="F179" s="318"/>
      <c r="G179" s="584">
        <v>0</v>
      </c>
      <c r="H179" s="579">
        <f t="shared" si="41"/>
        <v>0</v>
      </c>
      <c r="I179" s="609">
        <v>0</v>
      </c>
      <c r="J179" s="214">
        <f t="shared" si="42"/>
        <v>0</v>
      </c>
      <c r="K179" s="76">
        <f t="shared" si="42"/>
        <v>0</v>
      </c>
      <c r="L179" s="155">
        <f t="shared" si="43"/>
        <v>0</v>
      </c>
      <c r="M179" s="77">
        <f t="shared" si="44"/>
        <v>0</v>
      </c>
      <c r="N179" s="88">
        <f>SUMIF('3 D P'!$D:$D,'Fresh VIN PPC'!$E$144:$E$197,'3 D P'!$L:$L)</f>
        <v>0</v>
      </c>
      <c r="O179" s="88">
        <f>SUMIF('3 D P'!$D:$D,'Fresh VIN PPC'!$E$144:$E$197,'3 D P'!$M:$M)</f>
        <v>0</v>
      </c>
      <c r="P179" s="88">
        <f>SUMIF('3 D P'!$D:$D,'Fresh VIN PPC'!$E$144:$E$197,'3 D P'!$N:$N)</f>
        <v>0</v>
      </c>
      <c r="Q179" s="132">
        <f>IFERROR(VLOOKUP($D179,'Yazaki Dispatch'!$A:$B,2,FALSE),0)</f>
        <v>0</v>
      </c>
      <c r="R179" s="88">
        <f>SUMIF('Consumption MTD'!$B:$B,'Fresh VIN PPC'!$E$144:$E$184,'Consumption MTD'!$C:$C)</f>
        <v>0</v>
      </c>
      <c r="S179" s="88">
        <f>SUMIF('BIW Lifting A Shift'!$B:$B,'Fresh VIN PPC'!$E$5:$E$184,'BIW Lifting A Shift'!$C:$C)</f>
        <v>0</v>
      </c>
      <c r="T179" s="88">
        <f>SUMIF('BIW Lifting B Shift'!$B:$B,'Fresh VIN PPC'!$E$5:$E$178,'BIW Lifting B Shift'!$C:$C)</f>
        <v>0</v>
      </c>
      <c r="U179" s="74">
        <f t="shared" si="45"/>
        <v>0</v>
      </c>
      <c r="V179" s="74">
        <f t="shared" si="46"/>
        <v>0</v>
      </c>
      <c r="W179" s="457">
        <f t="shared" si="47"/>
        <v>0</v>
      </c>
      <c r="X179" s="746">
        <f>SUMIF(FLOAT!$D:$D,'Fresh VIN PPC'!$E$144:$E$184,FLOAT!$F:$F)</f>
        <v>0</v>
      </c>
      <c r="Y179" s="743">
        <f t="shared" si="34"/>
        <v>0</v>
      </c>
      <c r="AA179" s="49">
        <v>0</v>
      </c>
      <c r="AC179" s="147"/>
      <c r="AD179" s="514"/>
      <c r="AE179" s="278"/>
      <c r="AF179" s="471">
        <f>SUMIF(FLOAT!$D:$D,Cockpit!$E178:$E386,FLOAT!G:G)</f>
        <v>0</v>
      </c>
      <c r="AG179" s="62">
        <f>SUMIF(FLOAT!$D:$D,Cockpit!$E178:$E386,FLOAT!H:H)</f>
        <v>0</v>
      </c>
      <c r="AH179" s="62">
        <f>SUMIF(FLOAT!$D:$D,Cockpit!$E178:$E386,FLOAT!I:I)</f>
        <v>0</v>
      </c>
      <c r="AI179" s="62">
        <f>SUMIF(FLOAT!$D:$D,Cockpit!$E178:$E386,FLOAT!J:J)</f>
        <v>0</v>
      </c>
      <c r="AJ179" s="62">
        <f>SUMIF(FLOAT!$D:$D,Cockpit!$E178:$E386,FLOAT!K:K)</f>
        <v>0</v>
      </c>
      <c r="AK179" s="62">
        <f>SUMIF(FLOAT!$D:$D,Cockpit!$E178:$E386,FLOAT!L:L)</f>
        <v>0</v>
      </c>
      <c r="AL179" s="62">
        <f>SUMIF(FLOAT!$D:$D,Cockpit!$E178:$E386,FLOAT!M:M)</f>
        <v>0</v>
      </c>
      <c r="AM179" s="62">
        <f>SUMIF(FLOAT!$D:$D,Cockpit!$E178:$E386,FLOAT!N:N)</f>
        <v>0</v>
      </c>
      <c r="AN179" s="62">
        <f>SUMIF(FLOAT!$D:$D,Cockpit!$E178:$E386,FLOAT!O:O)</f>
        <v>0</v>
      </c>
      <c r="AO179" s="62">
        <f>SUMIF(FLOAT!$D:$D,Cockpit!$E178:$E386,FLOAT!P:P)</f>
        <v>0</v>
      </c>
      <c r="AP179" s="60">
        <f t="shared" si="48"/>
        <v>0</v>
      </c>
    </row>
    <row r="180" spans="4:42" ht="21.75" thickBot="1" x14ac:dyDescent="0.35">
      <c r="D180" s="277"/>
      <c r="E180" s="333"/>
      <c r="F180" s="318"/>
      <c r="G180" s="584">
        <v>0</v>
      </c>
      <c r="H180" s="581">
        <f t="shared" si="41"/>
        <v>0</v>
      </c>
      <c r="I180" s="609">
        <v>0</v>
      </c>
      <c r="J180" s="214">
        <f t="shared" si="42"/>
        <v>0</v>
      </c>
      <c r="K180" s="76">
        <f t="shared" si="42"/>
        <v>0</v>
      </c>
      <c r="L180" s="155">
        <f t="shared" si="43"/>
        <v>0</v>
      </c>
      <c r="M180" s="77">
        <f t="shared" si="44"/>
        <v>0</v>
      </c>
      <c r="N180" s="88">
        <f>SUMIF('3 D P'!$D:$D,'Fresh VIN PPC'!$E$144:$E$197,'3 D P'!$L:$L)</f>
        <v>0</v>
      </c>
      <c r="O180" s="88">
        <f>SUMIF('3 D P'!$D:$D,'Fresh VIN PPC'!$E$144:$E$197,'3 D P'!$M:$M)</f>
        <v>0</v>
      </c>
      <c r="P180" s="88">
        <f>SUMIF('3 D P'!$D:$D,'Fresh VIN PPC'!$E$144:$E$197,'3 D P'!$N:$N)</f>
        <v>0</v>
      </c>
      <c r="Q180" s="132">
        <f>IFERROR(VLOOKUP($D180,'Yazaki Dispatch'!$A:$B,2,FALSE),0)</f>
        <v>0</v>
      </c>
      <c r="R180" s="88">
        <f>SUMIF('Consumption MTD'!$B:$B,'Fresh VIN PPC'!$E$144:$E$184,'Consumption MTD'!$C:$C)</f>
        <v>0</v>
      </c>
      <c r="S180" s="88">
        <f>SUMIF('BIW Lifting A Shift'!$B:$B,'Fresh VIN PPC'!$E$5:$E$184,'BIW Lifting A Shift'!$C:$C)</f>
        <v>0</v>
      </c>
      <c r="T180" s="88">
        <f>SUMIF('BIW Lifting B Shift'!$B:$B,'Fresh VIN PPC'!$E$5:$E$178,'BIW Lifting B Shift'!$C:$C)</f>
        <v>0</v>
      </c>
      <c r="U180" s="74">
        <f t="shared" si="45"/>
        <v>0</v>
      </c>
      <c r="V180" s="74">
        <f t="shared" si="46"/>
        <v>0</v>
      </c>
      <c r="W180" s="457">
        <f t="shared" si="47"/>
        <v>0</v>
      </c>
      <c r="X180" s="746">
        <f>SUMIF(FLOAT!$D:$D,'Fresh VIN PPC'!$E$144:$E$184,FLOAT!$F:$F)</f>
        <v>0</v>
      </c>
      <c r="Y180" s="743">
        <f t="shared" si="34"/>
        <v>0</v>
      </c>
      <c r="AA180" s="49">
        <v>0</v>
      </c>
      <c r="AC180" s="147"/>
      <c r="AD180" s="514"/>
      <c r="AE180" s="278"/>
      <c r="AF180" s="471">
        <f>SUMIF(FLOAT!$D:$D,Cockpit!$E179:$E387,FLOAT!G:G)</f>
        <v>0</v>
      </c>
      <c r="AG180" s="62">
        <f>SUMIF(FLOAT!$D:$D,Cockpit!$E179:$E387,FLOAT!H:H)</f>
        <v>0</v>
      </c>
      <c r="AH180" s="62">
        <f>SUMIF(FLOAT!$D:$D,Cockpit!$E179:$E387,FLOAT!I:I)</f>
        <v>0</v>
      </c>
      <c r="AI180" s="62">
        <f>SUMIF(FLOAT!$D:$D,Cockpit!$E179:$E387,FLOAT!J:J)</f>
        <v>0</v>
      </c>
      <c r="AJ180" s="62">
        <f>SUMIF(FLOAT!$D:$D,Cockpit!$E179:$E387,FLOAT!K:K)</f>
        <v>0</v>
      </c>
      <c r="AK180" s="62">
        <f>SUMIF(FLOAT!$D:$D,Cockpit!$E179:$E387,FLOAT!L:L)</f>
        <v>0</v>
      </c>
      <c r="AL180" s="62">
        <f>SUMIF(FLOAT!$D:$D,Cockpit!$E179:$E387,FLOAT!M:M)</f>
        <v>0</v>
      </c>
      <c r="AM180" s="62">
        <f>SUMIF(FLOAT!$D:$D,Cockpit!$E179:$E387,FLOAT!N:N)</f>
        <v>0</v>
      </c>
      <c r="AN180" s="62">
        <f>SUMIF(FLOAT!$D:$D,Cockpit!$E179:$E387,FLOAT!O:O)</f>
        <v>0</v>
      </c>
      <c r="AO180" s="62">
        <f>SUMIF(FLOAT!$D:$D,Cockpit!$E179:$E387,FLOAT!P:P)</f>
        <v>0</v>
      </c>
      <c r="AP180" s="60">
        <f>AF180+AG180+AH180+AI180+AJ180+AK180+AM180+AN180+AO180</f>
        <v>0</v>
      </c>
    </row>
    <row r="181" spans="4:42" ht="21.75" thickBot="1" x14ac:dyDescent="0.35">
      <c r="D181" s="277"/>
      <c r="E181" s="333"/>
      <c r="F181" s="318"/>
      <c r="G181" s="584">
        <v>0</v>
      </c>
      <c r="H181" s="582">
        <f t="shared" si="41"/>
        <v>0</v>
      </c>
      <c r="I181" s="609">
        <v>0</v>
      </c>
      <c r="J181" s="214">
        <f t="shared" si="42"/>
        <v>0</v>
      </c>
      <c r="K181" s="76">
        <f t="shared" si="42"/>
        <v>0</v>
      </c>
      <c r="L181" s="155">
        <f t="shared" si="43"/>
        <v>0</v>
      </c>
      <c r="M181" s="77">
        <f t="shared" si="44"/>
        <v>0</v>
      </c>
      <c r="N181" s="88">
        <f>SUMIF('3 D P'!$D:$D,'Fresh VIN PPC'!$E$144:$E$197,'3 D P'!$L:$L)</f>
        <v>0</v>
      </c>
      <c r="O181" s="88">
        <f>SUMIF('3 D P'!$D:$D,'Fresh VIN PPC'!$E$144:$E$197,'3 D P'!$M:$M)</f>
        <v>0</v>
      </c>
      <c r="P181" s="88">
        <f>SUMIF('3 D P'!$D:$D,'Fresh VIN PPC'!$E$144:$E$197,'3 D P'!$N:$N)</f>
        <v>0</v>
      </c>
      <c r="Q181" s="132">
        <f>IFERROR(VLOOKUP($D181,'Yazaki Dispatch'!$A:$B,2,FALSE),0)</f>
        <v>0</v>
      </c>
      <c r="R181" s="88">
        <f>SUMIF('Consumption MTD'!$B:$B,'Fresh VIN PPC'!$E$144:$E$184,'Consumption MTD'!$C:$C)</f>
        <v>0</v>
      </c>
      <c r="S181" s="88">
        <f>SUMIF('BIW Lifting A Shift'!$B:$B,'Fresh VIN PPC'!$E$5:$E$184,'BIW Lifting A Shift'!$C:$C)</f>
        <v>0</v>
      </c>
      <c r="T181" s="88">
        <f>SUMIF('BIW Lifting B Shift'!$B:$B,'Fresh VIN PPC'!$E$5:$E$178,'BIW Lifting B Shift'!$C:$C)</f>
        <v>0</v>
      </c>
      <c r="U181" s="74">
        <f t="shared" si="45"/>
        <v>0</v>
      </c>
      <c r="V181" s="74">
        <f t="shared" si="46"/>
        <v>0</v>
      </c>
      <c r="W181" s="457">
        <f t="shared" si="47"/>
        <v>0</v>
      </c>
      <c r="X181" s="746">
        <f>SUMIF(FLOAT!$D:$D,'Fresh VIN PPC'!$E$144:$E$184,FLOAT!$F:$F)</f>
        <v>0</v>
      </c>
      <c r="Y181" s="743">
        <f t="shared" si="34"/>
        <v>0</v>
      </c>
      <c r="AA181" s="49">
        <v>0</v>
      </c>
      <c r="AC181" s="147"/>
      <c r="AD181" s="514"/>
      <c r="AE181" s="278"/>
      <c r="AF181" s="471">
        <f>SUMIF(FLOAT!$D:$D,Cockpit!$E179:$E388,FLOAT!G:G)</f>
        <v>0</v>
      </c>
      <c r="AG181" s="62">
        <f>SUMIF(FLOAT!$D:$D,Cockpit!$E179:$E388,FLOAT!H:H)</f>
        <v>0</v>
      </c>
      <c r="AH181" s="62">
        <f>SUMIF(FLOAT!$D:$D,Cockpit!$E179:$E388,FLOAT!I:I)</f>
        <v>0</v>
      </c>
      <c r="AI181" s="62">
        <f>SUMIF(FLOAT!$D:$D,Cockpit!$E179:$E388,FLOAT!J:J)</f>
        <v>0</v>
      </c>
      <c r="AJ181" s="62">
        <f>SUMIF(FLOAT!$D:$D,Cockpit!$E179:$E388,FLOAT!K:K)</f>
        <v>0</v>
      </c>
      <c r="AK181" s="62">
        <f>SUMIF(FLOAT!$D:$D,Cockpit!$E179:$E388,FLOAT!L:L)</f>
        <v>0</v>
      </c>
      <c r="AL181" s="62">
        <f>SUMIF(FLOAT!$D:$D,Cockpit!$E179:$E388,FLOAT!M:M)</f>
        <v>0</v>
      </c>
      <c r="AM181" s="62">
        <f>SUMIF(FLOAT!$D:$D,Cockpit!$E179:$E388,FLOAT!N:N)</f>
        <v>0</v>
      </c>
      <c r="AN181" s="62">
        <f>SUMIF(FLOAT!$D:$D,Cockpit!$E179:$E388,FLOAT!O:O)</f>
        <v>0</v>
      </c>
      <c r="AO181" s="62">
        <f>SUMIF(FLOAT!$D:$D,Cockpit!$E179:$E388,FLOAT!P:P)</f>
        <v>0</v>
      </c>
      <c r="AP181" s="60">
        <f>AF181+AG181+AH181+AI181+AJ181+AK181+AM181+AN181+AO181</f>
        <v>0</v>
      </c>
    </row>
    <row r="182" spans="4:42" ht="21.75" thickBot="1" x14ac:dyDescent="0.35">
      <c r="D182" s="277"/>
      <c r="E182" s="333"/>
      <c r="F182" s="318"/>
      <c r="G182" s="584">
        <v>0</v>
      </c>
      <c r="H182" s="582">
        <f t="shared" si="41"/>
        <v>0</v>
      </c>
      <c r="I182" s="609">
        <v>0</v>
      </c>
      <c r="J182" s="214">
        <f t="shared" si="42"/>
        <v>0</v>
      </c>
      <c r="K182" s="76">
        <f t="shared" si="42"/>
        <v>0</v>
      </c>
      <c r="L182" s="155">
        <f>H182-K182</f>
        <v>0</v>
      </c>
      <c r="M182" s="77">
        <f>I182+J182-K182</f>
        <v>0</v>
      </c>
      <c r="N182" s="88">
        <f>SUMIF('3 D P'!$D:$D,'Fresh VIN PPC'!$E$144:$E$197,'3 D P'!$L:$L)</f>
        <v>0</v>
      </c>
      <c r="O182" s="88">
        <f>SUMIF('3 D P'!$D:$D,'Fresh VIN PPC'!$E$144:$E$197,'3 D P'!$M:$M)</f>
        <v>0</v>
      </c>
      <c r="P182" s="88">
        <f>SUMIF('3 D P'!$D:$D,'Fresh VIN PPC'!$E$144:$E$197,'3 D P'!$N:$N)</f>
        <v>0</v>
      </c>
      <c r="Q182" s="132">
        <f>IFERROR(VLOOKUP($D182,'Yazaki Dispatch'!$A:$B,2,FALSE),0)</f>
        <v>0</v>
      </c>
      <c r="R182" s="88">
        <f>SUMIF('Consumption MTD'!$B:$B,'Fresh VIN PPC'!$E$144:$E$184,'Consumption MTD'!$C:$C)</f>
        <v>0</v>
      </c>
      <c r="S182" s="88">
        <f>SUMIF('BIW Lifting A Shift'!$B:$B,'Fresh VIN PPC'!$E$5:$E$184,'BIW Lifting A Shift'!$C:$C)</f>
        <v>0</v>
      </c>
      <c r="T182" s="88">
        <f>SUMIF('BIW Lifting B Shift'!$B:$B,'Fresh VIN PPC'!$E$5:$E$178,'BIW Lifting B Shift'!$C:$C)</f>
        <v>0</v>
      </c>
      <c r="U182" s="74">
        <f>M182-X182</f>
        <v>0</v>
      </c>
      <c r="V182" s="74">
        <f>M182-S182-X182</f>
        <v>0</v>
      </c>
      <c r="W182" s="457">
        <f>V182-T182</f>
        <v>0</v>
      </c>
      <c r="X182" s="746">
        <f>SUMIF(FLOAT!$D:$D,'Fresh VIN PPC'!$E$144:$E$184,FLOAT!$F:$F)</f>
        <v>0</v>
      </c>
      <c r="Y182" s="743">
        <f t="shared" si="34"/>
        <v>0</v>
      </c>
      <c r="AA182" s="49">
        <v>0</v>
      </c>
      <c r="AC182" s="147"/>
      <c r="AD182" s="514"/>
      <c r="AE182" s="278"/>
      <c r="AF182" s="471">
        <f>SUMIF(FLOAT!$D:$D,Cockpit!$E179:$E389,FLOAT!G:G)</f>
        <v>0</v>
      </c>
      <c r="AG182" s="62">
        <f>SUMIF(FLOAT!$D:$D,Cockpit!$E179:$E389,FLOAT!H:H)</f>
        <v>0</v>
      </c>
      <c r="AH182" s="62">
        <f>SUMIF(FLOAT!$D:$D,Cockpit!$E179:$E389,FLOAT!I:I)</f>
        <v>0</v>
      </c>
      <c r="AI182" s="62">
        <f>SUMIF(FLOAT!$D:$D,Cockpit!$E179:$E389,FLOAT!J:J)</f>
        <v>0</v>
      </c>
      <c r="AJ182" s="62">
        <f>SUMIF(FLOAT!$D:$D,Cockpit!$E179:$E389,FLOAT!K:K)</f>
        <v>0</v>
      </c>
      <c r="AK182" s="62">
        <f>SUMIF(FLOAT!$D:$D,Cockpit!$E179:$E389,FLOAT!L:L)</f>
        <v>0</v>
      </c>
      <c r="AL182" s="62">
        <f>SUMIF(FLOAT!$D:$D,Cockpit!$E179:$E389,FLOAT!M:M)</f>
        <v>0</v>
      </c>
      <c r="AM182" s="283">
        <f>SUMIF(FLOAT!$D:$D,Cockpit!$E179:$E389,FLOAT!N:N)</f>
        <v>0</v>
      </c>
      <c r="AN182" s="283">
        <f>SUMIF(FLOAT!$D:$D,Cockpit!$E179:$E389,FLOAT!O:O)</f>
        <v>0</v>
      </c>
      <c r="AO182" s="62">
        <f>SUMIF(FLOAT!$D:$D,Cockpit!$E179:$E389,FLOAT!P:P)</f>
        <v>0</v>
      </c>
      <c r="AP182" s="60">
        <f>AF182+AG182+AH182+AI182+AJ182+AK182+AM182+AN182+AO182</f>
        <v>0</v>
      </c>
    </row>
    <row r="183" spans="4:42" ht="21.75" thickBot="1" x14ac:dyDescent="0.35">
      <c r="D183" s="277"/>
      <c r="E183" s="362"/>
      <c r="F183" s="318"/>
      <c r="G183" s="584">
        <v>0</v>
      </c>
      <c r="H183" s="582">
        <f t="shared" si="41"/>
        <v>0</v>
      </c>
      <c r="I183" s="609">
        <v>0</v>
      </c>
      <c r="J183" s="214">
        <f t="shared" si="42"/>
        <v>0</v>
      </c>
      <c r="K183" s="76">
        <f t="shared" si="42"/>
        <v>0</v>
      </c>
      <c r="L183" s="155">
        <f>H183-K183</f>
        <v>0</v>
      </c>
      <c r="M183" s="77">
        <f>I183+J183-K183</f>
        <v>0</v>
      </c>
      <c r="N183" s="88">
        <f>SUMIF('3 D P'!$D:$D,'Fresh VIN PPC'!$E$144:$E$197,'3 D P'!$L:$L)</f>
        <v>0</v>
      </c>
      <c r="O183" s="88">
        <f>SUMIF('3 D P'!$D:$D,'Fresh VIN PPC'!$E$144:$E$197,'3 D P'!$M:$M)</f>
        <v>0</v>
      </c>
      <c r="P183" s="88">
        <f>SUMIF('3 D P'!$D:$D,'Fresh VIN PPC'!$E$144:$E$197,'3 D P'!$N:$N)</f>
        <v>0</v>
      </c>
      <c r="Q183" s="132">
        <f>IFERROR(VLOOKUP($D183,'Yazaki Dispatch'!$A:$B,2,FALSE),0)</f>
        <v>0</v>
      </c>
      <c r="R183" s="88">
        <f>SUMIF('Consumption MTD'!$B:$B,'Fresh VIN PPC'!$E$144:$E$184,'Consumption MTD'!$C:$C)</f>
        <v>0</v>
      </c>
      <c r="S183" s="88">
        <f>SUMIF('BIW Lifting A Shift'!$B:$B,'Fresh VIN PPC'!$E$5:$E$184,'BIW Lifting A Shift'!$C:$C)</f>
        <v>0</v>
      </c>
      <c r="T183" s="88">
        <f>SUMIF('BIW Lifting B Shift'!$B:$B,'Fresh VIN PPC'!$E$5:$E$178,'BIW Lifting B Shift'!$C:$C)</f>
        <v>0</v>
      </c>
      <c r="U183" s="74">
        <f>M183-X183</f>
        <v>0</v>
      </c>
      <c r="V183" s="74">
        <f>M183-S183-X183</f>
        <v>0</v>
      </c>
      <c r="W183" s="457">
        <f>V183-T183</f>
        <v>0</v>
      </c>
      <c r="X183" s="746">
        <f>SUMIF(FLOAT!$D:$D,'Fresh VIN PPC'!$E$144:$E$184,FLOAT!$F:$F)</f>
        <v>0</v>
      </c>
      <c r="Y183" s="743">
        <f t="shared" si="34"/>
        <v>0</v>
      </c>
      <c r="AA183" s="49">
        <v>0</v>
      </c>
      <c r="AC183" s="147"/>
      <c r="AD183" s="514"/>
      <c r="AE183" s="278"/>
      <c r="AF183" s="471">
        <f>SUMIF(FLOAT!$D:$D,Cockpit!$E179:$E390,FLOAT!G:G)</f>
        <v>0</v>
      </c>
      <c r="AG183" s="62">
        <f>SUMIF(FLOAT!$D:$D,Cockpit!$E179:$E390,FLOAT!H:H)</f>
        <v>0</v>
      </c>
      <c r="AH183" s="62">
        <f>SUMIF(FLOAT!$D:$D,Cockpit!$E179:$E390,FLOAT!I:I)</f>
        <v>0</v>
      </c>
      <c r="AI183" s="62">
        <f>SUMIF(FLOAT!$D:$D,Cockpit!$E179:$E390,FLOAT!J:J)</f>
        <v>0</v>
      </c>
      <c r="AJ183" s="62">
        <f>SUMIF(FLOAT!$D:$D,Cockpit!$E179:$E390,FLOAT!K:K)</f>
        <v>0</v>
      </c>
      <c r="AK183" s="62">
        <f>SUMIF(FLOAT!$D:$D,Cockpit!$E179:$E390,FLOAT!L:L)</f>
        <v>0</v>
      </c>
      <c r="AL183" s="62">
        <f>SUMIF(FLOAT!$D:$D,Cockpit!$E179:$E390,FLOAT!M:M)</f>
        <v>0</v>
      </c>
      <c r="AM183" s="283">
        <f>SUMIF(FLOAT!$D:$D,Cockpit!$E179:$E390,FLOAT!N:N)</f>
        <v>0</v>
      </c>
      <c r="AN183" s="283">
        <f>SUMIF(FLOAT!$D:$D,Cockpit!$E179:$E390,FLOAT!O:O)</f>
        <v>0</v>
      </c>
      <c r="AO183" s="62">
        <f>SUMIF(FLOAT!$D:$D,Cockpit!$E179:$E390,FLOAT!P:P)</f>
        <v>0</v>
      </c>
      <c r="AP183" s="60">
        <f>AF183+AG183+AH183+AI183+AJ183+AK183+AM183+AN183+AO183</f>
        <v>0</v>
      </c>
    </row>
    <row r="184" spans="4:42" ht="21.75" thickBot="1" x14ac:dyDescent="0.35">
      <c r="D184" s="277"/>
      <c r="E184" s="311"/>
      <c r="F184" s="318"/>
      <c r="G184" s="584">
        <v>0</v>
      </c>
      <c r="H184" s="582">
        <f t="shared" si="41"/>
        <v>0</v>
      </c>
      <c r="I184" s="609">
        <v>0</v>
      </c>
      <c r="J184" s="214">
        <f t="shared" si="42"/>
        <v>0</v>
      </c>
      <c r="K184" s="76">
        <f t="shared" si="42"/>
        <v>0</v>
      </c>
      <c r="L184" s="155">
        <f>H184-K184</f>
        <v>0</v>
      </c>
      <c r="M184" s="77">
        <f>I184+J184-K184</f>
        <v>0</v>
      </c>
      <c r="N184" s="88">
        <f>SUMIF('3 D P'!$D:$D,'Fresh VIN PPC'!$E$144:$E$197,'3 D P'!$L:$L)</f>
        <v>0</v>
      </c>
      <c r="O184" s="88">
        <f>SUMIF('3 D P'!$D:$D,'Fresh VIN PPC'!$E$144:$E$197,'3 D P'!$M:$M)</f>
        <v>0</v>
      </c>
      <c r="P184" s="88">
        <f>SUMIF('3 D P'!$D:$D,'Fresh VIN PPC'!$E$144:$E$197,'3 D P'!$N:$N)</f>
        <v>0</v>
      </c>
      <c r="Q184" s="132">
        <f>IFERROR(VLOOKUP($D184,'Yazaki Dispatch'!$A:$B,2,FALSE),0)</f>
        <v>0</v>
      </c>
      <c r="R184" s="88">
        <f>SUMIF('Consumption MTD'!$B:$B,'Fresh VIN PPC'!$E$144:$E$184,'Consumption MTD'!$C:$C)</f>
        <v>0</v>
      </c>
      <c r="S184" s="88">
        <f>SUMIF('BIW Lifting A Shift'!$B:$B,'Fresh VIN PPC'!$E$5:$E$184,'BIW Lifting A Shift'!$C:$C)</f>
        <v>0</v>
      </c>
      <c r="T184" s="88">
        <f>SUMIF('BIW Lifting B Shift'!$B:$B,'Fresh VIN PPC'!$E$5:$E$178,'BIW Lifting B Shift'!$C:$C)</f>
        <v>0</v>
      </c>
      <c r="U184" s="74">
        <f>M184-X184</f>
        <v>0</v>
      </c>
      <c r="V184" s="74">
        <f>M184-S184-X184</f>
        <v>0</v>
      </c>
      <c r="W184" s="457">
        <f>V184-T184</f>
        <v>0</v>
      </c>
      <c r="X184" s="746">
        <f>SUMIF(FLOAT!$D:$D,'Fresh VIN PPC'!$E$144:$E$184,FLOAT!$F:$F)</f>
        <v>0</v>
      </c>
      <c r="Y184" s="743">
        <f t="shared" si="34"/>
        <v>0</v>
      </c>
      <c r="AA184" s="49">
        <v>0</v>
      </c>
      <c r="AC184" s="147"/>
      <c r="AD184" s="514"/>
      <c r="AE184" s="278"/>
      <c r="AF184" s="471">
        <f>SUMIF(FLOAT!$D:$D,Cockpit!$E179:$E391,FLOAT!G:G)</f>
        <v>0</v>
      </c>
      <c r="AG184" s="62">
        <f>SUMIF(FLOAT!$D:$D,Cockpit!$E179:$E391,FLOAT!H:H)</f>
        <v>0</v>
      </c>
      <c r="AH184" s="62">
        <f>SUMIF(FLOAT!$D:$D,Cockpit!$E179:$E391,FLOAT!I:I)</f>
        <v>0</v>
      </c>
      <c r="AI184" s="62">
        <f>SUMIF(FLOAT!$D:$D,Cockpit!$E179:$E391,FLOAT!J:J)</f>
        <v>0</v>
      </c>
      <c r="AJ184" s="62">
        <f>SUMIF(FLOAT!$D:$D,Cockpit!$E179:$E391,FLOAT!K:K)</f>
        <v>0</v>
      </c>
      <c r="AK184" s="62">
        <f>SUMIF(FLOAT!$D:$D,Cockpit!$E179:$E391,FLOAT!L:L)</f>
        <v>0</v>
      </c>
      <c r="AL184" s="62">
        <f>SUMIF(FLOAT!$D:$D,Cockpit!$E179:$E391,FLOAT!M:M)</f>
        <v>0</v>
      </c>
      <c r="AM184" s="283">
        <f>SUMIF(FLOAT!$D:$D,Cockpit!$E179:$E391,FLOAT!N:N)</f>
        <v>0</v>
      </c>
      <c r="AN184" s="283">
        <f>SUMIF(FLOAT!$D:$D,Cockpit!$E179:$E391,FLOAT!O:O)</f>
        <v>0</v>
      </c>
      <c r="AO184" s="62">
        <f>SUMIF(FLOAT!$D:$D,Cockpit!$E179:$E391,FLOAT!P:P)</f>
        <v>0</v>
      </c>
      <c r="AP184" s="60">
        <f>AF184+AG184+AH184+AI184+AJ184+AK184+AM184+AN184+AO184</f>
        <v>0</v>
      </c>
    </row>
    <row r="185" spans="4:42" ht="16.5" thickBot="1" x14ac:dyDescent="0.3">
      <c r="D185" s="758" t="s">
        <v>29</v>
      </c>
      <c r="E185" s="512"/>
      <c r="F185" s="478"/>
      <c r="G185" s="507">
        <f>SUM(G150:G184)</f>
        <v>20818</v>
      </c>
      <c r="H185" s="368">
        <f t="shared" ref="H185:Y185" si="49">SUM(H150:H184)</f>
        <v>20818</v>
      </c>
      <c r="I185" s="507">
        <f t="shared" si="49"/>
        <v>655</v>
      </c>
      <c r="J185" s="368">
        <f t="shared" si="49"/>
        <v>9029</v>
      </c>
      <c r="K185" s="368">
        <f t="shared" si="49"/>
        <v>8904</v>
      </c>
      <c r="L185" s="368">
        <f t="shared" si="49"/>
        <v>11914</v>
      </c>
      <c r="M185" s="368">
        <f t="shared" si="49"/>
        <v>780</v>
      </c>
      <c r="N185" s="368">
        <f t="shared" si="49"/>
        <v>740</v>
      </c>
      <c r="O185" s="368">
        <f t="shared" si="49"/>
        <v>735</v>
      </c>
      <c r="P185" s="368">
        <f t="shared" si="49"/>
        <v>735</v>
      </c>
      <c r="Q185" s="368">
        <f t="shared" si="49"/>
        <v>9029</v>
      </c>
      <c r="R185" s="368">
        <f t="shared" si="49"/>
        <v>8904</v>
      </c>
      <c r="S185" s="368">
        <f t="shared" si="49"/>
        <v>0</v>
      </c>
      <c r="T185" s="368">
        <f t="shared" si="49"/>
        <v>0</v>
      </c>
      <c r="U185" s="368">
        <f t="shared" si="49"/>
        <v>215</v>
      </c>
      <c r="V185" s="368">
        <f t="shared" si="49"/>
        <v>215</v>
      </c>
      <c r="W185" s="431">
        <f t="shared" si="49"/>
        <v>215</v>
      </c>
      <c r="X185" s="459">
        <f t="shared" si="49"/>
        <v>565</v>
      </c>
      <c r="Y185" s="744">
        <f t="shared" si="49"/>
        <v>11914</v>
      </c>
      <c r="Z185" s="368">
        <f t="shared" ref="Z185:AP185" si="50">SUM(Z150:Z184)</f>
        <v>876</v>
      </c>
      <c r="AA185" s="368">
        <f t="shared" si="50"/>
        <v>1048</v>
      </c>
      <c r="AB185" s="368">
        <f t="shared" si="50"/>
        <v>0</v>
      </c>
      <c r="AC185" s="368">
        <f t="shared" si="50"/>
        <v>610</v>
      </c>
      <c r="AD185" s="431">
        <f t="shared" si="50"/>
        <v>0</v>
      </c>
      <c r="AE185" s="515"/>
      <c r="AF185" s="458">
        <f t="shared" si="50"/>
        <v>28</v>
      </c>
      <c r="AG185" s="368">
        <f t="shared" si="50"/>
        <v>30</v>
      </c>
      <c r="AH185" s="368">
        <f t="shared" si="50"/>
        <v>51</v>
      </c>
      <c r="AI185" s="368">
        <f t="shared" si="50"/>
        <v>0</v>
      </c>
      <c r="AJ185" s="368">
        <f t="shared" si="50"/>
        <v>31</v>
      </c>
      <c r="AK185" s="368">
        <f t="shared" si="50"/>
        <v>70</v>
      </c>
      <c r="AL185" s="368">
        <f t="shared" si="50"/>
        <v>210</v>
      </c>
      <c r="AM185" s="368">
        <f t="shared" si="50"/>
        <v>101</v>
      </c>
      <c r="AN185" s="368">
        <f t="shared" si="50"/>
        <v>254</v>
      </c>
      <c r="AO185" s="368">
        <f t="shared" si="50"/>
        <v>0</v>
      </c>
      <c r="AP185" s="368">
        <f t="shared" si="50"/>
        <v>565</v>
      </c>
    </row>
    <row r="186" spans="4:42" x14ac:dyDescent="0.3">
      <c r="T186" s="88">
        <f>SUMIF('BIW Lifting B Shift'!$B:$B,'Fresh VIN PPC'!$E$5:$E$178,'BIW Lifting B Shift'!$C:$C)</f>
        <v>0</v>
      </c>
    </row>
  </sheetData>
  <sheetProtection algorithmName="SHA-512" hashValue="aRW2TzZRr2Hok5dk/LKR5WH0nCrbx0YahS6m5RGWMeYCEawQRtUZ0ukpGe74xjOcbCnKpEI0tRp1NIeCeM4GmA==" saltValue="0xwr81lwc4s8Dv5Y84laMA==" spinCount="100000" sheet="1" sort="0"/>
  <autoFilter ref="A149:AQ149" xr:uid="{00000000-0009-0000-0000-000001000000}"/>
  <mergeCells count="317">
    <mergeCell ref="AC150:AC151"/>
    <mergeCell ref="AC176:AC177"/>
    <mergeCell ref="Z150:Z151"/>
    <mergeCell ref="Z176:Z177"/>
    <mergeCell ref="W150:W151"/>
    <mergeCell ref="D176:D177"/>
    <mergeCell ref="I176:I177"/>
    <mergeCell ref="J176:J177"/>
    <mergeCell ref="K176:K177"/>
    <mergeCell ref="L176:L177"/>
    <mergeCell ref="M176:M177"/>
    <mergeCell ref="U176:U177"/>
    <mergeCell ref="V176:V177"/>
    <mergeCell ref="W176:W177"/>
    <mergeCell ref="D150:D151"/>
    <mergeCell ref="H150:H151"/>
    <mergeCell ref="I150:I151"/>
    <mergeCell ref="J150:J151"/>
    <mergeCell ref="K150:K151"/>
    <mergeCell ref="L150:L151"/>
    <mergeCell ref="M150:M151"/>
    <mergeCell ref="U150:U151"/>
    <mergeCell ref="V150:V151"/>
    <mergeCell ref="H176:H177"/>
    <mergeCell ref="Y144:Y145"/>
    <mergeCell ref="D144:D145"/>
    <mergeCell ref="H144:H145"/>
    <mergeCell ref="I144:I145"/>
    <mergeCell ref="J144:J145"/>
    <mergeCell ref="K144:K145"/>
    <mergeCell ref="L144:L145"/>
    <mergeCell ref="M144:M145"/>
    <mergeCell ref="U144:U145"/>
    <mergeCell ref="V144:V145"/>
    <mergeCell ref="W144:W145"/>
    <mergeCell ref="U74:U75"/>
    <mergeCell ref="V74:V75"/>
    <mergeCell ref="W74:W75"/>
    <mergeCell ref="D74:D75"/>
    <mergeCell ref="D104:D105"/>
    <mergeCell ref="D100:D101"/>
    <mergeCell ref="D96:D97"/>
    <mergeCell ref="D87:D88"/>
    <mergeCell ref="D89:D90"/>
    <mergeCell ref="D91:D92"/>
    <mergeCell ref="D77:D78"/>
    <mergeCell ref="D79:D80"/>
    <mergeCell ref="D81:D82"/>
    <mergeCell ref="J96:J97"/>
    <mergeCell ref="K96:K97"/>
    <mergeCell ref="L96:L97"/>
    <mergeCell ref="H74:H75"/>
    <mergeCell ref="I74:I75"/>
    <mergeCell ref="J74:J75"/>
    <mergeCell ref="K74:K75"/>
    <mergeCell ref="L74:L75"/>
    <mergeCell ref="M74:M75"/>
    <mergeCell ref="M100:M101"/>
    <mergeCell ref="U100:U101"/>
    <mergeCell ref="V100:V101"/>
    <mergeCell ref="W100:W101"/>
    <mergeCell ref="H104:H105"/>
    <mergeCell ref="I104:I105"/>
    <mergeCell ref="J104:J105"/>
    <mergeCell ref="K104:K105"/>
    <mergeCell ref="L104:L105"/>
    <mergeCell ref="M104:M105"/>
    <mergeCell ref="U104:U105"/>
    <mergeCell ref="V104:V105"/>
    <mergeCell ref="W104:W105"/>
    <mergeCell ref="H100:H101"/>
    <mergeCell ref="I100:I101"/>
    <mergeCell ref="J100:J101"/>
    <mergeCell ref="K100:K101"/>
    <mergeCell ref="L100:L101"/>
    <mergeCell ref="M96:M97"/>
    <mergeCell ref="U96:U97"/>
    <mergeCell ref="V96:V97"/>
    <mergeCell ref="W96:W97"/>
    <mergeCell ref="H89:H90"/>
    <mergeCell ref="I89:I90"/>
    <mergeCell ref="J89:J90"/>
    <mergeCell ref="K89:K90"/>
    <mergeCell ref="L89:L90"/>
    <mergeCell ref="M89:M90"/>
    <mergeCell ref="U89:U90"/>
    <mergeCell ref="V89:V90"/>
    <mergeCell ref="W89:W90"/>
    <mergeCell ref="L91:L92"/>
    <mergeCell ref="M91:M92"/>
    <mergeCell ref="U91:U92"/>
    <mergeCell ref="V91:V92"/>
    <mergeCell ref="W91:W92"/>
    <mergeCell ref="H96:H97"/>
    <mergeCell ref="H91:H92"/>
    <mergeCell ref="I91:I92"/>
    <mergeCell ref="J91:J92"/>
    <mergeCell ref="K91:K92"/>
    <mergeCell ref="I96:I97"/>
    <mergeCell ref="H87:H88"/>
    <mergeCell ref="I87:I88"/>
    <mergeCell ref="J87:J88"/>
    <mergeCell ref="K87:K88"/>
    <mergeCell ref="L87:L88"/>
    <mergeCell ref="M87:M88"/>
    <mergeCell ref="U87:U88"/>
    <mergeCell ref="V87:V88"/>
    <mergeCell ref="W87:W88"/>
    <mergeCell ref="H81:H82"/>
    <mergeCell ref="I81:I82"/>
    <mergeCell ref="J81:J82"/>
    <mergeCell ref="K81:K82"/>
    <mergeCell ref="L81:L82"/>
    <mergeCell ref="M81:M82"/>
    <mergeCell ref="U81:U82"/>
    <mergeCell ref="V81:V82"/>
    <mergeCell ref="W81:W82"/>
    <mergeCell ref="J77:J78"/>
    <mergeCell ref="K77:K78"/>
    <mergeCell ref="L77:L78"/>
    <mergeCell ref="M77:M78"/>
    <mergeCell ref="U77:U78"/>
    <mergeCell ref="V77:V78"/>
    <mergeCell ref="W77:W78"/>
    <mergeCell ref="H79:H80"/>
    <mergeCell ref="I79:I80"/>
    <mergeCell ref="J79:J80"/>
    <mergeCell ref="K79:K80"/>
    <mergeCell ref="L79:L80"/>
    <mergeCell ref="M79:M80"/>
    <mergeCell ref="U79:U80"/>
    <mergeCell ref="V79:V80"/>
    <mergeCell ref="W79:W80"/>
    <mergeCell ref="U45:U46"/>
    <mergeCell ref="U47:U48"/>
    <mergeCell ref="J47:J48"/>
    <mergeCell ref="H47:H48"/>
    <mergeCell ref="I47:I48"/>
    <mergeCell ref="W47:W48"/>
    <mergeCell ref="V30:V36"/>
    <mergeCell ref="V37:V42"/>
    <mergeCell ref="V43:V44"/>
    <mergeCell ref="V47:V48"/>
    <mergeCell ref="K43:K44"/>
    <mergeCell ref="J43:J44"/>
    <mergeCell ref="I43:I44"/>
    <mergeCell ref="M37:M42"/>
    <mergeCell ref="M47:M48"/>
    <mergeCell ref="K45:K46"/>
    <mergeCell ref="J45:J46"/>
    <mergeCell ref="I45:I46"/>
    <mergeCell ref="M30:M36"/>
    <mergeCell ref="M45:M46"/>
    <mergeCell ref="I37:I42"/>
    <mergeCell ref="H37:H42"/>
    <mergeCell ref="H45:H46"/>
    <mergeCell ref="L37:L42"/>
    <mergeCell ref="W7:W8"/>
    <mergeCell ref="W19:W22"/>
    <mergeCell ref="W24:W25"/>
    <mergeCell ref="W26:W28"/>
    <mergeCell ref="W30:W36"/>
    <mergeCell ref="W37:W42"/>
    <mergeCell ref="W43:W44"/>
    <mergeCell ref="W45:W46"/>
    <mergeCell ref="V45:V46"/>
    <mergeCell ref="V7:V8"/>
    <mergeCell ref="V11:V12"/>
    <mergeCell ref="V19:V22"/>
    <mergeCell ref="V24:V25"/>
    <mergeCell ref="V26:V28"/>
    <mergeCell ref="V15:V16"/>
    <mergeCell ref="W15:W16"/>
    <mergeCell ref="W11:W12"/>
    <mergeCell ref="D59:D60"/>
    <mergeCell ref="D61:D64"/>
    <mergeCell ref="J59:J60"/>
    <mergeCell ref="K59:K60"/>
    <mergeCell ref="M59:M60"/>
    <mergeCell ref="J61:J64"/>
    <mergeCell ref="K61:K64"/>
    <mergeCell ref="I59:I60"/>
    <mergeCell ref="I61:I64"/>
    <mergeCell ref="H59:H60"/>
    <mergeCell ref="H61:H64"/>
    <mergeCell ref="J69:J70"/>
    <mergeCell ref="K69:K70"/>
    <mergeCell ref="M69:M70"/>
    <mergeCell ref="L59:L60"/>
    <mergeCell ref="L61:L64"/>
    <mergeCell ref="L69:L70"/>
    <mergeCell ref="H77:H78"/>
    <mergeCell ref="I77:I78"/>
    <mergeCell ref="D15:D16"/>
    <mergeCell ref="H15:H16"/>
    <mergeCell ref="I15:I16"/>
    <mergeCell ref="J15:J16"/>
    <mergeCell ref="K15:K16"/>
    <mergeCell ref="L15:L16"/>
    <mergeCell ref="H43:H44"/>
    <mergeCell ref="K30:K36"/>
    <mergeCell ref="I69:I70"/>
    <mergeCell ref="D69:D70"/>
    <mergeCell ref="H69:H70"/>
    <mergeCell ref="I26:I28"/>
    <mergeCell ref="H26:H28"/>
    <mergeCell ref="L26:L28"/>
    <mergeCell ref="L30:L36"/>
    <mergeCell ref="K37:K42"/>
    <mergeCell ref="F26:F28"/>
    <mergeCell ref="D7:D8"/>
    <mergeCell ref="I7:I8"/>
    <mergeCell ref="J7:J8"/>
    <mergeCell ref="K7:K8"/>
    <mergeCell ref="M7:M8"/>
    <mergeCell ref="D11:D12"/>
    <mergeCell ref="I11:I12"/>
    <mergeCell ref="J11:J12"/>
    <mergeCell ref="K11:K12"/>
    <mergeCell ref="M11:M12"/>
    <mergeCell ref="H7:H8"/>
    <mergeCell ref="H11:H12"/>
    <mergeCell ref="L7:L8"/>
    <mergeCell ref="L11:L12"/>
    <mergeCell ref="D26:D28"/>
    <mergeCell ref="D24:D25"/>
    <mergeCell ref="F24:F25"/>
    <mergeCell ref="I24:I25"/>
    <mergeCell ref="H24:H25"/>
    <mergeCell ref="U7:U8"/>
    <mergeCell ref="U11:U12"/>
    <mergeCell ref="U26:U28"/>
    <mergeCell ref="U30:U36"/>
    <mergeCell ref="U37:U42"/>
    <mergeCell ref="U43:U44"/>
    <mergeCell ref="M26:M28"/>
    <mergeCell ref="K26:K28"/>
    <mergeCell ref="J26:J28"/>
    <mergeCell ref="M15:M16"/>
    <mergeCell ref="U15:U16"/>
    <mergeCell ref="M19:M22"/>
    <mergeCell ref="U19:U22"/>
    <mergeCell ref="U24:U25"/>
    <mergeCell ref="M24:M25"/>
    <mergeCell ref="K24:K25"/>
    <mergeCell ref="J24:J25"/>
    <mergeCell ref="J30:J36"/>
    <mergeCell ref="M43:M44"/>
    <mergeCell ref="D45:D46"/>
    <mergeCell ref="D47:D48"/>
    <mergeCell ref="K47:K48"/>
    <mergeCell ref="D30:D36"/>
    <mergeCell ref="F30:F36"/>
    <mergeCell ref="D37:D42"/>
    <mergeCell ref="J37:J42"/>
    <mergeCell ref="L43:L44"/>
    <mergeCell ref="L45:L46"/>
    <mergeCell ref="L47:L48"/>
    <mergeCell ref="I30:I36"/>
    <mergeCell ref="H30:H36"/>
    <mergeCell ref="B24:B25"/>
    <mergeCell ref="D19:D22"/>
    <mergeCell ref="F19:F22"/>
    <mergeCell ref="I19:I22"/>
    <mergeCell ref="K19:K22"/>
    <mergeCell ref="J19:J22"/>
    <mergeCell ref="H19:H22"/>
    <mergeCell ref="L19:L22"/>
    <mergeCell ref="L24:L25"/>
    <mergeCell ref="C45:C46"/>
    <mergeCell ref="C47:C48"/>
    <mergeCell ref="AC7:AC8"/>
    <mergeCell ref="AC11:AC12"/>
    <mergeCell ref="AC15:AC16"/>
    <mergeCell ref="AC19:AC22"/>
    <mergeCell ref="AC24:AC25"/>
    <mergeCell ref="AC26:AC28"/>
    <mergeCell ref="AC30:AC36"/>
    <mergeCell ref="AC37:AC42"/>
    <mergeCell ref="AC43:AC44"/>
    <mergeCell ref="AC45:AC46"/>
    <mergeCell ref="AC47:AC48"/>
    <mergeCell ref="C7:C8"/>
    <mergeCell ref="C11:C12"/>
    <mergeCell ref="C15:C16"/>
    <mergeCell ref="C19:C22"/>
    <mergeCell ref="C24:C25"/>
    <mergeCell ref="C26:C28"/>
    <mergeCell ref="C30:C36"/>
    <mergeCell ref="C37:C42"/>
    <mergeCell ref="C43:C44"/>
    <mergeCell ref="D43:D44"/>
    <mergeCell ref="F43:F44"/>
    <mergeCell ref="V61:V64"/>
    <mergeCell ref="W61:W64"/>
    <mergeCell ref="U59:U60"/>
    <mergeCell ref="V59:V60"/>
    <mergeCell ref="W59:W60"/>
    <mergeCell ref="M61:M64"/>
    <mergeCell ref="U61:U64"/>
    <mergeCell ref="U69:U70"/>
    <mergeCell ref="V69:V70"/>
    <mergeCell ref="W69:W70"/>
    <mergeCell ref="AE45:AE46"/>
    <mergeCell ref="AE47:AE48"/>
    <mergeCell ref="AE59:AE60"/>
    <mergeCell ref="AE61:AE64"/>
    <mergeCell ref="AE69:AE70"/>
    <mergeCell ref="AE7:AE8"/>
    <mergeCell ref="AE11:AE12"/>
    <mergeCell ref="AE15:AE16"/>
    <mergeCell ref="AE19:AE22"/>
    <mergeCell ref="AE24:AE25"/>
    <mergeCell ref="AE26:AE28"/>
    <mergeCell ref="AE30:AE36"/>
    <mergeCell ref="AE37:AE42"/>
    <mergeCell ref="AE43:AE44"/>
  </mergeCells>
  <conditionalFormatting sqref="D18">
    <cfRule type="duplicateValues" dxfId="639" priority="257"/>
  </conditionalFormatting>
  <conditionalFormatting sqref="D19">
    <cfRule type="duplicateValues" dxfId="638" priority="256"/>
  </conditionalFormatting>
  <conditionalFormatting sqref="D23">
    <cfRule type="duplicateValues" dxfId="637" priority="255"/>
  </conditionalFormatting>
  <conditionalFormatting sqref="D24">
    <cfRule type="duplicateValues" dxfId="636" priority="254"/>
  </conditionalFormatting>
  <conditionalFormatting sqref="D26">
    <cfRule type="duplicateValues" dxfId="635" priority="253"/>
  </conditionalFormatting>
  <conditionalFormatting sqref="D29">
    <cfRule type="duplicateValues" dxfId="634" priority="252"/>
  </conditionalFormatting>
  <conditionalFormatting sqref="D37">
    <cfRule type="duplicateValues" dxfId="633" priority="251"/>
  </conditionalFormatting>
  <conditionalFormatting sqref="D45">
    <cfRule type="duplicateValues" dxfId="632" priority="250"/>
  </conditionalFormatting>
  <conditionalFormatting sqref="D56">
    <cfRule type="duplicateValues" dxfId="631" priority="367"/>
    <cfRule type="duplicateValues" dxfId="630" priority="368"/>
  </conditionalFormatting>
  <conditionalFormatting sqref="D57">
    <cfRule type="duplicateValues" dxfId="629" priority="366"/>
  </conditionalFormatting>
  <conditionalFormatting sqref="D58">
    <cfRule type="duplicateValues" dxfId="628" priority="364"/>
    <cfRule type="duplicateValues" dxfId="627" priority="365"/>
  </conditionalFormatting>
  <conditionalFormatting sqref="D59">
    <cfRule type="duplicateValues" dxfId="626" priority="362"/>
    <cfRule type="duplicateValues" dxfId="625" priority="363"/>
  </conditionalFormatting>
  <conditionalFormatting sqref="D61">
    <cfRule type="duplicateValues" dxfId="624" priority="360"/>
    <cfRule type="duplicateValues" dxfId="623" priority="361"/>
  </conditionalFormatting>
  <conditionalFormatting sqref="D66">
    <cfRule type="duplicateValues" dxfId="622" priority="358"/>
    <cfRule type="duplicateValues" dxfId="621" priority="359"/>
  </conditionalFormatting>
  <conditionalFormatting sqref="D68">
    <cfRule type="duplicateValues" dxfId="620" priority="356"/>
    <cfRule type="duplicateValues" dxfId="619" priority="357"/>
  </conditionalFormatting>
  <conditionalFormatting sqref="D69">
    <cfRule type="duplicateValues" dxfId="618" priority="349"/>
  </conditionalFormatting>
  <conditionalFormatting sqref="D71:D74 D106:D116 D102:D104 D98:D100 D89 D91 D93:D96 D79 D81 D83:D87 D76:D77">
    <cfRule type="duplicateValues" dxfId="617" priority="174"/>
  </conditionalFormatting>
  <conditionalFormatting sqref="D73:D74 D76:D77 D93:D96 D106:D113 D102:D104 D98:D100 D89 D91 D79 D81 D83:D87">
    <cfRule type="duplicateValues" dxfId="616" priority="241"/>
  </conditionalFormatting>
  <conditionalFormatting sqref="D114:D115">
    <cfRule type="duplicateValues" dxfId="615" priority="179"/>
  </conditionalFormatting>
  <conditionalFormatting sqref="D116:D135">
    <cfRule type="duplicateValues" dxfId="614" priority="3904"/>
  </conditionalFormatting>
  <conditionalFormatting sqref="D136">
    <cfRule type="duplicateValues" dxfId="613" priority="149"/>
  </conditionalFormatting>
  <conditionalFormatting sqref="D137">
    <cfRule type="duplicateValues" dxfId="612" priority="93"/>
  </conditionalFormatting>
  <conditionalFormatting sqref="D138">
    <cfRule type="duplicateValues" dxfId="611" priority="92"/>
  </conditionalFormatting>
  <conditionalFormatting sqref="D139 D69 D71:D72">
    <cfRule type="duplicateValues" dxfId="610" priority="348"/>
  </conditionalFormatting>
  <conditionalFormatting sqref="D144">
    <cfRule type="duplicateValues" dxfId="609" priority="104"/>
  </conditionalFormatting>
  <conditionalFormatting sqref="D150">
    <cfRule type="duplicateValues" dxfId="608" priority="4"/>
    <cfRule type="duplicateValues" dxfId="607" priority="5"/>
  </conditionalFormatting>
  <conditionalFormatting sqref="D178:D182 D184">
    <cfRule type="duplicateValues" dxfId="606" priority="30"/>
  </conditionalFormatting>
  <conditionalFormatting sqref="D183">
    <cfRule type="duplicateValues" dxfId="605" priority="14"/>
  </conditionalFormatting>
  <conditionalFormatting sqref="E19">
    <cfRule type="duplicateValues" dxfId="604" priority="631"/>
    <cfRule type="duplicateValues" dxfId="603" priority="632"/>
    <cfRule type="duplicateValues" dxfId="602" priority="633"/>
    <cfRule type="duplicateValues" dxfId="601" priority="634"/>
    <cfRule type="duplicateValues" dxfId="600" priority="635"/>
    <cfRule type="duplicateValues" dxfId="599" priority="636"/>
  </conditionalFormatting>
  <conditionalFormatting sqref="E20">
    <cfRule type="duplicateValues" dxfId="598" priority="625"/>
    <cfRule type="duplicateValues" dxfId="597" priority="626"/>
    <cfRule type="duplicateValues" dxfId="596" priority="627"/>
    <cfRule type="duplicateValues" dxfId="595" priority="628"/>
    <cfRule type="duplicateValues" dxfId="594" priority="629"/>
    <cfRule type="duplicateValues" dxfId="593" priority="630"/>
  </conditionalFormatting>
  <conditionalFormatting sqref="E21">
    <cfRule type="duplicateValues" dxfId="592" priority="600"/>
    <cfRule type="duplicateValues" dxfId="591" priority="601"/>
    <cfRule type="duplicateValues" dxfId="590" priority="602"/>
    <cfRule type="duplicateValues" dxfId="589" priority="603"/>
    <cfRule type="duplicateValues" dxfId="588" priority="604"/>
    <cfRule type="duplicateValues" dxfId="587" priority="605"/>
    <cfRule type="duplicateValues" dxfId="586" priority="606"/>
    <cfRule type="duplicateValues" dxfId="585" priority="607"/>
    <cfRule type="duplicateValues" dxfId="584" priority="608"/>
    <cfRule type="duplicateValues" dxfId="583" priority="609"/>
    <cfRule type="duplicateValues" dxfId="582" priority="610"/>
    <cfRule type="duplicateValues" dxfId="581" priority="611"/>
  </conditionalFormatting>
  <conditionalFormatting sqref="E22:E23">
    <cfRule type="duplicateValues" dxfId="580" priority="612"/>
    <cfRule type="duplicateValues" dxfId="579" priority="613"/>
    <cfRule type="duplicateValues" dxfId="578" priority="614"/>
    <cfRule type="duplicateValues" dxfId="577" priority="615"/>
    <cfRule type="duplicateValues" dxfId="576" priority="616"/>
    <cfRule type="duplicateValues" dxfId="575" priority="617"/>
    <cfRule type="duplicateValues" dxfId="574" priority="618"/>
    <cfRule type="duplicateValues" dxfId="573" priority="619"/>
    <cfRule type="duplicateValues" dxfId="572" priority="620"/>
    <cfRule type="duplicateValues" dxfId="571" priority="621"/>
    <cfRule type="duplicateValues" dxfId="570" priority="622"/>
    <cfRule type="duplicateValues" dxfId="569" priority="623"/>
    <cfRule type="duplicateValues" dxfId="568" priority="624"/>
  </conditionalFormatting>
  <conditionalFormatting sqref="E24">
    <cfRule type="duplicateValues" dxfId="567" priority="589"/>
    <cfRule type="duplicateValues" dxfId="566" priority="590"/>
    <cfRule type="duplicateValues" dxfId="565" priority="591"/>
    <cfRule type="duplicateValues" dxfId="564" priority="592"/>
    <cfRule type="duplicateValues" dxfId="563" priority="593"/>
    <cfRule type="duplicateValues" dxfId="562" priority="594"/>
    <cfRule type="duplicateValues" dxfId="561" priority="595"/>
    <cfRule type="duplicateValues" dxfId="560" priority="596"/>
    <cfRule type="duplicateValues" dxfId="559" priority="597"/>
    <cfRule type="duplicateValues" dxfId="558" priority="598"/>
    <cfRule type="duplicateValues" dxfId="557" priority="599"/>
  </conditionalFormatting>
  <conditionalFormatting sqref="E25">
    <cfRule type="duplicateValues" dxfId="556" priority="578"/>
    <cfRule type="duplicateValues" dxfId="555" priority="579"/>
    <cfRule type="duplicateValues" dxfId="554" priority="580"/>
    <cfRule type="duplicateValues" dxfId="553" priority="581"/>
    <cfRule type="duplicateValues" dxfId="552" priority="582"/>
    <cfRule type="duplicateValues" dxfId="551" priority="583"/>
    <cfRule type="duplicateValues" dxfId="550" priority="584"/>
    <cfRule type="duplicateValues" dxfId="549" priority="585"/>
    <cfRule type="duplicateValues" dxfId="548" priority="586"/>
    <cfRule type="duplicateValues" dxfId="547" priority="587"/>
    <cfRule type="duplicateValues" dxfId="546" priority="588"/>
  </conditionalFormatting>
  <conditionalFormatting sqref="E26">
    <cfRule type="duplicateValues" dxfId="545" priority="568"/>
    <cfRule type="duplicateValues" dxfId="544" priority="569"/>
    <cfRule type="duplicateValues" dxfId="543" priority="570"/>
    <cfRule type="duplicateValues" dxfId="542" priority="571"/>
    <cfRule type="duplicateValues" dxfId="541" priority="572"/>
    <cfRule type="duplicateValues" dxfId="540" priority="573"/>
    <cfRule type="duplicateValues" dxfId="539" priority="574"/>
    <cfRule type="duplicateValues" dxfId="538" priority="575"/>
    <cfRule type="duplicateValues" dxfId="537" priority="576"/>
    <cfRule type="duplicateValues" dxfId="536" priority="577"/>
  </conditionalFormatting>
  <conditionalFormatting sqref="E27">
    <cfRule type="duplicateValues" dxfId="535" priority="555"/>
    <cfRule type="duplicateValues" dxfId="534" priority="556"/>
    <cfRule type="duplicateValues" dxfId="533" priority="557"/>
    <cfRule type="duplicateValues" dxfId="532" priority="558"/>
    <cfRule type="duplicateValues" dxfId="531" priority="559"/>
    <cfRule type="duplicateValues" dxfId="530" priority="560"/>
    <cfRule type="duplicateValues" dxfId="529" priority="561"/>
    <cfRule type="duplicateValues" dxfId="528" priority="562"/>
    <cfRule type="duplicateValues" dxfId="527" priority="563"/>
    <cfRule type="duplicateValues" dxfId="526" priority="564"/>
    <cfRule type="duplicateValues" dxfId="525" priority="565"/>
    <cfRule type="duplicateValues" dxfId="524" priority="566"/>
    <cfRule type="duplicateValues" dxfId="523" priority="567"/>
  </conditionalFormatting>
  <conditionalFormatting sqref="E28">
    <cfRule type="duplicateValues" dxfId="522" priority="544"/>
    <cfRule type="duplicateValues" dxfId="521" priority="545"/>
    <cfRule type="duplicateValues" dxfId="520" priority="546"/>
    <cfRule type="duplicateValues" dxfId="519" priority="547"/>
    <cfRule type="duplicateValues" dxfId="518" priority="548"/>
    <cfRule type="duplicateValues" dxfId="517" priority="549"/>
    <cfRule type="duplicateValues" dxfId="516" priority="550"/>
    <cfRule type="duplicateValues" dxfId="515" priority="551"/>
    <cfRule type="duplicateValues" dxfId="514" priority="552"/>
    <cfRule type="duplicateValues" dxfId="513" priority="553"/>
    <cfRule type="duplicateValues" dxfId="512" priority="554"/>
  </conditionalFormatting>
  <conditionalFormatting sqref="E29">
    <cfRule type="duplicateValues" dxfId="511" priority="533"/>
    <cfRule type="duplicateValues" dxfId="510" priority="534"/>
    <cfRule type="duplicateValues" dxfId="509" priority="535"/>
    <cfRule type="duplicateValues" dxfId="508" priority="536"/>
    <cfRule type="duplicateValues" dxfId="507" priority="537"/>
    <cfRule type="duplicateValues" dxfId="506" priority="538"/>
    <cfRule type="duplicateValues" dxfId="505" priority="539"/>
    <cfRule type="duplicateValues" dxfId="504" priority="540"/>
    <cfRule type="duplicateValues" dxfId="503" priority="541"/>
    <cfRule type="duplicateValues" dxfId="502" priority="542"/>
    <cfRule type="duplicateValues" dxfId="501" priority="543"/>
  </conditionalFormatting>
  <conditionalFormatting sqref="E30">
    <cfRule type="duplicateValues" dxfId="500" priority="501"/>
    <cfRule type="duplicateValues" dxfId="499" priority="502"/>
    <cfRule type="duplicateValues" dxfId="498" priority="503"/>
    <cfRule type="duplicateValues" dxfId="497" priority="504"/>
    <cfRule type="duplicateValues" dxfId="496" priority="505"/>
    <cfRule type="duplicateValues" dxfId="495" priority="506"/>
    <cfRule type="duplicateValues" dxfId="494" priority="507"/>
    <cfRule type="duplicateValues" dxfId="493" priority="508"/>
    <cfRule type="duplicateValues" dxfId="492" priority="509"/>
    <cfRule type="duplicateValues" dxfId="491" priority="510"/>
  </conditionalFormatting>
  <conditionalFormatting sqref="E31">
    <cfRule type="duplicateValues" dxfId="490" priority="491"/>
    <cfRule type="duplicateValues" dxfId="489" priority="492"/>
    <cfRule type="duplicateValues" dxfId="488" priority="493"/>
    <cfRule type="duplicateValues" dxfId="487" priority="494"/>
    <cfRule type="duplicateValues" dxfId="486" priority="495"/>
    <cfRule type="duplicateValues" dxfId="485" priority="496"/>
    <cfRule type="duplicateValues" dxfId="484" priority="497"/>
    <cfRule type="duplicateValues" dxfId="483" priority="498"/>
    <cfRule type="duplicateValues" dxfId="482" priority="499"/>
    <cfRule type="duplicateValues" dxfId="481" priority="500"/>
  </conditionalFormatting>
  <conditionalFormatting sqref="E32">
    <cfRule type="duplicateValues" dxfId="480" priority="480"/>
    <cfRule type="duplicateValues" dxfId="479" priority="481"/>
    <cfRule type="duplicateValues" dxfId="478" priority="482"/>
    <cfRule type="duplicateValues" dxfId="477" priority="483"/>
    <cfRule type="duplicateValues" dxfId="476" priority="484"/>
    <cfRule type="duplicateValues" dxfId="475" priority="485"/>
    <cfRule type="duplicateValues" dxfId="474" priority="486"/>
    <cfRule type="duplicateValues" dxfId="473" priority="487"/>
    <cfRule type="duplicateValues" dxfId="472" priority="488"/>
    <cfRule type="duplicateValues" dxfId="471" priority="489"/>
    <cfRule type="duplicateValues" dxfId="470" priority="490"/>
  </conditionalFormatting>
  <conditionalFormatting sqref="E33">
    <cfRule type="duplicateValues" dxfId="469" priority="469"/>
    <cfRule type="duplicateValues" dxfId="468" priority="470"/>
    <cfRule type="duplicateValues" dxfId="467" priority="471"/>
    <cfRule type="duplicateValues" dxfId="466" priority="472"/>
    <cfRule type="duplicateValues" dxfId="465" priority="473"/>
    <cfRule type="duplicateValues" dxfId="464" priority="474"/>
    <cfRule type="duplicateValues" dxfId="463" priority="475"/>
    <cfRule type="duplicateValues" dxfId="462" priority="476"/>
    <cfRule type="duplicateValues" dxfId="461" priority="477"/>
    <cfRule type="duplicateValues" dxfId="460" priority="478"/>
    <cfRule type="duplicateValues" dxfId="459" priority="479"/>
  </conditionalFormatting>
  <conditionalFormatting sqref="E34">
    <cfRule type="duplicateValues" dxfId="458" priority="458"/>
    <cfRule type="duplicateValues" dxfId="457" priority="459"/>
    <cfRule type="duplicateValues" dxfId="456" priority="460"/>
    <cfRule type="duplicateValues" dxfId="455" priority="461"/>
    <cfRule type="duplicateValues" dxfId="454" priority="462"/>
    <cfRule type="duplicateValues" dxfId="453" priority="463"/>
    <cfRule type="duplicateValues" dxfId="452" priority="464"/>
    <cfRule type="duplicateValues" dxfId="451" priority="465"/>
    <cfRule type="duplicateValues" dxfId="450" priority="466"/>
    <cfRule type="duplicateValues" dxfId="449" priority="467"/>
    <cfRule type="duplicateValues" dxfId="448" priority="468"/>
  </conditionalFormatting>
  <conditionalFormatting sqref="E35">
    <cfRule type="duplicateValues" dxfId="447" priority="447"/>
    <cfRule type="duplicateValues" dxfId="446" priority="448"/>
    <cfRule type="duplicateValues" dxfId="445" priority="449"/>
    <cfRule type="duplicateValues" dxfId="444" priority="450"/>
    <cfRule type="duplicateValues" dxfId="443" priority="451"/>
    <cfRule type="duplicateValues" dxfId="442" priority="452"/>
    <cfRule type="duplicateValues" dxfId="441" priority="453"/>
    <cfRule type="duplicateValues" dxfId="440" priority="454"/>
    <cfRule type="duplicateValues" dxfId="439" priority="455"/>
    <cfRule type="duplicateValues" dxfId="438" priority="456"/>
    <cfRule type="duplicateValues" dxfId="437" priority="457"/>
  </conditionalFormatting>
  <conditionalFormatting sqref="E36:E42">
    <cfRule type="duplicateValues" dxfId="436" priority="436"/>
    <cfRule type="duplicateValues" dxfId="435" priority="437"/>
    <cfRule type="duplicateValues" dxfId="434" priority="438"/>
    <cfRule type="duplicateValues" dxfId="433" priority="439"/>
    <cfRule type="duplicateValues" dxfId="432" priority="440"/>
    <cfRule type="duplicateValues" dxfId="431" priority="441"/>
    <cfRule type="duplicateValues" dxfId="430" priority="442"/>
    <cfRule type="duplicateValues" dxfId="429" priority="443"/>
    <cfRule type="duplicateValues" dxfId="428" priority="444"/>
    <cfRule type="duplicateValues" dxfId="427" priority="445"/>
    <cfRule type="duplicateValues" dxfId="426" priority="446"/>
  </conditionalFormatting>
  <conditionalFormatting sqref="E43">
    <cfRule type="duplicateValues" dxfId="425" priority="522"/>
    <cfRule type="duplicateValues" dxfId="424" priority="523"/>
    <cfRule type="duplicateValues" dxfId="423" priority="524"/>
    <cfRule type="duplicateValues" dxfId="422" priority="525"/>
    <cfRule type="duplicateValues" dxfId="421" priority="526"/>
    <cfRule type="duplicateValues" dxfId="420" priority="527"/>
    <cfRule type="duplicateValues" dxfId="419" priority="528"/>
    <cfRule type="duplicateValues" dxfId="418" priority="529"/>
    <cfRule type="duplicateValues" dxfId="417" priority="530"/>
    <cfRule type="duplicateValues" dxfId="416" priority="531"/>
    <cfRule type="duplicateValues" dxfId="415" priority="532"/>
  </conditionalFormatting>
  <conditionalFormatting sqref="E44:E46">
    <cfRule type="duplicateValues" dxfId="414" priority="511"/>
    <cfRule type="duplicateValues" dxfId="413" priority="512"/>
    <cfRule type="duplicateValues" dxfId="412" priority="513"/>
    <cfRule type="duplicateValues" dxfId="411" priority="514"/>
    <cfRule type="duplicateValues" dxfId="410" priority="515"/>
    <cfRule type="duplicateValues" dxfId="409" priority="516"/>
    <cfRule type="duplicateValues" dxfId="408" priority="517"/>
    <cfRule type="duplicateValues" dxfId="407" priority="518"/>
    <cfRule type="duplicateValues" dxfId="406" priority="519"/>
    <cfRule type="duplicateValues" dxfId="405" priority="520"/>
    <cfRule type="duplicateValues" dxfId="404" priority="521"/>
  </conditionalFormatting>
  <conditionalFormatting sqref="E64">
    <cfRule type="duplicateValues" dxfId="403" priority="369"/>
  </conditionalFormatting>
  <conditionalFormatting sqref="E65">
    <cfRule type="duplicateValues" dxfId="402" priority="354"/>
  </conditionalFormatting>
  <conditionalFormatting sqref="E66:E68 E56:E63">
    <cfRule type="duplicateValues" dxfId="401" priority="370"/>
  </conditionalFormatting>
  <conditionalFormatting sqref="E70">
    <cfRule type="duplicateValues" dxfId="400" priority="350"/>
  </conditionalFormatting>
  <conditionalFormatting sqref="E71">
    <cfRule type="duplicateValues" dxfId="399" priority="351"/>
  </conditionalFormatting>
  <conditionalFormatting sqref="E73:E74 E76:E113">
    <cfRule type="duplicateValues" dxfId="398" priority="247"/>
  </conditionalFormatting>
  <conditionalFormatting sqref="E75 E81">
    <cfRule type="duplicateValues" dxfId="397" priority="246"/>
  </conditionalFormatting>
  <conditionalFormatting sqref="E79">
    <cfRule type="duplicateValues" dxfId="396" priority="245"/>
  </conditionalFormatting>
  <conditionalFormatting sqref="E112:E113 E80">
    <cfRule type="duplicateValues" dxfId="395" priority="243"/>
  </conditionalFormatting>
  <conditionalFormatting sqref="E114">
    <cfRule type="duplicateValues" dxfId="394" priority="180"/>
  </conditionalFormatting>
  <conditionalFormatting sqref="E114:E115">
    <cfRule type="duplicateValues" dxfId="393" priority="182"/>
    <cfRule type="duplicateValues" dxfId="392" priority="183"/>
  </conditionalFormatting>
  <conditionalFormatting sqref="E115">
    <cfRule type="duplicateValues" dxfId="391" priority="184"/>
  </conditionalFormatting>
  <conditionalFormatting sqref="E116:E135 E73:E113">
    <cfRule type="duplicateValues" dxfId="390" priority="3891"/>
  </conditionalFormatting>
  <conditionalFormatting sqref="E116:E135 E78 E82:E91 E93:E111">
    <cfRule type="duplicateValues" dxfId="389" priority="248"/>
  </conditionalFormatting>
  <conditionalFormatting sqref="E136">
    <cfRule type="duplicateValues" dxfId="388" priority="152"/>
    <cfRule type="duplicateValues" dxfId="387" priority="153"/>
  </conditionalFormatting>
  <conditionalFormatting sqref="E138">
    <cfRule type="duplicateValues" dxfId="386" priority="91"/>
  </conditionalFormatting>
  <conditionalFormatting sqref="E139 E69 E72">
    <cfRule type="duplicateValues" dxfId="385" priority="352"/>
  </conditionalFormatting>
  <conditionalFormatting sqref="E144:E145">
    <cfRule type="duplicateValues" dxfId="384" priority="105"/>
    <cfRule type="duplicateValues" dxfId="383" priority="107"/>
    <cfRule type="duplicateValues" dxfId="382" priority="108"/>
    <cfRule type="duplicateValues" dxfId="381" priority="109"/>
    <cfRule type="duplicateValues" dxfId="380" priority="110"/>
    <cfRule type="duplicateValues" dxfId="379" priority="111"/>
    <cfRule type="duplicateValues" dxfId="378" priority="112"/>
  </conditionalFormatting>
  <conditionalFormatting sqref="E178:E181">
    <cfRule type="duplicateValues" dxfId="377" priority="27"/>
    <cfRule type="duplicateValues" dxfId="376" priority="29"/>
  </conditionalFormatting>
  <conditionalFormatting sqref="E182">
    <cfRule type="duplicateValues" dxfId="375" priority="23"/>
    <cfRule type="duplicateValues" dxfId="374" priority="24"/>
  </conditionalFormatting>
  <conditionalFormatting sqref="E184">
    <cfRule type="duplicateValues" dxfId="373" priority="28"/>
  </conditionalFormatting>
  <conditionalFormatting sqref="G143:G145">
    <cfRule type="cellIs" dxfId="372" priority="84" operator="lessThan">
      <formula>1</formula>
    </cfRule>
  </conditionalFormatting>
  <conditionalFormatting sqref="G185:AP185">
    <cfRule type="cellIs" dxfId="371" priority="9" operator="lessThan">
      <formula>0</formula>
    </cfRule>
  </conditionalFormatting>
  <conditionalFormatting sqref="Q5:Q139">
    <cfRule type="cellIs" dxfId="370" priority="90" operator="lessThan">
      <formula>0</formula>
    </cfRule>
  </conditionalFormatting>
  <conditionalFormatting sqref="Q150:Q184">
    <cfRule type="cellIs" dxfId="369" priority="8" operator="lessThan">
      <formula>0</formula>
    </cfRule>
  </conditionalFormatting>
  <conditionalFormatting sqref="Y1:Y184 U1:W1048576 Q144:Q145 G149:G184">
    <cfRule type="cellIs" dxfId="368" priority="2" operator="lessThan">
      <formula>0</formula>
    </cfRule>
  </conditionalFormatting>
  <conditionalFormatting sqref="Y186:Y1048576">
    <cfRule type="cellIs" dxfId="367" priority="87" operator="lessThan">
      <formula>0</formula>
    </cfRule>
  </conditionalFormatting>
  <pageMargins left="0.7" right="0.7" top="0.75" bottom="0.75" header="0.3" footer="0.3"/>
  <pageSetup orientation="portrait" r:id="rId1"/>
  <ignoredErrors>
    <ignoredError sqref="R146 T185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A1:G44"/>
  <sheetViews>
    <sheetView workbookViewId="0">
      <selection sqref="A1:J1048576"/>
    </sheetView>
  </sheetViews>
  <sheetFormatPr defaultRowHeight="15" x14ac:dyDescent="0.25"/>
  <cols>
    <col min="1" max="1" width="11.28515625" bestFit="1" customWidth="1"/>
    <col min="2" max="2" width="37.42578125" bestFit="1" customWidth="1"/>
    <col min="3" max="3" width="8.42578125" bestFit="1" customWidth="1"/>
    <col min="4" max="4" width="4" bestFit="1" customWidth="1"/>
    <col min="5" max="5" width="13" bestFit="1" customWidth="1"/>
    <col min="7" max="7" width="28.42578125" bestFit="1" customWidth="1"/>
  </cols>
  <sheetData>
    <row r="1" spans="1:7" ht="36.75" thickBot="1" x14ac:dyDescent="0.3">
      <c r="A1" s="446">
        <v>544554640104</v>
      </c>
      <c r="B1" s="447" t="s">
        <v>609</v>
      </c>
      <c r="C1" s="448" t="s">
        <v>610</v>
      </c>
      <c r="D1" s="202">
        <v>16</v>
      </c>
      <c r="E1" s="167">
        <f>IFERROR(VLOOKUP(A1,Cockpit!$D$143:$D$144,1,0),0)</f>
        <v>544554640104</v>
      </c>
      <c r="G1" s="449" t="s">
        <v>611</v>
      </c>
    </row>
    <row r="2" spans="1:7" ht="36.75" thickBot="1" x14ac:dyDescent="0.3">
      <c r="A2" s="446">
        <v>544554630371</v>
      </c>
      <c r="B2" s="447" t="s">
        <v>612</v>
      </c>
      <c r="C2" s="448" t="s">
        <v>610</v>
      </c>
      <c r="D2" s="202">
        <v>51</v>
      </c>
      <c r="E2" s="167">
        <f>IFERROR(VLOOKUP(A2,Cockpit!$D$143:$D$144,1,0),0)</f>
        <v>0</v>
      </c>
      <c r="G2" s="449" t="s">
        <v>611</v>
      </c>
    </row>
    <row r="3" spans="1:7" ht="36.75" thickBot="1" x14ac:dyDescent="0.3">
      <c r="A3" s="450">
        <v>544554640108</v>
      </c>
      <c r="B3" s="451" t="s">
        <v>613</v>
      </c>
      <c r="C3" s="452" t="s">
        <v>610</v>
      </c>
      <c r="D3" s="453">
        <v>110</v>
      </c>
      <c r="E3" s="454">
        <f>IFERROR(VLOOKUP(A3,Cockpit!$D$143:$D$144,1,0),0)</f>
        <v>0</v>
      </c>
      <c r="G3" s="449" t="s">
        <v>611</v>
      </c>
    </row>
    <row r="4" spans="1:7" ht="36.75" thickBot="1" x14ac:dyDescent="0.3">
      <c r="A4" s="446">
        <v>544554640107</v>
      </c>
      <c r="B4" s="447" t="s">
        <v>614</v>
      </c>
      <c r="C4" s="448" t="s">
        <v>610</v>
      </c>
      <c r="D4" s="202">
        <v>66</v>
      </c>
      <c r="E4" s="167">
        <f>IFERROR(VLOOKUP(A4,Cockpit!$D$143:$D$144,1,0),0)</f>
        <v>0</v>
      </c>
      <c r="G4" s="449" t="s">
        <v>611</v>
      </c>
    </row>
    <row r="5" spans="1:7" ht="36.75" thickBot="1" x14ac:dyDescent="0.3">
      <c r="A5" s="446">
        <v>544554640105</v>
      </c>
      <c r="B5" s="447" t="s">
        <v>615</v>
      </c>
      <c r="C5" s="448" t="s">
        <v>610</v>
      </c>
      <c r="D5" s="202">
        <v>3</v>
      </c>
      <c r="E5" s="167">
        <f>IFERROR(VLOOKUP(A5,Cockpit!$D$143:$D$144,1,0),0)</f>
        <v>0</v>
      </c>
      <c r="G5" s="449" t="s">
        <v>611</v>
      </c>
    </row>
    <row r="6" spans="1:7" ht="36.75" thickBot="1" x14ac:dyDescent="0.3">
      <c r="A6" s="446">
        <v>544554630370</v>
      </c>
      <c r="B6" s="447" t="s">
        <v>616</v>
      </c>
      <c r="C6" s="448" t="s">
        <v>610</v>
      </c>
      <c r="D6" s="202">
        <v>68</v>
      </c>
      <c r="E6" s="167">
        <f>IFERROR(VLOOKUP(A6,Cockpit!$D$143:$D$144,1,0),0)</f>
        <v>0</v>
      </c>
      <c r="G6" s="449" t="s">
        <v>611</v>
      </c>
    </row>
    <row r="7" spans="1:7" ht="36.75" thickBot="1" x14ac:dyDescent="0.3">
      <c r="A7" s="446">
        <v>544554640109</v>
      </c>
      <c r="B7" s="447" t="s">
        <v>617</v>
      </c>
      <c r="C7" s="448" t="s">
        <v>610</v>
      </c>
      <c r="D7" s="202">
        <v>16</v>
      </c>
      <c r="E7" s="167">
        <f>IFERROR(VLOOKUP(A7,Cockpit!$D$143:$D$144,1,0),0)</f>
        <v>0</v>
      </c>
      <c r="G7" s="449" t="s">
        <v>611</v>
      </c>
    </row>
    <row r="8" spans="1:7" ht="36.75" thickBot="1" x14ac:dyDescent="0.3">
      <c r="A8" s="446">
        <v>544554630386</v>
      </c>
      <c r="B8" s="447" t="s">
        <v>618</v>
      </c>
      <c r="C8" s="448" t="s">
        <v>610</v>
      </c>
      <c r="D8" s="202">
        <v>17</v>
      </c>
      <c r="E8" s="167">
        <f>IFERROR(VLOOKUP(A8,Cockpit!$D$143:$D$144,1,0),0)</f>
        <v>0</v>
      </c>
      <c r="G8" s="449" t="s">
        <v>611</v>
      </c>
    </row>
    <row r="9" spans="1:7" ht="36.75" thickBot="1" x14ac:dyDescent="0.3">
      <c r="A9" s="446">
        <v>544554630385</v>
      </c>
      <c r="B9" s="447" t="s">
        <v>619</v>
      </c>
      <c r="C9" s="448" t="s">
        <v>610</v>
      </c>
      <c r="D9" s="202">
        <v>22</v>
      </c>
      <c r="E9" s="167">
        <f>IFERROR(VLOOKUP(A9,Cockpit!$D$143:$D$144,1,0),0)</f>
        <v>0</v>
      </c>
      <c r="G9" s="449" t="s">
        <v>611</v>
      </c>
    </row>
    <row r="10" spans="1:7" ht="36.75" thickBot="1" x14ac:dyDescent="0.3">
      <c r="A10" s="446">
        <v>544554630372</v>
      </c>
      <c r="B10" s="447" t="s">
        <v>620</v>
      </c>
      <c r="C10" s="448" t="s">
        <v>610</v>
      </c>
      <c r="D10" s="202">
        <v>15</v>
      </c>
      <c r="E10" s="167">
        <f>IFERROR(VLOOKUP(A10,Cockpit!$D$143:$D$144,1,0),0)</f>
        <v>0</v>
      </c>
      <c r="G10" s="449" t="s">
        <v>611</v>
      </c>
    </row>
    <row r="11" spans="1:7" ht="36.75" thickBot="1" x14ac:dyDescent="0.3">
      <c r="A11" s="446">
        <v>544554630382</v>
      </c>
      <c r="B11" s="447" t="s">
        <v>621</v>
      </c>
      <c r="C11" s="448" t="s">
        <v>610</v>
      </c>
      <c r="D11" s="202">
        <v>4</v>
      </c>
      <c r="E11" s="167">
        <f>IFERROR(VLOOKUP(A11,Cockpit!$D$143:$D$144,1,0),0)</f>
        <v>0</v>
      </c>
      <c r="G11" s="449" t="s">
        <v>611</v>
      </c>
    </row>
    <row r="12" spans="1:7" ht="36.75" thickBot="1" x14ac:dyDescent="0.3">
      <c r="A12" s="446">
        <v>544554630389</v>
      </c>
      <c r="B12" s="447" t="s">
        <v>622</v>
      </c>
      <c r="C12" s="448" t="s">
        <v>610</v>
      </c>
      <c r="D12" s="202">
        <v>29</v>
      </c>
      <c r="E12" s="167">
        <f>IFERROR(VLOOKUP(A12,Cockpit!$D$143:$D$144,1,0),0)</f>
        <v>0</v>
      </c>
      <c r="G12" s="449" t="s">
        <v>611</v>
      </c>
    </row>
    <row r="13" spans="1:7" ht="36.75" thickBot="1" x14ac:dyDescent="0.3">
      <c r="A13" s="446">
        <v>544554630391</v>
      </c>
      <c r="B13" s="447" t="s">
        <v>623</v>
      </c>
      <c r="C13" s="448" t="s">
        <v>610</v>
      </c>
      <c r="D13" s="202">
        <v>7</v>
      </c>
      <c r="E13" s="167">
        <f>IFERROR(VLOOKUP(A13,Cockpit!$D$143:$D$144,1,0),0)</f>
        <v>0</v>
      </c>
      <c r="G13" s="449" t="s">
        <v>611</v>
      </c>
    </row>
    <row r="14" spans="1:7" ht="36.75" thickBot="1" x14ac:dyDescent="0.3">
      <c r="A14" s="446">
        <v>544554640106</v>
      </c>
      <c r="B14" s="447" t="s">
        <v>624</v>
      </c>
      <c r="C14" s="448" t="s">
        <v>610</v>
      </c>
      <c r="D14" s="202">
        <v>1</v>
      </c>
      <c r="E14" s="167">
        <f>IFERROR(VLOOKUP(A14,Cockpit!$D$143:$D$144,1,0),0)</f>
        <v>0</v>
      </c>
      <c r="G14" s="449" t="s">
        <v>611</v>
      </c>
    </row>
    <row r="15" spans="1:7" ht="36.75" thickBot="1" x14ac:dyDescent="0.3">
      <c r="A15" s="446">
        <v>544554630387</v>
      </c>
      <c r="B15" s="447" t="s">
        <v>625</v>
      </c>
      <c r="C15" s="448" t="s">
        <v>610</v>
      </c>
      <c r="D15" s="202">
        <v>9</v>
      </c>
      <c r="E15" s="167">
        <f>IFERROR(VLOOKUP(A15,Cockpit!$D$143:$D$144,1,0),0)</f>
        <v>0</v>
      </c>
      <c r="G15" s="449" t="s">
        <v>611</v>
      </c>
    </row>
    <row r="16" spans="1:7" ht="36.75" thickBot="1" x14ac:dyDescent="0.3">
      <c r="A16" s="446">
        <v>544554630383</v>
      </c>
      <c r="B16" s="447" t="s">
        <v>626</v>
      </c>
      <c r="C16" s="448" t="s">
        <v>610</v>
      </c>
      <c r="D16" s="202">
        <v>4</v>
      </c>
      <c r="E16" s="167">
        <f>IFERROR(VLOOKUP(A16,Cockpit!$D$143:$D$144,1,0),0)</f>
        <v>0</v>
      </c>
      <c r="G16" s="449" t="s">
        <v>611</v>
      </c>
    </row>
    <row r="17" spans="1:7" ht="36.75" thickBot="1" x14ac:dyDescent="0.3">
      <c r="A17" s="446">
        <v>544554630390</v>
      </c>
      <c r="B17" s="447" t="s">
        <v>627</v>
      </c>
      <c r="C17" s="448" t="s">
        <v>610</v>
      </c>
      <c r="D17" s="202">
        <v>8</v>
      </c>
      <c r="E17" s="167">
        <f>IFERROR(VLOOKUP(A17,Cockpit!$D$143:$D$144,1,0),0)</f>
        <v>0</v>
      </c>
      <c r="G17" s="449" t="s">
        <v>611</v>
      </c>
    </row>
    <row r="18" spans="1:7" ht="36.75" thickBot="1" x14ac:dyDescent="0.3">
      <c r="A18" s="446">
        <v>544554630392</v>
      </c>
      <c r="B18" s="447" t="s">
        <v>628</v>
      </c>
      <c r="C18" s="448" t="s">
        <v>610</v>
      </c>
      <c r="D18" s="202">
        <v>10</v>
      </c>
      <c r="E18" s="167">
        <f>IFERROR(VLOOKUP(A18,Cockpit!$D$143:$D$144,1,0),0)</f>
        <v>0</v>
      </c>
      <c r="G18" s="449" t="s">
        <v>611</v>
      </c>
    </row>
    <row r="19" spans="1:7" ht="36.75" thickBot="1" x14ac:dyDescent="0.3">
      <c r="A19" s="446">
        <v>544554630397</v>
      </c>
      <c r="B19" s="447" t="s">
        <v>629</v>
      </c>
      <c r="C19" s="448" t="s">
        <v>610</v>
      </c>
      <c r="D19" s="202">
        <v>5</v>
      </c>
      <c r="E19" s="167">
        <f>IFERROR(VLOOKUP(A19,Cockpit!$D$143:$D$144,1,0),0)</f>
        <v>0</v>
      </c>
      <c r="G19" s="449" t="s">
        <v>611</v>
      </c>
    </row>
    <row r="20" spans="1:7" ht="36.75" thickBot="1" x14ac:dyDescent="0.3">
      <c r="A20" s="446">
        <v>544554630384</v>
      </c>
      <c r="B20" s="447" t="s">
        <v>630</v>
      </c>
      <c r="C20" s="448" t="s">
        <v>610</v>
      </c>
      <c r="D20" s="202">
        <v>0</v>
      </c>
      <c r="E20" s="167">
        <f>IFERROR(VLOOKUP(A20,Cockpit!$D$143:$D$144,1,0),0)</f>
        <v>0</v>
      </c>
      <c r="G20" s="449" t="s">
        <v>611</v>
      </c>
    </row>
    <row r="21" spans="1:7" ht="36.75" thickBot="1" x14ac:dyDescent="0.3">
      <c r="A21" s="446">
        <v>544554630394</v>
      </c>
      <c r="B21" s="447" t="s">
        <v>631</v>
      </c>
      <c r="C21" s="448" t="s">
        <v>610</v>
      </c>
      <c r="D21" s="202">
        <v>11</v>
      </c>
      <c r="E21" s="167">
        <f>IFERROR(VLOOKUP(A21,Cockpit!$D$143:$D$144,1,0),0)</f>
        <v>0</v>
      </c>
      <c r="G21" s="449" t="s">
        <v>611</v>
      </c>
    </row>
    <row r="22" spans="1:7" ht="36.75" thickBot="1" x14ac:dyDescent="0.3">
      <c r="A22" s="446">
        <v>544554630395</v>
      </c>
      <c r="B22" s="447" t="s">
        <v>632</v>
      </c>
      <c r="C22" s="448" t="s">
        <v>610</v>
      </c>
      <c r="D22" s="202">
        <v>11</v>
      </c>
      <c r="E22" s="167">
        <f>IFERROR(VLOOKUP(A22,Cockpit!$D$143:$D$144,1,0),0)</f>
        <v>0</v>
      </c>
      <c r="G22" s="449" t="s">
        <v>611</v>
      </c>
    </row>
    <row r="23" spans="1:7" ht="36.75" thickBot="1" x14ac:dyDescent="0.3">
      <c r="A23" s="446">
        <v>544554630396</v>
      </c>
      <c r="B23" s="447" t="s">
        <v>633</v>
      </c>
      <c r="C23" s="448" t="s">
        <v>610</v>
      </c>
      <c r="D23" s="202">
        <v>2</v>
      </c>
      <c r="E23" s="167">
        <f>IFERROR(VLOOKUP(A23,Cockpit!$D$143:$D$144,1,0),0)</f>
        <v>0</v>
      </c>
      <c r="G23" s="449" t="s">
        <v>611</v>
      </c>
    </row>
    <row r="24" spans="1:7" ht="36.75" thickBot="1" x14ac:dyDescent="0.3">
      <c r="A24" s="446">
        <v>544554630388</v>
      </c>
      <c r="B24" s="447" t="s">
        <v>634</v>
      </c>
      <c r="C24" s="448" t="s">
        <v>610</v>
      </c>
      <c r="D24" s="202">
        <v>20</v>
      </c>
      <c r="E24" s="167">
        <f>IFERROR(VLOOKUP(A24,Cockpit!$D$143:$D$144,1,0),0)</f>
        <v>0</v>
      </c>
      <c r="G24" s="449" t="s">
        <v>611</v>
      </c>
    </row>
    <row r="25" spans="1:7" ht="36.75" thickBot="1" x14ac:dyDescent="0.3">
      <c r="A25" s="446">
        <v>544554630393</v>
      </c>
      <c r="B25" s="447" t="s">
        <v>635</v>
      </c>
      <c r="C25" s="448" t="s">
        <v>610</v>
      </c>
      <c r="D25" s="202">
        <v>4</v>
      </c>
      <c r="E25" s="167">
        <f>IFERROR(VLOOKUP(A25,Cockpit!$D$143:$D$144,1,0),0)</f>
        <v>0</v>
      </c>
      <c r="G25" s="449" t="s">
        <v>611</v>
      </c>
    </row>
    <row r="26" spans="1:7" ht="36.75" thickBot="1" x14ac:dyDescent="0.3">
      <c r="A26" s="446">
        <v>544254640202</v>
      </c>
      <c r="B26" s="447" t="s">
        <v>636</v>
      </c>
      <c r="C26" s="448" t="s">
        <v>610</v>
      </c>
      <c r="D26" s="202">
        <v>10</v>
      </c>
      <c r="E26" s="167">
        <f>IFERROR(VLOOKUP(A26,Cockpit!$D$143:$D$144,1,0),0)</f>
        <v>0</v>
      </c>
      <c r="G26" s="449" t="s">
        <v>611</v>
      </c>
    </row>
    <row r="27" spans="1:7" ht="36.75" thickBot="1" x14ac:dyDescent="0.3">
      <c r="A27" s="446">
        <v>544254630871</v>
      </c>
      <c r="B27" s="447" t="s">
        <v>637</v>
      </c>
      <c r="C27" s="448" t="s">
        <v>610</v>
      </c>
      <c r="D27" s="202">
        <v>4</v>
      </c>
      <c r="E27" s="167">
        <f>IFERROR(VLOOKUP(A27,Cockpit!$D$143:$D$144,1,0),0)</f>
        <v>0</v>
      </c>
      <c r="G27" s="449" t="s">
        <v>611</v>
      </c>
    </row>
    <row r="28" spans="1:7" ht="36.75" thickBot="1" x14ac:dyDescent="0.3">
      <c r="A28" s="446">
        <v>544254640216</v>
      </c>
      <c r="B28" s="447" t="s">
        <v>638</v>
      </c>
      <c r="C28" s="448" t="s">
        <v>610</v>
      </c>
      <c r="D28" s="202">
        <v>2</v>
      </c>
      <c r="E28" s="167">
        <f>IFERROR(VLOOKUP(A28,Cockpit!$D$143:$D$144,1,0),0)</f>
        <v>0</v>
      </c>
      <c r="G28" s="449" t="s">
        <v>611</v>
      </c>
    </row>
    <row r="29" spans="1:7" ht="36.75" thickBot="1" x14ac:dyDescent="0.3">
      <c r="A29" s="446">
        <v>544254640219</v>
      </c>
      <c r="B29" s="447" t="s">
        <v>639</v>
      </c>
      <c r="C29" s="448" t="s">
        <v>610</v>
      </c>
      <c r="D29" s="202">
        <v>4</v>
      </c>
      <c r="E29" s="167">
        <f>IFERROR(VLOOKUP(A29,Cockpit!$D$143:$D$144,1,0),0)</f>
        <v>0</v>
      </c>
      <c r="G29" s="449" t="s">
        <v>611</v>
      </c>
    </row>
    <row r="30" spans="1:7" ht="36.75" thickBot="1" x14ac:dyDescent="0.3">
      <c r="A30" s="446">
        <v>544254640203</v>
      </c>
      <c r="B30" s="447" t="s">
        <v>640</v>
      </c>
      <c r="C30" s="448" t="s">
        <v>610</v>
      </c>
      <c r="D30" s="202">
        <v>11</v>
      </c>
      <c r="E30" s="167">
        <f>IFERROR(VLOOKUP(A30,Cockpit!$D$143:$D$144,1,0),0)</f>
        <v>0</v>
      </c>
      <c r="G30" s="449" t="s">
        <v>611</v>
      </c>
    </row>
    <row r="31" spans="1:7" ht="36.75" thickBot="1" x14ac:dyDescent="0.3">
      <c r="A31" s="446">
        <v>544254640204</v>
      </c>
      <c r="B31" s="447" t="s">
        <v>641</v>
      </c>
      <c r="C31" s="448" t="s">
        <v>610</v>
      </c>
      <c r="D31" s="202">
        <v>4</v>
      </c>
      <c r="E31" s="167">
        <f>IFERROR(VLOOKUP(A31,Cockpit!$D$143:$D$144,1,0),0)</f>
        <v>0</v>
      </c>
      <c r="G31" s="449" t="s">
        <v>611</v>
      </c>
    </row>
    <row r="32" spans="1:7" ht="36.75" thickBot="1" x14ac:dyDescent="0.3">
      <c r="A32" s="446">
        <v>544254640241</v>
      </c>
      <c r="B32" s="447" t="s">
        <v>642</v>
      </c>
      <c r="C32" s="448" t="s">
        <v>610</v>
      </c>
      <c r="D32" s="202">
        <v>0</v>
      </c>
      <c r="E32" s="167">
        <f>IFERROR(VLOOKUP(A32,Cockpit!$D$143:$D$144,1,0),0)</f>
        <v>0</v>
      </c>
      <c r="G32" s="449" t="s">
        <v>611</v>
      </c>
    </row>
    <row r="33" spans="1:7" ht="36.75" thickBot="1" x14ac:dyDescent="0.3">
      <c r="A33" s="446">
        <v>544254640215</v>
      </c>
      <c r="B33" s="447" t="s">
        <v>643</v>
      </c>
      <c r="C33" s="448" t="s">
        <v>610</v>
      </c>
      <c r="D33" s="202">
        <v>21</v>
      </c>
      <c r="E33" s="167">
        <f>IFERROR(VLOOKUP(A33,Cockpit!$D$143:$D$144,1,0),0)</f>
        <v>0</v>
      </c>
      <c r="G33" s="449" t="s">
        <v>611</v>
      </c>
    </row>
    <row r="34" spans="1:7" ht="36.75" thickBot="1" x14ac:dyDescent="0.3">
      <c r="A34" s="446">
        <v>544254640205</v>
      </c>
      <c r="B34" s="447" t="s">
        <v>644</v>
      </c>
      <c r="C34" s="448" t="s">
        <v>610</v>
      </c>
      <c r="D34" s="202">
        <v>5</v>
      </c>
      <c r="E34" s="167">
        <f>IFERROR(VLOOKUP(A34,Cockpit!$D$143:$D$144,1,0),0)</f>
        <v>0</v>
      </c>
      <c r="G34" s="449" t="s">
        <v>611</v>
      </c>
    </row>
    <row r="35" spans="1:7" ht="36.75" thickBot="1" x14ac:dyDescent="0.3">
      <c r="A35" s="446">
        <v>544254640217</v>
      </c>
      <c r="B35" s="447" t="s">
        <v>645</v>
      </c>
      <c r="C35" s="448" t="s">
        <v>610</v>
      </c>
      <c r="D35" s="202">
        <v>7</v>
      </c>
      <c r="E35" s="167">
        <f>IFERROR(VLOOKUP(A35,Cockpit!$D$143:$D$144,1,0),0)</f>
        <v>0</v>
      </c>
      <c r="G35" s="449" t="s">
        <v>611</v>
      </c>
    </row>
    <row r="36" spans="1:7" ht="36.75" thickBot="1" x14ac:dyDescent="0.3">
      <c r="A36" s="446">
        <v>544254640218</v>
      </c>
      <c r="B36" s="447" t="s">
        <v>646</v>
      </c>
      <c r="C36" s="448" t="s">
        <v>610</v>
      </c>
      <c r="D36" s="202">
        <v>12</v>
      </c>
      <c r="E36" s="167">
        <f>IFERROR(VLOOKUP(A36,Cockpit!$D$143:$D$144,1,0),0)</f>
        <v>0</v>
      </c>
      <c r="G36" s="449" t="s">
        <v>611</v>
      </c>
    </row>
    <row r="37" spans="1:7" ht="36.75" thickBot="1" x14ac:dyDescent="0.3">
      <c r="A37" s="446">
        <v>544254640267</v>
      </c>
      <c r="B37" s="447" t="s">
        <v>647</v>
      </c>
      <c r="C37" s="448" t="s">
        <v>610</v>
      </c>
      <c r="D37" s="202">
        <v>4</v>
      </c>
      <c r="E37" s="167">
        <f>IFERROR(VLOOKUP(A37,Cockpit!$D$143:$D$144,1,0),0)</f>
        <v>0</v>
      </c>
      <c r="G37" s="449" t="s">
        <v>611</v>
      </c>
    </row>
    <row r="38" spans="1:7" ht="36.75" thickBot="1" x14ac:dyDescent="0.3">
      <c r="A38" s="446">
        <v>544254640251</v>
      </c>
      <c r="B38" s="447" t="s">
        <v>648</v>
      </c>
      <c r="C38" s="448" t="s">
        <v>610</v>
      </c>
      <c r="D38" s="202">
        <v>4</v>
      </c>
      <c r="E38" s="167">
        <f>IFERROR(VLOOKUP(A38,Cockpit!$D$143:$D$144,1,0),0)</f>
        <v>0</v>
      </c>
      <c r="G38" s="449" t="s">
        <v>611</v>
      </c>
    </row>
    <row r="39" spans="1:7" ht="36.75" thickBot="1" x14ac:dyDescent="0.3">
      <c r="A39" s="446">
        <v>544254630512</v>
      </c>
      <c r="B39" s="447" t="s">
        <v>649</v>
      </c>
      <c r="C39" s="448" t="s">
        <v>610</v>
      </c>
      <c r="D39" s="202">
        <v>4</v>
      </c>
      <c r="E39" s="167">
        <f>IFERROR(VLOOKUP(A39,Cockpit!$D$143:$D$144,1,0),0)</f>
        <v>0</v>
      </c>
      <c r="G39" s="449" t="s">
        <v>611</v>
      </c>
    </row>
    <row r="40" spans="1:7" ht="36.75" thickBot="1" x14ac:dyDescent="0.3">
      <c r="A40" s="446">
        <v>544254640213</v>
      </c>
      <c r="B40" s="447" t="s">
        <v>650</v>
      </c>
      <c r="C40" s="448" t="s">
        <v>610</v>
      </c>
      <c r="D40" s="202">
        <v>6</v>
      </c>
      <c r="E40" s="167">
        <f>IFERROR(VLOOKUP(A40,Cockpit!$D$143:$D$144,1,0),0)</f>
        <v>0</v>
      </c>
      <c r="G40" s="449" t="s">
        <v>611</v>
      </c>
    </row>
    <row r="41" spans="1:7" ht="36.75" thickBot="1" x14ac:dyDescent="0.3">
      <c r="A41" s="446">
        <v>544254610241</v>
      </c>
      <c r="B41" s="447" t="s">
        <v>651</v>
      </c>
      <c r="C41" s="448" t="s">
        <v>610</v>
      </c>
      <c r="D41" s="202">
        <v>23</v>
      </c>
      <c r="E41" s="167">
        <f>IFERROR(VLOOKUP(A41,Cockpit!$D$143:$D$144,1,0),0)</f>
        <v>0</v>
      </c>
      <c r="G41" s="449" t="s">
        <v>611</v>
      </c>
    </row>
    <row r="42" spans="1:7" ht="36.75" thickBot="1" x14ac:dyDescent="0.3">
      <c r="A42" s="446">
        <v>544254630510</v>
      </c>
      <c r="B42" s="447" t="s">
        <v>652</v>
      </c>
      <c r="C42" s="448" t="s">
        <v>610</v>
      </c>
      <c r="D42" s="202">
        <v>34</v>
      </c>
      <c r="E42" s="167">
        <f>IFERROR(VLOOKUP(A42,Cockpit!$D$143:$D$144,1,0),0)</f>
        <v>0</v>
      </c>
      <c r="G42" s="449" t="s">
        <v>611</v>
      </c>
    </row>
    <row r="43" spans="1:7" ht="36.75" thickBot="1" x14ac:dyDescent="0.3">
      <c r="A43" s="446">
        <v>544254640248</v>
      </c>
      <c r="B43" s="447" t="s">
        <v>653</v>
      </c>
      <c r="C43" s="448" t="s">
        <v>610</v>
      </c>
      <c r="D43" s="202">
        <v>48</v>
      </c>
      <c r="E43" s="167">
        <f>IFERROR(VLOOKUP(A43,Cockpit!$D$143:$D$144,1,0),0)</f>
        <v>0</v>
      </c>
      <c r="G43" s="449" t="s">
        <v>611</v>
      </c>
    </row>
    <row r="44" spans="1:7" ht="36.75" thickBot="1" x14ac:dyDescent="0.3">
      <c r="A44" s="446">
        <v>544254640197</v>
      </c>
      <c r="B44" s="447" t="s">
        <v>654</v>
      </c>
      <c r="C44" s="448" t="s">
        <v>610</v>
      </c>
      <c r="D44" s="202">
        <v>6</v>
      </c>
      <c r="E44" s="167">
        <f>IFERROR(VLOOKUP(A44,Cockpit!$D$143:$D$144,1,0),0)</f>
        <v>0</v>
      </c>
      <c r="G44" s="449" t="s">
        <v>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C1:I4"/>
  <sheetViews>
    <sheetView workbookViewId="0">
      <selection activeCell="J23" sqref="J23"/>
    </sheetView>
  </sheetViews>
  <sheetFormatPr defaultRowHeight="15" x14ac:dyDescent="0.25"/>
  <cols>
    <col min="3" max="3" width="9.5703125" bestFit="1" customWidth="1"/>
    <col min="4" max="4" width="8.42578125" bestFit="1" customWidth="1"/>
    <col min="5" max="5" width="4.140625" bestFit="1" customWidth="1"/>
    <col min="6" max="6" width="12.42578125" bestFit="1" customWidth="1"/>
    <col min="7" max="7" width="9.85546875" bestFit="1" customWidth="1"/>
    <col min="8" max="8" width="4.140625" bestFit="1" customWidth="1"/>
  </cols>
  <sheetData>
    <row r="1" spans="3:9" ht="15.75" thickBot="1" x14ac:dyDescent="0.3"/>
    <row r="2" spans="3:9" ht="38.450000000000003" customHeight="1" x14ac:dyDescent="0.25">
      <c r="C2" s="192" t="s">
        <v>389</v>
      </c>
      <c r="D2" s="193" t="s">
        <v>387</v>
      </c>
      <c r="E2" s="193" t="s">
        <v>388</v>
      </c>
      <c r="F2" s="194" t="s">
        <v>384</v>
      </c>
      <c r="G2" s="194" t="s">
        <v>407</v>
      </c>
      <c r="H2" s="193" t="s">
        <v>383</v>
      </c>
      <c r="I2" s="195" t="s">
        <v>162</v>
      </c>
    </row>
    <row r="3" spans="3:9" x14ac:dyDescent="0.25">
      <c r="C3" s="187" t="s">
        <v>385</v>
      </c>
      <c r="D3" s="63">
        <v>19</v>
      </c>
      <c r="E3" s="63">
        <v>30</v>
      </c>
      <c r="F3" s="63">
        <v>9</v>
      </c>
      <c r="G3" s="63">
        <v>13</v>
      </c>
      <c r="H3" s="63">
        <v>16</v>
      </c>
      <c r="I3" s="188">
        <f>SUM(D3:H3)</f>
        <v>87</v>
      </c>
    </row>
    <row r="4" spans="3:9" ht="15.75" thickBot="1" x14ac:dyDescent="0.3">
      <c r="C4" s="189" t="s">
        <v>386</v>
      </c>
      <c r="D4" s="190">
        <v>7</v>
      </c>
      <c r="E4" s="190">
        <v>16</v>
      </c>
      <c r="F4" s="190">
        <v>8</v>
      </c>
      <c r="G4" s="190">
        <v>9</v>
      </c>
      <c r="H4" s="190">
        <v>7</v>
      </c>
      <c r="I4" s="191">
        <f>SUM(D4:H4)</f>
        <v>47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 filterMode="1"/>
  <dimension ref="A1:E68"/>
  <sheetViews>
    <sheetView workbookViewId="0">
      <selection activeCell="B32" sqref="B32"/>
    </sheetView>
  </sheetViews>
  <sheetFormatPr defaultRowHeight="15" x14ac:dyDescent="0.25"/>
  <cols>
    <col min="1" max="1" width="10" bestFit="1" customWidth="1"/>
    <col min="2" max="2" width="15.42578125" bestFit="1" customWidth="1"/>
    <col min="3" max="3" width="8.85546875" bestFit="1" customWidth="1"/>
    <col min="4" max="4" width="15.42578125" style="167" bestFit="1" customWidth="1"/>
    <col min="5" max="5" width="15.5703125" bestFit="1" customWidth="1"/>
  </cols>
  <sheetData>
    <row r="1" spans="1:5" ht="15.75" thickBot="1" x14ac:dyDescent="0.3">
      <c r="A1" s="196" t="s">
        <v>390</v>
      </c>
      <c r="B1" s="197" t="s">
        <v>391</v>
      </c>
      <c r="C1" s="197" t="s">
        <v>392</v>
      </c>
      <c r="D1" s="198" t="s">
        <v>393</v>
      </c>
      <c r="E1" s="197" t="s">
        <v>394</v>
      </c>
    </row>
    <row r="2" spans="1:5" ht="15.75" thickBot="1" x14ac:dyDescent="0.3">
      <c r="A2" s="199" t="s">
        <v>395</v>
      </c>
      <c r="B2" s="207">
        <v>544254600216</v>
      </c>
      <c r="C2" s="200">
        <v>35912044</v>
      </c>
      <c r="D2" s="200"/>
      <c r="E2" s="200" t="s">
        <v>396</v>
      </c>
    </row>
    <row r="3" spans="1:5" ht="15.75" thickBot="1" x14ac:dyDescent="0.3">
      <c r="A3" s="199" t="s">
        <v>395</v>
      </c>
      <c r="B3" s="207">
        <v>544254600213</v>
      </c>
      <c r="C3" s="200">
        <v>35912020</v>
      </c>
      <c r="D3" s="200"/>
      <c r="E3" s="200" t="s">
        <v>396</v>
      </c>
    </row>
    <row r="4" spans="1:5" ht="15.75" hidden="1" thickBot="1" x14ac:dyDescent="0.3">
      <c r="A4" s="199" t="s">
        <v>395</v>
      </c>
      <c r="B4" s="207">
        <v>544254600225</v>
      </c>
      <c r="C4" s="200">
        <v>35912078</v>
      </c>
      <c r="D4" s="208">
        <v>544254650109</v>
      </c>
      <c r="E4" s="200" t="s">
        <v>397</v>
      </c>
    </row>
    <row r="5" spans="1:5" ht="15.75" hidden="1" thickBot="1" x14ac:dyDescent="0.3">
      <c r="A5" s="199" t="s">
        <v>395</v>
      </c>
      <c r="B5" s="207">
        <v>544254630264</v>
      </c>
      <c r="C5" s="200">
        <v>35695728</v>
      </c>
      <c r="D5" s="208">
        <v>544254630115</v>
      </c>
      <c r="E5" s="200" t="s">
        <v>397</v>
      </c>
    </row>
    <row r="6" spans="1:5" ht="15.75" hidden="1" thickBot="1" x14ac:dyDescent="0.3">
      <c r="A6" s="199" t="s">
        <v>395</v>
      </c>
      <c r="B6" s="207">
        <v>544254630420</v>
      </c>
      <c r="C6" s="200">
        <v>35732341</v>
      </c>
      <c r="D6" s="208">
        <v>544254640173</v>
      </c>
      <c r="E6" s="200" t="s">
        <v>397</v>
      </c>
    </row>
    <row r="7" spans="1:5" ht="15.75" hidden="1" thickBot="1" x14ac:dyDescent="0.3">
      <c r="A7" s="199" t="s">
        <v>395</v>
      </c>
      <c r="B7" s="207">
        <v>544254630262</v>
      </c>
      <c r="C7" s="200">
        <v>35695726</v>
      </c>
      <c r="D7" s="208"/>
      <c r="E7" s="200"/>
    </row>
    <row r="8" spans="1:5" ht="15.75" hidden="1" thickBot="1" x14ac:dyDescent="0.3">
      <c r="A8" s="199" t="s">
        <v>395</v>
      </c>
      <c r="B8" s="207">
        <v>544254630390</v>
      </c>
      <c r="C8" s="200">
        <v>35732330</v>
      </c>
      <c r="D8" s="208"/>
      <c r="E8" s="200"/>
    </row>
    <row r="9" spans="1:5" ht="15.75" hidden="1" thickBot="1" x14ac:dyDescent="0.3">
      <c r="A9" s="199" t="s">
        <v>395</v>
      </c>
      <c r="B9" s="207">
        <v>544254630392</v>
      </c>
      <c r="C9" s="200">
        <v>35732332</v>
      </c>
      <c r="D9" s="208"/>
      <c r="E9" s="200"/>
    </row>
    <row r="10" spans="1:5" ht="15.75" thickBot="1" x14ac:dyDescent="0.3">
      <c r="A10" s="199" t="s">
        <v>395</v>
      </c>
      <c r="B10" s="207">
        <v>544254600212</v>
      </c>
      <c r="C10" s="200">
        <v>35912019</v>
      </c>
      <c r="D10" s="208"/>
      <c r="E10" s="200" t="s">
        <v>396</v>
      </c>
    </row>
    <row r="11" spans="1:5" ht="15.75" thickBot="1" x14ac:dyDescent="0.3">
      <c r="A11" s="199" t="s">
        <v>395</v>
      </c>
      <c r="B11" s="207">
        <v>544254600215</v>
      </c>
      <c r="C11" s="200">
        <v>35912043</v>
      </c>
      <c r="D11" s="208"/>
      <c r="E11" s="200" t="s">
        <v>396</v>
      </c>
    </row>
    <row r="12" spans="1:5" ht="15.75" hidden="1" thickBot="1" x14ac:dyDescent="0.3">
      <c r="A12" s="199" t="s">
        <v>395</v>
      </c>
      <c r="B12" s="207">
        <v>544254630415</v>
      </c>
      <c r="C12" s="200">
        <v>35732336</v>
      </c>
      <c r="D12" s="208"/>
      <c r="E12" s="200"/>
    </row>
    <row r="13" spans="1:5" ht="15.75" hidden="1" thickBot="1" x14ac:dyDescent="0.3">
      <c r="A13" s="199" t="s">
        <v>395</v>
      </c>
      <c r="B13" s="207">
        <v>544254600224</v>
      </c>
      <c r="C13" s="200">
        <v>35912077</v>
      </c>
      <c r="D13" s="208">
        <v>544254650108</v>
      </c>
      <c r="E13" s="200" t="s">
        <v>397</v>
      </c>
    </row>
    <row r="14" spans="1:5" ht="15.75" hidden="1" thickBot="1" x14ac:dyDescent="0.3">
      <c r="A14" s="199" t="s">
        <v>395</v>
      </c>
      <c r="B14" s="207">
        <v>544254630416</v>
      </c>
      <c r="C14" s="200">
        <v>35732337</v>
      </c>
      <c r="D14" s="208"/>
      <c r="E14" s="200"/>
    </row>
    <row r="15" spans="1:5" ht="15.75" hidden="1" thickBot="1" x14ac:dyDescent="0.3">
      <c r="A15" s="199" t="s">
        <v>395</v>
      </c>
      <c r="B15" s="207">
        <v>544254600226</v>
      </c>
      <c r="C15" s="200">
        <v>35912079</v>
      </c>
      <c r="D15" s="208">
        <v>544254650110</v>
      </c>
      <c r="E15" s="200" t="s">
        <v>397</v>
      </c>
    </row>
    <row r="16" spans="1:5" ht="15.75" hidden="1" thickBot="1" x14ac:dyDescent="0.3">
      <c r="A16" s="199" t="s">
        <v>395</v>
      </c>
      <c r="B16" s="208">
        <v>544254630419</v>
      </c>
      <c r="C16" s="200">
        <v>35732340</v>
      </c>
      <c r="D16" s="208">
        <v>544254640172</v>
      </c>
      <c r="E16" s="200" t="s">
        <v>397</v>
      </c>
    </row>
    <row r="17" spans="1:5" ht="15.75" hidden="1" thickBot="1" x14ac:dyDescent="0.3">
      <c r="A17" s="199" t="s">
        <v>395</v>
      </c>
      <c r="B17" s="208">
        <v>544254630247</v>
      </c>
      <c r="C17" s="200">
        <v>35695721</v>
      </c>
      <c r="D17" s="208"/>
      <c r="E17" s="200"/>
    </row>
    <row r="18" spans="1:5" ht="15.75" hidden="1" thickBot="1" x14ac:dyDescent="0.3">
      <c r="A18" s="201" t="s">
        <v>398</v>
      </c>
      <c r="B18" s="209">
        <v>544254630344</v>
      </c>
      <c r="C18" s="202">
        <v>35758981</v>
      </c>
      <c r="D18" s="208"/>
      <c r="E18" s="200" t="s">
        <v>399</v>
      </c>
    </row>
    <row r="19" spans="1:5" ht="15.75" hidden="1" thickBot="1" x14ac:dyDescent="0.3">
      <c r="A19" s="201" t="s">
        <v>398</v>
      </c>
      <c r="B19" s="209">
        <v>544254630399</v>
      </c>
      <c r="C19" s="202">
        <v>35731038</v>
      </c>
      <c r="D19" s="208"/>
      <c r="E19" s="200" t="s">
        <v>399</v>
      </c>
    </row>
    <row r="20" spans="1:5" ht="15.75" hidden="1" thickBot="1" x14ac:dyDescent="0.3">
      <c r="A20" s="201" t="s">
        <v>398</v>
      </c>
      <c r="B20" s="209">
        <v>544254630346</v>
      </c>
      <c r="C20" s="202">
        <v>35758982</v>
      </c>
      <c r="D20" s="208"/>
      <c r="E20" s="200" t="s">
        <v>399</v>
      </c>
    </row>
    <row r="21" spans="1:5" ht="15.75" hidden="1" thickBot="1" x14ac:dyDescent="0.3">
      <c r="A21" s="201" t="s">
        <v>398</v>
      </c>
      <c r="B21" s="209">
        <v>544254630397</v>
      </c>
      <c r="C21" s="202">
        <v>35731036</v>
      </c>
      <c r="D21" s="208"/>
      <c r="E21" s="200" t="s">
        <v>399</v>
      </c>
    </row>
    <row r="22" spans="1:5" ht="15.75" hidden="1" thickBot="1" x14ac:dyDescent="0.3">
      <c r="A22" s="201" t="s">
        <v>398</v>
      </c>
      <c r="B22" s="209">
        <v>544254630347</v>
      </c>
      <c r="C22" s="202">
        <v>35758989</v>
      </c>
      <c r="D22" s="208"/>
      <c r="E22" s="200" t="s">
        <v>399</v>
      </c>
    </row>
    <row r="23" spans="1:5" ht="15.75" hidden="1" thickBot="1" x14ac:dyDescent="0.3">
      <c r="A23" s="201" t="s">
        <v>398</v>
      </c>
      <c r="B23" s="209">
        <v>544254630353</v>
      </c>
      <c r="C23" s="202">
        <v>35758992</v>
      </c>
      <c r="D23" s="208"/>
      <c r="E23" s="200"/>
    </row>
    <row r="24" spans="1:5" ht="15.75" thickBot="1" x14ac:dyDescent="0.3">
      <c r="A24" s="201" t="s">
        <v>395</v>
      </c>
      <c r="B24" s="207">
        <v>544254600108</v>
      </c>
      <c r="C24" s="200">
        <v>35911971</v>
      </c>
      <c r="D24" s="208"/>
      <c r="E24" s="200" t="s">
        <v>396</v>
      </c>
    </row>
    <row r="25" spans="1:5" ht="15.75" thickBot="1" x14ac:dyDescent="0.3">
      <c r="A25" s="201" t="s">
        <v>395</v>
      </c>
      <c r="B25" s="207">
        <v>544254600109</v>
      </c>
      <c r="C25" s="200">
        <v>35911972</v>
      </c>
      <c r="D25" s="208"/>
      <c r="E25" s="200" t="s">
        <v>396</v>
      </c>
    </row>
    <row r="26" spans="1:5" ht="15.75" thickBot="1" x14ac:dyDescent="0.3">
      <c r="A26" s="201" t="s">
        <v>395</v>
      </c>
      <c r="B26" s="207">
        <v>544254600110</v>
      </c>
      <c r="C26" s="200">
        <v>35911974</v>
      </c>
      <c r="D26" s="208"/>
      <c r="E26" s="200" t="s">
        <v>396</v>
      </c>
    </row>
    <row r="27" spans="1:5" ht="15.75" thickBot="1" x14ac:dyDescent="0.3">
      <c r="A27" s="201" t="s">
        <v>395</v>
      </c>
      <c r="B27" s="207">
        <v>544254600111</v>
      </c>
      <c r="C27" s="200">
        <v>35912012</v>
      </c>
      <c r="D27" s="208"/>
      <c r="E27" s="200" t="s">
        <v>396</v>
      </c>
    </row>
    <row r="28" spans="1:5" ht="15.75" hidden="1" thickBot="1" x14ac:dyDescent="0.3">
      <c r="A28" s="201" t="s">
        <v>395</v>
      </c>
      <c r="B28" s="208">
        <v>544254600379</v>
      </c>
      <c r="C28" s="200">
        <v>35793318</v>
      </c>
      <c r="D28" s="208"/>
      <c r="E28" s="200"/>
    </row>
    <row r="29" spans="1:5" ht="15.75" thickBot="1" x14ac:dyDescent="0.3">
      <c r="A29" s="201" t="s">
        <v>395</v>
      </c>
      <c r="B29" s="208">
        <v>544254600214</v>
      </c>
      <c r="C29" s="200">
        <v>35912042</v>
      </c>
      <c r="D29" s="208"/>
      <c r="E29" s="200" t="s">
        <v>396</v>
      </c>
    </row>
    <row r="30" spans="1:5" ht="15.75" hidden="1" thickBot="1" x14ac:dyDescent="0.3">
      <c r="A30" s="201" t="s">
        <v>395</v>
      </c>
      <c r="B30" s="207">
        <v>544254600509</v>
      </c>
      <c r="C30" s="200">
        <v>35793320</v>
      </c>
      <c r="D30" s="208"/>
      <c r="E30" s="200"/>
    </row>
    <row r="31" spans="1:5" ht="15.75" hidden="1" thickBot="1" x14ac:dyDescent="0.3">
      <c r="A31" s="201" t="s">
        <v>395</v>
      </c>
      <c r="B31" s="207">
        <v>544254600217</v>
      </c>
      <c r="C31" s="200">
        <v>35912076</v>
      </c>
      <c r="D31" s="208">
        <v>544254650107</v>
      </c>
      <c r="E31" s="200" t="s">
        <v>397</v>
      </c>
    </row>
    <row r="32" spans="1:5" ht="15.75" thickBot="1" x14ac:dyDescent="0.3">
      <c r="A32" s="201" t="s">
        <v>395</v>
      </c>
      <c r="B32" s="209">
        <v>544254630611</v>
      </c>
      <c r="C32" s="200">
        <v>35794658</v>
      </c>
      <c r="D32" s="208"/>
      <c r="E32" s="200" t="s">
        <v>396</v>
      </c>
    </row>
    <row r="33" spans="1:5" ht="15.75" thickBot="1" x14ac:dyDescent="0.3">
      <c r="A33" s="201" t="s">
        <v>395</v>
      </c>
      <c r="B33" s="209">
        <v>544254630601</v>
      </c>
      <c r="C33" s="200">
        <v>35794650</v>
      </c>
      <c r="D33" s="208"/>
      <c r="E33" s="200" t="s">
        <v>396</v>
      </c>
    </row>
    <row r="34" spans="1:5" ht="15.75" thickBot="1" x14ac:dyDescent="0.3">
      <c r="A34" s="201" t="s">
        <v>395</v>
      </c>
      <c r="B34" s="209">
        <v>544254630705</v>
      </c>
      <c r="C34" s="200">
        <v>35794677</v>
      </c>
      <c r="D34" s="208"/>
      <c r="E34" s="200" t="s">
        <v>396</v>
      </c>
    </row>
    <row r="35" spans="1:5" ht="15.75" thickBot="1" x14ac:dyDescent="0.3">
      <c r="A35" s="201" t="s">
        <v>395</v>
      </c>
      <c r="B35" s="209">
        <v>544254630600</v>
      </c>
      <c r="C35" s="200">
        <v>35794648</v>
      </c>
      <c r="D35" s="208"/>
      <c r="E35" s="200" t="s">
        <v>396</v>
      </c>
    </row>
    <row r="36" spans="1:5" ht="15.75" thickBot="1" x14ac:dyDescent="0.3">
      <c r="A36" s="201" t="s">
        <v>395</v>
      </c>
      <c r="B36" s="209">
        <v>544254630610</v>
      </c>
      <c r="C36" s="200">
        <v>35794657</v>
      </c>
      <c r="D36" s="208"/>
      <c r="E36" s="200" t="s">
        <v>396</v>
      </c>
    </row>
    <row r="37" spans="1:5" ht="15.75" thickBot="1" x14ac:dyDescent="0.3">
      <c r="A37" s="201" t="s">
        <v>395</v>
      </c>
      <c r="B37" s="209">
        <v>544254630703</v>
      </c>
      <c r="C37" s="200">
        <v>35794675</v>
      </c>
      <c r="D37" s="208"/>
      <c r="E37" s="200" t="s">
        <v>396</v>
      </c>
    </row>
    <row r="38" spans="1:5" ht="15.75" thickBot="1" x14ac:dyDescent="0.3">
      <c r="A38" s="201" t="s">
        <v>395</v>
      </c>
      <c r="B38" s="209">
        <v>544254630455</v>
      </c>
      <c r="C38" s="200">
        <v>35794643</v>
      </c>
      <c r="D38" s="208"/>
      <c r="E38" s="200" t="s">
        <v>396</v>
      </c>
    </row>
    <row r="39" spans="1:5" ht="15.75" thickBot="1" x14ac:dyDescent="0.3">
      <c r="A39" s="201" t="s">
        <v>395</v>
      </c>
      <c r="B39" s="209">
        <v>544254630812</v>
      </c>
      <c r="C39" s="200">
        <v>35867350</v>
      </c>
      <c r="D39" s="208"/>
      <c r="E39" s="200" t="s">
        <v>396</v>
      </c>
    </row>
    <row r="40" spans="1:5" ht="15.75" thickBot="1" x14ac:dyDescent="0.3">
      <c r="A40" s="201" t="s">
        <v>395</v>
      </c>
      <c r="B40" s="209">
        <v>544254630811</v>
      </c>
      <c r="C40" s="200">
        <v>35867349</v>
      </c>
      <c r="D40" s="208"/>
      <c r="E40" s="200" t="s">
        <v>396</v>
      </c>
    </row>
    <row r="41" spans="1:5" ht="15.75" hidden="1" thickBot="1" x14ac:dyDescent="0.3">
      <c r="A41" s="201" t="s">
        <v>395</v>
      </c>
      <c r="B41" s="210">
        <v>544254630809</v>
      </c>
      <c r="C41" s="200">
        <v>35867346</v>
      </c>
      <c r="D41" s="208"/>
      <c r="E41" s="200" t="s">
        <v>399</v>
      </c>
    </row>
    <row r="42" spans="1:5" ht="15.75" hidden="1" thickBot="1" x14ac:dyDescent="0.3">
      <c r="A42" s="201" t="s">
        <v>395</v>
      </c>
      <c r="B42" s="210">
        <v>544254630810</v>
      </c>
      <c r="C42" s="200">
        <v>35867348</v>
      </c>
      <c r="D42" s="208"/>
      <c r="E42" s="200" t="s">
        <v>399</v>
      </c>
    </row>
    <row r="43" spans="1:5" ht="15.75" hidden="1" thickBot="1" x14ac:dyDescent="0.3">
      <c r="A43" s="201" t="s">
        <v>395</v>
      </c>
      <c r="B43" s="210">
        <v>544254630808</v>
      </c>
      <c r="C43" s="200">
        <v>35867345</v>
      </c>
      <c r="D43" s="208"/>
      <c r="E43" s="200" t="s">
        <v>399</v>
      </c>
    </row>
    <row r="44" spans="1:5" ht="15.75" hidden="1" thickBot="1" x14ac:dyDescent="0.3">
      <c r="A44" s="203" t="s">
        <v>400</v>
      </c>
      <c r="B44" s="207">
        <v>544254630617</v>
      </c>
      <c r="C44" s="200">
        <v>35793325</v>
      </c>
      <c r="D44" s="208"/>
      <c r="E44" s="200" t="s">
        <v>399</v>
      </c>
    </row>
    <row r="45" spans="1:5" ht="15.75" hidden="1" thickBot="1" x14ac:dyDescent="0.3">
      <c r="A45" s="203" t="s">
        <v>400</v>
      </c>
      <c r="B45" s="207">
        <v>544254630629</v>
      </c>
      <c r="C45" s="200">
        <v>35793326</v>
      </c>
      <c r="D45" s="208"/>
      <c r="E45" s="200" t="s">
        <v>399</v>
      </c>
    </row>
    <row r="46" spans="1:5" ht="15.75" hidden="1" thickBot="1" x14ac:dyDescent="0.3">
      <c r="A46" s="203" t="s">
        <v>400</v>
      </c>
      <c r="B46" s="207">
        <v>544254630614</v>
      </c>
      <c r="C46" s="200">
        <v>35779408</v>
      </c>
      <c r="D46" s="208"/>
      <c r="E46" s="200" t="s">
        <v>399</v>
      </c>
    </row>
    <row r="47" spans="1:5" ht="15.75" hidden="1" thickBot="1" x14ac:dyDescent="0.3">
      <c r="A47" s="203" t="s">
        <v>400</v>
      </c>
      <c r="B47" s="207">
        <v>544254630746</v>
      </c>
      <c r="C47" s="200">
        <v>35793323</v>
      </c>
      <c r="D47" s="208"/>
      <c r="E47" s="200" t="s">
        <v>399</v>
      </c>
    </row>
    <row r="48" spans="1:5" ht="15.75" hidden="1" thickBot="1" x14ac:dyDescent="0.3">
      <c r="A48" s="204" t="s">
        <v>400</v>
      </c>
      <c r="B48" s="207">
        <v>544254620166</v>
      </c>
      <c r="C48" s="200">
        <v>35162481</v>
      </c>
      <c r="D48" s="208"/>
      <c r="E48" s="200" t="s">
        <v>399</v>
      </c>
    </row>
    <row r="49" spans="1:5" ht="15.75" hidden="1" thickBot="1" x14ac:dyDescent="0.3">
      <c r="A49" s="204" t="s">
        <v>400</v>
      </c>
      <c r="B49" s="207">
        <v>544254620164</v>
      </c>
      <c r="C49" s="200">
        <v>35162483</v>
      </c>
      <c r="D49" s="208"/>
      <c r="E49" s="200" t="s">
        <v>399</v>
      </c>
    </row>
    <row r="50" spans="1:5" ht="15.75" hidden="1" thickBot="1" x14ac:dyDescent="0.3">
      <c r="A50" s="204" t="s">
        <v>400</v>
      </c>
      <c r="B50" s="207">
        <v>544254620165</v>
      </c>
      <c r="C50" s="200">
        <v>35162484</v>
      </c>
      <c r="D50" s="208"/>
      <c r="E50" s="200" t="s">
        <v>399</v>
      </c>
    </row>
    <row r="51" spans="1:5" ht="15.75" hidden="1" thickBot="1" x14ac:dyDescent="0.3">
      <c r="A51" s="204" t="s">
        <v>400</v>
      </c>
      <c r="B51" s="207">
        <v>544254620398</v>
      </c>
      <c r="C51" s="200">
        <v>35442531</v>
      </c>
      <c r="D51" s="208"/>
      <c r="E51" s="200" t="s">
        <v>399</v>
      </c>
    </row>
    <row r="52" spans="1:5" ht="15.75" hidden="1" thickBot="1" x14ac:dyDescent="0.3">
      <c r="A52" s="204" t="s">
        <v>400</v>
      </c>
      <c r="B52" s="207">
        <v>544254630257</v>
      </c>
      <c r="C52" s="200">
        <v>35732344</v>
      </c>
      <c r="D52" s="208"/>
      <c r="E52" s="200" t="s">
        <v>399</v>
      </c>
    </row>
    <row r="53" spans="1:5" ht="15.75" hidden="1" thickBot="1" x14ac:dyDescent="0.3">
      <c r="A53" s="204" t="s">
        <v>400</v>
      </c>
      <c r="B53" s="207">
        <v>544254630245</v>
      </c>
      <c r="C53" s="200">
        <v>35704740</v>
      </c>
      <c r="D53" s="208"/>
      <c r="E53" s="200" t="s">
        <v>399</v>
      </c>
    </row>
    <row r="54" spans="1:5" ht="15.75" hidden="1" thickBot="1" x14ac:dyDescent="0.3">
      <c r="A54" s="204" t="s">
        <v>401</v>
      </c>
      <c r="B54" s="207">
        <v>544254620381</v>
      </c>
      <c r="C54" s="200">
        <v>35333335</v>
      </c>
      <c r="D54" s="208"/>
      <c r="E54" s="200" t="s">
        <v>399</v>
      </c>
    </row>
    <row r="55" spans="1:5" ht="30.75" hidden="1" thickBot="1" x14ac:dyDescent="0.3">
      <c r="A55" s="204" t="s">
        <v>402</v>
      </c>
      <c r="B55" s="207">
        <v>544254610379</v>
      </c>
      <c r="C55" s="200">
        <v>35162450</v>
      </c>
      <c r="D55" s="208"/>
      <c r="E55" s="200" t="s">
        <v>399</v>
      </c>
    </row>
    <row r="56" spans="1:5" ht="15.75" hidden="1" thickBot="1" x14ac:dyDescent="0.3">
      <c r="A56" s="204" t="s">
        <v>403</v>
      </c>
      <c r="B56" s="207">
        <v>544254620155</v>
      </c>
      <c r="C56" s="200">
        <v>35162416</v>
      </c>
      <c r="D56" s="208"/>
      <c r="E56" s="200" t="s">
        <v>399</v>
      </c>
    </row>
    <row r="57" spans="1:5" ht="15.75" hidden="1" thickBot="1" x14ac:dyDescent="0.3">
      <c r="A57" s="204" t="s">
        <v>403</v>
      </c>
      <c r="B57" s="207">
        <v>544254620156</v>
      </c>
      <c r="C57" s="200">
        <v>35162480</v>
      </c>
      <c r="D57" s="208"/>
      <c r="E57" s="200" t="s">
        <v>399</v>
      </c>
    </row>
    <row r="58" spans="1:5" ht="15.75" hidden="1" thickBot="1" x14ac:dyDescent="0.3">
      <c r="A58" s="203" t="s">
        <v>404</v>
      </c>
      <c r="B58" s="207">
        <v>544215610325</v>
      </c>
      <c r="C58" s="200">
        <v>35758302</v>
      </c>
      <c r="D58" s="208"/>
      <c r="E58" s="200" t="s">
        <v>399</v>
      </c>
    </row>
    <row r="59" spans="1:5" ht="15.75" hidden="1" thickBot="1" x14ac:dyDescent="0.3">
      <c r="A59" s="203" t="s">
        <v>405</v>
      </c>
      <c r="B59" s="207">
        <v>544215610324</v>
      </c>
      <c r="C59" s="200">
        <v>35758301</v>
      </c>
      <c r="D59" s="208"/>
      <c r="E59" s="200" t="s">
        <v>399</v>
      </c>
    </row>
    <row r="60" spans="1:5" ht="30.75" hidden="1" thickBot="1" x14ac:dyDescent="0.3">
      <c r="A60" s="204" t="s">
        <v>404</v>
      </c>
      <c r="B60" s="207">
        <v>544215610105</v>
      </c>
      <c r="C60" s="200">
        <v>35162487</v>
      </c>
      <c r="D60" s="208"/>
      <c r="E60" s="200" t="s">
        <v>399</v>
      </c>
    </row>
    <row r="61" spans="1:5" ht="30.75" hidden="1" thickBot="1" x14ac:dyDescent="0.3">
      <c r="A61" s="204" t="s">
        <v>405</v>
      </c>
      <c r="B61" s="207">
        <v>544215610134</v>
      </c>
      <c r="C61" s="200">
        <v>35624117</v>
      </c>
      <c r="D61" s="208"/>
      <c r="E61" s="200" t="s">
        <v>399</v>
      </c>
    </row>
    <row r="62" spans="1:5" ht="30.75" hidden="1" thickBot="1" x14ac:dyDescent="0.3">
      <c r="A62" s="204" t="s">
        <v>404</v>
      </c>
      <c r="B62" s="207">
        <v>544215610221</v>
      </c>
      <c r="C62" s="200">
        <v>35703671</v>
      </c>
      <c r="D62" s="208"/>
      <c r="E62" s="200" t="s">
        <v>399</v>
      </c>
    </row>
    <row r="63" spans="1:5" ht="30.75" hidden="1" thickBot="1" x14ac:dyDescent="0.3">
      <c r="A63" s="204" t="s">
        <v>405</v>
      </c>
      <c r="B63" s="207">
        <v>544215610186</v>
      </c>
      <c r="C63" s="200">
        <v>35703672</v>
      </c>
      <c r="D63" s="208"/>
      <c r="E63" s="200" t="s">
        <v>399</v>
      </c>
    </row>
    <row r="64" spans="1:5" ht="30.75" hidden="1" thickBot="1" x14ac:dyDescent="0.3">
      <c r="A64" s="204" t="s">
        <v>405</v>
      </c>
      <c r="B64" s="207">
        <v>544215610103</v>
      </c>
      <c r="C64" s="200">
        <v>35162490</v>
      </c>
      <c r="D64" s="208"/>
      <c r="E64" s="200" t="s">
        <v>399</v>
      </c>
    </row>
    <row r="65" spans="1:5" ht="30.75" hidden="1" thickBot="1" x14ac:dyDescent="0.3">
      <c r="A65" s="204" t="s">
        <v>406</v>
      </c>
      <c r="B65" s="207">
        <v>544215610112</v>
      </c>
      <c r="C65" s="200">
        <v>35162494</v>
      </c>
      <c r="D65" s="208"/>
      <c r="E65" s="200" t="s">
        <v>399</v>
      </c>
    </row>
    <row r="66" spans="1:5" ht="30.75" hidden="1" thickBot="1" x14ac:dyDescent="0.3">
      <c r="A66" s="204" t="s">
        <v>406</v>
      </c>
      <c r="B66" s="207">
        <v>544215610139</v>
      </c>
      <c r="C66" s="200">
        <v>35676488</v>
      </c>
      <c r="D66" s="208"/>
      <c r="E66" s="200" t="s">
        <v>399</v>
      </c>
    </row>
    <row r="67" spans="1:5" x14ac:dyDescent="0.25">
      <c r="A67" s="205"/>
    </row>
    <row r="68" spans="1:5" ht="15.75" x14ac:dyDescent="0.25">
      <c r="A68" s="206"/>
    </row>
  </sheetData>
  <autoFilter ref="A1:E66" xr:uid="{00000000-0009-0000-0000-000004000000}">
    <filterColumn colId="4">
      <filters>
        <filter val="SBR implemented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W180"/>
  <sheetViews>
    <sheetView zoomScale="70" zoomScaleNormal="70" workbookViewId="0">
      <pane xSplit="6" ySplit="4" topLeftCell="G150" activePane="bottomRight" state="frozen"/>
      <selection activeCell="D1" sqref="D1"/>
      <selection pane="topRight" activeCell="G1" sqref="G1"/>
      <selection pane="bottomLeft" activeCell="D5" sqref="D5"/>
      <selection pane="bottomRight" activeCell="J161" sqref="J161"/>
    </sheetView>
  </sheetViews>
  <sheetFormatPr defaultColWidth="9.140625" defaultRowHeight="18.75" x14ac:dyDescent="0.3"/>
  <cols>
    <col min="1" max="1" width="25.28515625" style="17" hidden="1" customWidth="1"/>
    <col min="2" max="2" width="17.42578125" style="17" hidden="1" customWidth="1"/>
    <col min="3" max="3" width="24" style="17" hidden="1" customWidth="1"/>
    <col min="4" max="4" width="23.5703125" style="698" bestFit="1" customWidth="1"/>
    <col min="5" max="5" width="17.140625" style="15" customWidth="1"/>
    <col min="6" max="6" width="34.7109375" style="17" customWidth="1"/>
    <col min="7" max="7" width="12.7109375" style="156" customWidth="1"/>
    <col min="8" max="8" width="14.42578125" style="156" customWidth="1"/>
    <col min="9" max="9" width="8" style="156" customWidth="1"/>
    <col min="10" max="10" width="9.28515625" style="156" customWidth="1"/>
    <col min="11" max="11" width="10" style="156" customWidth="1"/>
    <col min="12" max="12" width="10.140625" style="156" hidden="1" customWidth="1"/>
    <col min="13" max="13" width="10.28515625" style="156" customWidth="1"/>
    <col min="14" max="15" width="10.28515625" style="157" hidden="1" customWidth="1"/>
    <col min="16" max="16" width="11.140625" style="157" hidden="1" customWidth="1"/>
    <col min="17" max="17" width="10.28515625" style="156" hidden="1" customWidth="1"/>
    <col min="18" max="18" width="11" style="156" hidden="1" customWidth="1"/>
    <col min="19" max="19" width="9.85546875" style="156" customWidth="1"/>
    <col min="20" max="20" width="10.28515625" style="156" customWidth="1"/>
    <col min="21" max="21" width="12.28515625" style="156" customWidth="1"/>
    <col min="22" max="22" width="11.85546875" style="156" customWidth="1"/>
    <col min="23" max="24" width="12" style="156" customWidth="1"/>
    <col min="25" max="25" width="13" style="15" customWidth="1"/>
    <col min="26" max="26" width="16.140625" style="455" hidden="1" customWidth="1"/>
    <col min="27" max="29" width="11.7109375" style="17" hidden="1" customWidth="1"/>
    <col min="30" max="30" width="12.5703125" style="54" hidden="1" customWidth="1"/>
    <col min="31" max="31" width="15.85546875" style="17" hidden="1" customWidth="1"/>
    <col min="32" max="32" width="18.5703125" style="156" hidden="1" customWidth="1"/>
    <col min="33" max="33" width="9" style="156" hidden="1" customWidth="1"/>
    <col min="34" max="39" width="9.140625" style="156"/>
    <col min="40" max="40" width="9.140625" style="17" hidden="1" customWidth="1"/>
    <col min="41" max="44" width="9.140625" style="156"/>
    <col min="45" max="45" width="0" style="156" hidden="1" customWidth="1"/>
    <col min="46" max="46" width="11.140625" style="156" hidden="1" customWidth="1"/>
    <col min="47" max="47" width="0" style="156" hidden="1" customWidth="1"/>
    <col min="48" max="16384" width="9.140625" style="156"/>
  </cols>
  <sheetData>
    <row r="1" spans="1:47" s="17" customFormat="1" ht="18.600000000000001" hidden="1" customHeight="1" x14ac:dyDescent="0.3">
      <c r="A1" s="14" t="s">
        <v>0</v>
      </c>
      <c r="B1" s="14"/>
      <c r="C1" s="14" t="str">
        <f>'3 D P'!P1</f>
        <v>Date</v>
      </c>
      <c r="D1" s="697"/>
      <c r="E1" s="15"/>
      <c r="F1" s="16"/>
      <c r="G1" s="16"/>
      <c r="N1" s="15"/>
      <c r="O1" s="15"/>
      <c r="P1" s="15"/>
      <c r="Y1" s="15"/>
      <c r="Z1" s="455"/>
      <c r="AD1" s="54"/>
    </row>
    <row r="2" spans="1:47" ht="19.5" thickBot="1" x14ac:dyDescent="0.35">
      <c r="A2" s="14"/>
      <c r="B2" s="14"/>
      <c r="M2" s="247">
        <f>SUM(M179)</f>
        <v>780</v>
      </c>
      <c r="Q2" s="157"/>
      <c r="S2" s="367">
        <f>SUM(S179)</f>
        <v>0</v>
      </c>
      <c r="T2" s="367">
        <f>SUM(T179)</f>
        <v>0</v>
      </c>
      <c r="X2" s="367">
        <f>SUM(X139+X145+X179)</f>
        <v>565</v>
      </c>
      <c r="AE2" s="41" t="s">
        <v>157</v>
      </c>
      <c r="AH2" s="62">
        <f>SUMIF(FLOAT!$D:$D,'Fresh VIN PPC'!$E$5:$E$239,FLOAT!$G:$G)</f>
        <v>0</v>
      </c>
      <c r="AI2" s="62">
        <f>SUMIF(FLOAT!$D:$D,'Fresh VIN PPC'!$E$5:$E$239,FLOAT!$H:$H)</f>
        <v>0</v>
      </c>
      <c r="AJ2" s="62">
        <f>SUMIF(FLOAT!$D:$D,'Fresh VIN PPC'!$E$5:$E$239,FLOAT!$I:$I)</f>
        <v>0</v>
      </c>
      <c r="AK2" s="62">
        <f>SUMIF(FLOAT!$D:$D,'Fresh VIN PPC'!$E$5:$E$239,FLOAT!$J:$J)</f>
        <v>0</v>
      </c>
      <c r="AL2" s="62">
        <f>SUMIF(FLOAT!$D:$D,'Fresh VIN PPC'!$E$5:$E$239,FLOAT!$K:$K)</f>
        <v>0</v>
      </c>
      <c r="AM2" s="62">
        <f>SUMIF(FLOAT!$D:$D,'Fresh VIN PPC'!$E$5:$E$239,FLOAT!$L:$L)</f>
        <v>0</v>
      </c>
      <c r="AN2" s="62">
        <f>SUMIF(FLOAT!$D:$D,'Fresh VIN PPC'!$E$5:$E$239,FLOAT!$M:$M)</f>
        <v>0</v>
      </c>
      <c r="AO2" s="62">
        <f>SUMIF(FLOAT!$D:$D,'Fresh VIN PPC'!$E$5:$E$239,FLOAT!$N:$N)</f>
        <v>0</v>
      </c>
      <c r="AP2" s="62">
        <f>SUMIF(FLOAT!$D:$D,'Fresh VIN PPC'!$E$5:$E$239,FLOAT!$O:$O)</f>
        <v>0</v>
      </c>
      <c r="AQ2" s="62">
        <f>SUMIF(FLOAT!$D:$D,'Fresh VIN PPC'!$E$5:$E$239,FLOAT!$P:$P)</f>
        <v>0</v>
      </c>
    </row>
    <row r="3" spans="1:47" ht="5.25" hidden="1" customHeight="1" thickBot="1" x14ac:dyDescent="0.35">
      <c r="M3" s="158"/>
      <c r="X3" s="159">
        <f>SUM(X139,AA145)</f>
        <v>0</v>
      </c>
      <c r="AE3" s="16"/>
    </row>
    <row r="4" spans="1:47" ht="82.5" hidden="1" customHeight="1" thickBot="1" x14ac:dyDescent="0.35">
      <c r="A4" s="1" t="s">
        <v>1</v>
      </c>
      <c r="B4" s="13" t="s">
        <v>115</v>
      </c>
      <c r="C4" s="133" t="s">
        <v>156</v>
      </c>
      <c r="D4" s="482" t="s">
        <v>1</v>
      </c>
      <c r="E4" s="483" t="s">
        <v>3</v>
      </c>
      <c r="F4" s="482" t="s">
        <v>4</v>
      </c>
      <c r="G4" s="483" t="s">
        <v>5</v>
      </c>
      <c r="H4" s="528" t="s">
        <v>117</v>
      </c>
      <c r="I4" s="483" t="s">
        <v>67</v>
      </c>
      <c r="J4" s="483" t="s">
        <v>7</v>
      </c>
      <c r="K4" s="483" t="s">
        <v>8</v>
      </c>
      <c r="L4" s="483" t="s">
        <v>135</v>
      </c>
      <c r="M4" s="483" t="s">
        <v>9</v>
      </c>
      <c r="N4" s="484">
        <f ca="1">TODAY()</f>
        <v>46221</v>
      </c>
      <c r="O4" s="484">
        <f ca="1">TODAY()+1</f>
        <v>46222</v>
      </c>
      <c r="P4" s="484">
        <f ca="1">TODAY()+2</f>
        <v>46223</v>
      </c>
      <c r="Q4" s="483" t="s">
        <v>69</v>
      </c>
      <c r="R4" s="483" t="s">
        <v>8</v>
      </c>
      <c r="S4" s="640" t="s">
        <v>121</v>
      </c>
      <c r="T4" s="640" t="s">
        <v>122</v>
      </c>
      <c r="U4" s="641" t="s">
        <v>146</v>
      </c>
      <c r="V4" s="723" t="s">
        <v>148</v>
      </c>
      <c r="W4" s="641" t="s">
        <v>147</v>
      </c>
      <c r="X4" s="569" t="s">
        <v>144</v>
      </c>
      <c r="Y4" s="441" t="s">
        <v>608</v>
      </c>
      <c r="Z4" s="464" t="s">
        <v>702</v>
      </c>
      <c r="AA4" s="725" t="s">
        <v>755</v>
      </c>
      <c r="AB4" s="615"/>
      <c r="AC4" s="615"/>
      <c r="AE4" s="117"/>
      <c r="AF4" s="161"/>
      <c r="AG4" s="211"/>
      <c r="AH4" s="639" t="s">
        <v>171</v>
      </c>
      <c r="AI4" s="638" t="s">
        <v>172</v>
      </c>
      <c r="AJ4" s="638" t="s">
        <v>173</v>
      </c>
      <c r="AK4" s="638" t="s">
        <v>174</v>
      </c>
      <c r="AL4" s="638" t="s">
        <v>175</v>
      </c>
      <c r="AM4" s="638" t="s">
        <v>176</v>
      </c>
      <c r="AN4" s="638" t="s">
        <v>177</v>
      </c>
      <c r="AO4" s="638" t="s">
        <v>178</v>
      </c>
      <c r="AP4" s="638" t="s">
        <v>179</v>
      </c>
      <c r="AQ4" s="638" t="s">
        <v>180</v>
      </c>
      <c r="AR4" s="162" t="s">
        <v>162</v>
      </c>
      <c r="AS4" s="54" t="s">
        <v>408</v>
      </c>
      <c r="AT4" s="54" t="s">
        <v>409</v>
      </c>
    </row>
    <row r="5" spans="1:47" s="17" customFormat="1" ht="21.75" hidden="1" thickBot="1" x14ac:dyDescent="0.35">
      <c r="A5" s="20"/>
      <c r="B5" s="21">
        <v>544254630181</v>
      </c>
      <c r="C5" s="99">
        <v>544254630390</v>
      </c>
      <c r="D5" s="699">
        <v>544254630390</v>
      </c>
      <c r="E5" s="672" t="s">
        <v>10</v>
      </c>
      <c r="F5" s="642" t="s">
        <v>11</v>
      </c>
      <c r="G5" s="71">
        <f>IFERROR(VLOOKUP(E5:E5,[1]Sheet4!$O:$P,2,0),0)</f>
        <v>0</v>
      </c>
      <c r="H5" s="130">
        <f>G5</f>
        <v>0</v>
      </c>
      <c r="I5" s="134">
        <v>22</v>
      </c>
      <c r="J5" s="126">
        <f>Q5</f>
        <v>0</v>
      </c>
      <c r="K5" s="128">
        <f>R5</f>
        <v>0</v>
      </c>
      <c r="L5" s="128">
        <f>H5-K5</f>
        <v>0</v>
      </c>
      <c r="M5" s="131">
        <f>I5+J5-K5</f>
        <v>22</v>
      </c>
      <c r="N5" s="30">
        <f>SUMIF('3 D P'!$D:$D,Cockpit!$E$5:$E$146,'3 D P'!L:L)</f>
        <v>0</v>
      </c>
      <c r="O5" s="30">
        <f>SUMIF('3 D P'!$D:$D,Cockpit!$E$5:$E$146,'3 D P'!M:M)</f>
        <v>0</v>
      </c>
      <c r="P5" s="30">
        <f>SUMIF('3 D P'!$D:$D,Cockpit!$E$5:$E$146,'3 D P'!N:N)</f>
        <v>0</v>
      </c>
      <c r="Q5" s="132">
        <f>IFERROR(VLOOKUP($D5,'Aptiv Dispatch'!$A:$B,2,FALSE),0)</f>
        <v>0</v>
      </c>
      <c r="R5" s="34">
        <f>SUMIF('Consumption MTD'!B:B,Cockpit!$E$5:$E$146,'Consumption MTD'!C:C)</f>
        <v>0</v>
      </c>
      <c r="S5" s="34">
        <f>SUMIF('BIW Lifting A Shift'!$B:$B,Cockpit!$E$5:$E$146,'BIW Lifting A Shift'!C:C)</f>
        <v>0</v>
      </c>
      <c r="T5" s="34">
        <f>SUMIF('BIW Lifting B Shift'!$B:$B,Cockpit!$E$5:$E$146,'BIW Lifting B Shift'!C:C)</f>
        <v>0</v>
      </c>
      <c r="U5" s="73">
        <f>M5-X5</f>
        <v>22</v>
      </c>
      <c r="V5" s="73">
        <f>M5-S5-X5</f>
        <v>22</v>
      </c>
      <c r="W5" s="566">
        <f>V5-T5</f>
        <v>22</v>
      </c>
      <c r="X5" s="570">
        <f>SUMIF(FLOAT!$D:$D,Cockpit!$E$5:$E$146,FLOAT!F:F)</f>
        <v>0</v>
      </c>
      <c r="Y5" s="15">
        <v>22</v>
      </c>
      <c r="Z5" s="455">
        <v>0</v>
      </c>
      <c r="AA5" s="49"/>
      <c r="AB5" s="15"/>
      <c r="AC5" s="15"/>
      <c r="AD5" s="54"/>
      <c r="AE5" s="118">
        <v>19</v>
      </c>
      <c r="AF5" s="49"/>
      <c r="AH5" s="62">
        <f>SUMIF(FLOAT!$D:$D,Cockpit!$E5:$E146,FLOAT!G:G)</f>
        <v>0</v>
      </c>
      <c r="AI5" s="62">
        <f>SUMIF(FLOAT!$D:$D,Cockpit!$E5:$E146,FLOAT!H:H)</f>
        <v>0</v>
      </c>
      <c r="AJ5" s="62">
        <f>SUMIF(FLOAT!$D:$D,Cockpit!$E5:$E146,FLOAT!I:I)</f>
        <v>0</v>
      </c>
      <c r="AK5" s="62">
        <f>SUMIF(FLOAT!$D:$D,Cockpit!$E5:$E146,FLOAT!J:J)</f>
        <v>0</v>
      </c>
      <c r="AL5" s="62">
        <f>SUMIF(FLOAT!$D:$D,Cockpit!$E5:$E146,FLOAT!K:K)</f>
        <v>0</v>
      </c>
      <c r="AM5" s="62">
        <f>SUMIF(FLOAT!$D:$D,Cockpit!$E5:$E146,FLOAT!L:L)</f>
        <v>0</v>
      </c>
      <c r="AN5" s="62">
        <f>SUMIF(FLOAT!$D:$D,Cockpit!$E5:$E146,FLOAT!M:M)</f>
        <v>0</v>
      </c>
      <c r="AO5" s="62">
        <f>SUMIF(FLOAT!$D:$D,Cockpit!$E5:$E146,FLOAT!N:N)</f>
        <v>0</v>
      </c>
      <c r="AP5" s="62">
        <f>SUMIF(FLOAT!$D:$D,Cockpit!$E5:$E146,FLOAT!O:O)</f>
        <v>0</v>
      </c>
      <c r="AQ5" s="62">
        <f>SUMIF(FLOAT!$D:$D,Cockpit!$E5:$E146,FLOAT!P:P)</f>
        <v>0</v>
      </c>
      <c r="AR5" s="60">
        <f>AH5+AI5+AJ5+AK5+AL5+AM5+AO5+AP5+AQ5</f>
        <v>0</v>
      </c>
      <c r="AS5" s="15" t="e">
        <v>#N/A</v>
      </c>
      <c r="AT5" s="17" t="e">
        <v>#N/A</v>
      </c>
      <c r="AU5" s="17" t="e">
        <f>AF5=AS5</f>
        <v>#N/A</v>
      </c>
    </row>
    <row r="6" spans="1:47" ht="19.5" hidden="1" thickBot="1" x14ac:dyDescent="0.35">
      <c r="A6" s="20"/>
      <c r="B6" s="21"/>
      <c r="C6" s="100">
        <v>544254600375</v>
      </c>
      <c r="D6" s="700">
        <v>544254600108</v>
      </c>
      <c r="E6" s="673" t="s">
        <v>123</v>
      </c>
      <c r="F6" s="643" t="s">
        <v>124</v>
      </c>
      <c r="G6" s="71">
        <f>IFERROR(VLOOKUP(E6:E6,[1]Sheet4!$O:$P,2,0),0)</f>
        <v>0</v>
      </c>
      <c r="H6" s="160">
        <f>G6</f>
        <v>0</v>
      </c>
      <c r="I6" s="164">
        <v>0</v>
      </c>
      <c r="J6" s="163">
        <f>Q6</f>
        <v>0</v>
      </c>
      <c r="K6" s="164">
        <f>R6</f>
        <v>0</v>
      </c>
      <c r="L6" s="165">
        <f>H6-K6</f>
        <v>0</v>
      </c>
      <c r="M6" s="637">
        <f>I6+J6-K6</f>
        <v>0</v>
      </c>
      <c r="N6" s="30">
        <f>SUMIF('3 D P'!$D:$D,Cockpit!$E$5:$E$146,'3 D P'!L:L)</f>
        <v>0</v>
      </c>
      <c r="O6" s="30">
        <f>SUMIF('3 D P'!$D:$D,Cockpit!$E$5:$E$146,'3 D P'!M:M)</f>
        <v>0</v>
      </c>
      <c r="P6" s="30">
        <f>SUMIF('3 D P'!$D:$D,Cockpit!$E$5:$E$146,'3 D P'!N:N)</f>
        <v>0</v>
      </c>
      <c r="Q6" s="132">
        <f>IFERROR(VLOOKUP($D6,'Aptiv Dispatch'!$A:$B,2,FALSE),0)</f>
        <v>0</v>
      </c>
      <c r="R6" s="34">
        <f>SUMIF('Consumption MTD'!B:B,Cockpit!$E$5:$E$146,'Consumption MTD'!C:C)</f>
        <v>0</v>
      </c>
      <c r="S6" s="34">
        <f>SUMIF('BIW Lifting A Shift'!$B:$B,Cockpit!$E$5:$E$146,'BIW Lifting A Shift'!C:C)</f>
        <v>0</v>
      </c>
      <c r="T6" s="34">
        <f>SUMIF('BIW Lifting B Shift'!$B:$B,Cockpit!$E$5:$E$146,'BIW Lifting B Shift'!C:C)</f>
        <v>0</v>
      </c>
      <c r="U6" s="160">
        <f>M6-X6</f>
        <v>0</v>
      </c>
      <c r="V6" s="160">
        <f>M6-S6-X6</f>
        <v>0</v>
      </c>
      <c r="W6" s="567">
        <f>V6-T6</f>
        <v>0</v>
      </c>
      <c r="X6" s="555">
        <f>SUMIF(FLOAT!$D:$D,Cockpit!$E$5:$E$146,FLOAT!F:F)</f>
        <v>0</v>
      </c>
      <c r="Y6" s="15">
        <v>0</v>
      </c>
      <c r="Z6" s="455">
        <v>0</v>
      </c>
      <c r="AA6" s="49"/>
      <c r="AB6" s="15"/>
      <c r="AC6" s="15"/>
      <c r="AE6" s="118">
        <v>13</v>
      </c>
      <c r="AF6" s="49"/>
      <c r="AG6" s="17"/>
      <c r="AH6" s="62">
        <f>SUMIF(FLOAT!$D:$D,Cockpit!$E6:$E150,FLOAT!G:G)</f>
        <v>0</v>
      </c>
      <c r="AI6" s="62">
        <f>SUMIF(FLOAT!$D:$D,Cockpit!$E6:$E150,FLOAT!H:H)</f>
        <v>0</v>
      </c>
      <c r="AJ6" s="62">
        <f>SUMIF(FLOAT!$D:$D,Cockpit!$E6:$E150,FLOAT!I:I)</f>
        <v>0</v>
      </c>
      <c r="AK6" s="62">
        <f>SUMIF(FLOAT!$D:$D,Cockpit!$E6:$E150,FLOAT!J:J)</f>
        <v>0</v>
      </c>
      <c r="AL6" s="62">
        <f>SUMIF(FLOAT!$D:$D,Cockpit!$E6:$E150,FLOAT!K:K)</f>
        <v>0</v>
      </c>
      <c r="AM6" s="62">
        <f>SUMIF(FLOAT!$D:$D,Cockpit!$E6:$E150,FLOAT!L:L)</f>
        <v>0</v>
      </c>
      <c r="AN6" s="62">
        <f>SUMIF(FLOAT!$D:$D,Cockpit!$E6:$E150,FLOAT!M:M)</f>
        <v>0</v>
      </c>
      <c r="AO6" s="62">
        <f>SUMIF(FLOAT!$D:$D,Cockpit!$E6:$E150,FLOAT!N:N)</f>
        <v>0</v>
      </c>
      <c r="AP6" s="62">
        <f>SUMIF(FLOAT!$D:$D,Cockpit!$E6:$E150,FLOAT!O:O)</f>
        <v>0</v>
      </c>
      <c r="AQ6" s="62">
        <f>SUMIF(FLOAT!$D:$D,Cockpit!$E6:$E150,FLOAT!P:P)</f>
        <v>0</v>
      </c>
      <c r="AR6" s="170">
        <f t="shared" ref="AR6:AR69" si="0">AH6+AI6+AJ6+AK6+AL6+AM6+AO6+AP6+AQ6</f>
        <v>0</v>
      </c>
      <c r="AS6" s="15">
        <v>6</v>
      </c>
      <c r="AT6" s="17" t="s">
        <v>410</v>
      </c>
      <c r="AU6" s="17" t="b">
        <f t="shared" ref="AU6:AU69" si="1">AF6=AS6</f>
        <v>0</v>
      </c>
    </row>
    <row r="7" spans="1:47" s="17" customFormat="1" ht="19.5" hidden="1" thickBot="1" x14ac:dyDescent="0.35">
      <c r="A7" s="2">
        <v>544254620249</v>
      </c>
      <c r="B7" s="97">
        <v>544254630159</v>
      </c>
      <c r="C7" s="878">
        <v>544254630392</v>
      </c>
      <c r="D7" s="872">
        <v>544254630392</v>
      </c>
      <c r="E7" s="20" t="s">
        <v>12</v>
      </c>
      <c r="F7" s="644" t="s">
        <v>13</v>
      </c>
      <c r="G7" s="71">
        <f>IFERROR(VLOOKUP(E7:E7,[1]Sheet4!$O:$P,2,0),0)</f>
        <v>0</v>
      </c>
      <c r="H7" s="824">
        <f>SUM(G7:G8)</f>
        <v>0</v>
      </c>
      <c r="I7" s="822">
        <v>43</v>
      </c>
      <c r="J7" s="836">
        <f>Q7</f>
        <v>0</v>
      </c>
      <c r="K7" s="822">
        <f>SUM(R7:R8)</f>
        <v>0</v>
      </c>
      <c r="L7" s="822">
        <f>H7-K7</f>
        <v>0</v>
      </c>
      <c r="M7" s="816">
        <f>I7+J7-K7</f>
        <v>43</v>
      </c>
      <c r="N7" s="30">
        <f>SUMIF('3 D P'!$D:$D,Cockpit!$E$5:$E$146,'3 D P'!L:L)</f>
        <v>0</v>
      </c>
      <c r="O7" s="30">
        <f>SUMIF('3 D P'!$D:$D,Cockpit!$E$5:$E$146,'3 D P'!M:M)</f>
        <v>0</v>
      </c>
      <c r="P7" s="30">
        <f>SUMIF('3 D P'!$D:$D,Cockpit!$E$5:$E$146,'3 D P'!N:N)</f>
        <v>0</v>
      </c>
      <c r="Q7" s="132">
        <f>IFERROR(VLOOKUP($D7,'Aptiv Dispatch'!$A:$B,2,FALSE),0)</f>
        <v>0</v>
      </c>
      <c r="R7" s="34">
        <f>SUMIF('Consumption MTD'!B:B,Cockpit!$E$5:$E$146,'Consumption MTD'!C:C)</f>
        <v>0</v>
      </c>
      <c r="S7" s="34">
        <f>SUMIF('BIW Lifting A Shift'!$B:$B,Cockpit!$E$5:$E$146,'BIW Lifting A Shift'!C:C)</f>
        <v>0</v>
      </c>
      <c r="T7" s="34">
        <f>SUMIF('BIW Lifting B Shift'!$B:$B,Cockpit!$E$5:$E$146,'BIW Lifting B Shift'!C:C)</f>
        <v>0</v>
      </c>
      <c r="U7" s="818">
        <f>M7-X7-X8</f>
        <v>43</v>
      </c>
      <c r="V7" s="818">
        <f>M7-X7-X8-S7-S8</f>
        <v>43</v>
      </c>
      <c r="W7" s="820">
        <f>V7-T7-T8</f>
        <v>43</v>
      </c>
      <c r="X7" s="555">
        <f>SUMIF(FLOAT!$D:$D,Cockpit!$E$5:$E$146,FLOAT!F:F)</f>
        <v>0</v>
      </c>
      <c r="Y7" s="15">
        <v>43</v>
      </c>
      <c r="Z7" s="455">
        <v>0</v>
      </c>
      <c r="AA7" s="49"/>
      <c r="AB7" s="15"/>
      <c r="AC7" s="15"/>
      <c r="AD7" s="54"/>
      <c r="AE7" s="821">
        <v>27</v>
      </c>
      <c r="AF7" s="49"/>
      <c r="AH7" s="62">
        <f>SUMIF(FLOAT!$D:$D,Cockpit!$E7:$E151,FLOAT!G:G)</f>
        <v>0</v>
      </c>
      <c r="AI7" s="62">
        <f>SUMIF(FLOAT!$D:$D,Cockpit!$E7:$E151,FLOAT!H:H)</f>
        <v>0</v>
      </c>
      <c r="AJ7" s="62">
        <f>SUMIF(FLOAT!$D:$D,Cockpit!$E7:$E151,FLOAT!I:I)</f>
        <v>0</v>
      </c>
      <c r="AK7" s="62">
        <f>SUMIF(FLOAT!$D:$D,Cockpit!$E7:$E151,FLOAT!J:J)</f>
        <v>0</v>
      </c>
      <c r="AL7" s="62">
        <f>SUMIF(FLOAT!$D:$D,Cockpit!$E7:$E151,FLOAT!K:K)</f>
        <v>0</v>
      </c>
      <c r="AM7" s="62">
        <f>SUMIF(FLOAT!$D:$D,Cockpit!$E7:$E151,FLOAT!L:L)</f>
        <v>0</v>
      </c>
      <c r="AN7" s="62">
        <f>SUMIF(FLOAT!$D:$D,Cockpit!$E7:$E151,FLOAT!M:M)</f>
        <v>0</v>
      </c>
      <c r="AO7" s="62">
        <f>SUMIF(FLOAT!$D:$D,Cockpit!$E7:$E151,FLOAT!N:N)</f>
        <v>0</v>
      </c>
      <c r="AP7" s="62">
        <f>SUMIF(FLOAT!$D:$D,Cockpit!$E7:$E151,FLOAT!O:O)</f>
        <v>0</v>
      </c>
      <c r="AQ7" s="62">
        <f>SUMIF(FLOAT!$D:$D,Cockpit!$E7:$E151,FLOAT!P:P)</f>
        <v>0</v>
      </c>
      <c r="AR7" s="60">
        <f t="shared" si="0"/>
        <v>0</v>
      </c>
      <c r="AS7" s="15" t="e">
        <v>#N/A</v>
      </c>
      <c r="AT7" s="17" t="e">
        <v>#N/A</v>
      </c>
      <c r="AU7" s="17" t="e">
        <f t="shared" si="1"/>
        <v>#N/A</v>
      </c>
    </row>
    <row r="8" spans="1:47" s="17" customFormat="1" ht="19.5" hidden="1" thickBot="1" x14ac:dyDescent="0.35">
      <c r="A8" s="2"/>
      <c r="B8" s="21">
        <v>544254630186</v>
      </c>
      <c r="C8" s="878"/>
      <c r="D8" s="872"/>
      <c r="E8" s="20" t="s">
        <v>14</v>
      </c>
      <c r="F8" s="644" t="s">
        <v>15</v>
      </c>
      <c r="G8" s="71">
        <f>IFERROR(VLOOKUP(E8:E8,[1]Sheet4!$O:$P,2,0),0)</f>
        <v>0</v>
      </c>
      <c r="H8" s="825"/>
      <c r="I8" s="823"/>
      <c r="J8" s="837"/>
      <c r="K8" s="823"/>
      <c r="L8" s="823"/>
      <c r="M8" s="816"/>
      <c r="N8" s="30">
        <f>SUMIF('3 D P'!$D:$D,Cockpit!$E$5:$E$146,'3 D P'!L:L)</f>
        <v>0</v>
      </c>
      <c r="O8" s="30">
        <f>SUMIF('3 D P'!$D:$D,Cockpit!$E$5:$E$146,'3 D P'!M:M)</f>
        <v>0</v>
      </c>
      <c r="P8" s="30">
        <f>SUMIF('3 D P'!$D:$D,Cockpit!$E$5:$E$146,'3 D P'!N:N)</f>
        <v>0</v>
      </c>
      <c r="Q8" s="132">
        <f>IFERROR(VLOOKUP($D8,'Aptiv Dispatch'!$A:$B,2,FALSE),0)</f>
        <v>0</v>
      </c>
      <c r="R8" s="34">
        <f>SUMIF('Consumption MTD'!B:B,Cockpit!$E$5:$E$146,'Consumption MTD'!C:C)</f>
        <v>0</v>
      </c>
      <c r="S8" s="34">
        <f>SUMIF('BIW Lifting A Shift'!$B:$B,Cockpit!$E$5:$E$146,'BIW Lifting A Shift'!C:C)</f>
        <v>0</v>
      </c>
      <c r="T8" s="34">
        <f>SUMIF('BIW Lifting B Shift'!$B:$B,Cockpit!$E$5:$E$146,'BIW Lifting B Shift'!C:C)</f>
        <v>0</v>
      </c>
      <c r="U8" s="818"/>
      <c r="V8" s="818"/>
      <c r="W8" s="820"/>
      <c r="X8" s="555">
        <f>SUMIF(FLOAT!$D:$D,Cockpit!$E$5:$E$146,FLOAT!F:F)</f>
        <v>0</v>
      </c>
      <c r="Y8" s="15"/>
      <c r="Z8" s="455">
        <v>0</v>
      </c>
      <c r="AA8" s="49"/>
      <c r="AB8" s="15"/>
      <c r="AC8" s="15"/>
      <c r="AD8" s="54"/>
      <c r="AE8" s="821"/>
      <c r="AF8" s="49"/>
      <c r="AH8" s="62">
        <f>SUMIF(FLOAT!$D:$D,Cockpit!$E8:$E152,FLOAT!G:G)</f>
        <v>0</v>
      </c>
      <c r="AI8" s="62">
        <f>SUMIF(FLOAT!$D:$D,Cockpit!$E8:$E152,FLOAT!H:H)</f>
        <v>0</v>
      </c>
      <c r="AJ8" s="62">
        <f>SUMIF(FLOAT!$D:$D,Cockpit!$E8:$E152,FLOAT!I:I)</f>
        <v>0</v>
      </c>
      <c r="AK8" s="62">
        <f>SUMIF(FLOAT!$D:$D,Cockpit!$E8:$E152,FLOAT!J:J)</f>
        <v>0</v>
      </c>
      <c r="AL8" s="62">
        <f>SUMIF(FLOAT!$D:$D,Cockpit!$E8:$E152,FLOAT!K:K)</f>
        <v>0</v>
      </c>
      <c r="AM8" s="62">
        <f>SUMIF(FLOAT!$D:$D,Cockpit!$E8:$E152,FLOAT!L:L)</f>
        <v>0</v>
      </c>
      <c r="AN8" s="62">
        <f>SUMIF(FLOAT!$D:$D,Cockpit!$E8:$E152,FLOAT!M:M)</f>
        <v>0</v>
      </c>
      <c r="AO8" s="62">
        <f>SUMIF(FLOAT!$D:$D,Cockpit!$E8:$E152,FLOAT!N:N)</f>
        <v>0</v>
      </c>
      <c r="AP8" s="62">
        <f>SUMIF(FLOAT!$D:$D,Cockpit!$E8:$E152,FLOAT!O:O)</f>
        <v>0</v>
      </c>
      <c r="AQ8" s="62">
        <f>SUMIF(FLOAT!$D:$D,Cockpit!$E8:$E152,FLOAT!P:P)</f>
        <v>0</v>
      </c>
      <c r="AR8" s="60">
        <f t="shared" si="0"/>
        <v>0</v>
      </c>
      <c r="AS8" s="15" t="e">
        <v>#N/A</v>
      </c>
      <c r="AT8" s="17" t="e">
        <v>#N/A</v>
      </c>
      <c r="AU8" s="17" t="e">
        <f t="shared" si="1"/>
        <v>#N/A</v>
      </c>
    </row>
    <row r="9" spans="1:47" s="17" customFormat="1" ht="21.75" hidden="1" thickBot="1" x14ac:dyDescent="0.35">
      <c r="A9" s="2"/>
      <c r="B9" s="21"/>
      <c r="C9" s="100">
        <v>544254600376</v>
      </c>
      <c r="D9" s="700">
        <v>544254600109</v>
      </c>
      <c r="E9" s="673" t="s">
        <v>125</v>
      </c>
      <c r="F9" s="643" t="s">
        <v>126</v>
      </c>
      <c r="G9" s="71">
        <f>IFERROR(VLOOKUP(E9:E9,[1]Sheet4!$O:$P,2,0),0)</f>
        <v>0</v>
      </c>
      <c r="H9" s="45">
        <f>G9</f>
        <v>0</v>
      </c>
      <c r="I9" s="76">
        <v>0</v>
      </c>
      <c r="J9" s="75">
        <f>Q9</f>
        <v>0</v>
      </c>
      <c r="K9" s="76">
        <f>R9</f>
        <v>0</v>
      </c>
      <c r="L9" s="128">
        <f>H9-K9</f>
        <v>0</v>
      </c>
      <c r="M9" s="77">
        <f>I9+J9-K9</f>
        <v>0</v>
      </c>
      <c r="N9" s="30">
        <f>SUMIF('3 D P'!$D:$D,Cockpit!$E$5:$E$146,'3 D P'!L:L)</f>
        <v>0</v>
      </c>
      <c r="O9" s="30">
        <f>SUMIF('3 D P'!$D:$D,Cockpit!$E$5:$E$146,'3 D P'!M:M)</f>
        <v>0</v>
      </c>
      <c r="P9" s="30">
        <f>SUMIF('3 D P'!$D:$D,Cockpit!$E$5:$E$146,'3 D P'!N:N)</f>
        <v>0</v>
      </c>
      <c r="Q9" s="132">
        <f>IFERROR(VLOOKUP($D9,'Aptiv Dispatch'!$A:$B,2,FALSE),0)</f>
        <v>0</v>
      </c>
      <c r="R9" s="34">
        <f>SUMIF('Consumption MTD'!B:B,Cockpit!$E$5:$E$146,'Consumption MTD'!C:C)</f>
        <v>0</v>
      </c>
      <c r="S9" s="34">
        <f>SUMIF('BIW Lifting A Shift'!$B:$B,Cockpit!$E$5:$E$146,'BIW Lifting A Shift'!C:C)</f>
        <v>0</v>
      </c>
      <c r="T9" s="34">
        <f>SUMIF('BIW Lifting B Shift'!$B:$B,Cockpit!$E$5:$E$146,'BIW Lifting B Shift'!C:C)</f>
        <v>0</v>
      </c>
      <c r="U9" s="74">
        <f>M9-X9</f>
        <v>0</v>
      </c>
      <c r="V9" s="74">
        <f>M9-S9-X9</f>
        <v>0</v>
      </c>
      <c r="W9" s="457">
        <f>V9-T9</f>
        <v>0</v>
      </c>
      <c r="X9" s="555">
        <f>SUMIF(FLOAT!$D:$D,Cockpit!$E$5:$E$146,FLOAT!F:F)</f>
        <v>0</v>
      </c>
      <c r="Y9" s="15">
        <v>0</v>
      </c>
      <c r="Z9" s="455">
        <v>0</v>
      </c>
      <c r="AA9" s="49"/>
      <c r="AB9" s="15"/>
      <c r="AC9" s="15"/>
      <c r="AD9" s="54"/>
      <c r="AE9" s="118">
        <v>42</v>
      </c>
      <c r="AF9" s="49"/>
      <c r="AH9" s="62">
        <f>SUMIF(FLOAT!$D:$D,Cockpit!$E9:$E153,FLOAT!G:G)</f>
        <v>0</v>
      </c>
      <c r="AI9" s="62">
        <f>SUMIF(FLOAT!$D:$D,Cockpit!$E9:$E153,FLOAT!H:H)</f>
        <v>0</v>
      </c>
      <c r="AJ9" s="62">
        <f>SUMIF(FLOAT!$D:$D,Cockpit!$E9:$E153,FLOAT!I:I)</f>
        <v>0</v>
      </c>
      <c r="AK9" s="62">
        <f>SUMIF(FLOAT!$D:$D,Cockpit!$E9:$E153,FLOAT!J:J)</f>
        <v>0</v>
      </c>
      <c r="AL9" s="62">
        <f>SUMIF(FLOAT!$D:$D,Cockpit!$E9:$E153,FLOAT!K:K)</f>
        <v>0</v>
      </c>
      <c r="AM9" s="62">
        <f>SUMIF(FLOAT!$D:$D,Cockpit!$E9:$E153,FLOAT!L:L)</f>
        <v>0</v>
      </c>
      <c r="AN9" s="62">
        <f>SUMIF(FLOAT!$D:$D,Cockpit!$E9:$E153,FLOAT!M:M)</f>
        <v>0</v>
      </c>
      <c r="AO9" s="62">
        <f>SUMIF(FLOAT!$D:$D,Cockpit!$E9:$E153,FLOAT!N:N)</f>
        <v>0</v>
      </c>
      <c r="AP9" s="62">
        <f>SUMIF(FLOAT!$D:$D,Cockpit!$E9:$E153,FLOAT!O:O)</f>
        <v>0</v>
      </c>
      <c r="AQ9" s="62">
        <f>SUMIF(FLOAT!$D:$D,Cockpit!$E9:$E153,FLOAT!P:P)</f>
        <v>0</v>
      </c>
      <c r="AR9" s="60">
        <f t="shared" si="0"/>
        <v>0</v>
      </c>
      <c r="AS9" s="15">
        <v>4</v>
      </c>
      <c r="AT9" s="17" t="s">
        <v>410</v>
      </c>
      <c r="AU9" s="17" t="b">
        <f t="shared" si="1"/>
        <v>0</v>
      </c>
    </row>
    <row r="10" spans="1:47" s="17" customFormat="1" ht="21.75" hidden="1" thickBot="1" x14ac:dyDescent="0.35">
      <c r="A10" s="2"/>
      <c r="B10" s="21"/>
      <c r="C10" s="100">
        <v>544254600377</v>
      </c>
      <c r="D10" s="700">
        <v>544254600110</v>
      </c>
      <c r="E10" s="673" t="s">
        <v>127</v>
      </c>
      <c r="F10" s="643" t="s">
        <v>128</v>
      </c>
      <c r="G10" s="71">
        <f>IFERROR(VLOOKUP(E10:E10,[1]Sheet4!$O:$P,2,0),0)</f>
        <v>0</v>
      </c>
      <c r="H10" s="45">
        <f>G10</f>
        <v>0</v>
      </c>
      <c r="I10" s="76">
        <v>0</v>
      </c>
      <c r="J10" s="75">
        <f>Q10</f>
        <v>0</v>
      </c>
      <c r="K10" s="76">
        <f>R10</f>
        <v>0</v>
      </c>
      <c r="L10" s="128">
        <f>H10-K10</f>
        <v>0</v>
      </c>
      <c r="M10" s="77">
        <f>I10+J10-K10</f>
        <v>0</v>
      </c>
      <c r="N10" s="30">
        <f>SUMIF('3 D P'!$D:$D,Cockpit!$E$5:$E$146,'3 D P'!L:L)</f>
        <v>0</v>
      </c>
      <c r="O10" s="30">
        <f>SUMIF('3 D P'!$D:$D,Cockpit!$E$5:$E$146,'3 D P'!M:M)</f>
        <v>0</v>
      </c>
      <c r="P10" s="30">
        <f>SUMIF('3 D P'!$D:$D,Cockpit!$E$5:$E$146,'3 D P'!N:N)</f>
        <v>0</v>
      </c>
      <c r="Q10" s="132">
        <f>IFERROR(VLOOKUP($D10,'Aptiv Dispatch'!$A:$B,2,FALSE),0)</f>
        <v>0</v>
      </c>
      <c r="R10" s="34">
        <f>SUMIF('Consumption MTD'!B:B,Cockpit!$E$5:$E$146,'Consumption MTD'!C:C)</f>
        <v>0</v>
      </c>
      <c r="S10" s="34">
        <f>SUMIF('BIW Lifting A Shift'!$B:$B,Cockpit!$E$5:$E$146,'BIW Lifting A Shift'!C:C)</f>
        <v>0</v>
      </c>
      <c r="T10" s="34">
        <f>SUMIF('BIW Lifting B Shift'!$B:$B,Cockpit!$E$5:$E$146,'BIW Lifting B Shift'!C:C)</f>
        <v>0</v>
      </c>
      <c r="U10" s="74">
        <f>M10-X10</f>
        <v>0</v>
      </c>
      <c r="V10" s="74">
        <f>M10-S10-X10</f>
        <v>0</v>
      </c>
      <c r="W10" s="457">
        <f>V10-T10</f>
        <v>0</v>
      </c>
      <c r="X10" s="555">
        <f>SUMIF(FLOAT!$D:$D,Cockpit!$E$5:$E$146,FLOAT!F:F)</f>
        <v>0</v>
      </c>
      <c r="Y10" s="15">
        <v>0</v>
      </c>
      <c r="Z10" s="455">
        <v>0</v>
      </c>
      <c r="AA10" s="49"/>
      <c r="AB10" s="15"/>
      <c r="AC10" s="15"/>
      <c r="AD10" s="54"/>
      <c r="AE10" s="118">
        <v>10</v>
      </c>
      <c r="AF10" s="49"/>
      <c r="AH10" s="62">
        <f>SUMIF(FLOAT!$D:$D,Cockpit!$E10:$E154,FLOAT!G:G)</f>
        <v>0</v>
      </c>
      <c r="AI10" s="62">
        <f>SUMIF(FLOAT!$D:$D,Cockpit!$E10:$E154,FLOAT!H:H)</f>
        <v>0</v>
      </c>
      <c r="AJ10" s="62">
        <f>SUMIF(FLOAT!$D:$D,Cockpit!$E10:$E154,FLOAT!I:I)</f>
        <v>0</v>
      </c>
      <c r="AK10" s="62">
        <f>SUMIF(FLOAT!$D:$D,Cockpit!$E10:$E154,FLOAT!J:J)</f>
        <v>0</v>
      </c>
      <c r="AL10" s="62">
        <f>SUMIF(FLOAT!$D:$D,Cockpit!$E10:$E154,FLOAT!K:K)</f>
        <v>0</v>
      </c>
      <c r="AM10" s="62">
        <f>SUMIF(FLOAT!$D:$D,Cockpit!$E10:$E154,FLOAT!L:L)</f>
        <v>0</v>
      </c>
      <c r="AN10" s="62">
        <f>SUMIF(FLOAT!$D:$D,Cockpit!$E10:$E154,FLOAT!M:M)</f>
        <v>0</v>
      </c>
      <c r="AO10" s="62">
        <f>SUMIF(FLOAT!$D:$D,Cockpit!$E10:$E154,FLOAT!N:N)</f>
        <v>0</v>
      </c>
      <c r="AP10" s="62">
        <f>SUMIF(FLOAT!$D:$D,Cockpit!$E10:$E154,FLOAT!O:O)</f>
        <v>0</v>
      </c>
      <c r="AQ10" s="62">
        <f>SUMIF(FLOAT!$D:$D,Cockpit!$E10:$E154,FLOAT!P:P)</f>
        <v>0</v>
      </c>
      <c r="AR10" s="60">
        <f t="shared" si="0"/>
        <v>0</v>
      </c>
      <c r="AS10" s="15">
        <v>4</v>
      </c>
      <c r="AT10" s="17" t="s">
        <v>410</v>
      </c>
      <c r="AU10" s="17" t="b">
        <f t="shared" si="1"/>
        <v>0</v>
      </c>
    </row>
    <row r="11" spans="1:47" s="17" customFormat="1" ht="19.5" hidden="1" thickBot="1" x14ac:dyDescent="0.35">
      <c r="A11" s="23"/>
      <c r="B11" s="21">
        <v>544254630185</v>
      </c>
      <c r="C11" s="878">
        <v>544254630391</v>
      </c>
      <c r="D11" s="892">
        <v>544254600212</v>
      </c>
      <c r="E11" s="673" t="s">
        <v>18</v>
      </c>
      <c r="F11" s="643" t="s">
        <v>19</v>
      </c>
      <c r="G11" s="71">
        <f>IFERROR(VLOOKUP(E11:E11,[1]Sheet4!$O:$P,2,0),0)</f>
        <v>0</v>
      </c>
      <c r="H11" s="824">
        <f>SUM(G11:G12)</f>
        <v>0</v>
      </c>
      <c r="I11" s="822">
        <v>0</v>
      </c>
      <c r="J11" s="836">
        <f>Q11</f>
        <v>0</v>
      </c>
      <c r="K11" s="822">
        <f>SUM(R11:R12)</f>
        <v>0</v>
      </c>
      <c r="L11" s="822">
        <f>H11-K11</f>
        <v>0</v>
      </c>
      <c r="M11" s="816">
        <f>I11+J11-K11</f>
        <v>0</v>
      </c>
      <c r="N11" s="30">
        <f>SUMIF('3 D P'!$D:$D,Cockpit!$E$5:$E$146,'3 D P'!L:L)</f>
        <v>0</v>
      </c>
      <c r="O11" s="30">
        <f>SUMIF('3 D P'!$D:$D,Cockpit!$E$5:$E$146,'3 D P'!M:M)</f>
        <v>0</v>
      </c>
      <c r="P11" s="30">
        <f>SUMIF('3 D P'!$D:$D,Cockpit!$E$5:$E$146,'3 D P'!N:N)</f>
        <v>0</v>
      </c>
      <c r="Q11" s="132">
        <f>IFERROR(VLOOKUP($D11,'Aptiv Dispatch'!$A:$B,2,FALSE),0)</f>
        <v>0</v>
      </c>
      <c r="R11" s="34">
        <f>SUMIF('Consumption MTD'!B:B,Cockpit!$E$5:$E$146,'Consumption MTD'!C:C)</f>
        <v>0</v>
      </c>
      <c r="S11" s="34">
        <f>SUMIF('BIW Lifting A Shift'!$B:$B,Cockpit!$E$5:$E$146,'BIW Lifting A Shift'!C:C)</f>
        <v>0</v>
      </c>
      <c r="T11" s="34">
        <f>SUMIF('BIW Lifting B Shift'!$B:$B,Cockpit!$E$5:$E$146,'BIW Lifting B Shift'!C:C)</f>
        <v>0</v>
      </c>
      <c r="U11" s="818">
        <f>M11-X11-X12</f>
        <v>0</v>
      </c>
      <c r="V11" s="818">
        <f>M11-X11-X12-S11-S12</f>
        <v>0</v>
      </c>
      <c r="W11" s="820">
        <f>V11-T11-T12</f>
        <v>0</v>
      </c>
      <c r="X11" s="555">
        <f>SUMIF(FLOAT!$D:$D,Cockpit!$E$5:$E$146,FLOAT!F:F)</f>
        <v>0</v>
      </c>
      <c r="Y11" s="15">
        <v>0</v>
      </c>
      <c r="Z11" s="455">
        <v>0</v>
      </c>
      <c r="AA11" s="49"/>
      <c r="AB11" s="15"/>
      <c r="AC11" s="15"/>
      <c r="AD11" s="54"/>
      <c r="AE11" s="821">
        <v>16</v>
      </c>
      <c r="AF11" s="49"/>
      <c r="AH11" s="62">
        <f>SUMIF(FLOAT!$D:$D,Cockpit!$E11:$E155,FLOAT!G:G)</f>
        <v>0</v>
      </c>
      <c r="AI11" s="62">
        <f>SUMIF(FLOAT!$D:$D,Cockpit!$E11:$E155,FLOAT!H:H)</f>
        <v>0</v>
      </c>
      <c r="AJ11" s="62">
        <f>SUMIF(FLOAT!$D:$D,Cockpit!$E11:$E155,FLOAT!I:I)</f>
        <v>0</v>
      </c>
      <c r="AK11" s="62">
        <f>SUMIF(FLOAT!$D:$D,Cockpit!$E11:$E155,FLOAT!J:J)</f>
        <v>0</v>
      </c>
      <c r="AL11" s="62">
        <f>SUMIF(FLOAT!$D:$D,Cockpit!$E11:$E155,FLOAT!K:K)</f>
        <v>0</v>
      </c>
      <c r="AM11" s="62">
        <f>SUMIF(FLOAT!$D:$D,Cockpit!$E11:$E155,FLOAT!L:L)</f>
        <v>0</v>
      </c>
      <c r="AN11" s="62">
        <f>SUMIF(FLOAT!$D:$D,Cockpit!$E11:$E155,FLOAT!M:M)</f>
        <v>0</v>
      </c>
      <c r="AO11" s="62">
        <f>SUMIF(FLOAT!$D:$D,Cockpit!$E11:$E155,FLOAT!N:N)</f>
        <v>0</v>
      </c>
      <c r="AP11" s="62">
        <f>SUMIF(FLOAT!$D:$D,Cockpit!$E11:$E155,FLOAT!O:O)</f>
        <v>0</v>
      </c>
      <c r="AQ11" s="62">
        <f>SUMIF(FLOAT!$D:$D,Cockpit!$E11:$E155,FLOAT!P:P)</f>
        <v>0</v>
      </c>
      <c r="AR11" s="60">
        <f t="shared" si="0"/>
        <v>0</v>
      </c>
      <c r="AS11" s="15">
        <v>4</v>
      </c>
      <c r="AT11" s="17" t="s">
        <v>410</v>
      </c>
      <c r="AU11" s="17" t="b">
        <f t="shared" si="1"/>
        <v>0</v>
      </c>
    </row>
    <row r="12" spans="1:47" s="17" customFormat="1" ht="19.5" hidden="1" thickBot="1" x14ac:dyDescent="0.35">
      <c r="A12" s="23">
        <v>544254620251</v>
      </c>
      <c r="B12" s="21"/>
      <c r="C12" s="878"/>
      <c r="D12" s="893"/>
      <c r="E12" s="673" t="s">
        <v>16</v>
      </c>
      <c r="F12" s="643" t="s">
        <v>17</v>
      </c>
      <c r="G12" s="71">
        <f>IFERROR(VLOOKUP(E12:E12,[1]Sheet4!$O:$P,2,0),0)</f>
        <v>0</v>
      </c>
      <c r="H12" s="825"/>
      <c r="I12" s="823"/>
      <c r="J12" s="837"/>
      <c r="K12" s="823"/>
      <c r="L12" s="823"/>
      <c r="M12" s="816"/>
      <c r="N12" s="30">
        <f>SUMIF('3 D P'!$D:$D,Cockpit!$E$5:$E$146,'3 D P'!L:L)</f>
        <v>0</v>
      </c>
      <c r="O12" s="30">
        <f>SUMIF('3 D P'!$D:$D,Cockpit!$E$5:$E$146,'3 D P'!M:M)</f>
        <v>0</v>
      </c>
      <c r="P12" s="30">
        <f>SUMIF('3 D P'!$D:$D,Cockpit!$E$5:$E$146,'3 D P'!N:N)</f>
        <v>0</v>
      </c>
      <c r="Q12" s="132">
        <f>IFERROR(VLOOKUP($D12,'Aptiv Dispatch'!$A:$B,2,FALSE),0)</f>
        <v>0</v>
      </c>
      <c r="R12" s="34">
        <f>SUMIF('Consumption MTD'!B:B,Cockpit!$E$5:$E$146,'Consumption MTD'!C:C)</f>
        <v>0</v>
      </c>
      <c r="S12" s="34">
        <f>SUMIF('BIW Lifting A Shift'!$B:$B,Cockpit!$E$5:$E$146,'BIW Lifting A Shift'!C:C)</f>
        <v>0</v>
      </c>
      <c r="T12" s="34">
        <f>SUMIF('BIW Lifting B Shift'!$B:$B,Cockpit!$E$5:$E$146,'BIW Lifting B Shift'!C:C)</f>
        <v>0</v>
      </c>
      <c r="U12" s="818"/>
      <c r="V12" s="818"/>
      <c r="W12" s="820"/>
      <c r="X12" s="555">
        <f>SUMIF(FLOAT!$D:$D,Cockpit!$E$5:$E$146,FLOAT!F:F)</f>
        <v>0</v>
      </c>
      <c r="Y12" s="15"/>
      <c r="Z12" s="455">
        <v>0</v>
      </c>
      <c r="AA12" s="49"/>
      <c r="AB12" s="15"/>
      <c r="AC12" s="15"/>
      <c r="AD12" s="54"/>
      <c r="AE12" s="821"/>
      <c r="AF12" s="49"/>
      <c r="AH12" s="62">
        <f>SUMIF(FLOAT!$D:$D,Cockpit!$E12:$E156,FLOAT!G:G)</f>
        <v>0</v>
      </c>
      <c r="AI12" s="62">
        <f>SUMIF(FLOAT!$D:$D,Cockpit!$E12:$E156,FLOAT!H:H)</f>
        <v>0</v>
      </c>
      <c r="AJ12" s="62">
        <f>SUMIF(FLOAT!$D:$D,Cockpit!$E12:$E156,FLOAT!I:I)</f>
        <v>0</v>
      </c>
      <c r="AK12" s="62">
        <f>SUMIF(FLOAT!$D:$D,Cockpit!$E12:$E156,FLOAT!J:J)</f>
        <v>0</v>
      </c>
      <c r="AL12" s="62">
        <f>SUMIF(FLOAT!$D:$D,Cockpit!$E12:$E156,FLOAT!K:K)</f>
        <v>0</v>
      </c>
      <c r="AM12" s="62">
        <f>SUMIF(FLOAT!$D:$D,Cockpit!$E12:$E156,FLOAT!L:L)</f>
        <v>0</v>
      </c>
      <c r="AN12" s="62">
        <f>SUMIF(FLOAT!$D:$D,Cockpit!$E12:$E156,FLOAT!M:M)</f>
        <v>0</v>
      </c>
      <c r="AO12" s="62">
        <f>SUMIF(FLOAT!$D:$D,Cockpit!$E12:$E156,FLOAT!N:N)</f>
        <v>0</v>
      </c>
      <c r="AP12" s="62">
        <f>SUMIF(FLOAT!$D:$D,Cockpit!$E12:$E156,FLOAT!O:O)</f>
        <v>0</v>
      </c>
      <c r="AQ12" s="62">
        <f>SUMIF(FLOAT!$D:$D,Cockpit!$E12:$E156,FLOAT!P:P)</f>
        <v>0</v>
      </c>
      <c r="AR12" s="60">
        <f t="shared" si="0"/>
        <v>0</v>
      </c>
      <c r="AS12" s="15" t="e">
        <v>#N/A</v>
      </c>
      <c r="AT12" s="17" t="e">
        <v>#N/A</v>
      </c>
      <c r="AU12" s="17" t="e">
        <f t="shared" si="1"/>
        <v>#N/A</v>
      </c>
    </row>
    <row r="13" spans="1:47" ht="19.5" hidden="1" thickBot="1" x14ac:dyDescent="0.35">
      <c r="A13" s="23"/>
      <c r="B13" s="21"/>
      <c r="C13" s="100">
        <v>544254600378</v>
      </c>
      <c r="D13" s="700">
        <v>544254600111</v>
      </c>
      <c r="E13" s="673" t="s">
        <v>130</v>
      </c>
      <c r="F13" s="643" t="s">
        <v>131</v>
      </c>
      <c r="G13" s="71">
        <f>IFERROR(VLOOKUP(E13:E13,[1]Sheet4!$O:$P,2,0),0)</f>
        <v>0</v>
      </c>
      <c r="H13" s="160">
        <f>G13</f>
        <v>0</v>
      </c>
      <c r="I13" s="164">
        <v>0</v>
      </c>
      <c r="J13" s="163">
        <f>Q13</f>
        <v>0</v>
      </c>
      <c r="K13" s="164">
        <f>R13</f>
        <v>0</v>
      </c>
      <c r="L13" s="164">
        <f>H13-K13</f>
        <v>0</v>
      </c>
      <c r="M13" s="637">
        <f>I13+J13-K13</f>
        <v>0</v>
      </c>
      <c r="N13" s="30">
        <f>SUMIF('3 D P'!$D:$D,Cockpit!$E$5:$E$146,'3 D P'!L:L)</f>
        <v>0</v>
      </c>
      <c r="O13" s="30">
        <f>SUMIF('3 D P'!$D:$D,Cockpit!$E$5:$E$146,'3 D P'!M:M)</f>
        <v>0</v>
      </c>
      <c r="P13" s="30">
        <f>SUMIF('3 D P'!$D:$D,Cockpit!$E$5:$E$146,'3 D P'!N:N)</f>
        <v>0</v>
      </c>
      <c r="Q13" s="132">
        <f>IFERROR(VLOOKUP($D13,'Aptiv Dispatch'!$A:$B,2,FALSE),0)</f>
        <v>0</v>
      </c>
      <c r="R13" s="34">
        <f>SUMIF('Consumption MTD'!B:B,Cockpit!$E$5:$E$146,'Consumption MTD'!C:C)</f>
        <v>0</v>
      </c>
      <c r="S13" s="34">
        <f>SUMIF('BIW Lifting A Shift'!$B:$B,Cockpit!$E$5:$E$146,'BIW Lifting A Shift'!C:C)</f>
        <v>0</v>
      </c>
      <c r="T13" s="34">
        <f>SUMIF('BIW Lifting B Shift'!$B:$B,Cockpit!$E$5:$E$146,'BIW Lifting B Shift'!C:C)</f>
        <v>0</v>
      </c>
      <c r="U13" s="160">
        <f>M13-X13</f>
        <v>0</v>
      </c>
      <c r="V13" s="160">
        <f>M13-S13-X13</f>
        <v>0</v>
      </c>
      <c r="W13" s="567">
        <f>V13-T13</f>
        <v>0</v>
      </c>
      <c r="X13" s="555">
        <f>SUMIF(FLOAT!$D:$D,Cockpit!$E$5:$E$146,FLOAT!F:F)</f>
        <v>0</v>
      </c>
      <c r="Y13" s="15">
        <v>0</v>
      </c>
      <c r="Z13" s="455">
        <v>0</v>
      </c>
      <c r="AA13" s="49"/>
      <c r="AB13" s="15"/>
      <c r="AC13" s="15"/>
      <c r="AE13" s="118">
        <v>81</v>
      </c>
      <c r="AF13" s="49"/>
      <c r="AG13" s="17"/>
      <c r="AH13" s="62">
        <f>SUMIF(FLOAT!$D:$D,Cockpit!$E13:$E157,FLOAT!G:G)</f>
        <v>0</v>
      </c>
      <c r="AI13" s="62">
        <f>SUMIF(FLOAT!$D:$D,Cockpit!$E13:$E157,FLOAT!H:H)</f>
        <v>0</v>
      </c>
      <c r="AJ13" s="62">
        <f>SUMIF(FLOAT!$D:$D,Cockpit!$E13:$E157,FLOAT!I:I)</f>
        <v>0</v>
      </c>
      <c r="AK13" s="62">
        <f>SUMIF(FLOAT!$D:$D,Cockpit!$E13:$E157,FLOAT!J:J)</f>
        <v>0</v>
      </c>
      <c r="AL13" s="62">
        <f>SUMIF(FLOAT!$D:$D,Cockpit!$E13:$E157,FLOAT!K:K)</f>
        <v>0</v>
      </c>
      <c r="AM13" s="62">
        <f>SUMIF(FLOAT!$D:$D,Cockpit!$E13:$E157,FLOAT!L:L)</f>
        <v>0</v>
      </c>
      <c r="AN13" s="62">
        <f>SUMIF(FLOAT!$D:$D,Cockpit!$E13:$E157,FLOAT!M:M)</f>
        <v>0</v>
      </c>
      <c r="AO13" s="62">
        <f>SUMIF(FLOAT!$D:$D,Cockpit!$E13:$E157,FLOAT!N:N)</f>
        <v>0</v>
      </c>
      <c r="AP13" s="62">
        <f>SUMIF(FLOAT!$D:$D,Cockpit!$E13:$E157,FLOAT!O:O)</f>
        <v>0</v>
      </c>
      <c r="AQ13" s="62">
        <f>SUMIF(FLOAT!$D:$D,Cockpit!$E13:$E157,FLOAT!P:P)</f>
        <v>0</v>
      </c>
      <c r="AR13" s="170">
        <f t="shared" si="0"/>
        <v>0</v>
      </c>
      <c r="AS13" s="15">
        <v>19</v>
      </c>
      <c r="AT13" s="17" t="s">
        <v>410</v>
      </c>
      <c r="AU13" s="17" t="b">
        <f t="shared" si="1"/>
        <v>0</v>
      </c>
    </row>
    <row r="14" spans="1:47" s="17" customFormat="1" ht="21.75" hidden="1" thickBot="1" x14ac:dyDescent="0.35">
      <c r="A14" s="23"/>
      <c r="B14" s="97">
        <v>544254630266</v>
      </c>
      <c r="C14" s="99">
        <v>544254630393</v>
      </c>
      <c r="D14" s="700">
        <v>544254600213</v>
      </c>
      <c r="E14" s="673" t="s">
        <v>20</v>
      </c>
      <c r="F14" s="643" t="s">
        <v>21</v>
      </c>
      <c r="G14" s="71">
        <f>IFERROR(VLOOKUP(E14:E14,[1]Sheet4!$O:$P,2,0),0)</f>
        <v>0</v>
      </c>
      <c r="H14" s="45">
        <f>G14</f>
        <v>0</v>
      </c>
      <c r="I14" s="76">
        <v>5</v>
      </c>
      <c r="J14" s="75">
        <f>Q14</f>
        <v>0</v>
      </c>
      <c r="K14" s="76">
        <f>R14</f>
        <v>0</v>
      </c>
      <c r="L14" s="128">
        <f>H14-K14</f>
        <v>0</v>
      </c>
      <c r="M14" s="77">
        <f>I14+J14-K14</f>
        <v>5</v>
      </c>
      <c r="N14" s="30">
        <f>SUMIF('3 D P'!$D:$D,Cockpit!$E$5:$E$146,'3 D P'!L:L)</f>
        <v>0</v>
      </c>
      <c r="O14" s="30">
        <f>SUMIF('3 D P'!$D:$D,Cockpit!$E$5:$E$146,'3 D P'!M:M)</f>
        <v>0</v>
      </c>
      <c r="P14" s="30">
        <f>SUMIF('3 D P'!$D:$D,Cockpit!$E$5:$E$146,'3 D P'!N:N)</f>
        <v>0</v>
      </c>
      <c r="Q14" s="132">
        <f>IFERROR(VLOOKUP($D14,'Aptiv Dispatch'!$A:$B,2,FALSE),0)</f>
        <v>0</v>
      </c>
      <c r="R14" s="34">
        <f>SUMIF('Consumption MTD'!B:B,Cockpit!$E$5:$E$146,'Consumption MTD'!C:C)</f>
        <v>0</v>
      </c>
      <c r="S14" s="34">
        <f>SUMIF('BIW Lifting A Shift'!$B:$B,Cockpit!$E$5:$E$146,'BIW Lifting A Shift'!C:C)</f>
        <v>0</v>
      </c>
      <c r="T14" s="34">
        <f>SUMIF('BIW Lifting B Shift'!$B:$B,Cockpit!$E$5:$E$146,'BIW Lifting B Shift'!C:C)</f>
        <v>0</v>
      </c>
      <c r="U14" s="74">
        <f>M14-X14</f>
        <v>5</v>
      </c>
      <c r="V14" s="74">
        <f>M14-S14-X14</f>
        <v>5</v>
      </c>
      <c r="W14" s="457">
        <f>V14-T14</f>
        <v>5</v>
      </c>
      <c r="X14" s="555">
        <f>SUMIF(FLOAT!$D:$D,Cockpit!$E$5:$E$146,FLOAT!F:F)</f>
        <v>0</v>
      </c>
      <c r="Y14" s="15">
        <v>5</v>
      </c>
      <c r="Z14" s="455">
        <v>0</v>
      </c>
      <c r="AA14" s="49"/>
      <c r="AB14" s="15"/>
      <c r="AC14" s="15"/>
      <c r="AD14" s="54"/>
      <c r="AE14" s="118">
        <v>15</v>
      </c>
      <c r="AF14" s="49"/>
      <c r="AG14" s="15"/>
      <c r="AH14" s="62">
        <f>SUMIF(FLOAT!$D:$D,Cockpit!$E14:$E158,FLOAT!G:G)</f>
        <v>0</v>
      </c>
      <c r="AI14" s="62">
        <f>SUMIF(FLOAT!$D:$D,Cockpit!$E14:$E158,FLOAT!H:H)</f>
        <v>0</v>
      </c>
      <c r="AJ14" s="62">
        <f>SUMIF(FLOAT!$D:$D,Cockpit!$E14:$E158,FLOAT!I:I)</f>
        <v>0</v>
      </c>
      <c r="AK14" s="62">
        <f>SUMIF(FLOAT!$D:$D,Cockpit!$E14:$E158,FLOAT!J:J)</f>
        <v>0</v>
      </c>
      <c r="AL14" s="62">
        <f>SUMIF(FLOAT!$D:$D,Cockpit!$E14:$E158,FLOAT!K:K)</f>
        <v>0</v>
      </c>
      <c r="AM14" s="62">
        <f>SUMIF(FLOAT!$D:$D,Cockpit!$E14:$E158,FLOAT!L:L)</f>
        <v>0</v>
      </c>
      <c r="AN14" s="62">
        <f>SUMIF(FLOAT!$D:$D,Cockpit!$E14:$E158,FLOAT!M:M)</f>
        <v>0</v>
      </c>
      <c r="AO14" s="62">
        <f>SUMIF(FLOAT!$D:$D,Cockpit!$E14:$E158,FLOAT!N:N)</f>
        <v>0</v>
      </c>
      <c r="AP14" s="62">
        <f>SUMIF(FLOAT!$D:$D,Cockpit!$E14:$E158,FLOAT!O:O)</f>
        <v>0</v>
      </c>
      <c r="AQ14" s="62">
        <f>SUMIF(FLOAT!$D:$D,Cockpit!$E14:$E158,FLOAT!P:P)</f>
        <v>0</v>
      </c>
      <c r="AR14" s="60">
        <f t="shared" si="0"/>
        <v>0</v>
      </c>
      <c r="AS14" s="15">
        <v>3</v>
      </c>
      <c r="AT14" s="17" t="s">
        <v>410</v>
      </c>
      <c r="AU14" s="17" t="b">
        <f t="shared" si="1"/>
        <v>0</v>
      </c>
    </row>
    <row r="15" spans="1:47" s="17" customFormat="1" ht="19.5" hidden="1" thickBot="1" x14ac:dyDescent="0.35">
      <c r="A15" s="23"/>
      <c r="B15" s="21"/>
      <c r="C15" s="878">
        <v>544254630414</v>
      </c>
      <c r="D15" s="892">
        <v>544254600215</v>
      </c>
      <c r="E15" s="673" t="s">
        <v>92</v>
      </c>
      <c r="F15" s="643" t="s">
        <v>93</v>
      </c>
      <c r="G15" s="71">
        <f>IFERROR(VLOOKUP(E15:E15,[1]Sheet4!$O:$P,2,0),0)</f>
        <v>0</v>
      </c>
      <c r="H15" s="824">
        <f>SUM(G15:G16)</f>
        <v>0</v>
      </c>
      <c r="I15" s="822">
        <v>11</v>
      </c>
      <c r="J15" s="836">
        <f>Q15</f>
        <v>0</v>
      </c>
      <c r="K15" s="822">
        <f>SUM(R15:R16)</f>
        <v>0</v>
      </c>
      <c r="L15" s="822">
        <f>H15-K15</f>
        <v>0</v>
      </c>
      <c r="M15" s="816">
        <f>I15+J15-K15</f>
        <v>11</v>
      </c>
      <c r="N15" s="30">
        <f>SUMIF('3 D P'!$D:$D,Cockpit!$E$5:$E$146,'3 D P'!L:L)</f>
        <v>0</v>
      </c>
      <c r="O15" s="30">
        <f>SUMIF('3 D P'!$D:$D,Cockpit!$E$5:$E$146,'3 D P'!M:M)</f>
        <v>0</v>
      </c>
      <c r="P15" s="30">
        <f>SUMIF('3 D P'!$D:$D,Cockpit!$E$5:$E$146,'3 D P'!N:N)</f>
        <v>0</v>
      </c>
      <c r="Q15" s="132">
        <f>IFERROR(VLOOKUP($D15,'Aptiv Dispatch'!$A:$B,2,FALSE),0)</f>
        <v>0</v>
      </c>
      <c r="R15" s="34">
        <f>SUMIF('Consumption MTD'!B:B,Cockpit!$E$5:$E$146,'Consumption MTD'!C:C)</f>
        <v>0</v>
      </c>
      <c r="S15" s="34">
        <f>SUMIF('BIW Lifting A Shift'!$B:$B,Cockpit!$E$5:$E$146,'BIW Lifting A Shift'!C:C)</f>
        <v>0</v>
      </c>
      <c r="T15" s="34">
        <f>SUMIF('BIW Lifting B Shift'!$B:$B,Cockpit!$E$5:$E$146,'BIW Lifting B Shift'!C:C)</f>
        <v>0</v>
      </c>
      <c r="U15" s="818">
        <f>M15-X15-X16</f>
        <v>11</v>
      </c>
      <c r="V15" s="818">
        <f>M15-X15-X16-S15-S16</f>
        <v>11</v>
      </c>
      <c r="W15" s="820">
        <f>V15-T15-T16</f>
        <v>11</v>
      </c>
      <c r="X15" s="555">
        <f>SUMIF(FLOAT!$D:$D,Cockpit!$E$5:$E$146,FLOAT!F:F)</f>
        <v>0</v>
      </c>
      <c r="Y15" s="15">
        <v>11</v>
      </c>
      <c r="Z15" s="455">
        <v>0</v>
      </c>
      <c r="AA15" s="49"/>
      <c r="AB15" s="15"/>
      <c r="AC15" s="15"/>
      <c r="AD15" s="54"/>
      <c r="AE15" s="821">
        <v>21</v>
      </c>
      <c r="AF15" s="49"/>
      <c r="AH15" s="62">
        <f>SUMIF(FLOAT!$D:$D,Cockpit!$E15:$E159,FLOAT!G:G)</f>
        <v>0</v>
      </c>
      <c r="AI15" s="62">
        <f>SUMIF(FLOAT!$D:$D,Cockpit!$E15:$E159,FLOAT!H:H)</f>
        <v>0</v>
      </c>
      <c r="AJ15" s="62">
        <f>SUMIF(FLOAT!$D:$D,Cockpit!$E15:$E159,FLOAT!I:I)</f>
        <v>0</v>
      </c>
      <c r="AK15" s="62">
        <f>SUMIF(FLOAT!$D:$D,Cockpit!$E15:$E159,FLOAT!J:J)</f>
        <v>0</v>
      </c>
      <c r="AL15" s="62">
        <f>SUMIF(FLOAT!$D:$D,Cockpit!$E15:$E159,FLOAT!K:K)</f>
        <v>0</v>
      </c>
      <c r="AM15" s="62">
        <f>SUMIF(FLOAT!$D:$D,Cockpit!$E15:$E159,FLOAT!L:L)</f>
        <v>0</v>
      </c>
      <c r="AN15" s="62">
        <f>SUMIF(FLOAT!$D:$D,Cockpit!$E15:$E159,FLOAT!M:M)</f>
        <v>0</v>
      </c>
      <c r="AO15" s="62">
        <f>SUMIF(FLOAT!$D:$D,Cockpit!$E15:$E159,FLOAT!N:N)</f>
        <v>0</v>
      </c>
      <c r="AP15" s="62">
        <f>SUMIF(FLOAT!$D:$D,Cockpit!$E15:$E159,FLOAT!O:O)</f>
        <v>0</v>
      </c>
      <c r="AQ15" s="62">
        <f>SUMIF(FLOAT!$D:$D,Cockpit!$E15:$E159,FLOAT!P:P)</f>
        <v>0</v>
      </c>
      <c r="AR15" s="60">
        <f t="shared" si="0"/>
        <v>0</v>
      </c>
      <c r="AS15" s="15" t="e">
        <v>#N/A</v>
      </c>
      <c r="AT15" s="17" t="e">
        <v>#N/A</v>
      </c>
      <c r="AU15" s="17" t="e">
        <f t="shared" si="1"/>
        <v>#N/A</v>
      </c>
    </row>
    <row r="16" spans="1:47" s="17" customFormat="1" ht="19.5" hidden="1" thickBot="1" x14ac:dyDescent="0.35">
      <c r="A16" s="23"/>
      <c r="B16" s="21"/>
      <c r="C16" s="878"/>
      <c r="D16" s="893"/>
      <c r="E16" s="673" t="s">
        <v>101</v>
      </c>
      <c r="F16" s="643" t="s">
        <v>100</v>
      </c>
      <c r="G16" s="71">
        <f>IFERROR(VLOOKUP(E16:E16,[1]Sheet4!$O:$P,2,0),0)</f>
        <v>0</v>
      </c>
      <c r="H16" s="825"/>
      <c r="I16" s="823"/>
      <c r="J16" s="837"/>
      <c r="K16" s="823"/>
      <c r="L16" s="823"/>
      <c r="M16" s="816"/>
      <c r="N16" s="30">
        <f>SUMIF('3 D P'!$D:$D,Cockpit!$E$5:$E$146,'3 D P'!L:L)</f>
        <v>0</v>
      </c>
      <c r="O16" s="30">
        <f>SUMIF('3 D P'!$D:$D,Cockpit!$E$5:$E$146,'3 D P'!M:M)</f>
        <v>0</v>
      </c>
      <c r="P16" s="30">
        <f>SUMIF('3 D P'!$D:$D,Cockpit!$E$5:$E$146,'3 D P'!N:N)</f>
        <v>0</v>
      </c>
      <c r="Q16" s="132">
        <f>IFERROR(VLOOKUP($D16,'Aptiv Dispatch'!$A:$B,2,FALSE),0)</f>
        <v>0</v>
      </c>
      <c r="R16" s="34">
        <f>SUMIF('Consumption MTD'!B:B,Cockpit!$E$5:$E$146,'Consumption MTD'!C:C)</f>
        <v>0</v>
      </c>
      <c r="S16" s="34">
        <f>SUMIF('BIW Lifting A Shift'!$B:$B,Cockpit!$E$5:$E$146,'BIW Lifting A Shift'!C:C)</f>
        <v>0</v>
      </c>
      <c r="T16" s="34">
        <f>SUMIF('BIW Lifting B Shift'!$B:$B,Cockpit!$E$5:$E$146,'BIW Lifting B Shift'!C:C)</f>
        <v>0</v>
      </c>
      <c r="U16" s="818"/>
      <c r="V16" s="818"/>
      <c r="W16" s="820"/>
      <c r="X16" s="555">
        <f>SUMIF(FLOAT!$D:$D,Cockpit!$E$5:$E$146,FLOAT!F:F)</f>
        <v>0</v>
      </c>
      <c r="Y16" s="15"/>
      <c r="Z16" s="455">
        <v>0</v>
      </c>
      <c r="AA16" s="49"/>
      <c r="AB16" s="15"/>
      <c r="AC16" s="15"/>
      <c r="AD16" s="54"/>
      <c r="AE16" s="821"/>
      <c r="AF16" s="49"/>
      <c r="AH16" s="62">
        <f>SUMIF(FLOAT!$D:$D,Cockpit!$E16:$E160,FLOAT!G:G)</f>
        <v>0</v>
      </c>
      <c r="AI16" s="62">
        <f>SUMIF(FLOAT!$D:$D,Cockpit!$E16:$E160,FLOAT!H:H)</f>
        <v>0</v>
      </c>
      <c r="AJ16" s="62">
        <f>SUMIF(FLOAT!$D:$D,Cockpit!$E16:$E160,FLOAT!I:I)</f>
        <v>0</v>
      </c>
      <c r="AK16" s="62">
        <f>SUMIF(FLOAT!$D:$D,Cockpit!$E16:$E160,FLOAT!J:J)</f>
        <v>0</v>
      </c>
      <c r="AL16" s="62">
        <f>SUMIF(FLOAT!$D:$D,Cockpit!$E16:$E160,FLOAT!K:K)</f>
        <v>0</v>
      </c>
      <c r="AM16" s="62">
        <f>SUMIF(FLOAT!$D:$D,Cockpit!$E16:$E160,FLOAT!L:L)</f>
        <v>0</v>
      </c>
      <c r="AN16" s="62">
        <f>SUMIF(FLOAT!$D:$D,Cockpit!$E16:$E160,FLOAT!M:M)</f>
        <v>0</v>
      </c>
      <c r="AO16" s="62">
        <f>SUMIF(FLOAT!$D:$D,Cockpit!$E16:$E160,FLOAT!N:N)</f>
        <v>0</v>
      </c>
      <c r="AP16" s="62">
        <f>SUMIF(FLOAT!$D:$D,Cockpit!$E16:$E160,FLOAT!O:O)</f>
        <v>0</v>
      </c>
      <c r="AQ16" s="62">
        <f>SUMIF(FLOAT!$D:$D,Cockpit!$E16:$E160,FLOAT!P:P)</f>
        <v>0</v>
      </c>
      <c r="AR16" s="60">
        <f t="shared" si="0"/>
        <v>0</v>
      </c>
      <c r="AS16" s="15" t="e">
        <v>#N/A</v>
      </c>
      <c r="AT16" s="17" t="e">
        <v>#N/A</v>
      </c>
      <c r="AU16" s="17" t="e">
        <f t="shared" si="1"/>
        <v>#N/A</v>
      </c>
    </row>
    <row r="17" spans="1:47" ht="19.5" hidden="1" thickBot="1" x14ac:dyDescent="0.35">
      <c r="A17" s="23"/>
      <c r="B17" s="21"/>
      <c r="C17" s="100">
        <v>544254600508</v>
      </c>
      <c r="D17" s="700">
        <v>544254600214</v>
      </c>
      <c r="E17" s="673" t="s">
        <v>129</v>
      </c>
      <c r="F17" s="643" t="s">
        <v>132</v>
      </c>
      <c r="G17" s="71">
        <f>IFERROR(VLOOKUP(E17:E17,[1]Sheet4!$O:$P,2,0),0)</f>
        <v>0</v>
      </c>
      <c r="H17" s="160">
        <f>G17</f>
        <v>0</v>
      </c>
      <c r="I17" s="164">
        <v>0</v>
      </c>
      <c r="J17" s="163">
        <f>Q17</f>
        <v>0</v>
      </c>
      <c r="K17" s="164">
        <f>R17</f>
        <v>0</v>
      </c>
      <c r="L17" s="164">
        <f>H17-K17</f>
        <v>0</v>
      </c>
      <c r="M17" s="637">
        <f>I17+J17-K17</f>
        <v>0</v>
      </c>
      <c r="N17" s="30">
        <f>SUMIF('3 D P'!$D:$D,Cockpit!$E$5:$E$146,'3 D P'!L:L)</f>
        <v>0</v>
      </c>
      <c r="O17" s="30">
        <f>SUMIF('3 D P'!$D:$D,Cockpit!$E$5:$E$146,'3 D P'!M:M)</f>
        <v>0</v>
      </c>
      <c r="P17" s="30">
        <f>SUMIF('3 D P'!$D:$D,Cockpit!$E$5:$E$146,'3 D P'!N:N)</f>
        <v>0</v>
      </c>
      <c r="Q17" s="132">
        <f>IFERROR(VLOOKUP($D17,'Aptiv Dispatch'!$A:$B,2,FALSE),0)</f>
        <v>0</v>
      </c>
      <c r="R17" s="34">
        <f>SUMIF('Consumption MTD'!B:B,Cockpit!$E$5:$E$146,'Consumption MTD'!C:C)</f>
        <v>0</v>
      </c>
      <c r="S17" s="34">
        <f>SUMIF('BIW Lifting A Shift'!$B:$B,Cockpit!$E$5:$E$146,'BIW Lifting A Shift'!C:C)</f>
        <v>0</v>
      </c>
      <c r="T17" s="34">
        <f>SUMIF('BIW Lifting B Shift'!$B:$B,Cockpit!$E$5:$E$146,'BIW Lifting B Shift'!C:C)</f>
        <v>0</v>
      </c>
      <c r="U17" s="160">
        <f>M17-X17</f>
        <v>0</v>
      </c>
      <c r="V17" s="160">
        <f>M17-S17-X17</f>
        <v>0</v>
      </c>
      <c r="W17" s="567">
        <f>V17-T17</f>
        <v>0</v>
      </c>
      <c r="X17" s="555">
        <f>SUMIF(FLOAT!$D:$D,Cockpit!$E$5:$E$146,FLOAT!F:F)</f>
        <v>0</v>
      </c>
      <c r="Y17" s="15">
        <v>0</v>
      </c>
      <c r="Z17" s="455">
        <v>0</v>
      </c>
      <c r="AA17" s="49"/>
      <c r="AB17" s="15"/>
      <c r="AC17" s="15"/>
      <c r="AE17" s="118">
        <v>26</v>
      </c>
      <c r="AF17" s="49"/>
      <c r="AG17" s="17"/>
      <c r="AH17" s="62">
        <f>SUMIF(FLOAT!$D:$D,Cockpit!$E17:$E161,FLOAT!G:G)</f>
        <v>0</v>
      </c>
      <c r="AI17" s="62">
        <f>SUMIF(FLOAT!$D:$D,Cockpit!$E17:$E161,FLOAT!H:H)</f>
        <v>0</v>
      </c>
      <c r="AJ17" s="62">
        <f>SUMIF(FLOAT!$D:$D,Cockpit!$E17:$E161,FLOAT!I:I)</f>
        <v>0</v>
      </c>
      <c r="AK17" s="62">
        <f>SUMIF(FLOAT!$D:$D,Cockpit!$E17:$E161,FLOAT!J:J)</f>
        <v>0</v>
      </c>
      <c r="AL17" s="62">
        <f>SUMIF(FLOAT!$D:$D,Cockpit!$E17:$E161,FLOAT!K:K)</f>
        <v>0</v>
      </c>
      <c r="AM17" s="62">
        <f>SUMIF(FLOAT!$D:$D,Cockpit!$E17:$E161,FLOAT!L:L)</f>
        <v>0</v>
      </c>
      <c r="AN17" s="62">
        <f>SUMIF(FLOAT!$D:$D,Cockpit!$E17:$E161,FLOAT!M:M)</f>
        <v>0</v>
      </c>
      <c r="AO17" s="62">
        <f>SUMIF(FLOAT!$D:$D,Cockpit!$E17:$E161,FLOAT!N:N)</f>
        <v>0</v>
      </c>
      <c r="AP17" s="62">
        <f>SUMIF(FLOAT!$D:$D,Cockpit!$E17:$E161,FLOAT!O:O)</f>
        <v>0</v>
      </c>
      <c r="AQ17" s="62">
        <f>SUMIF(FLOAT!$D:$D,Cockpit!$E17:$E161,FLOAT!P:P)</f>
        <v>0</v>
      </c>
      <c r="AR17" s="170">
        <f t="shared" si="0"/>
        <v>0</v>
      </c>
      <c r="AS17" s="15">
        <v>7</v>
      </c>
      <c r="AT17" s="17" t="s">
        <v>410</v>
      </c>
      <c r="AU17" s="17" t="b">
        <f t="shared" si="1"/>
        <v>0</v>
      </c>
    </row>
    <row r="18" spans="1:47" ht="19.5" hidden="1" thickBot="1" x14ac:dyDescent="0.35">
      <c r="A18" s="23"/>
      <c r="B18" s="21"/>
      <c r="C18" s="99">
        <v>544254630421</v>
      </c>
      <c r="D18" s="701">
        <v>544254600216</v>
      </c>
      <c r="E18" s="673" t="s">
        <v>104</v>
      </c>
      <c r="F18" s="643" t="s">
        <v>105</v>
      </c>
      <c r="G18" s="71">
        <f>IFERROR(VLOOKUP(E18:E18,[1]Sheet4!$O:$P,2,0),0)</f>
        <v>0</v>
      </c>
      <c r="H18" s="160">
        <f>G18</f>
        <v>0</v>
      </c>
      <c r="I18" s="164">
        <v>0</v>
      </c>
      <c r="J18" s="163">
        <f>Q18</f>
        <v>0</v>
      </c>
      <c r="K18" s="164">
        <f>R18</f>
        <v>0</v>
      </c>
      <c r="L18" s="164">
        <f>H18-K18</f>
        <v>0</v>
      </c>
      <c r="M18" s="637">
        <f>I18+J18-K18</f>
        <v>0</v>
      </c>
      <c r="N18" s="30">
        <f>SUMIF('3 D P'!$D:$D,Cockpit!$E$5:$E$146,'3 D P'!L:L)</f>
        <v>0</v>
      </c>
      <c r="O18" s="30">
        <f>SUMIF('3 D P'!$D:$D,Cockpit!$E$5:$E$146,'3 D P'!M:M)</f>
        <v>0</v>
      </c>
      <c r="P18" s="30">
        <f>SUMIF('3 D P'!$D:$D,Cockpit!$E$5:$E$146,'3 D P'!N:N)</f>
        <v>0</v>
      </c>
      <c r="Q18" s="132">
        <f>IFERROR(VLOOKUP($D18,'Aptiv Dispatch'!$A:$B,2,FALSE),0)</f>
        <v>0</v>
      </c>
      <c r="R18" s="34">
        <f>SUMIF('Consumption MTD'!B:B,Cockpit!$E$5:$E$146,'Consumption MTD'!C:C)</f>
        <v>0</v>
      </c>
      <c r="S18" s="34">
        <f>SUMIF('BIW Lifting A Shift'!$B:$B,Cockpit!$E$5:$E$146,'BIW Lifting A Shift'!C:C)</f>
        <v>0</v>
      </c>
      <c r="T18" s="34">
        <f>SUMIF('BIW Lifting B Shift'!$B:$B,Cockpit!$E$5:$E$146,'BIW Lifting B Shift'!C:C)</f>
        <v>0</v>
      </c>
      <c r="U18" s="160">
        <f>M18-X18</f>
        <v>0</v>
      </c>
      <c r="V18" s="160">
        <f>M18-S18-X18</f>
        <v>0</v>
      </c>
      <c r="W18" s="567">
        <f>V18-T18</f>
        <v>0</v>
      </c>
      <c r="X18" s="555">
        <f>SUMIF(FLOAT!$D:$D,Cockpit!$E$5:$E$146,FLOAT!F:F)</f>
        <v>0</v>
      </c>
      <c r="Y18" s="15">
        <v>0</v>
      </c>
      <c r="Z18" s="455">
        <v>0</v>
      </c>
      <c r="AA18" s="49"/>
      <c r="AB18" s="15"/>
      <c r="AC18" s="15"/>
      <c r="AE18" s="118">
        <v>15</v>
      </c>
      <c r="AF18" s="49"/>
      <c r="AG18" s="17"/>
      <c r="AH18" s="62">
        <f>SUMIF(FLOAT!$D:$D,Cockpit!$E18:$E162,FLOAT!G:G)</f>
        <v>0</v>
      </c>
      <c r="AI18" s="62">
        <f>SUMIF(FLOAT!$D:$D,Cockpit!$E18:$E162,FLOAT!H:H)</f>
        <v>0</v>
      </c>
      <c r="AJ18" s="62">
        <f>SUMIF(FLOAT!$D:$D,Cockpit!$E18:$E162,FLOAT!I:I)</f>
        <v>0</v>
      </c>
      <c r="AK18" s="62">
        <f>SUMIF(FLOAT!$D:$D,Cockpit!$E18:$E162,FLOAT!J:J)</f>
        <v>0</v>
      </c>
      <c r="AL18" s="62">
        <f>SUMIF(FLOAT!$D:$D,Cockpit!$E18:$E162,FLOAT!K:K)</f>
        <v>0</v>
      </c>
      <c r="AM18" s="62">
        <f>SUMIF(FLOAT!$D:$D,Cockpit!$E18:$E162,FLOAT!L:L)</f>
        <v>0</v>
      </c>
      <c r="AN18" s="62">
        <f>SUMIF(FLOAT!$D:$D,Cockpit!$E18:$E162,FLOAT!M:M)</f>
        <v>0</v>
      </c>
      <c r="AO18" s="62">
        <f>SUMIF(FLOAT!$D:$D,Cockpit!$E18:$E162,FLOAT!N:N)</f>
        <v>0</v>
      </c>
      <c r="AP18" s="62">
        <f>SUMIF(FLOAT!$D:$D,Cockpit!$E18:$E162,FLOAT!O:O)</f>
        <v>0</v>
      </c>
      <c r="AQ18" s="62">
        <f>SUMIF(FLOAT!$D:$D,Cockpit!$E18:$E162,FLOAT!P:P)</f>
        <v>0</v>
      </c>
      <c r="AR18" s="170">
        <f t="shared" si="0"/>
        <v>0</v>
      </c>
      <c r="AS18" s="15">
        <v>13</v>
      </c>
      <c r="AT18" s="186" t="s">
        <v>411</v>
      </c>
      <c r="AU18" s="17" t="b">
        <f t="shared" si="1"/>
        <v>0</v>
      </c>
    </row>
    <row r="19" spans="1:47" s="17" customFormat="1" ht="19.5" hidden="1" thickBot="1" x14ac:dyDescent="0.35">
      <c r="A19" s="2">
        <v>544254620253</v>
      </c>
      <c r="B19" s="97">
        <v>544254630163</v>
      </c>
      <c r="C19" s="891">
        <v>544254630255</v>
      </c>
      <c r="D19" s="857">
        <v>544254650108</v>
      </c>
      <c r="E19" s="88" t="s">
        <v>30</v>
      </c>
      <c r="F19" s="865" t="s">
        <v>22</v>
      </c>
      <c r="G19" s="71">
        <f>IFERROR(VLOOKUP(E19:E19,[1]Sheet4!$O:$P,2,0),0)</f>
        <v>0</v>
      </c>
      <c r="H19" s="824">
        <f>SUM(G19:G22)</f>
        <v>0</v>
      </c>
      <c r="I19" s="869">
        <v>0</v>
      </c>
      <c r="J19" s="836">
        <f>Q19</f>
        <v>0</v>
      </c>
      <c r="K19" s="822">
        <f>SUM(R19:R22)</f>
        <v>0</v>
      </c>
      <c r="L19" s="822">
        <f>H19-K19</f>
        <v>0</v>
      </c>
      <c r="M19" s="816">
        <f>I19+J19-K19</f>
        <v>0</v>
      </c>
      <c r="N19" s="30">
        <f>SUMIF('3 D P'!$D:$D,Cockpit!$E$5:$E$146,'3 D P'!L:L)</f>
        <v>0</v>
      </c>
      <c r="O19" s="30">
        <f>SUMIF('3 D P'!$D:$D,Cockpit!$E$5:$E$146,'3 D P'!M:M)</f>
        <v>0</v>
      </c>
      <c r="P19" s="30">
        <f>SUMIF('3 D P'!$D:$D,Cockpit!$E$5:$E$146,'3 D P'!N:N)</f>
        <v>0</v>
      </c>
      <c r="Q19" s="132">
        <f>IFERROR(VLOOKUP($D19,'Aptiv Dispatch'!$A:$B,2,FALSE),0)</f>
        <v>0</v>
      </c>
      <c r="R19" s="34">
        <f>SUMIF('Consumption MTD'!B:B,Cockpit!$E$5:$E$146,'Consumption MTD'!C:C)</f>
        <v>0</v>
      </c>
      <c r="S19" s="34">
        <f>SUMIF('BIW Lifting A Shift'!$B:$B,Cockpit!$E$5:$E$146,'BIW Lifting A Shift'!C:C)</f>
        <v>0</v>
      </c>
      <c r="T19" s="34">
        <f>SUMIF('BIW Lifting B Shift'!$B:$B,Cockpit!$E$5:$E$146,'BIW Lifting B Shift'!C:C)</f>
        <v>0</v>
      </c>
      <c r="U19" s="818">
        <f>M19-X19-X20-X21-X22</f>
        <v>0</v>
      </c>
      <c r="V19" s="851">
        <f>M19-X19-X20-X21-X22-S19-S20-S21-S22</f>
        <v>0</v>
      </c>
      <c r="W19" s="854">
        <f>V19-T19-T20-T21-T22</f>
        <v>0</v>
      </c>
      <c r="X19" s="555">
        <f>SUMIF(FLOAT!$D:$D,Cockpit!$E$5:$E$146,FLOAT!F:F)</f>
        <v>0</v>
      </c>
      <c r="Y19" s="15">
        <v>0</v>
      </c>
      <c r="Z19" s="455">
        <v>0</v>
      </c>
      <c r="AA19" s="49"/>
      <c r="AB19" s="15"/>
      <c r="AC19" s="15"/>
      <c r="AD19" s="54"/>
      <c r="AE19" s="821">
        <v>1</v>
      </c>
      <c r="AF19" s="49"/>
      <c r="AG19" s="278"/>
      <c r="AH19" s="62">
        <f>SUMIF(FLOAT!$D:$D,Cockpit!$E19:$E163,FLOAT!G:G)</f>
        <v>0</v>
      </c>
      <c r="AI19" s="62">
        <f>SUMIF(FLOAT!$D:$D,Cockpit!$E19:$E163,FLOAT!H:H)</f>
        <v>0</v>
      </c>
      <c r="AJ19" s="62">
        <f>SUMIF(FLOAT!$D:$D,Cockpit!$E19:$E163,FLOAT!I:I)</f>
        <v>0</v>
      </c>
      <c r="AK19" s="62">
        <f>SUMIF(FLOAT!$D:$D,Cockpit!$E19:$E163,FLOAT!J:J)</f>
        <v>0</v>
      </c>
      <c r="AL19" s="62">
        <f>SUMIF(FLOAT!$D:$D,Cockpit!$E19:$E163,FLOAT!K:K)</f>
        <v>0</v>
      </c>
      <c r="AM19" s="62">
        <f>SUMIF(FLOAT!$D:$D,Cockpit!$E19:$E163,FLOAT!L:L)</f>
        <v>0</v>
      </c>
      <c r="AN19" s="62">
        <f>SUMIF(FLOAT!$D:$D,Cockpit!$E19:$E163,FLOAT!M:M)</f>
        <v>0</v>
      </c>
      <c r="AO19" s="62">
        <f>SUMIF(FLOAT!$D:$D,Cockpit!$E19:$E163,FLOAT!N:N)</f>
        <v>0</v>
      </c>
      <c r="AP19" s="62">
        <f>SUMIF(FLOAT!$D:$D,Cockpit!$E19:$E163,FLOAT!O:O)</f>
        <v>0</v>
      </c>
      <c r="AQ19" s="62">
        <f>SUMIF(FLOAT!$D:$D,Cockpit!$E19:$E163,FLOAT!P:P)</f>
        <v>0</v>
      </c>
      <c r="AR19" s="60">
        <f t="shared" si="0"/>
        <v>0</v>
      </c>
      <c r="AS19" s="15" t="e">
        <v>#N/A</v>
      </c>
      <c r="AT19" s="17" t="e">
        <v>#N/A</v>
      </c>
      <c r="AU19" s="17" t="e">
        <f t="shared" si="1"/>
        <v>#N/A</v>
      </c>
    </row>
    <row r="20" spans="1:47" s="17" customFormat="1" ht="19.5" hidden="1" thickBot="1" x14ac:dyDescent="0.35">
      <c r="A20" s="2"/>
      <c r="B20" s="97"/>
      <c r="C20" s="878"/>
      <c r="D20" s="858"/>
      <c r="E20" s="88" t="s">
        <v>31</v>
      </c>
      <c r="F20" s="865"/>
      <c r="G20" s="71">
        <f>IFERROR(VLOOKUP(E20:E20,[1]Sheet4!$O:$P,2,0),0)</f>
        <v>0</v>
      </c>
      <c r="H20" s="868"/>
      <c r="I20" s="870"/>
      <c r="J20" s="850"/>
      <c r="K20" s="849"/>
      <c r="L20" s="849"/>
      <c r="M20" s="816"/>
      <c r="N20" s="30">
        <f>SUMIF('3 D P'!$D:$D,Cockpit!$E$5:$E$146,'3 D P'!L:L)</f>
        <v>0</v>
      </c>
      <c r="O20" s="30">
        <f>SUMIF('3 D P'!$D:$D,Cockpit!$E$5:$E$146,'3 D P'!M:M)</f>
        <v>0</v>
      </c>
      <c r="P20" s="30">
        <f>SUMIF('3 D P'!$D:$D,Cockpit!$E$5:$E$146,'3 D P'!N:N)</f>
        <v>0</v>
      </c>
      <c r="Q20" s="132">
        <f>IFERROR(VLOOKUP($D20,'Aptiv Dispatch'!$A:$B,2,FALSE),0)</f>
        <v>0</v>
      </c>
      <c r="R20" s="34">
        <f>SUMIF('Consumption MTD'!B:B,Cockpit!$E$5:$E$146,'Consumption MTD'!C:C)</f>
        <v>0</v>
      </c>
      <c r="S20" s="34">
        <f>SUMIF('BIW Lifting A Shift'!$B:$B,Cockpit!$E$5:$E$146,'BIW Lifting A Shift'!C:C)</f>
        <v>0</v>
      </c>
      <c r="T20" s="34">
        <f>SUMIF('BIW Lifting B Shift'!$B:$B,Cockpit!$E$5:$E$146,'BIW Lifting B Shift'!C:C)</f>
        <v>0</v>
      </c>
      <c r="U20" s="818"/>
      <c r="V20" s="852"/>
      <c r="W20" s="855"/>
      <c r="X20" s="555">
        <f>SUMIF(FLOAT!$D:$D,Cockpit!$E$5:$E$146,FLOAT!F:F)</f>
        <v>0</v>
      </c>
      <c r="Y20" s="15"/>
      <c r="Z20" s="455">
        <v>0</v>
      </c>
      <c r="AA20" s="49"/>
      <c r="AB20" s="15"/>
      <c r="AC20" s="15"/>
      <c r="AD20" s="54"/>
      <c r="AE20" s="821"/>
      <c r="AF20" s="49"/>
      <c r="AG20" s="278"/>
      <c r="AH20" s="62">
        <f>SUMIF(FLOAT!$D:$D,Cockpit!$E20:$E164,FLOAT!G:G)</f>
        <v>0</v>
      </c>
      <c r="AI20" s="62">
        <f>SUMIF(FLOAT!$D:$D,Cockpit!$E20:$E164,FLOAT!H:H)</f>
        <v>0</v>
      </c>
      <c r="AJ20" s="62">
        <f>SUMIF(FLOAT!$D:$D,Cockpit!$E20:$E164,FLOAT!I:I)</f>
        <v>0</v>
      </c>
      <c r="AK20" s="62">
        <f>SUMIF(FLOAT!$D:$D,Cockpit!$E20:$E164,FLOAT!J:J)</f>
        <v>0</v>
      </c>
      <c r="AL20" s="62">
        <f>SUMIF(FLOAT!$D:$D,Cockpit!$E20:$E164,FLOAT!K:K)</f>
        <v>0</v>
      </c>
      <c r="AM20" s="62">
        <f>SUMIF(FLOAT!$D:$D,Cockpit!$E20:$E164,FLOAT!L:L)</f>
        <v>0</v>
      </c>
      <c r="AN20" s="62">
        <f>SUMIF(FLOAT!$D:$D,Cockpit!$E20:$E164,FLOAT!M:M)</f>
        <v>0</v>
      </c>
      <c r="AO20" s="62">
        <f>SUMIF(FLOAT!$D:$D,Cockpit!$E20:$E164,FLOAT!N:N)</f>
        <v>0</v>
      </c>
      <c r="AP20" s="62">
        <f>SUMIF(FLOAT!$D:$D,Cockpit!$E20:$E164,FLOAT!O:O)</f>
        <v>0</v>
      </c>
      <c r="AQ20" s="62">
        <f>SUMIF(FLOAT!$D:$D,Cockpit!$E20:$E164,FLOAT!P:P)</f>
        <v>0</v>
      </c>
      <c r="AR20" s="60">
        <f t="shared" si="0"/>
        <v>0</v>
      </c>
      <c r="AS20" s="15" t="e">
        <v>#N/A</v>
      </c>
      <c r="AT20" s="17" t="e">
        <v>#N/A</v>
      </c>
      <c r="AU20" s="17" t="e">
        <f t="shared" si="1"/>
        <v>#N/A</v>
      </c>
    </row>
    <row r="21" spans="1:47" s="17" customFormat="1" ht="19.5" hidden="1" thickBot="1" x14ac:dyDescent="0.35">
      <c r="A21" s="2"/>
      <c r="B21" s="97"/>
      <c r="C21" s="878"/>
      <c r="D21" s="858"/>
      <c r="E21" s="674" t="s">
        <v>33</v>
      </c>
      <c r="F21" s="865"/>
      <c r="G21" s="71">
        <f>IFERROR(VLOOKUP(E21:E21,[1]Sheet4!$O:$P,2,0),0)</f>
        <v>0</v>
      </c>
      <c r="H21" s="868"/>
      <c r="I21" s="870"/>
      <c r="J21" s="850"/>
      <c r="K21" s="849"/>
      <c r="L21" s="849"/>
      <c r="M21" s="816"/>
      <c r="N21" s="30">
        <f>SUMIF('3 D P'!$D:$D,Cockpit!$E$5:$E$146,'3 D P'!L:L)</f>
        <v>0</v>
      </c>
      <c r="O21" s="30">
        <f>SUMIF('3 D P'!$D:$D,Cockpit!$E$5:$E$146,'3 D P'!M:M)</f>
        <v>0</v>
      </c>
      <c r="P21" s="30">
        <f>SUMIF('3 D P'!$D:$D,Cockpit!$E$5:$E$146,'3 D P'!N:N)</f>
        <v>0</v>
      </c>
      <c r="Q21" s="132">
        <f>IFERROR(VLOOKUP($D21,'Aptiv Dispatch'!$A:$B,2,FALSE),0)</f>
        <v>0</v>
      </c>
      <c r="R21" s="34">
        <f>SUMIF('Consumption MTD'!B:B,Cockpit!$E$5:$E$146,'Consumption MTD'!C:C)</f>
        <v>0</v>
      </c>
      <c r="S21" s="34">
        <f>SUMIF('BIW Lifting A Shift'!$B:$B,Cockpit!$E$5:$E$146,'BIW Lifting A Shift'!C:C)</f>
        <v>0</v>
      </c>
      <c r="T21" s="34">
        <f>SUMIF('BIW Lifting B Shift'!$B:$B,Cockpit!$E$5:$E$146,'BIW Lifting B Shift'!C:C)</f>
        <v>0</v>
      </c>
      <c r="U21" s="818"/>
      <c r="V21" s="852"/>
      <c r="W21" s="855"/>
      <c r="X21" s="555">
        <f>SUMIF(FLOAT!$D:$D,Cockpit!$E$5:$E$146,FLOAT!F:F)</f>
        <v>0</v>
      </c>
      <c r="Y21" s="15"/>
      <c r="Z21" s="455">
        <v>0</v>
      </c>
      <c r="AA21" s="49"/>
      <c r="AB21" s="15"/>
      <c r="AC21" s="15"/>
      <c r="AD21" s="54"/>
      <c r="AE21" s="821"/>
      <c r="AF21" s="49"/>
      <c r="AG21" s="278"/>
      <c r="AH21" s="62">
        <f>SUMIF(FLOAT!$D:$D,Cockpit!$E21:$E165,FLOAT!G:G)</f>
        <v>0</v>
      </c>
      <c r="AI21" s="62">
        <f>SUMIF(FLOAT!$D:$D,Cockpit!$E21:$E165,FLOAT!H:H)</f>
        <v>0</v>
      </c>
      <c r="AJ21" s="62">
        <f>SUMIF(FLOAT!$D:$D,Cockpit!$E21:$E165,FLOAT!I:I)</f>
        <v>0</v>
      </c>
      <c r="AK21" s="62">
        <f>SUMIF(FLOAT!$D:$D,Cockpit!$E21:$E165,FLOAT!J:J)</f>
        <v>0</v>
      </c>
      <c r="AL21" s="62">
        <f>SUMIF(FLOAT!$D:$D,Cockpit!$E21:$E165,FLOAT!K:K)</f>
        <v>0</v>
      </c>
      <c r="AM21" s="62">
        <f>SUMIF(FLOAT!$D:$D,Cockpit!$E21:$E165,FLOAT!L:L)</f>
        <v>0</v>
      </c>
      <c r="AN21" s="62">
        <f>SUMIF(FLOAT!$D:$D,Cockpit!$E21:$E165,FLOAT!M:M)</f>
        <v>0</v>
      </c>
      <c r="AO21" s="62">
        <f>SUMIF(FLOAT!$D:$D,Cockpit!$E21:$E165,FLOAT!N:N)</f>
        <v>0</v>
      </c>
      <c r="AP21" s="62">
        <f>SUMIF(FLOAT!$D:$D,Cockpit!$E21:$E165,FLOAT!O:O)</f>
        <v>0</v>
      </c>
      <c r="AQ21" s="62">
        <f>SUMIF(FLOAT!$D:$D,Cockpit!$E21:$E165,FLOAT!P:P)</f>
        <v>0</v>
      </c>
      <c r="AR21" s="60">
        <f t="shared" si="0"/>
        <v>0</v>
      </c>
      <c r="AS21" s="15" t="e">
        <v>#N/A</v>
      </c>
      <c r="AT21" s="17" t="e">
        <v>#N/A</v>
      </c>
      <c r="AU21" s="17" t="e">
        <f t="shared" si="1"/>
        <v>#N/A</v>
      </c>
    </row>
    <row r="22" spans="1:47" s="17" customFormat="1" ht="19.5" hidden="1" thickBot="1" x14ac:dyDescent="0.35">
      <c r="A22" s="2"/>
      <c r="B22" s="97"/>
      <c r="C22" s="878"/>
      <c r="D22" s="867"/>
      <c r="E22" s="88" t="s">
        <v>32</v>
      </c>
      <c r="F22" s="865"/>
      <c r="G22" s="71">
        <f>IFERROR(VLOOKUP(E22:E22,[1]Sheet4!$O:$P,2,0),0)</f>
        <v>0</v>
      </c>
      <c r="H22" s="825"/>
      <c r="I22" s="871"/>
      <c r="J22" s="837"/>
      <c r="K22" s="823"/>
      <c r="L22" s="823"/>
      <c r="M22" s="816"/>
      <c r="N22" s="30">
        <f>SUMIF('3 D P'!$D:$D,Cockpit!$E$5:$E$146,'3 D P'!L:L)</f>
        <v>0</v>
      </c>
      <c r="O22" s="30">
        <f>SUMIF('3 D P'!$D:$D,Cockpit!$E$5:$E$146,'3 D P'!M:M)</f>
        <v>0</v>
      </c>
      <c r="P22" s="30">
        <f>SUMIF('3 D P'!$D:$D,Cockpit!$E$5:$E$146,'3 D P'!N:N)</f>
        <v>0</v>
      </c>
      <c r="Q22" s="132">
        <f>IFERROR(VLOOKUP($D22,'Aptiv Dispatch'!$A:$B,2,FALSE),0)</f>
        <v>0</v>
      </c>
      <c r="R22" s="34">
        <f>SUMIF('Consumption MTD'!B:B,Cockpit!$E$5:$E$146,'Consumption MTD'!C:C)</f>
        <v>0</v>
      </c>
      <c r="S22" s="34">
        <f>SUMIF('BIW Lifting A Shift'!$B:$B,Cockpit!$E$5:$E$146,'BIW Lifting A Shift'!C:C)</f>
        <v>0</v>
      </c>
      <c r="T22" s="34">
        <f>SUMIF('BIW Lifting B Shift'!$B:$B,Cockpit!$E$5:$E$146,'BIW Lifting B Shift'!C:C)</f>
        <v>0</v>
      </c>
      <c r="U22" s="818"/>
      <c r="V22" s="853"/>
      <c r="W22" s="856"/>
      <c r="X22" s="555">
        <f>SUMIF(FLOAT!$D:$D,Cockpit!$E$5:$E$146,FLOAT!F:F)</f>
        <v>0</v>
      </c>
      <c r="Y22" s="15"/>
      <c r="Z22" s="455">
        <v>0</v>
      </c>
      <c r="AA22" s="49"/>
      <c r="AB22" s="15"/>
      <c r="AC22" s="15"/>
      <c r="AD22" s="54"/>
      <c r="AE22" s="821"/>
      <c r="AF22" s="49"/>
      <c r="AG22" s="278"/>
      <c r="AH22" s="62">
        <f>SUMIF(FLOAT!$D:$D,Cockpit!$E22:$E166,FLOAT!G:G)</f>
        <v>0</v>
      </c>
      <c r="AI22" s="62">
        <f>SUMIF(FLOAT!$D:$D,Cockpit!$E22:$E166,FLOAT!H:H)</f>
        <v>0</v>
      </c>
      <c r="AJ22" s="62">
        <f>SUMIF(FLOAT!$D:$D,Cockpit!$E22:$E166,FLOAT!I:I)</f>
        <v>0</v>
      </c>
      <c r="AK22" s="62">
        <f>SUMIF(FLOAT!$D:$D,Cockpit!$E22:$E166,FLOAT!J:J)</f>
        <v>0</v>
      </c>
      <c r="AL22" s="62">
        <f>SUMIF(FLOAT!$D:$D,Cockpit!$E22:$E166,FLOAT!K:K)</f>
        <v>0</v>
      </c>
      <c r="AM22" s="62">
        <f>SUMIF(FLOAT!$D:$D,Cockpit!$E22:$E166,FLOAT!L:L)</f>
        <v>0</v>
      </c>
      <c r="AN22" s="62">
        <f>SUMIF(FLOAT!$D:$D,Cockpit!$E22:$E166,FLOAT!M:M)</f>
        <v>0</v>
      </c>
      <c r="AO22" s="62">
        <f>SUMIF(FLOAT!$D:$D,Cockpit!$E22:$E166,FLOAT!N:N)</f>
        <v>0</v>
      </c>
      <c r="AP22" s="62">
        <f>SUMIF(FLOAT!$D:$D,Cockpit!$E22:$E166,FLOAT!O:O)</f>
        <v>0</v>
      </c>
      <c r="AQ22" s="62">
        <f>SUMIF(FLOAT!$D:$D,Cockpit!$E22:$E166,FLOAT!P:P)</f>
        <v>0</v>
      </c>
      <c r="AR22" s="60">
        <f t="shared" si="0"/>
        <v>0</v>
      </c>
      <c r="AS22" s="15" t="e">
        <v>#N/A</v>
      </c>
      <c r="AT22" s="17" t="e">
        <v>#N/A</v>
      </c>
      <c r="AU22" s="17" t="e">
        <f t="shared" si="1"/>
        <v>#N/A</v>
      </c>
    </row>
    <row r="23" spans="1:47" ht="19.5" hidden="1" thickBot="1" x14ac:dyDescent="0.35">
      <c r="A23" s="2"/>
      <c r="B23" s="97"/>
      <c r="C23" s="100">
        <v>544254600510</v>
      </c>
      <c r="D23" s="702">
        <v>544254650107</v>
      </c>
      <c r="E23" s="671" t="s">
        <v>133</v>
      </c>
      <c r="F23" s="645" t="s">
        <v>134</v>
      </c>
      <c r="G23" s="71">
        <f>IFERROR(VLOOKUP(E23:E23,[1]Sheet4!$O:$P,2,0),0)</f>
        <v>0</v>
      </c>
      <c r="H23" s="160">
        <f>G23</f>
        <v>0</v>
      </c>
      <c r="I23" s="357">
        <v>0</v>
      </c>
      <c r="J23" s="163">
        <f>Q23</f>
        <v>0</v>
      </c>
      <c r="K23" s="164">
        <f>R23</f>
        <v>0</v>
      </c>
      <c r="L23" s="164">
        <f>H23-K23</f>
        <v>0</v>
      </c>
      <c r="M23" s="637">
        <f>I23+J23-K23</f>
        <v>0</v>
      </c>
      <c r="N23" s="30">
        <f>SUMIF('3 D P'!$D:$D,Cockpit!$E$5:$E$146,'3 D P'!L:L)</f>
        <v>0</v>
      </c>
      <c r="O23" s="30">
        <f>SUMIF('3 D P'!$D:$D,Cockpit!$E$5:$E$146,'3 D P'!M:M)</f>
        <v>0</v>
      </c>
      <c r="P23" s="30">
        <f>SUMIF('3 D P'!$D:$D,Cockpit!$E$5:$E$146,'3 D P'!N:N)</f>
        <v>0</v>
      </c>
      <c r="Q23" s="132">
        <f>IFERROR(VLOOKUP($D23,'Aptiv Dispatch'!$A:$B,2,FALSE),0)</f>
        <v>0</v>
      </c>
      <c r="R23" s="34">
        <f>SUMIF('Consumption MTD'!B:B,Cockpit!$E$5:$E$146,'Consumption MTD'!C:C)</f>
        <v>0</v>
      </c>
      <c r="S23" s="34">
        <f>SUMIF('BIW Lifting A Shift'!$B:$B,Cockpit!$E$5:$E$146,'BIW Lifting A Shift'!C:C)</f>
        <v>0</v>
      </c>
      <c r="T23" s="34">
        <f>SUMIF('BIW Lifting B Shift'!$B:$B,Cockpit!$E$5:$E$146,'BIW Lifting B Shift'!C:C)</f>
        <v>0</v>
      </c>
      <c r="U23" s="160">
        <f>M23-X23</f>
        <v>0</v>
      </c>
      <c r="V23" s="160">
        <f>M23-S23-X23</f>
        <v>0</v>
      </c>
      <c r="W23" s="567">
        <f>V23-T23</f>
        <v>0</v>
      </c>
      <c r="X23" s="555">
        <f>SUMIF(FLOAT!$D:$D,Cockpit!$E$5:$E$146,FLOAT!F:F)</f>
        <v>0</v>
      </c>
      <c r="Y23" s="15">
        <v>0</v>
      </c>
      <c r="Z23" s="455">
        <v>0</v>
      </c>
      <c r="AA23" s="49"/>
      <c r="AB23" s="15"/>
      <c r="AC23" s="15"/>
      <c r="AE23" s="118">
        <v>5</v>
      </c>
      <c r="AF23" s="49"/>
      <c r="AG23" s="278"/>
      <c r="AH23" s="62">
        <f>SUMIF(FLOAT!$D:$D,Cockpit!$E23:$E167,FLOAT!G:G)</f>
        <v>0</v>
      </c>
      <c r="AI23" s="62">
        <f>SUMIF(FLOAT!$D:$D,Cockpit!$E23:$E167,FLOAT!H:H)</f>
        <v>0</v>
      </c>
      <c r="AJ23" s="62">
        <f>SUMIF(FLOAT!$D:$D,Cockpit!$E23:$E167,FLOAT!I:I)</f>
        <v>0</v>
      </c>
      <c r="AK23" s="62">
        <f>SUMIF(FLOAT!$D:$D,Cockpit!$E23:$E167,FLOAT!J:J)</f>
        <v>0</v>
      </c>
      <c r="AL23" s="62">
        <f>SUMIF(FLOAT!$D:$D,Cockpit!$E23:$E167,FLOAT!K:K)</f>
        <v>0</v>
      </c>
      <c r="AM23" s="62">
        <f>SUMIF(FLOAT!$D:$D,Cockpit!$E23:$E167,FLOAT!L:L)</f>
        <v>0</v>
      </c>
      <c r="AN23" s="62">
        <f>SUMIF(FLOAT!$D:$D,Cockpit!$E23:$E167,FLOAT!M:M)</f>
        <v>0</v>
      </c>
      <c r="AO23" s="62">
        <f>SUMIF(FLOAT!$D:$D,Cockpit!$E23:$E167,FLOAT!N:N)</f>
        <v>0</v>
      </c>
      <c r="AP23" s="62">
        <f>SUMIF(FLOAT!$D:$D,Cockpit!$E23:$E167,FLOAT!O:O)</f>
        <v>0</v>
      </c>
      <c r="AQ23" s="62">
        <f>SUMIF(FLOAT!$D:$D,Cockpit!$E23:$E167,FLOAT!P:P)</f>
        <v>0</v>
      </c>
      <c r="AR23" s="170">
        <f t="shared" si="0"/>
        <v>0</v>
      </c>
      <c r="AS23" s="15" t="e">
        <v>#N/A</v>
      </c>
      <c r="AT23" s="17" t="e">
        <v>#N/A</v>
      </c>
      <c r="AU23" s="17" t="e">
        <f t="shared" si="1"/>
        <v>#N/A</v>
      </c>
    </row>
    <row r="24" spans="1:47" s="17" customFormat="1" ht="19.5" hidden="1" thickBot="1" x14ac:dyDescent="0.35">
      <c r="A24" s="2">
        <v>544246200392</v>
      </c>
      <c r="B24" s="889">
        <v>544254630258</v>
      </c>
      <c r="C24" s="890">
        <v>544254630265</v>
      </c>
      <c r="D24" s="857">
        <v>544254650109</v>
      </c>
      <c r="E24" s="674" t="s">
        <v>34</v>
      </c>
      <c r="F24" s="865" t="s">
        <v>23</v>
      </c>
      <c r="G24" s="71">
        <f>IFERROR(VLOOKUP(E24:E24,[1]Sheet4!$O:$P,2,0),0)</f>
        <v>0</v>
      </c>
      <c r="H24" s="824">
        <f>SUM(G24:G25)</f>
        <v>0</v>
      </c>
      <c r="I24" s="869">
        <v>0</v>
      </c>
      <c r="J24" s="836">
        <f>Q24</f>
        <v>0</v>
      </c>
      <c r="K24" s="822">
        <f>SUM(R24:R25)</f>
        <v>0</v>
      </c>
      <c r="L24" s="822">
        <f>H24-K24</f>
        <v>0</v>
      </c>
      <c r="M24" s="816">
        <f>I24+J24-K24</f>
        <v>0</v>
      </c>
      <c r="N24" s="30">
        <f>SUMIF('3 D P'!$D:$D,Cockpit!$E$5:$E$146,'3 D P'!L:L)</f>
        <v>0</v>
      </c>
      <c r="O24" s="30">
        <f>SUMIF('3 D P'!$D:$D,Cockpit!$E$5:$E$146,'3 D P'!M:M)</f>
        <v>0</v>
      </c>
      <c r="P24" s="30">
        <f>SUMIF('3 D P'!$D:$D,Cockpit!$E$5:$E$146,'3 D P'!N:N)</f>
        <v>0</v>
      </c>
      <c r="Q24" s="132">
        <f>IFERROR(VLOOKUP($D24,'Aptiv Dispatch'!$A:$B,2,FALSE),0)</f>
        <v>0</v>
      </c>
      <c r="R24" s="34">
        <f>SUMIF('Consumption MTD'!B:B,Cockpit!$E$5:$E$146,'Consumption MTD'!C:C)</f>
        <v>0</v>
      </c>
      <c r="S24" s="34">
        <f>SUMIF('BIW Lifting A Shift'!$B:$B,Cockpit!$E$5:$E$146,'BIW Lifting A Shift'!C:C)</f>
        <v>0</v>
      </c>
      <c r="T24" s="34">
        <f>SUMIF('BIW Lifting B Shift'!$B:$B,Cockpit!$E$5:$E$146,'BIW Lifting B Shift'!C:C)</f>
        <v>0</v>
      </c>
      <c r="U24" s="818">
        <f>M24-X24-X25</f>
        <v>0</v>
      </c>
      <c r="V24" s="851">
        <f>M24-X24-X25-S24-S25</f>
        <v>0</v>
      </c>
      <c r="W24" s="854">
        <f>V24-T24-T25</f>
        <v>0</v>
      </c>
      <c r="X24" s="555">
        <f>SUMIF(FLOAT!$D:$D,Cockpit!$E$5:$E$146,FLOAT!F:F)</f>
        <v>0</v>
      </c>
      <c r="Y24" s="15">
        <v>0</v>
      </c>
      <c r="Z24" s="455">
        <v>0</v>
      </c>
      <c r="AA24" s="49"/>
      <c r="AB24" s="15"/>
      <c r="AC24" s="15"/>
      <c r="AD24" s="54"/>
      <c r="AE24" s="821">
        <v>33</v>
      </c>
      <c r="AF24" s="49"/>
      <c r="AG24" s="278"/>
      <c r="AH24" s="62">
        <f>SUMIF(FLOAT!$D:$D,Cockpit!$E24:$E168,FLOAT!G:G)</f>
        <v>0</v>
      </c>
      <c r="AI24" s="62">
        <f>SUMIF(FLOAT!$D:$D,Cockpit!$E24:$E168,FLOAT!H:H)</f>
        <v>0</v>
      </c>
      <c r="AJ24" s="62">
        <f>SUMIF(FLOAT!$D:$D,Cockpit!$E24:$E168,FLOAT!I:I)</f>
        <v>0</v>
      </c>
      <c r="AK24" s="62">
        <f>SUMIF(FLOAT!$D:$D,Cockpit!$E24:$E168,FLOAT!J:J)</f>
        <v>0</v>
      </c>
      <c r="AL24" s="62">
        <f>SUMIF(FLOAT!$D:$D,Cockpit!$E24:$E168,FLOAT!K:K)</f>
        <v>0</v>
      </c>
      <c r="AM24" s="62">
        <f>SUMIF(FLOAT!$D:$D,Cockpit!$E24:$E168,FLOAT!L:L)</f>
        <v>0</v>
      </c>
      <c r="AN24" s="62">
        <f>SUMIF(FLOAT!$D:$D,Cockpit!$E24:$E168,FLOAT!M:M)</f>
        <v>0</v>
      </c>
      <c r="AO24" s="62">
        <f>SUMIF(FLOAT!$D:$D,Cockpit!$E24:$E168,FLOAT!N:N)</f>
        <v>0</v>
      </c>
      <c r="AP24" s="62">
        <f>SUMIF(FLOAT!$D:$D,Cockpit!$E24:$E168,FLOAT!O:O)</f>
        <v>0</v>
      </c>
      <c r="AQ24" s="62">
        <f>SUMIF(FLOAT!$D:$D,Cockpit!$E24:$E168,FLOAT!P:P)</f>
        <v>0</v>
      </c>
      <c r="AR24" s="60">
        <f t="shared" si="0"/>
        <v>0</v>
      </c>
      <c r="AS24" s="15" t="e">
        <v>#N/A</v>
      </c>
      <c r="AT24" s="17" t="e">
        <v>#N/A</v>
      </c>
      <c r="AU24" s="17" t="e">
        <f t="shared" si="1"/>
        <v>#N/A</v>
      </c>
    </row>
    <row r="25" spans="1:47" s="17" customFormat="1" ht="19.5" hidden="1" thickBot="1" x14ac:dyDescent="0.35">
      <c r="A25" s="2"/>
      <c r="B25" s="889"/>
      <c r="C25" s="890"/>
      <c r="D25" s="867"/>
      <c r="E25" s="674" t="s">
        <v>35</v>
      </c>
      <c r="F25" s="865"/>
      <c r="G25" s="71">
        <f>IFERROR(VLOOKUP(E25:E25,[1]Sheet4!$O:$P,2,0),0)</f>
        <v>0</v>
      </c>
      <c r="H25" s="825"/>
      <c r="I25" s="871"/>
      <c r="J25" s="837"/>
      <c r="K25" s="823"/>
      <c r="L25" s="823"/>
      <c r="M25" s="816"/>
      <c r="N25" s="30">
        <f>SUMIF('3 D P'!$D:$D,Cockpit!$E$5:$E$146,'3 D P'!L:L)</f>
        <v>0</v>
      </c>
      <c r="O25" s="30">
        <f>SUMIF('3 D P'!$D:$D,Cockpit!$E$5:$E$146,'3 D P'!M:M)</f>
        <v>0</v>
      </c>
      <c r="P25" s="30">
        <f>SUMIF('3 D P'!$D:$D,Cockpit!$E$5:$E$146,'3 D P'!N:N)</f>
        <v>0</v>
      </c>
      <c r="Q25" s="132">
        <f>IFERROR(VLOOKUP($D25,'Aptiv Dispatch'!$A:$B,2,FALSE),0)</f>
        <v>0</v>
      </c>
      <c r="R25" s="34">
        <f>SUMIF('Consumption MTD'!B:B,Cockpit!$E$5:$E$146,'Consumption MTD'!C:C)</f>
        <v>0</v>
      </c>
      <c r="S25" s="34">
        <f>SUMIF('BIW Lifting A Shift'!$B:$B,Cockpit!$E$5:$E$146,'BIW Lifting A Shift'!C:C)</f>
        <v>0</v>
      </c>
      <c r="T25" s="34">
        <f>SUMIF('BIW Lifting B Shift'!$B:$B,Cockpit!$E$5:$E$146,'BIW Lifting B Shift'!C:C)</f>
        <v>0</v>
      </c>
      <c r="U25" s="818"/>
      <c r="V25" s="853"/>
      <c r="W25" s="856"/>
      <c r="X25" s="555">
        <f>SUMIF(FLOAT!$D:$D,Cockpit!$E$5:$E$146,FLOAT!F:F)</f>
        <v>0</v>
      </c>
      <c r="Y25" s="15"/>
      <c r="Z25" s="455">
        <v>0</v>
      </c>
      <c r="AA25" s="49"/>
      <c r="AB25" s="15"/>
      <c r="AC25" s="15"/>
      <c r="AD25" s="54"/>
      <c r="AE25" s="821"/>
      <c r="AF25" s="49"/>
      <c r="AG25" s="278"/>
      <c r="AH25" s="62">
        <f>SUMIF(FLOAT!$D:$D,Cockpit!$E25:$E169,FLOAT!G:G)</f>
        <v>0</v>
      </c>
      <c r="AI25" s="62">
        <f>SUMIF(FLOAT!$D:$D,Cockpit!$E25:$E169,FLOAT!H:H)</f>
        <v>0</v>
      </c>
      <c r="AJ25" s="62">
        <f>SUMIF(FLOAT!$D:$D,Cockpit!$E25:$E169,FLOAT!I:I)</f>
        <v>0</v>
      </c>
      <c r="AK25" s="62">
        <f>SUMIF(FLOAT!$D:$D,Cockpit!$E25:$E169,FLOAT!J:J)</f>
        <v>0</v>
      </c>
      <c r="AL25" s="62">
        <f>SUMIF(FLOAT!$D:$D,Cockpit!$E25:$E169,FLOAT!K:K)</f>
        <v>0</v>
      </c>
      <c r="AM25" s="62">
        <f>SUMIF(FLOAT!$D:$D,Cockpit!$E25:$E169,FLOAT!L:L)</f>
        <v>0</v>
      </c>
      <c r="AN25" s="62">
        <f>SUMIF(FLOAT!$D:$D,Cockpit!$E25:$E169,FLOAT!M:M)</f>
        <v>0</v>
      </c>
      <c r="AO25" s="62">
        <f>SUMIF(FLOAT!$D:$D,Cockpit!$E25:$E169,FLOAT!N:N)</f>
        <v>0</v>
      </c>
      <c r="AP25" s="62">
        <f>SUMIF(FLOAT!$D:$D,Cockpit!$E25:$E169,FLOAT!O:O)</f>
        <v>0</v>
      </c>
      <c r="AQ25" s="62">
        <f>SUMIF(FLOAT!$D:$D,Cockpit!$E25:$E169,FLOAT!P:P)</f>
        <v>0</v>
      </c>
      <c r="AR25" s="60">
        <f t="shared" si="0"/>
        <v>0</v>
      </c>
      <c r="AS25" s="15" t="e">
        <v>#N/A</v>
      </c>
      <c r="AT25" s="17" t="e">
        <v>#N/A</v>
      </c>
      <c r="AU25" s="17" t="e">
        <f t="shared" si="1"/>
        <v>#N/A</v>
      </c>
    </row>
    <row r="26" spans="1:47" ht="19.5" hidden="1" thickBot="1" x14ac:dyDescent="0.35">
      <c r="A26" s="2">
        <v>544254630222</v>
      </c>
      <c r="B26" s="97">
        <v>544254630165</v>
      </c>
      <c r="C26" s="878">
        <v>544254630254</v>
      </c>
      <c r="D26" s="857">
        <v>544254650110</v>
      </c>
      <c r="E26" s="88" t="s">
        <v>36</v>
      </c>
      <c r="F26" s="865" t="s">
        <v>159</v>
      </c>
      <c r="G26" s="71">
        <f>IFERROR(VLOOKUP(E26:E26,[1]Sheet4!$O:$P,2,0),0)</f>
        <v>0</v>
      </c>
      <c r="H26" s="879">
        <f>SUM(G26:G28)</f>
        <v>0</v>
      </c>
      <c r="I26" s="882">
        <v>0</v>
      </c>
      <c r="J26" s="885">
        <f>Q26</f>
        <v>0</v>
      </c>
      <c r="K26" s="860">
        <f>SUM(R26:R28)</f>
        <v>0</v>
      </c>
      <c r="L26" s="860">
        <f>H26-K26</f>
        <v>0</v>
      </c>
      <c r="M26" s="894">
        <f>I26+J26-K26</f>
        <v>0</v>
      </c>
      <c r="N26" s="30">
        <f>SUMIF('3 D P'!$D:$D,Cockpit!$E$5:$E$146,'3 D P'!L:L)</f>
        <v>0</v>
      </c>
      <c r="O26" s="30">
        <f>SUMIF('3 D P'!$D:$D,Cockpit!$E$5:$E$146,'3 D P'!M:M)</f>
        <v>0</v>
      </c>
      <c r="P26" s="30">
        <f>SUMIF('3 D P'!$D:$D,Cockpit!$E$5:$E$146,'3 D P'!N:N)</f>
        <v>0</v>
      </c>
      <c r="Q26" s="132">
        <f>IFERROR(VLOOKUP($D26,'Aptiv Dispatch'!$A:$B,2,FALSE),0)</f>
        <v>0</v>
      </c>
      <c r="R26" s="34">
        <f>SUMIF('Consumption MTD'!B:B,Cockpit!$E$5:$E$146,'Consumption MTD'!C:C)</f>
        <v>0</v>
      </c>
      <c r="S26" s="34">
        <f>SUMIF('BIW Lifting A Shift'!$B:$B,Cockpit!$E$5:$E$146,'BIW Lifting A Shift'!C:C)</f>
        <v>0</v>
      </c>
      <c r="T26" s="34">
        <f>SUMIF('BIW Lifting B Shift'!$B:$B,Cockpit!$E$5:$E$146,'BIW Lifting B Shift'!C:C)</f>
        <v>0</v>
      </c>
      <c r="U26" s="817">
        <f>M26-X26-X27-X28</f>
        <v>0</v>
      </c>
      <c r="V26" s="859">
        <f>M26-X26-X27-X28-S26-S27-S28</f>
        <v>0</v>
      </c>
      <c r="W26" s="875">
        <f>V26-T26-T27-T28</f>
        <v>0</v>
      </c>
      <c r="X26" s="555">
        <f>SUMIF(FLOAT!$D:$D,Cockpit!$E$5:$E$146,FLOAT!F:F)</f>
        <v>0</v>
      </c>
      <c r="Y26" s="15">
        <v>0</v>
      </c>
      <c r="Z26" s="455">
        <v>0</v>
      </c>
      <c r="AA26" s="49"/>
      <c r="AB26" s="15"/>
      <c r="AC26" s="15"/>
      <c r="AE26" s="821">
        <v>39</v>
      </c>
      <c r="AF26" s="49"/>
      <c r="AG26" s="278"/>
      <c r="AH26" s="62">
        <f>SUMIF(FLOAT!$D:$D,Cockpit!$E26:$E170,FLOAT!G:G)</f>
        <v>0</v>
      </c>
      <c r="AI26" s="62">
        <f>SUMIF(FLOAT!$D:$D,Cockpit!$E26:$E170,FLOAT!H:H)</f>
        <v>0</v>
      </c>
      <c r="AJ26" s="62">
        <f>SUMIF(FLOAT!$D:$D,Cockpit!$E26:$E170,FLOAT!I:I)</f>
        <v>0</v>
      </c>
      <c r="AK26" s="62">
        <f>SUMIF(FLOAT!$D:$D,Cockpit!$E26:$E170,FLOAT!J:J)</f>
        <v>0</v>
      </c>
      <c r="AL26" s="62">
        <f>SUMIF(FLOAT!$D:$D,Cockpit!$E26:$E170,FLOAT!K:K)</f>
        <v>0</v>
      </c>
      <c r="AM26" s="62">
        <f>SUMIF(FLOAT!$D:$D,Cockpit!$E26:$E170,FLOAT!L:L)</f>
        <v>0</v>
      </c>
      <c r="AN26" s="62">
        <f>SUMIF(FLOAT!$D:$D,Cockpit!$E26:$E170,FLOAT!M:M)</f>
        <v>0</v>
      </c>
      <c r="AO26" s="62">
        <f>SUMIF(FLOAT!$D:$D,Cockpit!$E26:$E170,FLOAT!N:N)</f>
        <v>0</v>
      </c>
      <c r="AP26" s="62">
        <f>SUMIF(FLOAT!$D:$D,Cockpit!$E26:$E170,FLOAT!O:O)</f>
        <v>0</v>
      </c>
      <c r="AQ26" s="62">
        <f>SUMIF(FLOAT!$D:$D,Cockpit!$E26:$E170,FLOAT!P:P)</f>
        <v>0</v>
      </c>
      <c r="AR26" s="170">
        <f t="shared" si="0"/>
        <v>0</v>
      </c>
      <c r="AS26" s="15" t="e">
        <v>#N/A</v>
      </c>
      <c r="AT26" s="17" t="e">
        <v>#N/A</v>
      </c>
      <c r="AU26" s="17" t="e">
        <f t="shared" si="1"/>
        <v>#N/A</v>
      </c>
    </row>
    <row r="27" spans="1:47" ht="19.5" hidden="1" thickBot="1" x14ac:dyDescent="0.35">
      <c r="A27" s="2"/>
      <c r="B27" s="97"/>
      <c r="C27" s="878"/>
      <c r="D27" s="858"/>
      <c r="E27" s="88" t="s">
        <v>37</v>
      </c>
      <c r="F27" s="865"/>
      <c r="G27" s="71">
        <f>IFERROR(VLOOKUP(E27:E27,[1]Sheet4!$O:$P,2,0),0)</f>
        <v>0</v>
      </c>
      <c r="H27" s="880"/>
      <c r="I27" s="883"/>
      <c r="J27" s="886"/>
      <c r="K27" s="888"/>
      <c r="L27" s="888"/>
      <c r="M27" s="894"/>
      <c r="N27" s="30">
        <f>SUMIF('3 D P'!$D:$D,Cockpit!$E$5:$E$146,'3 D P'!L:L)</f>
        <v>0</v>
      </c>
      <c r="O27" s="30">
        <f>SUMIF('3 D P'!$D:$D,Cockpit!$E$5:$E$146,'3 D P'!M:M)</f>
        <v>0</v>
      </c>
      <c r="P27" s="30">
        <f>SUMIF('3 D P'!$D:$D,Cockpit!$E$5:$E$146,'3 D P'!N:N)</f>
        <v>0</v>
      </c>
      <c r="Q27" s="132">
        <f>IFERROR(VLOOKUP($D27,'Aptiv Dispatch'!$A:$B,2,FALSE),0)</f>
        <v>0</v>
      </c>
      <c r="R27" s="34">
        <f>SUMIF('Consumption MTD'!B:B,Cockpit!$E$5:$E$146,'Consumption MTD'!C:C)</f>
        <v>0</v>
      </c>
      <c r="S27" s="34">
        <f>SUMIF('BIW Lifting A Shift'!$B:$B,Cockpit!$E$5:$E$146,'BIW Lifting A Shift'!C:C)</f>
        <v>0</v>
      </c>
      <c r="T27" s="34">
        <f>SUMIF('BIW Lifting B Shift'!$B:$B,Cockpit!$E$5:$E$146,'BIW Lifting B Shift'!C:C)</f>
        <v>0</v>
      </c>
      <c r="U27" s="817"/>
      <c r="V27" s="873"/>
      <c r="W27" s="876"/>
      <c r="X27" s="555">
        <f>SUMIF(FLOAT!$D:$D,Cockpit!$E$5:$E$146,FLOAT!F:F)</f>
        <v>0</v>
      </c>
      <c r="Z27" s="455">
        <v>0</v>
      </c>
      <c r="AA27" s="49"/>
      <c r="AB27" s="15"/>
      <c r="AC27" s="15"/>
      <c r="AE27" s="821"/>
      <c r="AF27" s="49"/>
      <c r="AG27" s="278"/>
      <c r="AH27" s="62">
        <f>SUMIF(FLOAT!$D:$D,Cockpit!$E27:$E171,FLOAT!G:G)</f>
        <v>0</v>
      </c>
      <c r="AI27" s="62">
        <f>SUMIF(FLOAT!$D:$D,Cockpit!$E27:$E171,FLOAT!H:H)</f>
        <v>0</v>
      </c>
      <c r="AJ27" s="62">
        <f>SUMIF(FLOAT!$D:$D,Cockpit!$E27:$E171,FLOAT!I:I)</f>
        <v>0</v>
      </c>
      <c r="AK27" s="62">
        <f>SUMIF(FLOAT!$D:$D,Cockpit!$E27:$E171,FLOAT!J:J)</f>
        <v>0</v>
      </c>
      <c r="AL27" s="62">
        <f>SUMIF(FLOAT!$D:$D,Cockpit!$E27:$E171,FLOAT!K:K)</f>
        <v>0</v>
      </c>
      <c r="AM27" s="62">
        <f>SUMIF(FLOAT!$D:$D,Cockpit!$E27:$E171,FLOAT!L:L)</f>
        <v>0</v>
      </c>
      <c r="AN27" s="62">
        <f>SUMIF(FLOAT!$D:$D,Cockpit!$E27:$E171,FLOAT!M:M)</f>
        <v>0</v>
      </c>
      <c r="AO27" s="62">
        <f>SUMIF(FLOAT!$D:$D,Cockpit!$E27:$E171,FLOAT!N:N)</f>
        <v>0</v>
      </c>
      <c r="AP27" s="62">
        <f>SUMIF(FLOAT!$D:$D,Cockpit!$E27:$E171,FLOAT!O:O)</f>
        <v>0</v>
      </c>
      <c r="AQ27" s="62">
        <f>SUMIF(FLOAT!$D:$D,Cockpit!$E27:$E171,FLOAT!P:P)</f>
        <v>0</v>
      </c>
      <c r="AR27" s="170">
        <f t="shared" si="0"/>
        <v>0</v>
      </c>
      <c r="AS27" s="15" t="e">
        <v>#N/A</v>
      </c>
      <c r="AT27" s="17" t="e">
        <v>#N/A</v>
      </c>
      <c r="AU27" s="17" t="e">
        <f t="shared" si="1"/>
        <v>#N/A</v>
      </c>
    </row>
    <row r="28" spans="1:47" ht="19.5" hidden="1" thickBot="1" x14ac:dyDescent="0.35">
      <c r="A28" s="2"/>
      <c r="B28" s="97"/>
      <c r="C28" s="878"/>
      <c r="D28" s="858"/>
      <c r="E28" s="674" t="s">
        <v>38</v>
      </c>
      <c r="F28" s="865"/>
      <c r="G28" s="71">
        <f>IFERROR(VLOOKUP(E28:E28,[1]Sheet4!$O:$P,2,0),0)</f>
        <v>0</v>
      </c>
      <c r="H28" s="881"/>
      <c r="I28" s="884"/>
      <c r="J28" s="887"/>
      <c r="K28" s="861"/>
      <c r="L28" s="861"/>
      <c r="M28" s="894"/>
      <c r="N28" s="30">
        <f>SUMIF('3 D P'!$D:$D,Cockpit!$E$5:$E$146,'3 D P'!L:L)</f>
        <v>0</v>
      </c>
      <c r="O28" s="30">
        <f>SUMIF('3 D P'!$D:$D,Cockpit!$E$5:$E$146,'3 D P'!M:M)</f>
        <v>0</v>
      </c>
      <c r="P28" s="30">
        <f>SUMIF('3 D P'!$D:$D,Cockpit!$E$5:$E$146,'3 D P'!N:N)</f>
        <v>0</v>
      </c>
      <c r="Q28" s="132">
        <f>IFERROR(VLOOKUP($D28,'Aptiv Dispatch'!$A:$B,2,FALSE),0)</f>
        <v>0</v>
      </c>
      <c r="R28" s="34">
        <f>SUMIF('Consumption MTD'!B:B,Cockpit!$E$5:$E$146,'Consumption MTD'!C:C)</f>
        <v>0</v>
      </c>
      <c r="S28" s="34">
        <f>SUMIF('BIW Lifting A Shift'!$B:$B,Cockpit!$E$5:$E$146,'BIW Lifting A Shift'!C:C)</f>
        <v>0</v>
      </c>
      <c r="T28" s="34">
        <f>SUMIF('BIW Lifting B Shift'!$B:$B,Cockpit!$E$5:$E$146,'BIW Lifting B Shift'!C:C)</f>
        <v>0</v>
      </c>
      <c r="U28" s="817"/>
      <c r="V28" s="874"/>
      <c r="W28" s="877"/>
      <c r="X28" s="555">
        <f>SUMIF(FLOAT!$D:$D,Cockpit!$E$5:$E$146,FLOAT!F:F)</f>
        <v>0</v>
      </c>
      <c r="Z28" s="455">
        <v>0</v>
      </c>
      <c r="AA28" s="49"/>
      <c r="AB28" s="15"/>
      <c r="AC28" s="15"/>
      <c r="AE28" s="821"/>
      <c r="AF28" s="49"/>
      <c r="AG28" s="278"/>
      <c r="AH28" s="62">
        <f>SUMIF(FLOAT!$D:$D,Cockpit!$E28:$E172,FLOAT!G:G)</f>
        <v>0</v>
      </c>
      <c r="AI28" s="62">
        <f>SUMIF(FLOAT!$D:$D,Cockpit!$E28:$E172,FLOAT!H:H)</f>
        <v>0</v>
      </c>
      <c r="AJ28" s="62">
        <f>SUMIF(FLOAT!$D:$D,Cockpit!$E28:$E172,FLOAT!I:I)</f>
        <v>0</v>
      </c>
      <c r="AK28" s="62">
        <f>SUMIF(FLOAT!$D:$D,Cockpit!$E28:$E172,FLOAT!J:J)</f>
        <v>0</v>
      </c>
      <c r="AL28" s="62">
        <f>SUMIF(FLOAT!$D:$D,Cockpit!$E28:$E172,FLOAT!K:K)</f>
        <v>0</v>
      </c>
      <c r="AM28" s="62">
        <f>SUMIF(FLOAT!$D:$D,Cockpit!$E28:$E172,FLOAT!L:L)</f>
        <v>0</v>
      </c>
      <c r="AN28" s="62">
        <f>SUMIF(FLOAT!$D:$D,Cockpit!$E28:$E172,FLOAT!M:M)</f>
        <v>0</v>
      </c>
      <c r="AO28" s="62">
        <f>SUMIF(FLOAT!$D:$D,Cockpit!$E28:$E172,FLOAT!N:N)</f>
        <v>0</v>
      </c>
      <c r="AP28" s="62">
        <f>SUMIF(FLOAT!$D:$D,Cockpit!$E28:$E172,FLOAT!O:O)</f>
        <v>0</v>
      </c>
      <c r="AQ28" s="62">
        <f>SUMIF(FLOAT!$D:$D,Cockpit!$E28:$E172,FLOAT!P:P)</f>
        <v>0</v>
      </c>
      <c r="AR28" s="170">
        <f t="shared" si="0"/>
        <v>0</v>
      </c>
      <c r="AS28" s="15" t="e">
        <v>#N/A</v>
      </c>
      <c r="AT28" s="17" t="e">
        <v>#N/A</v>
      </c>
      <c r="AU28" s="17" t="e">
        <f t="shared" si="1"/>
        <v>#N/A</v>
      </c>
    </row>
    <row r="29" spans="1:47" s="17" customFormat="1" ht="21.75" hidden="1" thickBot="1" x14ac:dyDescent="0.35">
      <c r="A29" s="2">
        <v>544246200220</v>
      </c>
      <c r="B29" s="97">
        <v>544254630259</v>
      </c>
      <c r="C29" s="104">
        <v>544254630264</v>
      </c>
      <c r="D29" s="702">
        <v>544254630115</v>
      </c>
      <c r="E29" s="674" t="s">
        <v>39</v>
      </c>
      <c r="F29" s="644" t="s">
        <v>24</v>
      </c>
      <c r="G29" s="71">
        <f>IFERROR(VLOOKUP(E29:E29,[1]Sheet4!$O:$P,2,0),0)</f>
        <v>0</v>
      </c>
      <c r="H29" s="45">
        <f>G29</f>
        <v>0</v>
      </c>
      <c r="I29" s="76">
        <v>0</v>
      </c>
      <c r="J29" s="75">
        <f>Q29</f>
        <v>0</v>
      </c>
      <c r="K29" s="76">
        <f>R29</f>
        <v>0</v>
      </c>
      <c r="L29" s="76">
        <f>H29-K29</f>
        <v>0</v>
      </c>
      <c r="M29" s="77">
        <f>I29+J29-K29</f>
        <v>0</v>
      </c>
      <c r="N29" s="30">
        <f>SUMIF('3 D P'!$D:$D,Cockpit!$E$5:$E$146,'3 D P'!L:L)</f>
        <v>0</v>
      </c>
      <c r="O29" s="30">
        <f>SUMIF('3 D P'!$D:$D,Cockpit!$E$5:$E$146,'3 D P'!M:M)</f>
        <v>0</v>
      </c>
      <c r="P29" s="30">
        <f>SUMIF('3 D P'!$D:$D,Cockpit!$E$5:$E$146,'3 D P'!N:N)</f>
        <v>0</v>
      </c>
      <c r="Q29" s="132">
        <f>IFERROR(VLOOKUP($D29,'Aptiv Dispatch'!$A:$B,2,FALSE),0)</f>
        <v>0</v>
      </c>
      <c r="R29" s="34">
        <f>SUMIF('Consumption MTD'!B:B,Cockpit!$E$5:$E$146,'Consumption MTD'!C:C)</f>
        <v>0</v>
      </c>
      <c r="S29" s="34">
        <f>SUMIF('BIW Lifting A Shift'!$B:$B,Cockpit!$E$5:$E$146,'BIW Lifting A Shift'!C:C)</f>
        <v>0</v>
      </c>
      <c r="T29" s="34">
        <f>SUMIF('BIW Lifting B Shift'!$B:$B,Cockpit!$E$5:$E$146,'BIW Lifting B Shift'!C:C)</f>
        <v>0</v>
      </c>
      <c r="U29" s="74">
        <f>M29-X29</f>
        <v>0</v>
      </c>
      <c r="V29" s="74">
        <f>M29-S29-X29</f>
        <v>0</v>
      </c>
      <c r="W29" s="457">
        <f>V29-T29</f>
        <v>0</v>
      </c>
      <c r="X29" s="555">
        <f>SUMIF(FLOAT!$D:$D,Cockpit!$E$5:$E$146,FLOAT!F:F)</f>
        <v>0</v>
      </c>
      <c r="Y29" s="15">
        <v>0</v>
      </c>
      <c r="Z29" s="455">
        <v>0</v>
      </c>
      <c r="AA29" s="49"/>
      <c r="AB29" s="15"/>
      <c r="AC29" s="15"/>
      <c r="AD29" s="54"/>
      <c r="AE29" s="118">
        <v>12</v>
      </c>
      <c r="AF29" s="49"/>
      <c r="AG29" s="278"/>
      <c r="AH29" s="62">
        <f>SUMIF(FLOAT!$D:$D,Cockpit!$E29:$E173,FLOAT!G:G)</f>
        <v>0</v>
      </c>
      <c r="AI29" s="62">
        <f>SUMIF(FLOAT!$D:$D,Cockpit!$E29:$E173,FLOAT!H:H)</f>
        <v>0</v>
      </c>
      <c r="AJ29" s="62">
        <f>SUMIF(FLOAT!$D:$D,Cockpit!$E29:$E173,FLOAT!I:I)</f>
        <v>0</v>
      </c>
      <c r="AK29" s="62">
        <f>SUMIF(FLOAT!$D:$D,Cockpit!$E29:$E173,FLOAT!J:J)</f>
        <v>0</v>
      </c>
      <c r="AL29" s="62">
        <f>SUMIF(FLOAT!$D:$D,Cockpit!$E29:$E173,FLOAT!K:K)</f>
        <v>0</v>
      </c>
      <c r="AM29" s="62">
        <f>SUMIF(FLOAT!$D:$D,Cockpit!$E29:$E173,FLOAT!L:L)</f>
        <v>0</v>
      </c>
      <c r="AN29" s="62">
        <f>SUMIF(FLOAT!$D:$D,Cockpit!$E29:$E173,FLOAT!M:M)</f>
        <v>0</v>
      </c>
      <c r="AO29" s="62">
        <f>SUMIF(FLOAT!$D:$D,Cockpit!$E29:$E173,FLOAT!N:N)</f>
        <v>0</v>
      </c>
      <c r="AP29" s="62">
        <f>SUMIF(FLOAT!$D:$D,Cockpit!$E29:$E173,FLOAT!O:O)</f>
        <v>0</v>
      </c>
      <c r="AQ29" s="62">
        <f>SUMIF(FLOAT!$D:$D,Cockpit!$E29:$E173,FLOAT!P:P)</f>
        <v>0</v>
      </c>
      <c r="AR29" s="60">
        <f t="shared" si="0"/>
        <v>0</v>
      </c>
      <c r="AS29" s="15" t="e">
        <v>#N/A</v>
      </c>
      <c r="AT29" s="17" t="e">
        <v>#N/A</v>
      </c>
      <c r="AU29" s="17" t="e">
        <f t="shared" si="1"/>
        <v>#N/A</v>
      </c>
    </row>
    <row r="30" spans="1:47" s="24" customFormat="1" ht="19.5" hidden="1" thickBot="1" x14ac:dyDescent="0.35">
      <c r="A30" s="105">
        <v>544254620372</v>
      </c>
      <c r="B30" s="101"/>
      <c r="C30" s="866">
        <v>544254630435</v>
      </c>
      <c r="D30" s="872">
        <v>544254630435</v>
      </c>
      <c r="E30" s="88" t="s">
        <v>42</v>
      </c>
      <c r="F30" s="865" t="s">
        <v>758</v>
      </c>
      <c r="G30" s="71">
        <f>IFERROR(VLOOKUP(E30:E30,[1]Sheet4!$O:$P,2,0),0)</f>
        <v>0</v>
      </c>
      <c r="H30" s="824">
        <f>SUM(G30:G36)</f>
        <v>0</v>
      </c>
      <c r="I30" s="822">
        <v>0</v>
      </c>
      <c r="J30" s="836">
        <f>Q30</f>
        <v>0</v>
      </c>
      <c r="K30" s="822">
        <f>SUM(R30:R36)</f>
        <v>0</v>
      </c>
      <c r="L30" s="822">
        <f>H30-K30</f>
        <v>0</v>
      </c>
      <c r="M30" s="816">
        <f>I30+J30-K30</f>
        <v>0</v>
      </c>
      <c r="N30" s="30">
        <f>SUMIF('3 D P'!$D:$D,Cockpit!$E$5:$E$146,'3 D P'!L:L)</f>
        <v>0</v>
      </c>
      <c r="O30" s="30">
        <f>SUMIF('3 D P'!$D:$D,Cockpit!$E$5:$E$146,'3 D P'!M:M)</f>
        <v>0</v>
      </c>
      <c r="P30" s="30">
        <f>SUMIF('3 D P'!$D:$D,Cockpit!$E$5:$E$146,'3 D P'!N:N)</f>
        <v>0</v>
      </c>
      <c r="Q30" s="132">
        <f>IFERROR(VLOOKUP($D30,'Aptiv Dispatch'!$A:$B,2,FALSE),0)</f>
        <v>0</v>
      </c>
      <c r="R30" s="34">
        <f>SUMIF('Consumption MTD'!B:B,Cockpit!$E$5:$E$146,'Consumption MTD'!C:C)</f>
        <v>0</v>
      </c>
      <c r="S30" s="34">
        <f>SUMIF('BIW Lifting A Shift'!$B:$B,Cockpit!$E$5:$E$146,'BIW Lifting A Shift'!C:C)</f>
        <v>0</v>
      </c>
      <c r="T30" s="34">
        <f>SUMIF('BIW Lifting B Shift'!$B:$B,Cockpit!$E$5:$E$146,'BIW Lifting B Shift'!C:C)</f>
        <v>0</v>
      </c>
      <c r="U30" s="818">
        <f>M30-X30-X31-X32-X33-X34-X35-X36</f>
        <v>0</v>
      </c>
      <c r="V30" s="851">
        <f>M30-X30-X31-X32-X33-X34-X35-X36-S30-S31-S32-S33-S34-S35-S36</f>
        <v>0</v>
      </c>
      <c r="W30" s="854">
        <f>V30-T30-T31-T32-T33-T34-T35-T36</f>
        <v>0</v>
      </c>
      <c r="X30" s="555">
        <f>SUMIF(FLOAT!$D:$D,Cockpit!$E$5:$E$146,FLOAT!F:F)</f>
        <v>0</v>
      </c>
      <c r="Y30" s="15">
        <v>0</v>
      </c>
      <c r="Z30" s="455">
        <v>0</v>
      </c>
      <c r="AA30" s="49"/>
      <c r="AB30" s="15"/>
      <c r="AC30" s="15"/>
      <c r="AD30" s="54"/>
      <c r="AE30" s="821">
        <v>0</v>
      </c>
      <c r="AF30" s="49"/>
      <c r="AG30" s="17"/>
      <c r="AH30" s="62">
        <f>SUMIF(FLOAT!$D:$D,Cockpit!$E30:$E174,FLOAT!G:G)</f>
        <v>0</v>
      </c>
      <c r="AI30" s="62">
        <f>SUMIF(FLOAT!$D:$D,Cockpit!$E30:$E174,FLOAT!H:H)</f>
        <v>0</v>
      </c>
      <c r="AJ30" s="62">
        <f>SUMIF(FLOAT!$D:$D,Cockpit!$E30:$E174,FLOAT!I:I)</f>
        <v>0</v>
      </c>
      <c r="AK30" s="62">
        <f>SUMIF(FLOAT!$D:$D,Cockpit!$E30:$E174,FLOAT!J:J)</f>
        <v>0</v>
      </c>
      <c r="AL30" s="62">
        <f>SUMIF(FLOAT!$D:$D,Cockpit!$E30:$E174,FLOAT!K:K)</f>
        <v>0</v>
      </c>
      <c r="AM30" s="62">
        <f>SUMIF(FLOAT!$D:$D,Cockpit!$E30:$E174,FLOAT!L:L)</f>
        <v>0</v>
      </c>
      <c r="AN30" s="62">
        <f>SUMIF(FLOAT!$D:$D,Cockpit!$E30:$E174,FLOAT!M:M)</f>
        <v>0</v>
      </c>
      <c r="AO30" s="62">
        <f>SUMIF(FLOAT!$D:$D,Cockpit!$E30:$E174,FLOAT!N:N)</f>
        <v>0</v>
      </c>
      <c r="AP30" s="62">
        <f>SUMIF(FLOAT!$D:$D,Cockpit!$E30:$E174,FLOAT!O:O)</f>
        <v>0</v>
      </c>
      <c r="AQ30" s="62">
        <f>SUMIF(FLOAT!$D:$D,Cockpit!$E30:$E174,FLOAT!P:P)</f>
        <v>0</v>
      </c>
      <c r="AR30" s="60">
        <f t="shared" si="0"/>
        <v>0</v>
      </c>
      <c r="AS30" s="15" t="e">
        <v>#N/A</v>
      </c>
      <c r="AT30" s="17" t="e">
        <v>#N/A</v>
      </c>
      <c r="AU30" s="17" t="e">
        <f t="shared" si="1"/>
        <v>#N/A</v>
      </c>
    </row>
    <row r="31" spans="1:47" s="24" customFormat="1" ht="19.5" hidden="1" thickBot="1" x14ac:dyDescent="0.35">
      <c r="A31" s="105"/>
      <c r="B31" s="101"/>
      <c r="C31" s="866"/>
      <c r="D31" s="872"/>
      <c r="E31" s="88" t="s">
        <v>43</v>
      </c>
      <c r="F31" s="865"/>
      <c r="G31" s="71">
        <f>IFERROR(VLOOKUP(E31:E31,[1]Sheet4!$O:$P,2,0),0)</f>
        <v>0</v>
      </c>
      <c r="H31" s="868"/>
      <c r="I31" s="849"/>
      <c r="J31" s="850"/>
      <c r="K31" s="849"/>
      <c r="L31" s="849"/>
      <c r="M31" s="816"/>
      <c r="N31" s="30">
        <f>SUMIF('3 D P'!$D:$D,Cockpit!$E$5:$E$146,'3 D P'!L:L)</f>
        <v>0</v>
      </c>
      <c r="O31" s="30">
        <f>SUMIF('3 D P'!$D:$D,Cockpit!$E$5:$E$146,'3 D P'!M:M)</f>
        <v>0</v>
      </c>
      <c r="P31" s="30">
        <f>SUMIF('3 D P'!$D:$D,Cockpit!$E$5:$E$146,'3 D P'!N:N)</f>
        <v>0</v>
      </c>
      <c r="Q31" s="132">
        <f>IFERROR(VLOOKUP($D31,'Aptiv Dispatch'!$A:$B,2,FALSE),0)</f>
        <v>0</v>
      </c>
      <c r="R31" s="34">
        <f>SUMIF('Consumption MTD'!B:B,Cockpit!$E$5:$E$146,'Consumption MTD'!C:C)</f>
        <v>0</v>
      </c>
      <c r="S31" s="34">
        <f>SUMIF('BIW Lifting A Shift'!$B:$B,Cockpit!$E$5:$E$146,'BIW Lifting A Shift'!C:C)</f>
        <v>0</v>
      </c>
      <c r="T31" s="34">
        <f>SUMIF('BIW Lifting B Shift'!$B:$B,Cockpit!$E$5:$E$146,'BIW Lifting B Shift'!C:C)</f>
        <v>0</v>
      </c>
      <c r="U31" s="818"/>
      <c r="V31" s="852"/>
      <c r="W31" s="855"/>
      <c r="X31" s="555">
        <f>SUMIF(FLOAT!$D:$D,Cockpit!$E$5:$E$146,FLOAT!F:F)</f>
        <v>0</v>
      </c>
      <c r="Y31" s="15"/>
      <c r="Z31" s="455">
        <v>0</v>
      </c>
      <c r="AA31" s="49"/>
      <c r="AB31" s="15"/>
      <c r="AC31" s="15"/>
      <c r="AD31" s="54"/>
      <c r="AE31" s="821"/>
      <c r="AF31" s="49"/>
      <c r="AG31" s="17"/>
      <c r="AH31" s="62">
        <f>SUMIF(FLOAT!$D:$D,Cockpit!$E31:$E175,FLOAT!G:G)</f>
        <v>0</v>
      </c>
      <c r="AI31" s="62">
        <f>SUMIF(FLOAT!$D:$D,Cockpit!$E31:$E175,FLOAT!H:H)</f>
        <v>0</v>
      </c>
      <c r="AJ31" s="62">
        <f>SUMIF(FLOAT!$D:$D,Cockpit!$E31:$E175,FLOAT!I:I)</f>
        <v>0</v>
      </c>
      <c r="AK31" s="62">
        <f>SUMIF(FLOAT!$D:$D,Cockpit!$E31:$E175,FLOAT!J:J)</f>
        <v>0</v>
      </c>
      <c r="AL31" s="62">
        <f>SUMIF(FLOAT!$D:$D,Cockpit!$E31:$E175,FLOAT!K:K)</f>
        <v>0</v>
      </c>
      <c r="AM31" s="62">
        <f>SUMIF(FLOAT!$D:$D,Cockpit!$E31:$E175,FLOAT!L:L)</f>
        <v>0</v>
      </c>
      <c r="AN31" s="62">
        <f>SUMIF(FLOAT!$D:$D,Cockpit!$E31:$E175,FLOAT!M:M)</f>
        <v>0</v>
      </c>
      <c r="AO31" s="62">
        <f>SUMIF(FLOAT!$D:$D,Cockpit!$E31:$E175,FLOAT!N:N)</f>
        <v>0</v>
      </c>
      <c r="AP31" s="62">
        <f>SUMIF(FLOAT!$D:$D,Cockpit!$E31:$E175,FLOAT!O:O)</f>
        <v>0</v>
      </c>
      <c r="AQ31" s="62">
        <f>SUMIF(FLOAT!$D:$D,Cockpit!$E31:$E175,FLOAT!P:P)</f>
        <v>0</v>
      </c>
      <c r="AR31" s="60">
        <f t="shared" si="0"/>
        <v>0</v>
      </c>
      <c r="AS31" s="15" t="e">
        <v>#N/A</v>
      </c>
      <c r="AT31" s="17" t="e">
        <v>#N/A</v>
      </c>
      <c r="AU31" s="17" t="e">
        <f t="shared" si="1"/>
        <v>#N/A</v>
      </c>
    </row>
    <row r="32" spans="1:47" s="24" customFormat="1" ht="19.5" hidden="1" thickBot="1" x14ac:dyDescent="0.35">
      <c r="A32" s="105"/>
      <c r="B32" s="101"/>
      <c r="C32" s="866"/>
      <c r="D32" s="872"/>
      <c r="E32" s="674" t="s">
        <v>44</v>
      </c>
      <c r="F32" s="865"/>
      <c r="G32" s="71">
        <f>IFERROR(VLOOKUP(E32:E32,[1]Sheet4!$O:$P,2,0),0)</f>
        <v>0</v>
      </c>
      <c r="H32" s="868"/>
      <c r="I32" s="849"/>
      <c r="J32" s="850"/>
      <c r="K32" s="849"/>
      <c r="L32" s="849"/>
      <c r="M32" s="816"/>
      <c r="N32" s="30">
        <f>SUMIF('3 D P'!$D:$D,Cockpit!$E$5:$E$146,'3 D P'!L:L)</f>
        <v>0</v>
      </c>
      <c r="O32" s="30">
        <f>SUMIF('3 D P'!$D:$D,Cockpit!$E$5:$E$146,'3 D P'!M:M)</f>
        <v>0</v>
      </c>
      <c r="P32" s="30">
        <f>SUMIF('3 D P'!$D:$D,Cockpit!$E$5:$E$146,'3 D P'!N:N)</f>
        <v>0</v>
      </c>
      <c r="Q32" s="132">
        <f>IFERROR(VLOOKUP($D32,'Aptiv Dispatch'!$A:$B,2,FALSE),0)</f>
        <v>0</v>
      </c>
      <c r="R32" s="34">
        <f>SUMIF('Consumption MTD'!B:B,Cockpit!$E$5:$E$146,'Consumption MTD'!C:C)</f>
        <v>0</v>
      </c>
      <c r="S32" s="34">
        <f>SUMIF('BIW Lifting A Shift'!$B:$B,Cockpit!$E$5:$E$146,'BIW Lifting A Shift'!C:C)</f>
        <v>0</v>
      </c>
      <c r="T32" s="34">
        <f>SUMIF('BIW Lifting B Shift'!$B:$B,Cockpit!$E$5:$E$146,'BIW Lifting B Shift'!C:C)</f>
        <v>0</v>
      </c>
      <c r="U32" s="818"/>
      <c r="V32" s="852"/>
      <c r="W32" s="855"/>
      <c r="X32" s="555">
        <f>SUMIF(FLOAT!$D:$D,Cockpit!$E$5:$E$146,FLOAT!F:F)</f>
        <v>0</v>
      </c>
      <c r="Y32" s="15"/>
      <c r="Z32" s="455">
        <v>0</v>
      </c>
      <c r="AA32" s="49"/>
      <c r="AB32" s="15"/>
      <c r="AC32" s="15"/>
      <c r="AD32" s="54"/>
      <c r="AE32" s="821"/>
      <c r="AF32" s="49"/>
      <c r="AG32" s="17"/>
      <c r="AH32" s="62">
        <f>SUMIF(FLOAT!$D:$D,Cockpit!$E32:$E176,FLOAT!G:G)</f>
        <v>0</v>
      </c>
      <c r="AI32" s="62">
        <f>SUMIF(FLOAT!$D:$D,Cockpit!$E32:$E176,FLOAT!H:H)</f>
        <v>0</v>
      </c>
      <c r="AJ32" s="62">
        <f>SUMIF(FLOAT!$D:$D,Cockpit!$E32:$E176,FLOAT!I:I)</f>
        <v>0</v>
      </c>
      <c r="AK32" s="62">
        <f>SUMIF(FLOAT!$D:$D,Cockpit!$E32:$E176,FLOAT!J:J)</f>
        <v>0</v>
      </c>
      <c r="AL32" s="62">
        <f>SUMIF(FLOAT!$D:$D,Cockpit!$E32:$E176,FLOAT!K:K)</f>
        <v>0</v>
      </c>
      <c r="AM32" s="62">
        <f>SUMIF(FLOAT!$D:$D,Cockpit!$E32:$E176,FLOAT!L:L)</f>
        <v>0</v>
      </c>
      <c r="AN32" s="62">
        <f>SUMIF(FLOAT!$D:$D,Cockpit!$E32:$E176,FLOAT!M:M)</f>
        <v>0</v>
      </c>
      <c r="AO32" s="62">
        <f>SUMIF(FLOAT!$D:$D,Cockpit!$E32:$E176,FLOAT!N:N)</f>
        <v>0</v>
      </c>
      <c r="AP32" s="62">
        <f>SUMIF(FLOAT!$D:$D,Cockpit!$E32:$E176,FLOAT!O:O)</f>
        <v>0</v>
      </c>
      <c r="AQ32" s="62">
        <f>SUMIF(FLOAT!$D:$D,Cockpit!$E32:$E176,FLOAT!P:P)</f>
        <v>0</v>
      </c>
      <c r="AR32" s="60">
        <f t="shared" si="0"/>
        <v>0</v>
      </c>
      <c r="AS32" s="15" t="e">
        <v>#N/A</v>
      </c>
      <c r="AT32" s="17" t="e">
        <v>#N/A</v>
      </c>
      <c r="AU32" s="17" t="e">
        <f t="shared" si="1"/>
        <v>#N/A</v>
      </c>
    </row>
    <row r="33" spans="1:47" s="24" customFormat="1" ht="19.5" hidden="1" thickBot="1" x14ac:dyDescent="0.35">
      <c r="A33" s="105"/>
      <c r="B33" s="101"/>
      <c r="C33" s="866"/>
      <c r="D33" s="872"/>
      <c r="E33" s="674" t="s">
        <v>45</v>
      </c>
      <c r="F33" s="865"/>
      <c r="G33" s="71">
        <f>IFERROR(VLOOKUP(E33:E33,[1]Sheet4!$O:$P,2,0),0)</f>
        <v>0</v>
      </c>
      <c r="H33" s="868"/>
      <c r="I33" s="849"/>
      <c r="J33" s="850"/>
      <c r="K33" s="849"/>
      <c r="L33" s="849"/>
      <c r="M33" s="816"/>
      <c r="N33" s="30">
        <f>SUMIF('3 D P'!$D:$D,Cockpit!$E$5:$E$146,'3 D P'!L:L)</f>
        <v>0</v>
      </c>
      <c r="O33" s="30">
        <f>SUMIF('3 D P'!$D:$D,Cockpit!$E$5:$E$146,'3 D P'!M:M)</f>
        <v>0</v>
      </c>
      <c r="P33" s="30">
        <f>SUMIF('3 D P'!$D:$D,Cockpit!$E$5:$E$146,'3 D P'!N:N)</f>
        <v>0</v>
      </c>
      <c r="Q33" s="132">
        <f>IFERROR(VLOOKUP($D33,'Aptiv Dispatch'!$A:$B,2,FALSE),0)</f>
        <v>0</v>
      </c>
      <c r="R33" s="34">
        <f>SUMIF('Consumption MTD'!B:B,Cockpit!$E$5:$E$146,'Consumption MTD'!C:C)</f>
        <v>0</v>
      </c>
      <c r="S33" s="34">
        <f>SUMIF('BIW Lifting A Shift'!$B:$B,Cockpit!$E$5:$E$146,'BIW Lifting A Shift'!C:C)</f>
        <v>0</v>
      </c>
      <c r="T33" s="34">
        <f>SUMIF('BIW Lifting B Shift'!$B:$B,Cockpit!$E$5:$E$146,'BIW Lifting B Shift'!C:C)</f>
        <v>0</v>
      </c>
      <c r="U33" s="818"/>
      <c r="V33" s="852"/>
      <c r="W33" s="855"/>
      <c r="X33" s="555">
        <f>SUMIF(FLOAT!$D:$D,Cockpit!$E$5:$E$146,FLOAT!F:F)</f>
        <v>0</v>
      </c>
      <c r="Y33" s="15"/>
      <c r="Z33" s="455">
        <v>0</v>
      </c>
      <c r="AA33" s="49"/>
      <c r="AB33" s="15"/>
      <c r="AC33" s="15"/>
      <c r="AD33" s="54"/>
      <c r="AE33" s="821"/>
      <c r="AF33" s="49"/>
      <c r="AG33" s="17"/>
      <c r="AH33" s="62">
        <f>SUMIF(FLOAT!$D:$D,Cockpit!$E33:$E177,FLOAT!G:G)</f>
        <v>0</v>
      </c>
      <c r="AI33" s="62">
        <f>SUMIF(FLOAT!$D:$D,Cockpit!$E33:$E177,FLOAT!H:H)</f>
        <v>0</v>
      </c>
      <c r="AJ33" s="62">
        <f>SUMIF(FLOAT!$D:$D,Cockpit!$E33:$E177,FLOAT!I:I)</f>
        <v>0</v>
      </c>
      <c r="AK33" s="62">
        <f>SUMIF(FLOAT!$D:$D,Cockpit!$E33:$E177,FLOAT!J:J)</f>
        <v>0</v>
      </c>
      <c r="AL33" s="62">
        <f>SUMIF(FLOAT!$D:$D,Cockpit!$E33:$E177,FLOAT!K:K)</f>
        <v>0</v>
      </c>
      <c r="AM33" s="62">
        <f>SUMIF(FLOAT!$D:$D,Cockpit!$E33:$E177,FLOAT!L:L)</f>
        <v>0</v>
      </c>
      <c r="AN33" s="62">
        <f>SUMIF(FLOAT!$D:$D,Cockpit!$E33:$E177,FLOAT!M:M)</f>
        <v>0</v>
      </c>
      <c r="AO33" s="62">
        <f>SUMIF(FLOAT!$D:$D,Cockpit!$E33:$E177,FLOAT!N:N)</f>
        <v>0</v>
      </c>
      <c r="AP33" s="62">
        <f>SUMIF(FLOAT!$D:$D,Cockpit!$E33:$E177,FLOAT!O:O)</f>
        <v>0</v>
      </c>
      <c r="AQ33" s="62">
        <f>SUMIF(FLOAT!$D:$D,Cockpit!$E33:$E177,FLOAT!P:P)</f>
        <v>0</v>
      </c>
      <c r="AR33" s="60">
        <f t="shared" si="0"/>
        <v>0</v>
      </c>
      <c r="AS33" s="15" t="e">
        <v>#N/A</v>
      </c>
      <c r="AT33" s="17" t="e">
        <v>#N/A</v>
      </c>
      <c r="AU33" s="17" t="e">
        <f t="shared" si="1"/>
        <v>#N/A</v>
      </c>
    </row>
    <row r="34" spans="1:47" s="24" customFormat="1" ht="19.5" hidden="1" thickBot="1" x14ac:dyDescent="0.35">
      <c r="A34" s="105"/>
      <c r="B34" s="101"/>
      <c r="C34" s="866"/>
      <c r="D34" s="872"/>
      <c r="E34" s="674" t="s">
        <v>46</v>
      </c>
      <c r="F34" s="865"/>
      <c r="G34" s="71">
        <f>IFERROR(VLOOKUP(E34:E34,[1]Sheet4!$O:$P,2,0),0)</f>
        <v>0</v>
      </c>
      <c r="H34" s="868"/>
      <c r="I34" s="849"/>
      <c r="J34" s="850"/>
      <c r="K34" s="849"/>
      <c r="L34" s="849"/>
      <c r="M34" s="816"/>
      <c r="N34" s="30">
        <f>SUMIF('3 D P'!$D:$D,Cockpit!$E$5:$E$146,'3 D P'!L:L)</f>
        <v>0</v>
      </c>
      <c r="O34" s="30">
        <f>SUMIF('3 D P'!$D:$D,Cockpit!$E$5:$E$146,'3 D P'!M:M)</f>
        <v>0</v>
      </c>
      <c r="P34" s="30">
        <f>SUMIF('3 D P'!$D:$D,Cockpit!$E$5:$E$146,'3 D P'!N:N)</f>
        <v>0</v>
      </c>
      <c r="Q34" s="132">
        <f>IFERROR(VLOOKUP($D34,'Aptiv Dispatch'!$A:$B,2,FALSE),0)</f>
        <v>0</v>
      </c>
      <c r="R34" s="34">
        <f>SUMIF('Consumption MTD'!B:B,Cockpit!$E$5:$E$146,'Consumption MTD'!C:C)</f>
        <v>0</v>
      </c>
      <c r="S34" s="34">
        <f>SUMIF('BIW Lifting A Shift'!$B:$B,Cockpit!$E$5:$E$146,'BIW Lifting A Shift'!C:C)</f>
        <v>0</v>
      </c>
      <c r="T34" s="34">
        <f>SUMIF('BIW Lifting B Shift'!$B:$B,Cockpit!$E$5:$E$146,'BIW Lifting B Shift'!C:C)</f>
        <v>0</v>
      </c>
      <c r="U34" s="818"/>
      <c r="V34" s="852"/>
      <c r="W34" s="855"/>
      <c r="X34" s="555">
        <f>SUMIF(FLOAT!$D:$D,Cockpit!$E$5:$E$146,FLOAT!F:F)</f>
        <v>0</v>
      </c>
      <c r="Y34" s="15"/>
      <c r="Z34" s="455">
        <v>0</v>
      </c>
      <c r="AA34" s="49"/>
      <c r="AB34" s="15"/>
      <c r="AC34" s="15"/>
      <c r="AD34" s="54"/>
      <c r="AE34" s="821"/>
      <c r="AF34" s="49"/>
      <c r="AG34" s="17"/>
      <c r="AH34" s="62">
        <f>SUMIF(FLOAT!$D:$D,Cockpit!$E34:$E178,FLOAT!G:G)</f>
        <v>0</v>
      </c>
      <c r="AI34" s="62">
        <f>SUMIF(FLOAT!$D:$D,Cockpit!$E34:$E178,FLOAT!H:H)</f>
        <v>0</v>
      </c>
      <c r="AJ34" s="62">
        <f>SUMIF(FLOAT!$D:$D,Cockpit!$E34:$E178,FLOAT!I:I)</f>
        <v>0</v>
      </c>
      <c r="AK34" s="62">
        <f>SUMIF(FLOAT!$D:$D,Cockpit!$E34:$E178,FLOAT!J:J)</f>
        <v>0</v>
      </c>
      <c r="AL34" s="62">
        <f>SUMIF(FLOAT!$D:$D,Cockpit!$E34:$E178,FLOAT!K:K)</f>
        <v>0</v>
      </c>
      <c r="AM34" s="62">
        <f>SUMIF(FLOAT!$D:$D,Cockpit!$E34:$E178,FLOAT!L:L)</f>
        <v>0</v>
      </c>
      <c r="AN34" s="62">
        <f>SUMIF(FLOAT!$D:$D,Cockpit!$E34:$E178,FLOAT!M:M)</f>
        <v>0</v>
      </c>
      <c r="AO34" s="62">
        <f>SUMIF(FLOAT!$D:$D,Cockpit!$E34:$E178,FLOAT!N:N)</f>
        <v>0</v>
      </c>
      <c r="AP34" s="62">
        <f>SUMIF(FLOAT!$D:$D,Cockpit!$E34:$E178,FLOAT!O:O)</f>
        <v>0</v>
      </c>
      <c r="AQ34" s="62">
        <f>SUMIF(FLOAT!$D:$D,Cockpit!$E34:$E178,FLOAT!P:P)</f>
        <v>0</v>
      </c>
      <c r="AR34" s="60">
        <f t="shared" si="0"/>
        <v>0</v>
      </c>
      <c r="AS34" s="15" t="e">
        <v>#N/A</v>
      </c>
      <c r="AT34" s="17" t="e">
        <v>#N/A</v>
      </c>
      <c r="AU34" s="17" t="e">
        <f t="shared" si="1"/>
        <v>#N/A</v>
      </c>
    </row>
    <row r="35" spans="1:47" s="24" customFormat="1" ht="19.5" hidden="1" thickBot="1" x14ac:dyDescent="0.35">
      <c r="A35" s="105"/>
      <c r="B35" s="101"/>
      <c r="C35" s="866"/>
      <c r="D35" s="872"/>
      <c r="E35" s="674" t="s">
        <v>47</v>
      </c>
      <c r="F35" s="865"/>
      <c r="G35" s="71">
        <f>IFERROR(VLOOKUP(E35:E35,[1]Sheet4!$O:$P,2,0),0)</f>
        <v>0</v>
      </c>
      <c r="H35" s="868"/>
      <c r="I35" s="849"/>
      <c r="J35" s="850"/>
      <c r="K35" s="849"/>
      <c r="L35" s="849"/>
      <c r="M35" s="816"/>
      <c r="N35" s="30">
        <f>SUMIF('3 D P'!$D:$D,Cockpit!$E$5:$E$146,'3 D P'!L:L)</f>
        <v>0</v>
      </c>
      <c r="O35" s="30">
        <f>SUMIF('3 D P'!$D:$D,Cockpit!$E$5:$E$146,'3 D P'!M:M)</f>
        <v>0</v>
      </c>
      <c r="P35" s="30">
        <f>SUMIF('3 D P'!$D:$D,Cockpit!$E$5:$E$146,'3 D P'!N:N)</f>
        <v>0</v>
      </c>
      <c r="Q35" s="132">
        <f>IFERROR(VLOOKUP($D35,'Aptiv Dispatch'!$A:$B,2,FALSE),0)</f>
        <v>0</v>
      </c>
      <c r="R35" s="34">
        <f>SUMIF('Consumption MTD'!B:B,Cockpit!$E$5:$E$146,'Consumption MTD'!C:C)</f>
        <v>0</v>
      </c>
      <c r="S35" s="34">
        <f>SUMIF('BIW Lifting A Shift'!$B:$B,Cockpit!$E$5:$E$146,'BIW Lifting A Shift'!C:C)</f>
        <v>0</v>
      </c>
      <c r="T35" s="34">
        <f>SUMIF('BIW Lifting B Shift'!$B:$B,Cockpit!$E$5:$E$146,'BIW Lifting B Shift'!C:C)</f>
        <v>0</v>
      </c>
      <c r="U35" s="818"/>
      <c r="V35" s="852"/>
      <c r="W35" s="855"/>
      <c r="X35" s="555">
        <f>SUMIF(FLOAT!$D:$D,Cockpit!$E$5:$E$146,FLOAT!F:F)</f>
        <v>0</v>
      </c>
      <c r="Y35" s="15"/>
      <c r="Z35" s="455">
        <v>0</v>
      </c>
      <c r="AA35" s="49"/>
      <c r="AB35" s="15"/>
      <c r="AC35" s="15"/>
      <c r="AD35" s="54"/>
      <c r="AE35" s="821"/>
      <c r="AF35" s="49"/>
      <c r="AG35" s="17"/>
      <c r="AH35" s="62">
        <f>SUMIF(FLOAT!$D:$D,Cockpit!$E35:$E178,FLOAT!G:G)</f>
        <v>0</v>
      </c>
      <c r="AI35" s="62">
        <f>SUMIF(FLOAT!$D:$D,Cockpit!$E35:$E178,FLOAT!H:H)</f>
        <v>0</v>
      </c>
      <c r="AJ35" s="62">
        <f>SUMIF(FLOAT!$D:$D,Cockpit!$E35:$E178,FLOAT!I:I)</f>
        <v>0</v>
      </c>
      <c r="AK35" s="62">
        <f>SUMIF(FLOAT!$D:$D,Cockpit!$E35:$E178,FLOAT!J:J)</f>
        <v>0</v>
      </c>
      <c r="AL35" s="62">
        <f>SUMIF(FLOAT!$D:$D,Cockpit!$E35:$E178,FLOAT!K:K)</f>
        <v>0</v>
      </c>
      <c r="AM35" s="62">
        <f>SUMIF(FLOAT!$D:$D,Cockpit!$E35:$E178,FLOAT!L:L)</f>
        <v>0</v>
      </c>
      <c r="AN35" s="62">
        <f>SUMIF(FLOAT!$D:$D,Cockpit!$E35:$E178,FLOAT!M:M)</f>
        <v>0</v>
      </c>
      <c r="AO35" s="62">
        <f>SUMIF(FLOAT!$D:$D,Cockpit!$E35:$E178,FLOAT!N:N)</f>
        <v>0</v>
      </c>
      <c r="AP35" s="62">
        <f>SUMIF(FLOAT!$D:$D,Cockpit!$E35:$E178,FLOAT!O:O)</f>
        <v>0</v>
      </c>
      <c r="AQ35" s="62">
        <f>SUMIF(FLOAT!$D:$D,Cockpit!$E35:$E178,FLOAT!P:P)</f>
        <v>0</v>
      </c>
      <c r="AR35" s="60">
        <f t="shared" si="0"/>
        <v>0</v>
      </c>
      <c r="AS35" s="15" t="e">
        <v>#N/A</v>
      </c>
      <c r="AT35" s="17" t="e">
        <v>#N/A</v>
      </c>
      <c r="AU35" s="17" t="e">
        <f t="shared" si="1"/>
        <v>#N/A</v>
      </c>
    </row>
    <row r="36" spans="1:47" s="24" customFormat="1" ht="19.5" hidden="1" thickBot="1" x14ac:dyDescent="0.35">
      <c r="A36" s="105"/>
      <c r="B36" s="101"/>
      <c r="C36" s="866"/>
      <c r="D36" s="872"/>
      <c r="E36" s="674" t="s">
        <v>48</v>
      </c>
      <c r="F36" s="865"/>
      <c r="G36" s="71">
        <f>IFERROR(VLOOKUP(E36:E36,[1]Sheet4!$O:$P,2,0),0)</f>
        <v>0</v>
      </c>
      <c r="H36" s="825"/>
      <c r="I36" s="823"/>
      <c r="J36" s="837"/>
      <c r="K36" s="823"/>
      <c r="L36" s="823"/>
      <c r="M36" s="816"/>
      <c r="N36" s="30">
        <f>SUMIF('3 D P'!$D:$D,Cockpit!$E$5:$E$146,'3 D P'!L:L)</f>
        <v>0</v>
      </c>
      <c r="O36" s="30">
        <f>SUMIF('3 D P'!$D:$D,Cockpit!$E$5:$E$146,'3 D P'!M:M)</f>
        <v>0</v>
      </c>
      <c r="P36" s="30">
        <f>SUMIF('3 D P'!$D:$D,Cockpit!$E$5:$E$146,'3 D P'!N:N)</f>
        <v>0</v>
      </c>
      <c r="Q36" s="132">
        <f>IFERROR(VLOOKUP($D36,'Aptiv Dispatch'!$A:$B,2,FALSE),0)</f>
        <v>0</v>
      </c>
      <c r="R36" s="34">
        <f>SUMIF('Consumption MTD'!B:B,Cockpit!$E$5:$E$146,'Consumption MTD'!C:C)</f>
        <v>0</v>
      </c>
      <c r="S36" s="34">
        <f>SUMIF('BIW Lifting A Shift'!$B:$B,Cockpit!$E$5:$E$146,'BIW Lifting A Shift'!C:C)</f>
        <v>0</v>
      </c>
      <c r="T36" s="34">
        <f>SUMIF('BIW Lifting B Shift'!$B:$B,Cockpit!$E$5:$E$146,'BIW Lifting B Shift'!C:C)</f>
        <v>0</v>
      </c>
      <c r="U36" s="818"/>
      <c r="V36" s="853"/>
      <c r="W36" s="856"/>
      <c r="X36" s="555">
        <f>SUMIF(FLOAT!$D:$D,Cockpit!$E$5:$E$146,FLOAT!F:F)</f>
        <v>0</v>
      </c>
      <c r="Y36" s="15"/>
      <c r="Z36" s="455">
        <v>0</v>
      </c>
      <c r="AA36" s="49"/>
      <c r="AB36" s="15"/>
      <c r="AC36" s="15"/>
      <c r="AD36" s="54"/>
      <c r="AE36" s="821"/>
      <c r="AF36" s="49"/>
      <c r="AG36" s="17"/>
      <c r="AH36" s="62">
        <f>SUMIF(FLOAT!$D:$D,Cockpit!$E36:$E178,FLOAT!G:G)</f>
        <v>0</v>
      </c>
      <c r="AI36" s="62">
        <f>SUMIF(FLOAT!$D:$D,Cockpit!$E36:$E178,FLOAT!H:H)</f>
        <v>0</v>
      </c>
      <c r="AJ36" s="62">
        <f>SUMIF(FLOAT!$D:$D,Cockpit!$E36:$E178,FLOAT!I:I)</f>
        <v>0</v>
      </c>
      <c r="AK36" s="62">
        <f>SUMIF(FLOAT!$D:$D,Cockpit!$E36:$E178,FLOAT!J:J)</f>
        <v>0</v>
      </c>
      <c r="AL36" s="62">
        <f>SUMIF(FLOAT!$D:$D,Cockpit!$E36:$E178,FLOAT!K:K)</f>
        <v>0</v>
      </c>
      <c r="AM36" s="62">
        <f>SUMIF(FLOAT!$D:$D,Cockpit!$E36:$E178,FLOAT!L:L)</f>
        <v>0</v>
      </c>
      <c r="AN36" s="62">
        <f>SUMIF(FLOAT!$D:$D,Cockpit!$E36:$E178,FLOAT!M:M)</f>
        <v>0</v>
      </c>
      <c r="AO36" s="62">
        <f>SUMIF(FLOAT!$D:$D,Cockpit!$E36:$E178,FLOAT!N:N)</f>
        <v>0</v>
      </c>
      <c r="AP36" s="62">
        <f>SUMIF(FLOAT!$D:$D,Cockpit!$E36:$E178,FLOAT!O:O)</f>
        <v>0</v>
      </c>
      <c r="AQ36" s="62">
        <f>SUMIF(FLOAT!$D:$D,Cockpit!$E36:$E178,FLOAT!P:P)</f>
        <v>0</v>
      </c>
      <c r="AR36" s="60">
        <f t="shared" si="0"/>
        <v>0</v>
      </c>
      <c r="AS36" s="15" t="e">
        <v>#N/A</v>
      </c>
      <c r="AT36" s="17" t="e">
        <v>#N/A</v>
      </c>
      <c r="AU36" s="17" t="e">
        <f t="shared" si="1"/>
        <v>#N/A</v>
      </c>
    </row>
    <row r="37" spans="1:47" s="24" customFormat="1" ht="19.5" hidden="1" thickBot="1" x14ac:dyDescent="0.35">
      <c r="A37" s="105"/>
      <c r="B37" s="101"/>
      <c r="C37" s="866">
        <v>544254630419</v>
      </c>
      <c r="D37" s="857">
        <v>544254640172</v>
      </c>
      <c r="E37" s="674" t="s">
        <v>96</v>
      </c>
      <c r="F37" s="644" t="s">
        <v>98</v>
      </c>
      <c r="G37" s="71">
        <f>IFERROR(VLOOKUP(E37:E37,[1]Sheet4!$O:$P,2,0),0)</f>
        <v>0</v>
      </c>
      <c r="H37" s="824">
        <f>SUM(G37:G42)</f>
        <v>0</v>
      </c>
      <c r="I37" s="869">
        <v>0</v>
      </c>
      <c r="J37" s="836">
        <f>Q37</f>
        <v>0</v>
      </c>
      <c r="K37" s="822">
        <f>SUM(R37:R42)</f>
        <v>0</v>
      </c>
      <c r="L37" s="822">
        <f>H37-K37</f>
        <v>0</v>
      </c>
      <c r="M37" s="816">
        <f>I37+J37-K37</f>
        <v>0</v>
      </c>
      <c r="N37" s="30">
        <f>SUMIF('3 D P'!$D:$D,Cockpit!$E$5:$E$146,'3 D P'!L:L)</f>
        <v>0</v>
      </c>
      <c r="O37" s="30">
        <f>SUMIF('3 D P'!$D:$D,Cockpit!$E$5:$E$146,'3 D P'!M:M)</f>
        <v>0</v>
      </c>
      <c r="P37" s="30">
        <f>SUMIF('3 D P'!$D:$D,Cockpit!$E$5:$E$146,'3 D P'!N:N)</f>
        <v>0</v>
      </c>
      <c r="Q37" s="132">
        <f>IFERROR(VLOOKUP($D37,'Aptiv Dispatch'!$A:$B,2,FALSE),0)</f>
        <v>0</v>
      </c>
      <c r="R37" s="34">
        <f>SUMIF('Consumption MTD'!B:B,Cockpit!$E$5:$E$146,'Consumption MTD'!C:C)</f>
        <v>0</v>
      </c>
      <c r="S37" s="34">
        <f>SUMIF('BIW Lifting A Shift'!$B:$B,Cockpit!$E$5:$E$146,'BIW Lifting A Shift'!C:C)</f>
        <v>0</v>
      </c>
      <c r="T37" s="34">
        <f>SUMIF('BIW Lifting B Shift'!$B:$B,Cockpit!$E$5:$E$146,'BIW Lifting B Shift'!C:C)</f>
        <v>0</v>
      </c>
      <c r="U37" s="818">
        <f>M37-X37-X38-X39-X40-X41-X42</f>
        <v>0</v>
      </c>
      <c r="V37" s="818">
        <f>M37-X37-X38-X39-X40-X41-X42-S37-S38-S39-S40-S41-S42</f>
        <v>0</v>
      </c>
      <c r="W37" s="820">
        <f>V37-T37-T38-T39-T40-T41-T42</f>
        <v>0</v>
      </c>
      <c r="X37" s="555">
        <f>SUMIF(FLOAT!$D:$D,Cockpit!$E$5:$E$146,FLOAT!F:F)</f>
        <v>0</v>
      </c>
      <c r="Y37" s="15">
        <v>0</v>
      </c>
      <c r="Z37" s="455">
        <v>0</v>
      </c>
      <c r="AA37" s="49"/>
      <c r="AB37" s="15"/>
      <c r="AC37" s="15"/>
      <c r="AD37" s="54"/>
      <c r="AE37" s="821">
        <v>29</v>
      </c>
      <c r="AF37" s="49"/>
      <c r="AG37" s="278"/>
      <c r="AH37" s="62">
        <f>SUMIF(FLOAT!$D:$D,Cockpit!$E37:$E178,FLOAT!G:G)</f>
        <v>0</v>
      </c>
      <c r="AI37" s="62">
        <f>SUMIF(FLOAT!$D:$D,Cockpit!$E37:$E178,FLOAT!H:H)</f>
        <v>0</v>
      </c>
      <c r="AJ37" s="62">
        <f>SUMIF(FLOAT!$D:$D,Cockpit!$E37:$E178,FLOAT!I:I)</f>
        <v>0</v>
      </c>
      <c r="AK37" s="62">
        <f>SUMIF(FLOAT!$D:$D,Cockpit!$E37:$E178,FLOAT!J:J)</f>
        <v>0</v>
      </c>
      <c r="AL37" s="62">
        <f>SUMIF(FLOAT!$D:$D,Cockpit!$E37:$E178,FLOAT!K:K)</f>
        <v>0</v>
      </c>
      <c r="AM37" s="62">
        <f>SUMIF(FLOAT!$D:$D,Cockpit!$E37:$E178,FLOAT!L:L)</f>
        <v>0</v>
      </c>
      <c r="AN37" s="62">
        <f>SUMIF(FLOAT!$D:$D,Cockpit!$E37:$E178,FLOAT!M:M)</f>
        <v>0</v>
      </c>
      <c r="AO37" s="62">
        <f>SUMIF(FLOAT!$D:$D,Cockpit!$E37:$E178,FLOAT!N:N)</f>
        <v>0</v>
      </c>
      <c r="AP37" s="62">
        <f>SUMIF(FLOAT!$D:$D,Cockpit!$E37:$E178,FLOAT!O:O)</f>
        <v>0</v>
      </c>
      <c r="AQ37" s="62">
        <f>SUMIF(FLOAT!$D:$D,Cockpit!$E37:$E178,FLOAT!P:P)</f>
        <v>0</v>
      </c>
      <c r="AR37" s="60">
        <f t="shared" si="0"/>
        <v>0</v>
      </c>
      <c r="AS37" s="15" t="e">
        <v>#N/A</v>
      </c>
      <c r="AT37" s="17" t="e">
        <v>#N/A</v>
      </c>
      <c r="AU37" s="17" t="e">
        <f t="shared" si="1"/>
        <v>#N/A</v>
      </c>
    </row>
    <row r="38" spans="1:47" s="24" customFormat="1" ht="19.5" hidden="1" thickBot="1" x14ac:dyDescent="0.35">
      <c r="A38" s="105"/>
      <c r="B38" s="101"/>
      <c r="C38" s="866"/>
      <c r="D38" s="858"/>
      <c r="E38" s="674" t="s">
        <v>97</v>
      </c>
      <c r="F38" s="644" t="s">
        <v>99</v>
      </c>
      <c r="G38" s="71">
        <f>IFERROR(VLOOKUP(E38:E38,[1]Sheet4!$O:$P,2,0),0)</f>
        <v>0</v>
      </c>
      <c r="H38" s="868"/>
      <c r="I38" s="870"/>
      <c r="J38" s="850"/>
      <c r="K38" s="849"/>
      <c r="L38" s="849"/>
      <c r="M38" s="816"/>
      <c r="N38" s="30">
        <f>SUMIF('3 D P'!$D:$D,Cockpit!$E$5:$E$146,'3 D P'!L:L)</f>
        <v>0</v>
      </c>
      <c r="O38" s="30">
        <f>SUMIF('3 D P'!$D:$D,Cockpit!$E$5:$E$146,'3 D P'!M:M)</f>
        <v>0</v>
      </c>
      <c r="P38" s="30">
        <f>SUMIF('3 D P'!$D:$D,Cockpit!$E$5:$E$146,'3 D P'!N:N)</f>
        <v>0</v>
      </c>
      <c r="Q38" s="132">
        <f>IFERROR(VLOOKUP($D38,'Aptiv Dispatch'!$A:$B,2,FALSE),0)</f>
        <v>0</v>
      </c>
      <c r="R38" s="34">
        <f>SUMIF('Consumption MTD'!B:B,Cockpit!$E$5:$E$146,'Consumption MTD'!C:C)</f>
        <v>0</v>
      </c>
      <c r="S38" s="34">
        <f>SUMIF('BIW Lifting A Shift'!$B:$B,Cockpit!$E$5:$E$146,'BIW Lifting A Shift'!C:C)</f>
        <v>0</v>
      </c>
      <c r="T38" s="34">
        <f>SUMIF('BIW Lifting B Shift'!$B:$B,Cockpit!$E$5:$E$146,'BIW Lifting B Shift'!C:C)</f>
        <v>0</v>
      </c>
      <c r="U38" s="818"/>
      <c r="V38" s="818"/>
      <c r="W38" s="820"/>
      <c r="X38" s="555">
        <f>SUMIF(FLOAT!$D:$D,Cockpit!$E$5:$E$146,FLOAT!F:F)</f>
        <v>0</v>
      </c>
      <c r="Y38" s="15"/>
      <c r="Z38" s="455">
        <v>0</v>
      </c>
      <c r="AA38" s="49"/>
      <c r="AB38" s="15"/>
      <c r="AC38" s="15"/>
      <c r="AD38" s="54"/>
      <c r="AE38" s="821"/>
      <c r="AF38" s="49"/>
      <c r="AG38" s="278"/>
      <c r="AH38" s="62">
        <f>SUMIF(FLOAT!$D:$D,Cockpit!$E38:$E178,FLOAT!G:G)</f>
        <v>0</v>
      </c>
      <c r="AI38" s="62">
        <f>SUMIF(FLOAT!$D:$D,Cockpit!$E38:$E178,FLOAT!H:H)</f>
        <v>0</v>
      </c>
      <c r="AJ38" s="62">
        <f>SUMIF(FLOAT!$D:$D,Cockpit!$E38:$E178,FLOAT!I:I)</f>
        <v>0</v>
      </c>
      <c r="AK38" s="62">
        <f>SUMIF(FLOAT!$D:$D,Cockpit!$E38:$E178,FLOAT!J:J)</f>
        <v>0</v>
      </c>
      <c r="AL38" s="62">
        <f>SUMIF(FLOAT!$D:$D,Cockpit!$E38:$E178,FLOAT!K:K)</f>
        <v>0</v>
      </c>
      <c r="AM38" s="62">
        <f>SUMIF(FLOAT!$D:$D,Cockpit!$E38:$E178,FLOAT!L:L)</f>
        <v>0</v>
      </c>
      <c r="AN38" s="62">
        <f>SUMIF(FLOAT!$D:$D,Cockpit!$E38:$E178,FLOAT!M:M)</f>
        <v>0</v>
      </c>
      <c r="AO38" s="62">
        <f>SUMIF(FLOAT!$D:$D,Cockpit!$E38:$E178,FLOAT!N:N)</f>
        <v>0</v>
      </c>
      <c r="AP38" s="62">
        <f>SUMIF(FLOAT!$D:$D,Cockpit!$E38:$E178,FLOAT!O:O)</f>
        <v>0</v>
      </c>
      <c r="AQ38" s="62">
        <f>SUMIF(FLOAT!$D:$D,Cockpit!$E38:$E178,FLOAT!P:P)</f>
        <v>0</v>
      </c>
      <c r="AR38" s="60">
        <f t="shared" si="0"/>
        <v>0</v>
      </c>
      <c r="AS38" s="15" t="e">
        <v>#N/A</v>
      </c>
      <c r="AT38" s="17" t="e">
        <v>#N/A</v>
      </c>
      <c r="AU38" s="17" t="e">
        <f t="shared" si="1"/>
        <v>#N/A</v>
      </c>
    </row>
    <row r="39" spans="1:47" s="24" customFormat="1" ht="19.5" hidden="1" thickBot="1" x14ac:dyDescent="0.35">
      <c r="A39" s="105"/>
      <c r="B39" s="101"/>
      <c r="C39" s="866"/>
      <c r="D39" s="858"/>
      <c r="E39" s="674" t="s">
        <v>88</v>
      </c>
      <c r="F39" s="644" t="s">
        <v>102</v>
      </c>
      <c r="G39" s="71">
        <f>IFERROR(VLOOKUP(E39:E39,[1]Sheet4!$O:$P,2,0),0)</f>
        <v>0</v>
      </c>
      <c r="H39" s="868"/>
      <c r="I39" s="870"/>
      <c r="J39" s="850"/>
      <c r="K39" s="849"/>
      <c r="L39" s="849"/>
      <c r="M39" s="816"/>
      <c r="N39" s="30">
        <f>SUMIF('3 D P'!$D:$D,Cockpit!$E$5:$E$146,'3 D P'!L:L)</f>
        <v>0</v>
      </c>
      <c r="O39" s="30">
        <f>SUMIF('3 D P'!$D:$D,Cockpit!$E$5:$E$146,'3 D P'!M:M)</f>
        <v>0</v>
      </c>
      <c r="P39" s="30">
        <f>SUMIF('3 D P'!$D:$D,Cockpit!$E$5:$E$146,'3 D P'!N:N)</f>
        <v>0</v>
      </c>
      <c r="Q39" s="132">
        <f>IFERROR(VLOOKUP($D39,'Aptiv Dispatch'!$A:$B,2,FALSE),0)</f>
        <v>0</v>
      </c>
      <c r="R39" s="34">
        <f>SUMIF('Consumption MTD'!B:B,Cockpit!$E$5:$E$146,'Consumption MTD'!C:C)</f>
        <v>0</v>
      </c>
      <c r="S39" s="34">
        <f>SUMIF('BIW Lifting A Shift'!$B:$B,Cockpit!$E$5:$E$146,'BIW Lifting A Shift'!C:C)</f>
        <v>0</v>
      </c>
      <c r="T39" s="34">
        <f>SUMIF('BIW Lifting B Shift'!$B:$B,Cockpit!$E$5:$E$146,'BIW Lifting B Shift'!C:C)</f>
        <v>0</v>
      </c>
      <c r="U39" s="818"/>
      <c r="V39" s="818"/>
      <c r="W39" s="820"/>
      <c r="X39" s="555">
        <f>SUMIF(FLOAT!$D:$D,Cockpit!$E$5:$E$146,FLOAT!F:F)</f>
        <v>0</v>
      </c>
      <c r="Y39" s="15"/>
      <c r="Z39" s="455">
        <v>0</v>
      </c>
      <c r="AA39" s="49"/>
      <c r="AB39" s="15"/>
      <c r="AC39" s="15"/>
      <c r="AD39" s="54"/>
      <c r="AE39" s="821"/>
      <c r="AF39" s="49"/>
      <c r="AG39" s="278"/>
      <c r="AH39" s="62">
        <f>SUMIF(FLOAT!$D:$D,Cockpit!$E39:$E178,FLOAT!G:G)</f>
        <v>0</v>
      </c>
      <c r="AI39" s="62">
        <f>SUMIF(FLOAT!$D:$D,Cockpit!$E39:$E178,FLOAT!H:H)</f>
        <v>0</v>
      </c>
      <c r="AJ39" s="62">
        <f>SUMIF(FLOAT!$D:$D,Cockpit!$E39:$E178,FLOAT!I:I)</f>
        <v>0</v>
      </c>
      <c r="AK39" s="62">
        <f>SUMIF(FLOAT!$D:$D,Cockpit!$E39:$E178,FLOAT!J:J)</f>
        <v>0</v>
      </c>
      <c r="AL39" s="62">
        <f>SUMIF(FLOAT!$D:$D,Cockpit!$E39:$E178,FLOAT!K:K)</f>
        <v>0</v>
      </c>
      <c r="AM39" s="62">
        <f>SUMIF(FLOAT!$D:$D,Cockpit!$E39:$E178,FLOAT!L:L)</f>
        <v>0</v>
      </c>
      <c r="AN39" s="62">
        <f>SUMIF(FLOAT!$D:$D,Cockpit!$E39:$E178,FLOAT!M:M)</f>
        <v>0</v>
      </c>
      <c r="AO39" s="62">
        <f>SUMIF(FLOAT!$D:$D,Cockpit!$E39:$E178,FLOAT!N:N)</f>
        <v>0</v>
      </c>
      <c r="AP39" s="62">
        <f>SUMIF(FLOAT!$D:$D,Cockpit!$E39:$E178,FLOAT!O:O)</f>
        <v>0</v>
      </c>
      <c r="AQ39" s="62">
        <f>SUMIF(FLOAT!$D:$D,Cockpit!$E39:$E178,FLOAT!P:P)</f>
        <v>0</v>
      </c>
      <c r="AR39" s="60">
        <f t="shared" si="0"/>
        <v>0</v>
      </c>
      <c r="AS39" s="15" t="e">
        <v>#N/A</v>
      </c>
      <c r="AT39" s="17" t="e">
        <v>#N/A</v>
      </c>
      <c r="AU39" s="17" t="e">
        <f t="shared" si="1"/>
        <v>#N/A</v>
      </c>
    </row>
    <row r="40" spans="1:47" s="24" customFormat="1" ht="19.5" hidden="1" thickBot="1" x14ac:dyDescent="0.35">
      <c r="A40" s="105"/>
      <c r="B40" s="101"/>
      <c r="C40" s="866"/>
      <c r="D40" s="858"/>
      <c r="E40" s="674" t="s">
        <v>89</v>
      </c>
      <c r="F40" s="644" t="s">
        <v>103</v>
      </c>
      <c r="G40" s="71">
        <f>IFERROR(VLOOKUP(E40:E40,[1]Sheet4!$O:$P,2,0),0)</f>
        <v>0</v>
      </c>
      <c r="H40" s="868"/>
      <c r="I40" s="870"/>
      <c r="J40" s="850"/>
      <c r="K40" s="849"/>
      <c r="L40" s="849"/>
      <c r="M40" s="816"/>
      <c r="N40" s="30">
        <f>SUMIF('3 D P'!$D:$D,Cockpit!$E$5:$E$146,'3 D P'!L:L)</f>
        <v>0</v>
      </c>
      <c r="O40" s="30">
        <f>SUMIF('3 D P'!$D:$D,Cockpit!$E$5:$E$146,'3 D P'!M:M)</f>
        <v>0</v>
      </c>
      <c r="P40" s="30">
        <f>SUMIF('3 D P'!$D:$D,Cockpit!$E$5:$E$146,'3 D P'!N:N)</f>
        <v>0</v>
      </c>
      <c r="Q40" s="132">
        <f>IFERROR(VLOOKUP($D40,'Aptiv Dispatch'!$A:$B,2,FALSE),0)</f>
        <v>0</v>
      </c>
      <c r="R40" s="34">
        <f>SUMIF('Consumption MTD'!B:B,Cockpit!$E$5:$E$146,'Consumption MTD'!C:C)</f>
        <v>0</v>
      </c>
      <c r="S40" s="34">
        <f>SUMIF('BIW Lifting A Shift'!$B:$B,Cockpit!$E$5:$E$146,'BIW Lifting A Shift'!C:C)</f>
        <v>0</v>
      </c>
      <c r="T40" s="34">
        <f>SUMIF('BIW Lifting B Shift'!$B:$B,Cockpit!$E$5:$E$146,'BIW Lifting B Shift'!C:C)</f>
        <v>0</v>
      </c>
      <c r="U40" s="818"/>
      <c r="V40" s="818"/>
      <c r="W40" s="820"/>
      <c r="X40" s="555">
        <f>SUMIF(FLOAT!$D:$D,Cockpit!$E$5:$E$146,FLOAT!F:F)</f>
        <v>0</v>
      </c>
      <c r="Y40" s="15"/>
      <c r="Z40" s="455">
        <v>0</v>
      </c>
      <c r="AA40" s="49"/>
      <c r="AB40" s="15"/>
      <c r="AC40" s="15"/>
      <c r="AD40" s="54"/>
      <c r="AE40" s="821"/>
      <c r="AF40" s="49"/>
      <c r="AG40" s="278"/>
      <c r="AH40" s="62">
        <f>SUMIF(FLOAT!$D:$D,Cockpit!$E40:$E178,FLOAT!G:G)</f>
        <v>0</v>
      </c>
      <c r="AI40" s="62">
        <f>SUMIF(FLOAT!$D:$D,Cockpit!$E40:$E178,FLOAT!H:H)</f>
        <v>0</v>
      </c>
      <c r="AJ40" s="62">
        <f>SUMIF(FLOAT!$D:$D,Cockpit!$E40:$E178,FLOAT!I:I)</f>
        <v>0</v>
      </c>
      <c r="AK40" s="62">
        <f>SUMIF(FLOAT!$D:$D,Cockpit!$E40:$E178,FLOAT!J:J)</f>
        <v>0</v>
      </c>
      <c r="AL40" s="62">
        <f>SUMIF(FLOAT!$D:$D,Cockpit!$E40:$E178,FLOAT!K:K)</f>
        <v>0</v>
      </c>
      <c r="AM40" s="62">
        <f>SUMIF(FLOAT!$D:$D,Cockpit!$E40:$E178,FLOAT!L:L)</f>
        <v>0</v>
      </c>
      <c r="AN40" s="62">
        <f>SUMIF(FLOAT!$D:$D,Cockpit!$E40:$E178,FLOAT!M:M)</f>
        <v>0</v>
      </c>
      <c r="AO40" s="62">
        <f>SUMIF(FLOAT!$D:$D,Cockpit!$E40:$E178,FLOAT!N:N)</f>
        <v>0</v>
      </c>
      <c r="AP40" s="62">
        <f>SUMIF(FLOAT!$D:$D,Cockpit!$E40:$E178,FLOAT!O:O)</f>
        <v>0</v>
      </c>
      <c r="AQ40" s="62">
        <f>SUMIF(FLOAT!$D:$D,Cockpit!$E40:$E178,FLOAT!P:P)</f>
        <v>0</v>
      </c>
      <c r="AR40" s="60">
        <f t="shared" si="0"/>
        <v>0</v>
      </c>
      <c r="AS40" s="15" t="e">
        <v>#N/A</v>
      </c>
      <c r="AT40" s="17" t="e">
        <v>#N/A</v>
      </c>
      <c r="AU40" s="17" t="e">
        <f t="shared" si="1"/>
        <v>#N/A</v>
      </c>
    </row>
    <row r="41" spans="1:47" s="24" customFormat="1" ht="19.5" hidden="1" thickBot="1" x14ac:dyDescent="0.35">
      <c r="A41" s="105"/>
      <c r="B41" s="101"/>
      <c r="C41" s="866"/>
      <c r="D41" s="858"/>
      <c r="E41" s="674" t="s">
        <v>111</v>
      </c>
      <c r="F41" s="644" t="s">
        <v>52</v>
      </c>
      <c r="G41" s="71">
        <f>IFERROR(VLOOKUP(E41:E41,[1]Sheet4!$O:$P,2,0),0)</f>
        <v>0</v>
      </c>
      <c r="H41" s="868"/>
      <c r="I41" s="870"/>
      <c r="J41" s="850"/>
      <c r="K41" s="849"/>
      <c r="L41" s="849"/>
      <c r="M41" s="816"/>
      <c r="N41" s="30">
        <f>SUMIF('3 D P'!$D:$D,Cockpit!$E$5:$E$146,'3 D P'!L:L)</f>
        <v>0</v>
      </c>
      <c r="O41" s="30">
        <f>SUMIF('3 D P'!$D:$D,Cockpit!$E$5:$E$146,'3 D P'!M:M)</f>
        <v>0</v>
      </c>
      <c r="P41" s="30">
        <f>SUMIF('3 D P'!$D:$D,Cockpit!$E$5:$E$146,'3 D P'!N:N)</f>
        <v>0</v>
      </c>
      <c r="Q41" s="132">
        <f>IFERROR(VLOOKUP($D41,'Aptiv Dispatch'!$A:$B,2,FALSE),0)</f>
        <v>0</v>
      </c>
      <c r="R41" s="34">
        <f>SUMIF('Consumption MTD'!B:B,Cockpit!$E$5:$E$146,'Consumption MTD'!C:C)</f>
        <v>0</v>
      </c>
      <c r="S41" s="34">
        <f>SUMIF('BIW Lifting A Shift'!$B:$B,Cockpit!$E$5:$E$146,'BIW Lifting A Shift'!C:C)</f>
        <v>0</v>
      </c>
      <c r="T41" s="34">
        <f>SUMIF('BIW Lifting B Shift'!$B:$B,Cockpit!$E$5:$E$146,'BIW Lifting B Shift'!C:C)</f>
        <v>0</v>
      </c>
      <c r="U41" s="818"/>
      <c r="V41" s="818"/>
      <c r="W41" s="820"/>
      <c r="X41" s="555">
        <f>SUMIF(FLOAT!$D:$D,Cockpit!$E$5:$E$146,FLOAT!F:F)</f>
        <v>0</v>
      </c>
      <c r="Y41" s="15"/>
      <c r="Z41" s="455">
        <v>0</v>
      </c>
      <c r="AA41" s="49"/>
      <c r="AB41" s="15"/>
      <c r="AC41" s="15"/>
      <c r="AD41" s="54"/>
      <c r="AE41" s="821"/>
      <c r="AF41" s="49"/>
      <c r="AG41" s="278"/>
      <c r="AH41" s="62">
        <f>SUMIF(FLOAT!$D:$D,Cockpit!$E41:$E178,FLOAT!G:G)</f>
        <v>0</v>
      </c>
      <c r="AI41" s="62">
        <f>SUMIF(FLOAT!$D:$D,Cockpit!$E41:$E178,FLOAT!H:H)</f>
        <v>0</v>
      </c>
      <c r="AJ41" s="62">
        <f>SUMIF(FLOAT!$D:$D,Cockpit!$E41:$E178,FLOAT!I:I)</f>
        <v>0</v>
      </c>
      <c r="AK41" s="62">
        <f>SUMIF(FLOAT!$D:$D,Cockpit!$E41:$E178,FLOAT!J:J)</f>
        <v>0</v>
      </c>
      <c r="AL41" s="62">
        <f>SUMIF(FLOAT!$D:$D,Cockpit!$E41:$E178,FLOAT!K:K)</f>
        <v>0</v>
      </c>
      <c r="AM41" s="62">
        <f>SUMIF(FLOAT!$D:$D,Cockpit!$E41:$E178,FLOAT!L:L)</f>
        <v>0</v>
      </c>
      <c r="AN41" s="62">
        <f>SUMIF(FLOAT!$D:$D,Cockpit!$E41:$E178,FLOAT!M:M)</f>
        <v>0</v>
      </c>
      <c r="AO41" s="62">
        <f>SUMIF(FLOAT!$D:$D,Cockpit!$E41:$E178,FLOAT!N:N)</f>
        <v>0</v>
      </c>
      <c r="AP41" s="62">
        <f>SUMIF(FLOAT!$D:$D,Cockpit!$E41:$E178,FLOAT!O:O)</f>
        <v>0</v>
      </c>
      <c r="AQ41" s="62">
        <f>SUMIF(FLOAT!$D:$D,Cockpit!$E41:$E178,FLOAT!P:P)</f>
        <v>0</v>
      </c>
      <c r="AR41" s="60">
        <f t="shared" si="0"/>
        <v>0</v>
      </c>
      <c r="AS41" s="15" t="e">
        <v>#N/A</v>
      </c>
      <c r="AT41" s="17" t="e">
        <v>#N/A</v>
      </c>
      <c r="AU41" s="17" t="e">
        <f t="shared" si="1"/>
        <v>#N/A</v>
      </c>
    </row>
    <row r="42" spans="1:47" s="24" customFormat="1" ht="19.5" hidden="1" thickBot="1" x14ac:dyDescent="0.35">
      <c r="A42" s="105"/>
      <c r="B42" s="101"/>
      <c r="C42" s="866"/>
      <c r="D42" s="867"/>
      <c r="E42" s="674" t="s">
        <v>112</v>
      </c>
      <c r="F42" s="644" t="s">
        <v>53</v>
      </c>
      <c r="G42" s="71">
        <f>IFERROR(VLOOKUP(E42:E42,[1]Sheet4!$O:$P,2,0),0)</f>
        <v>0</v>
      </c>
      <c r="H42" s="825"/>
      <c r="I42" s="871"/>
      <c r="J42" s="837"/>
      <c r="K42" s="823"/>
      <c r="L42" s="823"/>
      <c r="M42" s="816"/>
      <c r="N42" s="30">
        <f>SUMIF('3 D P'!$D:$D,Cockpit!$E$5:$E$146,'3 D P'!L:L)</f>
        <v>0</v>
      </c>
      <c r="O42" s="30">
        <f>SUMIF('3 D P'!$D:$D,Cockpit!$E$5:$E$146,'3 D P'!M:M)</f>
        <v>0</v>
      </c>
      <c r="P42" s="30">
        <f>SUMIF('3 D P'!$D:$D,Cockpit!$E$5:$E$146,'3 D P'!N:N)</f>
        <v>0</v>
      </c>
      <c r="Q42" s="132">
        <f>IFERROR(VLOOKUP($D42,'Aptiv Dispatch'!$A:$B,2,FALSE),0)</f>
        <v>0</v>
      </c>
      <c r="R42" s="34">
        <f>SUMIF('Consumption MTD'!B:B,Cockpit!$E$5:$E$146,'Consumption MTD'!C:C)</f>
        <v>0</v>
      </c>
      <c r="S42" s="34">
        <f>SUMIF('BIW Lifting A Shift'!$B:$B,Cockpit!$E$5:$E$146,'BIW Lifting A Shift'!C:C)</f>
        <v>0</v>
      </c>
      <c r="T42" s="34">
        <f>SUMIF('BIW Lifting B Shift'!$B:$B,Cockpit!$E$5:$E$146,'BIW Lifting B Shift'!C:C)</f>
        <v>0</v>
      </c>
      <c r="U42" s="818"/>
      <c r="V42" s="818"/>
      <c r="W42" s="820"/>
      <c r="X42" s="555">
        <f>SUMIF(FLOAT!$D:$D,Cockpit!$E$5:$E$146,FLOAT!F:F)</f>
        <v>0</v>
      </c>
      <c r="Y42" s="15"/>
      <c r="Z42" s="455">
        <v>0</v>
      </c>
      <c r="AA42" s="49"/>
      <c r="AB42" s="15"/>
      <c r="AC42" s="15"/>
      <c r="AD42" s="54"/>
      <c r="AE42" s="821"/>
      <c r="AF42" s="49"/>
      <c r="AG42" s="278"/>
      <c r="AH42" s="62">
        <f>SUMIF(FLOAT!$D:$D,Cockpit!$E42:$E179,FLOAT!G:G)</f>
        <v>0</v>
      </c>
      <c r="AI42" s="62">
        <f>SUMIF(FLOAT!$D:$D,Cockpit!$E42:$E179,FLOAT!H:H)</f>
        <v>0</v>
      </c>
      <c r="AJ42" s="62">
        <f>SUMIF(FLOAT!$D:$D,Cockpit!$E42:$E179,FLOAT!I:I)</f>
        <v>0</v>
      </c>
      <c r="AK42" s="62">
        <f>SUMIF(FLOAT!$D:$D,Cockpit!$E42:$E179,FLOAT!J:J)</f>
        <v>0</v>
      </c>
      <c r="AL42" s="62">
        <f>SUMIF(FLOAT!$D:$D,Cockpit!$E42:$E179,FLOAT!K:K)</f>
        <v>0</v>
      </c>
      <c r="AM42" s="62">
        <f>SUMIF(FLOAT!$D:$D,Cockpit!$E42:$E179,FLOAT!L:L)</f>
        <v>0</v>
      </c>
      <c r="AN42" s="62">
        <f>SUMIF(FLOAT!$D:$D,Cockpit!$E42:$E179,FLOAT!M:M)</f>
        <v>0</v>
      </c>
      <c r="AO42" s="62">
        <f>SUMIF(FLOAT!$D:$D,Cockpit!$E42:$E179,FLOAT!N:N)</f>
        <v>0</v>
      </c>
      <c r="AP42" s="62">
        <f>SUMIF(FLOAT!$D:$D,Cockpit!$E42:$E179,FLOAT!O:O)</f>
        <v>0</v>
      </c>
      <c r="AQ42" s="62">
        <f>SUMIF(FLOAT!$D:$D,Cockpit!$E42:$E179,FLOAT!P:P)</f>
        <v>0</v>
      </c>
      <c r="AR42" s="60">
        <f t="shared" si="0"/>
        <v>0</v>
      </c>
      <c r="AS42" s="15" t="e">
        <v>#N/A</v>
      </c>
      <c r="AT42" s="17" t="e">
        <v>#N/A</v>
      </c>
      <c r="AU42" s="17" t="e">
        <f t="shared" si="1"/>
        <v>#N/A</v>
      </c>
    </row>
    <row r="43" spans="1:47" s="17" customFormat="1" ht="19.5" hidden="1" thickBot="1" x14ac:dyDescent="0.35">
      <c r="A43" s="2">
        <v>544246200404</v>
      </c>
      <c r="B43" s="97"/>
      <c r="C43" s="839">
        <v>544254630436</v>
      </c>
      <c r="D43" s="841">
        <v>544254630436</v>
      </c>
      <c r="E43" s="674" t="s">
        <v>40</v>
      </c>
      <c r="F43" s="865" t="s">
        <v>25</v>
      </c>
      <c r="G43" s="71">
        <f>IFERROR(VLOOKUP(E43:E43,[1]Sheet4!$O:$P,2,0),0)</f>
        <v>0</v>
      </c>
      <c r="H43" s="824">
        <f>SUM(G43:G44)</f>
        <v>0</v>
      </c>
      <c r="I43" s="822">
        <v>0</v>
      </c>
      <c r="J43" s="863">
        <f>Q43</f>
        <v>0</v>
      </c>
      <c r="K43" s="822">
        <f>SUM(R43:R44)</f>
        <v>0</v>
      </c>
      <c r="L43" s="822">
        <f>H43-K43</f>
        <v>0</v>
      </c>
      <c r="M43" s="816">
        <f>I43+J43-K43</f>
        <v>0</v>
      </c>
      <c r="N43" s="30">
        <f>SUMIF('3 D P'!$D:$D,Cockpit!$E$5:$E$146,'3 D P'!L:L)</f>
        <v>0</v>
      </c>
      <c r="O43" s="30">
        <f>SUMIF('3 D P'!$D:$D,Cockpit!$E$5:$E$146,'3 D P'!M:M)</f>
        <v>0</v>
      </c>
      <c r="P43" s="30">
        <f>SUMIF('3 D P'!$D:$D,Cockpit!$E$5:$E$146,'3 D P'!N:N)</f>
        <v>0</v>
      </c>
      <c r="Q43" s="132">
        <f>IFERROR(VLOOKUP($D43,'Aptiv Dispatch'!$A:$B,2,FALSE),0)</f>
        <v>0</v>
      </c>
      <c r="R43" s="34">
        <f>SUMIF('Consumption MTD'!B:B,Cockpit!$E$5:$E$146,'Consumption MTD'!C:C)</f>
        <v>0</v>
      </c>
      <c r="S43" s="34">
        <f>SUMIF('BIW Lifting A Shift'!$B:$B,Cockpit!$E$5:$E$146,'BIW Lifting A Shift'!C:C)</f>
        <v>0</v>
      </c>
      <c r="T43" s="34">
        <f>SUMIF('BIW Lifting B Shift'!$B:$B,Cockpit!$E$5:$E$146,'BIW Lifting B Shift'!C:C)</f>
        <v>0</v>
      </c>
      <c r="U43" s="818">
        <f>M43-X43-X44</f>
        <v>0</v>
      </c>
      <c r="V43" s="818">
        <f>M43-X43-X44-S43-S44</f>
        <v>0</v>
      </c>
      <c r="W43" s="820">
        <f>V43-T43-T44</f>
        <v>0</v>
      </c>
      <c r="X43" s="555">
        <f>SUMIF(FLOAT!$D:$D,Cockpit!$E$5:$E$146,FLOAT!F:F)</f>
        <v>0</v>
      </c>
      <c r="Y43" s="15">
        <v>0</v>
      </c>
      <c r="Z43" s="455">
        <v>0</v>
      </c>
      <c r="AA43" s="49"/>
      <c r="AB43" s="15"/>
      <c r="AC43" s="15"/>
      <c r="AD43" s="54"/>
      <c r="AE43" s="821">
        <v>0</v>
      </c>
      <c r="AF43" s="49"/>
      <c r="AH43" s="62">
        <f>SUMIF(FLOAT!$D:$D,Cockpit!$E43:$E180,FLOAT!G:G)</f>
        <v>0</v>
      </c>
      <c r="AI43" s="62">
        <f>SUMIF(FLOAT!$D:$D,Cockpit!$E43:$E180,FLOAT!H:H)</f>
        <v>0</v>
      </c>
      <c r="AJ43" s="62">
        <f>SUMIF(FLOAT!$D:$D,Cockpit!$E43:$E180,FLOAT!I:I)</f>
        <v>0</v>
      </c>
      <c r="AK43" s="62">
        <f>SUMIF(FLOAT!$D:$D,Cockpit!$E43:$E180,FLOAT!J:J)</f>
        <v>0</v>
      </c>
      <c r="AL43" s="62">
        <f>SUMIF(FLOAT!$D:$D,Cockpit!$E43:$E180,FLOAT!K:K)</f>
        <v>0</v>
      </c>
      <c r="AM43" s="62">
        <f>SUMIF(FLOAT!$D:$D,Cockpit!$E43:$E180,FLOAT!L:L)</f>
        <v>0</v>
      </c>
      <c r="AN43" s="62">
        <f>SUMIF(FLOAT!$D:$D,Cockpit!$E43:$E180,FLOAT!M:M)</f>
        <v>0</v>
      </c>
      <c r="AO43" s="62">
        <f>SUMIF(FLOAT!$D:$D,Cockpit!$E43:$E180,FLOAT!N:N)</f>
        <v>0</v>
      </c>
      <c r="AP43" s="62">
        <f>SUMIF(FLOAT!$D:$D,Cockpit!$E43:$E180,FLOAT!O:O)</f>
        <v>0</v>
      </c>
      <c r="AQ43" s="62">
        <f>SUMIF(FLOAT!$D:$D,Cockpit!$E43:$E180,FLOAT!P:P)</f>
        <v>0</v>
      </c>
      <c r="AR43" s="60">
        <f t="shared" si="0"/>
        <v>0</v>
      </c>
      <c r="AS43" s="15" t="e">
        <v>#N/A</v>
      </c>
      <c r="AT43" s="17" t="e">
        <v>#N/A</v>
      </c>
      <c r="AU43" s="17" t="e">
        <f t="shared" si="1"/>
        <v>#N/A</v>
      </c>
    </row>
    <row r="44" spans="1:47" s="17" customFormat="1" ht="19.5" hidden="1" thickBot="1" x14ac:dyDescent="0.35">
      <c r="A44" s="2"/>
      <c r="B44" s="97"/>
      <c r="C44" s="839"/>
      <c r="D44" s="841"/>
      <c r="E44" s="674" t="s">
        <v>41</v>
      </c>
      <c r="F44" s="865"/>
      <c r="G44" s="71">
        <f>IFERROR(VLOOKUP(E44:E44,[1]Sheet4!$O:$P,2,0),0)</f>
        <v>0</v>
      </c>
      <c r="H44" s="825"/>
      <c r="I44" s="823"/>
      <c r="J44" s="864"/>
      <c r="K44" s="823"/>
      <c r="L44" s="823"/>
      <c r="M44" s="816"/>
      <c r="N44" s="30">
        <f>SUMIF('3 D P'!$D:$D,Cockpit!$E$5:$E$146,'3 D P'!L:L)</f>
        <v>0</v>
      </c>
      <c r="O44" s="30">
        <f>SUMIF('3 D P'!$D:$D,Cockpit!$E$5:$E$146,'3 D P'!M:M)</f>
        <v>0</v>
      </c>
      <c r="P44" s="30">
        <f>SUMIF('3 D P'!$D:$D,Cockpit!$E$5:$E$146,'3 D P'!N:N)</f>
        <v>0</v>
      </c>
      <c r="Q44" s="132">
        <f>IFERROR(VLOOKUP($D44,'Aptiv Dispatch'!$A:$B,2,FALSE),0)</f>
        <v>0</v>
      </c>
      <c r="R44" s="34">
        <f>SUMIF('Consumption MTD'!B:B,Cockpit!$E$5:$E$146,'Consumption MTD'!C:C)</f>
        <v>0</v>
      </c>
      <c r="S44" s="34">
        <f>SUMIF('BIW Lifting A Shift'!$B:$B,Cockpit!$E$5:$E$146,'BIW Lifting A Shift'!C:C)</f>
        <v>0</v>
      </c>
      <c r="T44" s="34">
        <f>SUMIF('BIW Lifting B Shift'!$B:$B,Cockpit!$E$5:$E$146,'BIW Lifting B Shift'!C:C)</f>
        <v>0</v>
      </c>
      <c r="U44" s="818"/>
      <c r="V44" s="818"/>
      <c r="W44" s="820"/>
      <c r="X44" s="555">
        <f>SUMIF(FLOAT!$D:$D,Cockpit!$E$5:$E$146,FLOAT!F:F)</f>
        <v>0</v>
      </c>
      <c r="Y44" s="15"/>
      <c r="Z44" s="455">
        <v>0</v>
      </c>
      <c r="AA44" s="49"/>
      <c r="AB44" s="15"/>
      <c r="AC44" s="15"/>
      <c r="AD44" s="54"/>
      <c r="AE44" s="821"/>
      <c r="AF44" s="49"/>
      <c r="AH44" s="62">
        <f>SUMIF(FLOAT!$D:$D,Cockpit!$E44:$E181,FLOAT!G:G)</f>
        <v>0</v>
      </c>
      <c r="AI44" s="62">
        <f>SUMIF(FLOAT!$D:$D,Cockpit!$E44:$E181,FLOAT!H:H)</f>
        <v>0</v>
      </c>
      <c r="AJ44" s="62">
        <f>SUMIF(FLOAT!$D:$D,Cockpit!$E44:$E181,FLOAT!I:I)</f>
        <v>0</v>
      </c>
      <c r="AK44" s="62">
        <f>SUMIF(FLOAT!$D:$D,Cockpit!$E44:$E181,FLOAT!J:J)</f>
        <v>0</v>
      </c>
      <c r="AL44" s="62">
        <f>SUMIF(FLOAT!$D:$D,Cockpit!$E44:$E181,FLOAT!K:K)</f>
        <v>0</v>
      </c>
      <c r="AM44" s="62">
        <f>SUMIF(FLOAT!$D:$D,Cockpit!$E44:$E181,FLOAT!L:L)</f>
        <v>0</v>
      </c>
      <c r="AN44" s="62">
        <f>SUMIF(FLOAT!$D:$D,Cockpit!$E44:$E181,FLOAT!M:M)</f>
        <v>0</v>
      </c>
      <c r="AO44" s="62">
        <f>SUMIF(FLOAT!$D:$D,Cockpit!$E44:$E181,FLOAT!N:N)</f>
        <v>0</v>
      </c>
      <c r="AP44" s="62">
        <f>SUMIF(FLOAT!$D:$D,Cockpit!$E44:$E181,FLOAT!O:O)</f>
        <v>0</v>
      </c>
      <c r="AQ44" s="62">
        <f>SUMIF(FLOAT!$D:$D,Cockpit!$E44:$E181,FLOAT!P:P)</f>
        <v>0</v>
      </c>
      <c r="AR44" s="60">
        <f t="shared" si="0"/>
        <v>0</v>
      </c>
      <c r="AS44" s="15" t="e">
        <v>#N/A</v>
      </c>
      <c r="AT44" s="17" t="e">
        <v>#N/A</v>
      </c>
      <c r="AU44" s="17" t="e">
        <f t="shared" si="1"/>
        <v>#N/A</v>
      </c>
    </row>
    <row r="45" spans="1:47" ht="19.5" hidden="1" thickBot="1" x14ac:dyDescent="0.35">
      <c r="A45" s="2"/>
      <c r="B45" s="97"/>
      <c r="C45" s="839">
        <v>544254630420</v>
      </c>
      <c r="D45" s="857">
        <v>544254640173</v>
      </c>
      <c r="E45" s="674" t="s">
        <v>91</v>
      </c>
      <c r="F45" s="644" t="s">
        <v>107</v>
      </c>
      <c r="G45" s="71">
        <f>IFERROR(VLOOKUP(E45:E45,[1]Sheet4!$O:$P,2,0),0)</f>
        <v>0</v>
      </c>
      <c r="H45" s="859">
        <f>SUM(G45:G46)</f>
        <v>0</v>
      </c>
      <c r="I45" s="860">
        <v>0</v>
      </c>
      <c r="J45" s="862">
        <f t="shared" ref="J45:J50" si="2">Q45</f>
        <v>0</v>
      </c>
      <c r="K45" s="860">
        <f>SUM(R45:R46)</f>
        <v>0</v>
      </c>
      <c r="L45" s="860">
        <f>H45-K45</f>
        <v>0</v>
      </c>
      <c r="M45" s="894">
        <f>I45+J45-K45</f>
        <v>0</v>
      </c>
      <c r="N45" s="30">
        <f>SUMIF('3 D P'!$D:$D,Cockpit!$E$5:$E$146,'3 D P'!L:L)</f>
        <v>0</v>
      </c>
      <c r="O45" s="30">
        <f>SUMIF('3 D P'!$D:$D,Cockpit!$E$5:$E$146,'3 D P'!M:M)</f>
        <v>0</v>
      </c>
      <c r="P45" s="30">
        <f>SUMIF('3 D P'!$D:$D,Cockpit!$E$5:$E$146,'3 D P'!N:N)</f>
        <v>0</v>
      </c>
      <c r="Q45" s="132">
        <f>IFERROR(VLOOKUP($D45,'Aptiv Dispatch'!$A:$B,2,FALSE),0)</f>
        <v>0</v>
      </c>
      <c r="R45" s="34">
        <f>SUMIF('Consumption MTD'!B:B,Cockpit!$E$5:$E$146,'Consumption MTD'!C:C)</f>
        <v>0</v>
      </c>
      <c r="S45" s="34">
        <f>SUMIF('BIW Lifting A Shift'!$B:$B,Cockpit!$E$5:$E$146,'BIW Lifting A Shift'!C:C)</f>
        <v>0</v>
      </c>
      <c r="T45" s="34">
        <f>SUMIF('BIW Lifting B Shift'!$B:$B,Cockpit!$E$5:$E$146,'BIW Lifting B Shift'!C:C)</f>
        <v>0</v>
      </c>
      <c r="U45" s="817">
        <f>M45-X45-X46</f>
        <v>0</v>
      </c>
      <c r="V45" s="817">
        <f>M45-X45-X46-S45-S46</f>
        <v>0</v>
      </c>
      <c r="W45" s="819">
        <f>V45-T45-T46</f>
        <v>0</v>
      </c>
      <c r="X45" s="555">
        <f>SUMIF(FLOAT!$D:$D,Cockpit!$E$5:$E$146,FLOAT!F:F)</f>
        <v>0</v>
      </c>
      <c r="Y45" s="15">
        <v>0</v>
      </c>
      <c r="Z45" s="455">
        <v>0</v>
      </c>
      <c r="AA45" s="49"/>
      <c r="AB45" s="15"/>
      <c r="AC45" s="15"/>
      <c r="AE45" s="821">
        <v>12</v>
      </c>
      <c r="AF45" s="49"/>
      <c r="AG45" s="278"/>
      <c r="AH45" s="62">
        <f>SUMIF(FLOAT!$D:$D,Cockpit!$E45:$E182,FLOAT!G:G)</f>
        <v>0</v>
      </c>
      <c r="AI45" s="62">
        <f>SUMIF(FLOAT!$D:$D,Cockpit!$E45:$E182,FLOAT!H:H)</f>
        <v>0</v>
      </c>
      <c r="AJ45" s="62">
        <f>SUMIF(FLOAT!$D:$D,Cockpit!$E45:$E182,FLOAT!I:I)</f>
        <v>0</v>
      </c>
      <c r="AK45" s="62">
        <f>SUMIF(FLOAT!$D:$D,Cockpit!$E45:$E182,FLOAT!J:J)</f>
        <v>0</v>
      </c>
      <c r="AL45" s="62">
        <f>SUMIF(FLOAT!$D:$D,Cockpit!$E45:$E182,FLOAT!K:K)</f>
        <v>0</v>
      </c>
      <c r="AM45" s="62">
        <f>SUMIF(FLOAT!$D:$D,Cockpit!$E45:$E182,FLOAT!L:L)</f>
        <v>0</v>
      </c>
      <c r="AN45" s="62">
        <f>SUMIF(FLOAT!$D:$D,Cockpit!$E45:$E182,FLOAT!M:M)</f>
        <v>0</v>
      </c>
      <c r="AO45" s="62">
        <f>SUMIF(FLOAT!$D:$D,Cockpit!$E45:$E182,FLOAT!N:N)</f>
        <v>0</v>
      </c>
      <c r="AP45" s="62">
        <f>SUMIF(FLOAT!$D:$D,Cockpit!$E45:$E182,FLOAT!O:O)</f>
        <v>0</v>
      </c>
      <c r="AQ45" s="62">
        <f>SUMIF(FLOAT!$D:$D,Cockpit!$E45:$E182,FLOAT!P:P)</f>
        <v>0</v>
      </c>
      <c r="AR45" s="170">
        <f t="shared" si="0"/>
        <v>0</v>
      </c>
      <c r="AS45" s="15" t="e">
        <v>#N/A</v>
      </c>
      <c r="AT45" s="17" t="e">
        <v>#N/A</v>
      </c>
      <c r="AU45" s="17" t="e">
        <f t="shared" si="1"/>
        <v>#N/A</v>
      </c>
    </row>
    <row r="46" spans="1:47" s="17" customFormat="1" ht="19.5" hidden="1" thickBot="1" x14ac:dyDescent="0.35">
      <c r="A46" s="2"/>
      <c r="B46" s="97"/>
      <c r="C46" s="839"/>
      <c r="D46" s="858"/>
      <c r="E46" s="674" t="s">
        <v>106</v>
      </c>
      <c r="F46" s="644" t="s">
        <v>108</v>
      </c>
      <c r="G46" s="71">
        <f>IFERROR(VLOOKUP(E46:E46,[1]Sheet4!$O:$P,2,0),0)</f>
        <v>0</v>
      </c>
      <c r="H46" s="825"/>
      <c r="I46" s="861"/>
      <c r="J46" s="837"/>
      <c r="K46" s="823"/>
      <c r="L46" s="823"/>
      <c r="M46" s="816"/>
      <c r="N46" s="30">
        <f>SUMIF('3 D P'!$D:$D,Cockpit!$E$5:$E$146,'3 D P'!L:L)</f>
        <v>0</v>
      </c>
      <c r="O46" s="30">
        <f>SUMIF('3 D P'!$D:$D,Cockpit!$E$5:$E$146,'3 D P'!M:M)</f>
        <v>0</v>
      </c>
      <c r="P46" s="30">
        <f>SUMIF('3 D P'!$D:$D,Cockpit!$E$5:$E$146,'3 D P'!N:N)</f>
        <v>0</v>
      </c>
      <c r="Q46" s="132">
        <f>IFERROR(VLOOKUP($D46,'Aptiv Dispatch'!$A:$B,2,FALSE),0)</f>
        <v>0</v>
      </c>
      <c r="R46" s="34">
        <f>SUMIF('Consumption MTD'!B:B,Cockpit!$E$5:$E$146,'Consumption MTD'!C:C)</f>
        <v>0</v>
      </c>
      <c r="S46" s="34">
        <f>SUMIF('BIW Lifting A Shift'!$B:$B,Cockpit!$E$5:$E$146,'BIW Lifting A Shift'!C:C)</f>
        <v>0</v>
      </c>
      <c r="T46" s="34">
        <f>SUMIF('BIW Lifting B Shift'!$B:$B,Cockpit!$E$5:$E$146,'BIW Lifting B Shift'!C:C)</f>
        <v>0</v>
      </c>
      <c r="U46" s="818"/>
      <c r="V46" s="818"/>
      <c r="W46" s="820"/>
      <c r="X46" s="555">
        <f>SUMIF(FLOAT!$D:$D,Cockpit!$E$5:$E$146,FLOAT!F:F)</f>
        <v>0</v>
      </c>
      <c r="Y46" s="15"/>
      <c r="Z46" s="455">
        <v>0</v>
      </c>
      <c r="AA46" s="49"/>
      <c r="AB46" s="15"/>
      <c r="AC46" s="15"/>
      <c r="AD46" s="54"/>
      <c r="AE46" s="821"/>
      <c r="AF46" s="49"/>
      <c r="AG46" s="278"/>
      <c r="AH46" s="62">
        <f>SUMIF(FLOAT!$D:$D,Cockpit!$E46:$E183,FLOAT!G:G)</f>
        <v>0</v>
      </c>
      <c r="AI46" s="62">
        <f>SUMIF(FLOAT!$D:$D,Cockpit!$E46:$E183,FLOAT!H:H)</f>
        <v>0</v>
      </c>
      <c r="AJ46" s="62">
        <f>SUMIF(FLOAT!$D:$D,Cockpit!$E46:$E183,FLOAT!I:I)</f>
        <v>0</v>
      </c>
      <c r="AK46" s="62">
        <f>SUMIF(FLOAT!$D:$D,Cockpit!$E46:$E183,FLOAT!J:J)</f>
        <v>0</v>
      </c>
      <c r="AL46" s="62">
        <f>SUMIF(FLOAT!$D:$D,Cockpit!$E46:$E183,FLOAT!K:K)</f>
        <v>0</v>
      </c>
      <c r="AM46" s="62">
        <f>SUMIF(FLOAT!$D:$D,Cockpit!$E46:$E183,FLOAT!L:L)</f>
        <v>0</v>
      </c>
      <c r="AN46" s="62">
        <f>SUMIF(FLOAT!$D:$D,Cockpit!$E46:$E183,FLOAT!M:M)</f>
        <v>0</v>
      </c>
      <c r="AO46" s="62">
        <f>SUMIF(FLOAT!$D:$D,Cockpit!$E46:$E183,FLOAT!N:N)</f>
        <v>0</v>
      </c>
      <c r="AP46" s="62">
        <f>SUMIF(FLOAT!$D:$D,Cockpit!$E46:$E183,FLOAT!O:O)</f>
        <v>0</v>
      </c>
      <c r="AQ46" s="62">
        <f>SUMIF(FLOAT!$D:$D,Cockpit!$E46:$E183,FLOAT!P:P)</f>
        <v>0</v>
      </c>
      <c r="AR46" s="60">
        <f t="shared" si="0"/>
        <v>0</v>
      </c>
      <c r="AS46" s="15" t="e">
        <v>#N/A</v>
      </c>
      <c r="AT46" s="17" t="e">
        <v>#N/A</v>
      </c>
      <c r="AU46" s="17" t="e">
        <f t="shared" si="1"/>
        <v>#N/A</v>
      </c>
    </row>
    <row r="47" spans="1:47" s="17" customFormat="1" ht="19.5" hidden="1" thickBot="1" x14ac:dyDescent="0.35">
      <c r="A47" s="2"/>
      <c r="B47" s="97"/>
      <c r="C47" s="839">
        <v>544254630247</v>
      </c>
      <c r="D47" s="840">
        <v>544254630247</v>
      </c>
      <c r="E47" s="2" t="s">
        <v>26</v>
      </c>
      <c r="F47" s="644" t="s">
        <v>114</v>
      </c>
      <c r="G47" s="71">
        <f>IFERROR(VLOOKUP(E47:E47,[1]Sheet4!$O:$P,2,0),0)</f>
        <v>0</v>
      </c>
      <c r="H47" s="824">
        <f>SUM(G47:G48)</f>
        <v>0</v>
      </c>
      <c r="I47" s="822">
        <v>10</v>
      </c>
      <c r="J47" s="836">
        <f t="shared" si="2"/>
        <v>0</v>
      </c>
      <c r="K47" s="822">
        <f>SUM(R47:R48)</f>
        <v>0</v>
      </c>
      <c r="L47" s="822">
        <f>H47-K47</f>
        <v>0</v>
      </c>
      <c r="M47" s="816">
        <f>I47+J47-K47</f>
        <v>10</v>
      </c>
      <c r="N47" s="30">
        <f>SUMIF('3 D P'!$D:$D,Cockpit!$E$5:$E$146,'3 D P'!L:L)</f>
        <v>0</v>
      </c>
      <c r="O47" s="30">
        <f>SUMIF('3 D P'!$D:$D,Cockpit!$E$5:$E$146,'3 D P'!M:M)</f>
        <v>0</v>
      </c>
      <c r="P47" s="30">
        <f>SUMIF('3 D P'!$D:$D,Cockpit!$E$5:$E$146,'3 D P'!N:N)</f>
        <v>0</v>
      </c>
      <c r="Q47" s="132">
        <f>IFERROR(VLOOKUP($D47,'Aptiv Dispatch'!$A:$B,2,FALSE),0)</f>
        <v>0</v>
      </c>
      <c r="R47" s="34">
        <f>SUMIF('Consumption MTD'!B:B,Cockpit!$E$5:$E$146,'Consumption MTD'!C:C)</f>
        <v>0</v>
      </c>
      <c r="S47" s="34">
        <f>SUMIF('BIW Lifting A Shift'!$B:$B,Cockpit!$E$5:$E$146,'BIW Lifting A Shift'!C:C)</f>
        <v>0</v>
      </c>
      <c r="T47" s="34">
        <f>SUMIF('BIW Lifting B Shift'!$B:$B,Cockpit!$E$5:$E$146,'BIW Lifting B Shift'!C:C)</f>
        <v>0</v>
      </c>
      <c r="U47" s="818">
        <f>M47-X47-X48</f>
        <v>10</v>
      </c>
      <c r="V47" s="818">
        <f>M47-X47-X48-S47-S48</f>
        <v>10</v>
      </c>
      <c r="W47" s="820">
        <f>V47-T47-T48</f>
        <v>10</v>
      </c>
      <c r="X47" s="555">
        <f>SUMIF(FLOAT!$D:$D,Cockpit!$E$5:$E$146,FLOAT!F:F)</f>
        <v>0</v>
      </c>
      <c r="Y47" s="15">
        <v>10</v>
      </c>
      <c r="Z47" s="455">
        <v>0</v>
      </c>
      <c r="AA47" s="49"/>
      <c r="AB47" s="15"/>
      <c r="AC47" s="15"/>
      <c r="AD47" s="54"/>
      <c r="AE47" s="821">
        <v>22</v>
      </c>
      <c r="AF47" s="49"/>
      <c r="AH47" s="62">
        <f>SUMIF(FLOAT!$D:$D,Cockpit!$E47:$E184,FLOAT!G:G)</f>
        <v>0</v>
      </c>
      <c r="AI47" s="62">
        <f>SUMIF(FLOAT!$D:$D,Cockpit!$E47:$E184,FLOAT!H:H)</f>
        <v>0</v>
      </c>
      <c r="AJ47" s="62">
        <f>SUMIF(FLOAT!$D:$D,Cockpit!$E47:$E184,FLOAT!I:I)</f>
        <v>0</v>
      </c>
      <c r="AK47" s="62">
        <f>SUMIF(FLOAT!$D:$D,Cockpit!$E47:$E184,FLOAT!J:J)</f>
        <v>0</v>
      </c>
      <c r="AL47" s="62">
        <f>SUMIF(FLOAT!$D:$D,Cockpit!$E47:$E184,FLOAT!K:K)</f>
        <v>0</v>
      </c>
      <c r="AM47" s="62">
        <f>SUMIF(FLOAT!$D:$D,Cockpit!$E47:$E184,FLOAT!L:L)</f>
        <v>0</v>
      </c>
      <c r="AN47" s="62">
        <f>SUMIF(FLOAT!$D:$D,Cockpit!$E47:$E184,FLOAT!M:M)</f>
        <v>0</v>
      </c>
      <c r="AO47" s="62">
        <f>SUMIF(FLOAT!$D:$D,Cockpit!$E47:$E184,FLOAT!N:N)</f>
        <v>0</v>
      </c>
      <c r="AP47" s="62">
        <f>SUMIF(FLOAT!$D:$D,Cockpit!$E47:$E184,FLOAT!O:O)</f>
        <v>0</v>
      </c>
      <c r="AQ47" s="62">
        <f>SUMIF(FLOAT!$D:$D,Cockpit!$E47:$E184,FLOAT!P:P)</f>
        <v>0</v>
      </c>
      <c r="AR47" s="60">
        <f t="shared" si="0"/>
        <v>0</v>
      </c>
      <c r="AS47" s="15" t="e">
        <v>#N/A</v>
      </c>
      <c r="AT47" s="17" t="e">
        <v>#N/A</v>
      </c>
      <c r="AU47" s="17" t="e">
        <f t="shared" si="1"/>
        <v>#N/A</v>
      </c>
    </row>
    <row r="48" spans="1:47" s="17" customFormat="1" ht="19.5" hidden="1" thickBot="1" x14ac:dyDescent="0.35">
      <c r="A48" s="2"/>
      <c r="B48" s="97"/>
      <c r="C48" s="839"/>
      <c r="D48" s="841"/>
      <c r="E48" s="2" t="s">
        <v>49</v>
      </c>
      <c r="F48" s="644" t="s">
        <v>113</v>
      </c>
      <c r="G48" s="71">
        <f>IFERROR(VLOOKUP(E48:E48,[1]Sheet4!$O:$P,2,0),0)</f>
        <v>0</v>
      </c>
      <c r="H48" s="825"/>
      <c r="I48" s="823"/>
      <c r="J48" s="837"/>
      <c r="K48" s="823"/>
      <c r="L48" s="823"/>
      <c r="M48" s="816"/>
      <c r="N48" s="30">
        <f>SUMIF('3 D P'!$D:$D,Cockpit!$E$5:$E$146,'3 D P'!L:L)</f>
        <v>0</v>
      </c>
      <c r="O48" s="30">
        <f>SUMIF('3 D P'!$D:$D,Cockpit!$E$5:$E$146,'3 D P'!M:M)</f>
        <v>0</v>
      </c>
      <c r="P48" s="30">
        <f>SUMIF('3 D P'!$D:$D,Cockpit!$E$5:$E$146,'3 D P'!N:N)</f>
        <v>0</v>
      </c>
      <c r="Q48" s="132">
        <f>IFERROR(VLOOKUP($D48,'Aptiv Dispatch'!$A:$B,2,FALSE),0)</f>
        <v>0</v>
      </c>
      <c r="R48" s="34">
        <f>SUMIF('Consumption MTD'!B:B,Cockpit!$E$5:$E$146,'Consumption MTD'!C:C)</f>
        <v>0</v>
      </c>
      <c r="S48" s="34">
        <f>SUMIF('BIW Lifting A Shift'!$B:$B,Cockpit!$E$5:$E$146,'BIW Lifting A Shift'!C:C)</f>
        <v>0</v>
      </c>
      <c r="T48" s="34">
        <f>SUMIF('BIW Lifting B Shift'!$B:$B,Cockpit!$E$5:$E$146,'BIW Lifting B Shift'!C:C)</f>
        <v>0</v>
      </c>
      <c r="U48" s="818"/>
      <c r="V48" s="818"/>
      <c r="W48" s="820"/>
      <c r="X48" s="555">
        <f>SUMIF(FLOAT!$D:$D,Cockpit!$E$5:$E$146,FLOAT!F:F)</f>
        <v>0</v>
      </c>
      <c r="Y48" s="15"/>
      <c r="Z48" s="455">
        <v>0</v>
      </c>
      <c r="AA48" s="49"/>
      <c r="AB48" s="15"/>
      <c r="AC48" s="15"/>
      <c r="AD48" s="54"/>
      <c r="AE48" s="821"/>
      <c r="AF48" s="49"/>
      <c r="AH48" s="62">
        <f>SUMIF(FLOAT!$D:$D,Cockpit!$E48:$E185,FLOAT!G:G)</f>
        <v>0</v>
      </c>
      <c r="AI48" s="62">
        <f>SUMIF(FLOAT!$D:$D,Cockpit!$E48:$E185,FLOAT!H:H)</f>
        <v>0</v>
      </c>
      <c r="AJ48" s="62">
        <f>SUMIF(FLOAT!$D:$D,Cockpit!$E48:$E185,FLOAT!I:I)</f>
        <v>0</v>
      </c>
      <c r="AK48" s="62">
        <f>SUMIF(FLOAT!$D:$D,Cockpit!$E48:$E185,FLOAT!J:J)</f>
        <v>0</v>
      </c>
      <c r="AL48" s="62">
        <f>SUMIF(FLOAT!$D:$D,Cockpit!$E48:$E185,FLOAT!K:K)</f>
        <v>0</v>
      </c>
      <c r="AM48" s="62">
        <f>SUMIF(FLOAT!$D:$D,Cockpit!$E48:$E185,FLOAT!L:L)</f>
        <v>0</v>
      </c>
      <c r="AN48" s="62">
        <f>SUMIF(FLOAT!$D:$D,Cockpit!$E48:$E185,FLOAT!M:M)</f>
        <v>0</v>
      </c>
      <c r="AO48" s="62">
        <f>SUMIF(FLOAT!$D:$D,Cockpit!$E48:$E185,FLOAT!N:N)</f>
        <v>0</v>
      </c>
      <c r="AP48" s="62">
        <f>SUMIF(FLOAT!$D:$D,Cockpit!$E48:$E185,FLOAT!O:O)</f>
        <v>0</v>
      </c>
      <c r="AQ48" s="62">
        <f>SUMIF(FLOAT!$D:$D,Cockpit!$E48:$E185,FLOAT!P:P)</f>
        <v>0</v>
      </c>
      <c r="AR48" s="60">
        <f t="shared" si="0"/>
        <v>0</v>
      </c>
      <c r="AS48" s="15" t="e">
        <v>#N/A</v>
      </c>
      <c r="AT48" s="17" t="e">
        <v>#N/A</v>
      </c>
      <c r="AU48" s="17" t="e">
        <f t="shared" si="1"/>
        <v>#N/A</v>
      </c>
    </row>
    <row r="49" spans="1:47" s="17" customFormat="1" ht="21.75" hidden="1" thickBot="1" x14ac:dyDescent="0.35">
      <c r="A49" s="2"/>
      <c r="B49" s="97"/>
      <c r="C49" s="95">
        <v>544254630262</v>
      </c>
      <c r="D49" s="703">
        <v>544254630262</v>
      </c>
      <c r="E49" s="675" t="s">
        <v>110</v>
      </c>
      <c r="F49" s="646" t="s">
        <v>109</v>
      </c>
      <c r="G49" s="71">
        <f>IFERROR(VLOOKUP(E49:E49,[1]Sheet4!$O:$P,2,0),0)</f>
        <v>0</v>
      </c>
      <c r="H49" s="182">
        <f t="shared" ref="H49:H55" si="3">G49</f>
        <v>0</v>
      </c>
      <c r="I49" s="127">
        <v>7</v>
      </c>
      <c r="J49" s="75">
        <f t="shared" si="2"/>
        <v>0</v>
      </c>
      <c r="K49" s="76">
        <f>R49</f>
        <v>0</v>
      </c>
      <c r="L49" s="76">
        <f t="shared" ref="L49:L55" si="4">H49-K49</f>
        <v>0</v>
      </c>
      <c r="M49" s="77">
        <f t="shared" ref="M49:M58" si="5">I49+J49-K49</f>
        <v>7</v>
      </c>
      <c r="N49" s="30">
        <f>SUMIF('3 D P'!$D:$D,Cockpit!$E$5:$E$146,'3 D P'!L:L)</f>
        <v>0</v>
      </c>
      <c r="O49" s="30">
        <f>SUMIF('3 D P'!$D:$D,Cockpit!$E$5:$E$146,'3 D P'!M:M)</f>
        <v>0</v>
      </c>
      <c r="P49" s="30">
        <f>SUMIF('3 D P'!$D:$D,Cockpit!$E$5:$E$146,'3 D P'!N:N)</f>
        <v>0</v>
      </c>
      <c r="Q49" s="132">
        <f>IFERROR(VLOOKUP($D49,'Aptiv Dispatch'!$A:$B,2,FALSE),0)</f>
        <v>0</v>
      </c>
      <c r="R49" s="34">
        <f>SUMIF('Consumption MTD'!B:B,Cockpit!$E$5:$E$146,'Consumption MTD'!C:C)</f>
        <v>0</v>
      </c>
      <c r="S49" s="34">
        <f>SUMIF('BIW Lifting A Shift'!$B:$B,Cockpit!$E$5:$E$146,'BIW Lifting A Shift'!C:C)</f>
        <v>0</v>
      </c>
      <c r="T49" s="34">
        <f>SUMIF('BIW Lifting B Shift'!$B:$B,Cockpit!$E$5:$E$146,'BIW Lifting B Shift'!C:C)</f>
        <v>0</v>
      </c>
      <c r="U49" s="74">
        <f t="shared" ref="U49:U58" si="6">M49-X49</f>
        <v>7</v>
      </c>
      <c r="V49" s="74">
        <f t="shared" ref="V49:V58" si="7">M49-S49-X49</f>
        <v>7</v>
      </c>
      <c r="W49" s="457">
        <f t="shared" ref="W49:W58" si="8">V49-T49</f>
        <v>7</v>
      </c>
      <c r="X49" s="555">
        <f>SUMIF(FLOAT!$D:$D,Cockpit!$E$5:$E$146,FLOAT!F:F)</f>
        <v>0</v>
      </c>
      <c r="Y49" s="15">
        <v>7</v>
      </c>
      <c r="Z49" s="455">
        <v>0</v>
      </c>
      <c r="AA49" s="49"/>
      <c r="AB49" s="15"/>
      <c r="AC49" s="15"/>
      <c r="AD49" s="54"/>
      <c r="AE49" s="118">
        <v>16</v>
      </c>
      <c r="AF49" s="216"/>
      <c r="AH49" s="62">
        <f>SUMIF(FLOAT!$D:$D,Cockpit!$E49:$E186,FLOAT!G:G)</f>
        <v>0</v>
      </c>
      <c r="AI49" s="62">
        <f>SUMIF(FLOAT!$D:$D,Cockpit!$E49:$E186,FLOAT!H:H)</f>
        <v>0</v>
      </c>
      <c r="AJ49" s="62">
        <f>SUMIF(FLOAT!$D:$D,Cockpit!$E49:$E186,FLOAT!I:I)</f>
        <v>0</v>
      </c>
      <c r="AK49" s="62">
        <f>SUMIF(FLOAT!$D:$D,Cockpit!$E49:$E186,FLOAT!J:J)</f>
        <v>0</v>
      </c>
      <c r="AL49" s="62">
        <f>SUMIF(FLOAT!$D:$D,Cockpit!$E49:$E186,FLOAT!K:K)</f>
        <v>0</v>
      </c>
      <c r="AM49" s="62">
        <f>SUMIF(FLOAT!$D:$D,Cockpit!$E49:$E186,FLOAT!L:L)</f>
        <v>0</v>
      </c>
      <c r="AN49" s="62">
        <f>SUMIF(FLOAT!$D:$D,Cockpit!$E49:$E186,FLOAT!M:M)</f>
        <v>0</v>
      </c>
      <c r="AO49" s="62">
        <f>SUMIF(FLOAT!$D:$D,Cockpit!$E49:$E186,FLOAT!N:N)</f>
        <v>0</v>
      </c>
      <c r="AP49" s="62">
        <f>SUMIF(FLOAT!$D:$D,Cockpit!$E49:$E186,FLOAT!O:O)</f>
        <v>0</v>
      </c>
      <c r="AQ49" s="62">
        <f>SUMIF(FLOAT!$D:$D,Cockpit!$E49:$E186,FLOAT!P:P)</f>
        <v>0</v>
      </c>
      <c r="AR49" s="217">
        <f t="shared" si="0"/>
        <v>0</v>
      </c>
      <c r="AS49" s="15" t="e">
        <v>#N/A</v>
      </c>
      <c r="AT49" s="17" t="e">
        <v>#N/A</v>
      </c>
      <c r="AU49" s="17" t="e">
        <f t="shared" si="1"/>
        <v>#N/A</v>
      </c>
    </row>
    <row r="50" spans="1:47" s="17" customFormat="1" ht="21.75" hidden="1" thickBot="1" x14ac:dyDescent="0.35">
      <c r="A50" s="2"/>
      <c r="B50" s="97"/>
      <c r="C50" s="213">
        <v>544254630347</v>
      </c>
      <c r="D50" s="704">
        <v>544254630347</v>
      </c>
      <c r="E50" s="676" t="s">
        <v>87</v>
      </c>
      <c r="F50" s="647" t="s">
        <v>95</v>
      </c>
      <c r="G50" s="71">
        <f>IFERROR(VLOOKUP(E50:E50,[1]Sheet4!$O:$P,2,0),0)</f>
        <v>0</v>
      </c>
      <c r="H50" s="224">
        <f t="shared" si="3"/>
        <v>0</v>
      </c>
      <c r="I50" s="225">
        <v>0</v>
      </c>
      <c r="J50" s="214">
        <f t="shared" si="2"/>
        <v>0</v>
      </c>
      <c r="K50" s="76">
        <f>R50</f>
        <v>0</v>
      </c>
      <c r="L50" s="76">
        <f t="shared" si="4"/>
        <v>0</v>
      </c>
      <c r="M50" s="77">
        <f t="shared" si="5"/>
        <v>0</v>
      </c>
      <c r="N50" s="30">
        <f>SUMIF('3 D P'!$D:$D,Cockpit!$E$5:$E$146,'3 D P'!L:L)</f>
        <v>0</v>
      </c>
      <c r="O50" s="30">
        <f>SUMIF('3 D P'!$D:$D,Cockpit!$E$5:$E$146,'3 D P'!M:M)</f>
        <v>0</v>
      </c>
      <c r="P50" s="30">
        <f>SUMIF('3 D P'!$D:$D,Cockpit!$E$5:$E$146,'3 D P'!N:N)</f>
        <v>0</v>
      </c>
      <c r="Q50" s="132">
        <f>IFERROR(VLOOKUP($D50,'Aptiv Dispatch'!$A:$B,2,FALSE),0)</f>
        <v>0</v>
      </c>
      <c r="R50" s="34">
        <f>SUMIF('Consumption MTD'!B:B,Cockpit!$E$5:$E$146,'Consumption MTD'!C:C)</f>
        <v>0</v>
      </c>
      <c r="S50" s="34">
        <f>SUMIF('BIW Lifting A Shift'!$B:$B,Cockpit!$E$5:$E$146,'BIW Lifting A Shift'!C:C)</f>
        <v>0</v>
      </c>
      <c r="T50" s="34">
        <f>SUMIF('BIW Lifting B Shift'!$B:$B,Cockpit!$E$5:$E$146,'BIW Lifting B Shift'!C:C)</f>
        <v>0</v>
      </c>
      <c r="U50" s="74">
        <f t="shared" si="6"/>
        <v>0</v>
      </c>
      <c r="V50" s="74">
        <f t="shared" si="7"/>
        <v>0</v>
      </c>
      <c r="W50" s="457">
        <f t="shared" si="8"/>
        <v>0</v>
      </c>
      <c r="X50" s="555">
        <f>SUMIF(FLOAT!$D:$D,Cockpit!$E$5:$E$146,FLOAT!F:F)</f>
        <v>0</v>
      </c>
      <c r="Y50" s="15">
        <v>0</v>
      </c>
      <c r="Z50" s="455">
        <v>0</v>
      </c>
      <c r="AA50" s="49"/>
      <c r="AB50" s="15"/>
      <c r="AC50" s="15"/>
      <c r="AD50" s="54"/>
      <c r="AE50" s="118">
        <v>6</v>
      </c>
      <c r="AF50" s="226"/>
      <c r="AG50" s="279"/>
      <c r="AH50" s="62">
        <f>SUMIF(FLOAT!$D:$D,Cockpit!$E50:$E187,FLOAT!G:G)</f>
        <v>0</v>
      </c>
      <c r="AI50" s="62">
        <f>SUMIF(FLOAT!$D:$D,Cockpit!$E50:$E187,FLOAT!H:H)</f>
        <v>0</v>
      </c>
      <c r="AJ50" s="62">
        <f>SUMIF(FLOAT!$D:$D,Cockpit!$E50:$E187,FLOAT!I:I)</f>
        <v>0</v>
      </c>
      <c r="AK50" s="62">
        <f>SUMIF(FLOAT!$D:$D,Cockpit!$E50:$E187,FLOAT!J:J)</f>
        <v>0</v>
      </c>
      <c r="AL50" s="62">
        <f>SUMIF(FLOAT!$D:$D,Cockpit!$E50:$E187,FLOAT!K:K)</f>
        <v>0</v>
      </c>
      <c r="AM50" s="62">
        <f>SUMIF(FLOAT!$D:$D,Cockpit!$E50:$E187,FLOAT!L:L)</f>
        <v>0</v>
      </c>
      <c r="AN50" s="62">
        <f>SUMIF(FLOAT!$D:$D,Cockpit!$E50:$E187,FLOAT!M:M)</f>
        <v>0</v>
      </c>
      <c r="AO50" s="62">
        <f>SUMIF(FLOAT!$D:$D,Cockpit!$E50:$E187,FLOAT!N:N)</f>
        <v>0</v>
      </c>
      <c r="AP50" s="62">
        <f>SUMIF(FLOAT!$D:$D,Cockpit!$E50:$E187,FLOAT!O:O)</f>
        <v>0</v>
      </c>
      <c r="AQ50" s="62">
        <f>SUMIF(FLOAT!$D:$D,Cockpit!$E50:$E187,FLOAT!P:P)</f>
        <v>0</v>
      </c>
      <c r="AR50" s="227">
        <f t="shared" si="0"/>
        <v>0</v>
      </c>
      <c r="AS50" s="228">
        <v>8</v>
      </c>
      <c r="AT50" s="229" t="s">
        <v>412</v>
      </c>
      <c r="AU50" s="17" t="b">
        <f t="shared" si="1"/>
        <v>0</v>
      </c>
    </row>
    <row r="51" spans="1:47" s="17" customFormat="1" ht="21.75" hidden="1" thickBot="1" x14ac:dyDescent="0.35">
      <c r="A51" s="2"/>
      <c r="B51" s="97"/>
      <c r="C51" s="25">
        <v>544254630353</v>
      </c>
      <c r="D51" s="705">
        <v>544254630353</v>
      </c>
      <c r="E51" s="677" t="s">
        <v>79</v>
      </c>
      <c r="F51" s="648" t="s">
        <v>85</v>
      </c>
      <c r="G51" s="71">
        <f>IFERROR(VLOOKUP(E51:E51,[1]Sheet4!$O:$P,2,0),0)</f>
        <v>0</v>
      </c>
      <c r="H51" s="183">
        <f t="shared" si="3"/>
        <v>0</v>
      </c>
      <c r="I51" s="173">
        <v>0</v>
      </c>
      <c r="J51" s="75">
        <f>Q51</f>
        <v>0</v>
      </c>
      <c r="K51" s="76">
        <f t="shared" ref="J51:K58" si="9">R51</f>
        <v>0</v>
      </c>
      <c r="L51" s="76">
        <f t="shared" si="4"/>
        <v>0</v>
      </c>
      <c r="M51" s="77">
        <f t="shared" si="5"/>
        <v>0</v>
      </c>
      <c r="N51" s="30">
        <f>SUMIF('3 D P'!$D:$D,Cockpit!$E$5:$E$146,'3 D P'!L:L)</f>
        <v>0</v>
      </c>
      <c r="O51" s="30">
        <f>SUMIF('3 D P'!$D:$D,Cockpit!$E$5:$E$146,'3 D P'!M:M)</f>
        <v>0</v>
      </c>
      <c r="P51" s="30">
        <f>SUMIF('3 D P'!$D:$D,Cockpit!$E$5:$E$146,'3 D P'!N:N)</f>
        <v>0</v>
      </c>
      <c r="Q51" s="132">
        <f>IFERROR(VLOOKUP($D51,'Aptiv Dispatch'!$A:$B,2,FALSE),0)</f>
        <v>0</v>
      </c>
      <c r="R51" s="34">
        <f>SUMIF('Consumption MTD'!B:B,Cockpit!$E$5:$E$146,'Consumption MTD'!C:C)</f>
        <v>0</v>
      </c>
      <c r="S51" s="34">
        <f>SUMIF('BIW Lifting A Shift'!$B:$B,Cockpit!$E$5:$E$146,'BIW Lifting A Shift'!C:C)</f>
        <v>0</v>
      </c>
      <c r="T51" s="34">
        <f>SUMIF('BIW Lifting B Shift'!$B:$B,Cockpit!$E$5:$E$146,'BIW Lifting B Shift'!C:C)</f>
        <v>0</v>
      </c>
      <c r="U51" s="74">
        <f t="shared" si="6"/>
        <v>0</v>
      </c>
      <c r="V51" s="74">
        <f t="shared" si="7"/>
        <v>0</v>
      </c>
      <c r="W51" s="457">
        <f t="shared" si="8"/>
        <v>0</v>
      </c>
      <c r="X51" s="555">
        <f>SUMIF(FLOAT!$D:$D,Cockpit!$E$5:$E$146,FLOAT!F:F)</f>
        <v>0</v>
      </c>
      <c r="Y51" s="15">
        <v>0</v>
      </c>
      <c r="Z51" s="455">
        <v>0</v>
      </c>
      <c r="AA51" s="49"/>
      <c r="AB51" s="15"/>
      <c r="AC51" s="15"/>
      <c r="AD51" s="54"/>
      <c r="AE51" s="118">
        <v>4</v>
      </c>
      <c r="AF51" s="218"/>
      <c r="AH51" s="62">
        <f>SUMIF(FLOAT!$D:$D,Cockpit!$E51:$E188,FLOAT!G:G)</f>
        <v>0</v>
      </c>
      <c r="AI51" s="62">
        <f>SUMIF(FLOAT!$D:$D,Cockpit!$E51:$E188,FLOAT!H:H)</f>
        <v>0</v>
      </c>
      <c r="AJ51" s="62">
        <f>SUMIF(FLOAT!$D:$D,Cockpit!$E51:$E188,FLOAT!I:I)</f>
        <v>0</v>
      </c>
      <c r="AK51" s="62">
        <f>SUMIF(FLOAT!$D:$D,Cockpit!$E51:$E188,FLOAT!J:J)</f>
        <v>0</v>
      </c>
      <c r="AL51" s="62">
        <f>SUMIF(FLOAT!$D:$D,Cockpit!$E51:$E188,FLOAT!K:K)</f>
        <v>0</v>
      </c>
      <c r="AM51" s="62">
        <f>SUMIF(FLOAT!$D:$D,Cockpit!$E51:$E188,FLOAT!L:L)</f>
        <v>0</v>
      </c>
      <c r="AN51" s="62">
        <f>SUMIF(FLOAT!$D:$D,Cockpit!$E51:$E188,FLOAT!M:M)</f>
        <v>0</v>
      </c>
      <c r="AO51" s="62">
        <f>SUMIF(FLOAT!$D:$D,Cockpit!$E51:$E188,FLOAT!N:N)</f>
        <v>0</v>
      </c>
      <c r="AP51" s="62">
        <f>SUMIF(FLOAT!$D:$D,Cockpit!$E51:$E188,FLOAT!O:O)</f>
        <v>0</v>
      </c>
      <c r="AQ51" s="62">
        <f>SUMIF(FLOAT!$D:$D,Cockpit!$E51:$E188,FLOAT!P:P)</f>
        <v>0</v>
      </c>
      <c r="AR51" s="219">
        <f t="shared" si="0"/>
        <v>0</v>
      </c>
      <c r="AS51" s="15" t="e">
        <v>#N/A</v>
      </c>
      <c r="AT51" s="17" t="e">
        <v>#N/A</v>
      </c>
      <c r="AU51" s="17" t="e">
        <f t="shared" si="1"/>
        <v>#N/A</v>
      </c>
    </row>
    <row r="52" spans="1:47" s="17" customFormat="1" ht="21.75" hidden="1" thickBot="1" x14ac:dyDescent="0.35">
      <c r="A52" s="2"/>
      <c r="B52" s="97"/>
      <c r="C52" s="213">
        <v>544254630399</v>
      </c>
      <c r="D52" s="706">
        <v>544254630399</v>
      </c>
      <c r="E52" s="678" t="s">
        <v>80</v>
      </c>
      <c r="F52" s="649" t="s">
        <v>86</v>
      </c>
      <c r="G52" s="71">
        <f>IFERROR(VLOOKUP(E52:E52,[1]Sheet4!$O:$P,2,0),0)</f>
        <v>0</v>
      </c>
      <c r="H52" s="39">
        <f t="shared" si="3"/>
        <v>0</v>
      </c>
      <c r="I52" s="358">
        <v>1</v>
      </c>
      <c r="J52" s="214">
        <f t="shared" si="9"/>
        <v>0</v>
      </c>
      <c r="K52" s="76">
        <f t="shared" si="9"/>
        <v>0</v>
      </c>
      <c r="L52" s="76">
        <f t="shared" si="4"/>
        <v>0</v>
      </c>
      <c r="M52" s="77">
        <f t="shared" si="5"/>
        <v>1</v>
      </c>
      <c r="N52" s="30">
        <f>SUMIF('3 D P'!$D:$D,Cockpit!$E$5:$E$146,'3 D P'!L:L)</f>
        <v>0</v>
      </c>
      <c r="O52" s="30">
        <f>SUMIF('3 D P'!$D:$D,Cockpit!$E$5:$E$146,'3 D P'!M:M)</f>
        <v>0</v>
      </c>
      <c r="P52" s="30">
        <f>SUMIF('3 D P'!$D:$D,Cockpit!$E$5:$E$146,'3 D P'!N:N)</f>
        <v>0</v>
      </c>
      <c r="Q52" s="132">
        <f>IFERROR(VLOOKUP($D52,'Aptiv Dispatch'!$A:$B,2,FALSE),0)</f>
        <v>0</v>
      </c>
      <c r="R52" s="34">
        <f>SUMIF('Consumption MTD'!B:B,Cockpit!$E$5:$E$146,'Consumption MTD'!C:C)</f>
        <v>0</v>
      </c>
      <c r="S52" s="34">
        <f>SUMIF('BIW Lifting A Shift'!$B:$B,Cockpit!$E$5:$E$146,'BIW Lifting A Shift'!C:C)</f>
        <v>0</v>
      </c>
      <c r="T52" s="34">
        <f>SUMIF('BIW Lifting B Shift'!$B:$B,Cockpit!$E$5:$E$146,'BIW Lifting B Shift'!C:C)</f>
        <v>0</v>
      </c>
      <c r="U52" s="74">
        <f t="shared" si="6"/>
        <v>1</v>
      </c>
      <c r="V52" s="74">
        <f t="shared" si="7"/>
        <v>1</v>
      </c>
      <c r="W52" s="457">
        <f t="shared" si="8"/>
        <v>1</v>
      </c>
      <c r="X52" s="555">
        <f>SUMIF(FLOAT!$D:$D,Cockpit!$E$5:$E$146,FLOAT!F:F)</f>
        <v>0</v>
      </c>
      <c r="Y52" s="15">
        <v>1</v>
      </c>
      <c r="Z52" s="455">
        <v>0</v>
      </c>
      <c r="AA52" s="49"/>
      <c r="AB52" s="15"/>
      <c r="AC52" s="15"/>
      <c r="AD52" s="54"/>
      <c r="AE52" s="118">
        <v>53</v>
      </c>
      <c r="AF52" s="233"/>
      <c r="AG52" s="280"/>
      <c r="AH52" s="62">
        <f>SUMIF(FLOAT!$D:$D,Cockpit!$E52:$E189,FLOAT!G:G)</f>
        <v>0</v>
      </c>
      <c r="AI52" s="62">
        <f>SUMIF(FLOAT!$D:$D,Cockpit!$E52:$E189,FLOAT!H:H)</f>
        <v>0</v>
      </c>
      <c r="AJ52" s="62">
        <f>SUMIF(FLOAT!$D:$D,Cockpit!$E52:$E189,FLOAT!I:I)</f>
        <v>0</v>
      </c>
      <c r="AK52" s="62">
        <f>SUMIF(FLOAT!$D:$D,Cockpit!$E52:$E189,FLOAT!J:J)</f>
        <v>0</v>
      </c>
      <c r="AL52" s="62">
        <f>SUMIF(FLOAT!$D:$D,Cockpit!$E52:$E189,FLOAT!K:K)</f>
        <v>0</v>
      </c>
      <c r="AM52" s="62">
        <f>SUMIF(FLOAT!$D:$D,Cockpit!$E52:$E189,FLOAT!L:L)</f>
        <v>0</v>
      </c>
      <c r="AN52" s="62">
        <f>SUMIF(FLOAT!$D:$D,Cockpit!$E52:$E189,FLOAT!M:M)</f>
        <v>0</v>
      </c>
      <c r="AO52" s="62">
        <f>SUMIF(FLOAT!$D:$D,Cockpit!$E52:$E189,FLOAT!N:N)</f>
        <v>0</v>
      </c>
      <c r="AP52" s="62">
        <f>SUMIF(FLOAT!$D:$D,Cockpit!$E52:$E189,FLOAT!O:O)</f>
        <v>0</v>
      </c>
      <c r="AQ52" s="62">
        <f>SUMIF(FLOAT!$D:$D,Cockpit!$E52:$E189,FLOAT!P:P)</f>
        <v>0</v>
      </c>
      <c r="AR52" s="235">
        <f t="shared" si="0"/>
        <v>0</v>
      </c>
      <c r="AS52" s="236">
        <v>7</v>
      </c>
      <c r="AT52" s="237" t="s">
        <v>413</v>
      </c>
      <c r="AU52" s="17" t="b">
        <f t="shared" si="1"/>
        <v>0</v>
      </c>
    </row>
    <row r="53" spans="1:47" s="17" customFormat="1" ht="21.75" hidden="1" thickBot="1" x14ac:dyDescent="0.35">
      <c r="A53" s="2"/>
      <c r="B53" s="97"/>
      <c r="C53" s="213">
        <v>544254630346</v>
      </c>
      <c r="D53" s="707">
        <v>544254630346</v>
      </c>
      <c r="E53" s="20" t="s">
        <v>90</v>
      </c>
      <c r="F53" s="324" t="s">
        <v>94</v>
      </c>
      <c r="G53" s="71">
        <f>IFERROR(VLOOKUP(E53:E53,[1]Sheet4!$O:$P,2,0),0)</f>
        <v>0</v>
      </c>
      <c r="H53" s="45">
        <f t="shared" si="3"/>
        <v>0</v>
      </c>
      <c r="I53" s="359">
        <v>0</v>
      </c>
      <c r="J53" s="214">
        <f t="shared" si="9"/>
        <v>0</v>
      </c>
      <c r="K53" s="76">
        <f>R53</f>
        <v>0</v>
      </c>
      <c r="L53" s="76">
        <f t="shared" si="4"/>
        <v>0</v>
      </c>
      <c r="M53" s="77">
        <f t="shared" si="5"/>
        <v>0</v>
      </c>
      <c r="N53" s="30">
        <f>SUMIF('3 D P'!$D:$D,Cockpit!$E$5:$E$146,'3 D P'!L:L)</f>
        <v>0</v>
      </c>
      <c r="O53" s="30">
        <f>SUMIF('3 D P'!$D:$D,Cockpit!$E$5:$E$146,'3 D P'!M:M)</f>
        <v>0</v>
      </c>
      <c r="P53" s="30">
        <f>SUMIF('3 D P'!$D:$D,Cockpit!$E$5:$E$146,'3 D P'!N:N)</f>
        <v>0</v>
      </c>
      <c r="Q53" s="132">
        <f>IFERROR(VLOOKUP($D53,'Aptiv Dispatch'!$A:$B,2,FALSE),0)</f>
        <v>0</v>
      </c>
      <c r="R53" s="34">
        <f>SUMIF('Consumption MTD'!B:B,Cockpit!$E$5:$E$146,'Consumption MTD'!C:C)</f>
        <v>0</v>
      </c>
      <c r="S53" s="34">
        <f>SUMIF('BIW Lifting A Shift'!$B:$B,Cockpit!$E$5:$E$146,'BIW Lifting A Shift'!C:C)</f>
        <v>0</v>
      </c>
      <c r="T53" s="34">
        <f>SUMIF('BIW Lifting B Shift'!$B:$B,Cockpit!$E$5:$E$146,'BIW Lifting B Shift'!C:C)</f>
        <v>0</v>
      </c>
      <c r="U53" s="74">
        <f t="shared" si="6"/>
        <v>0</v>
      </c>
      <c r="V53" s="74">
        <f t="shared" si="7"/>
        <v>0</v>
      </c>
      <c r="W53" s="457">
        <f t="shared" si="8"/>
        <v>0</v>
      </c>
      <c r="X53" s="555">
        <f>SUMIF(FLOAT!$D:$D,Cockpit!$E$5:$E$146,FLOAT!F:F)</f>
        <v>0</v>
      </c>
      <c r="Y53" s="15">
        <v>0</v>
      </c>
      <c r="Z53" s="455">
        <v>0</v>
      </c>
      <c r="AA53" s="49"/>
      <c r="AB53" s="15"/>
      <c r="AC53" s="15"/>
      <c r="AD53" s="54"/>
      <c r="AE53" s="118">
        <v>35</v>
      </c>
      <c r="AF53" s="49"/>
      <c r="AG53" s="278"/>
      <c r="AH53" s="62">
        <f>SUMIF(FLOAT!$D:$D,Cockpit!$E53:$E190,FLOAT!G:G)</f>
        <v>0</v>
      </c>
      <c r="AI53" s="62">
        <f>SUMIF(FLOAT!$D:$D,Cockpit!$E53:$E190,FLOAT!H:H)</f>
        <v>0</v>
      </c>
      <c r="AJ53" s="62">
        <f>SUMIF(FLOAT!$D:$D,Cockpit!$E53:$E190,FLOAT!I:I)</f>
        <v>0</v>
      </c>
      <c r="AK53" s="62">
        <f>SUMIF(FLOAT!$D:$D,Cockpit!$E53:$E190,FLOAT!J:J)</f>
        <v>0</v>
      </c>
      <c r="AL53" s="62">
        <f>SUMIF(FLOAT!$D:$D,Cockpit!$E53:$E190,FLOAT!K:K)</f>
        <v>0</v>
      </c>
      <c r="AM53" s="62">
        <f>SUMIF(FLOAT!$D:$D,Cockpit!$E53:$E190,FLOAT!L:L)</f>
        <v>0</v>
      </c>
      <c r="AN53" s="62">
        <f>SUMIF(FLOAT!$D:$D,Cockpit!$E53:$E190,FLOAT!M:M)</f>
        <v>0</v>
      </c>
      <c r="AO53" s="62">
        <f>SUMIF(FLOAT!$D:$D,Cockpit!$E53:$E190,FLOAT!N:N)</f>
        <v>0</v>
      </c>
      <c r="AP53" s="62">
        <f>SUMIF(FLOAT!$D:$D,Cockpit!$E53:$E190,FLOAT!O:O)</f>
        <v>0</v>
      </c>
      <c r="AQ53" s="62">
        <f>SUMIF(FLOAT!$D:$D,Cockpit!$E53:$E190,FLOAT!P:P)</f>
        <v>0</v>
      </c>
      <c r="AR53" s="60">
        <f t="shared" si="0"/>
        <v>0</v>
      </c>
      <c r="AS53" s="238">
        <v>2</v>
      </c>
      <c r="AT53" s="239" t="s">
        <v>412</v>
      </c>
      <c r="AU53" s="17" t="b">
        <f t="shared" si="1"/>
        <v>0</v>
      </c>
    </row>
    <row r="54" spans="1:47" s="17" customFormat="1" ht="21.75" hidden="1" thickBot="1" x14ac:dyDescent="0.35">
      <c r="A54" s="2"/>
      <c r="B54" s="97"/>
      <c r="C54" s="213">
        <v>544254630397</v>
      </c>
      <c r="D54" s="707">
        <v>544254630397</v>
      </c>
      <c r="E54" s="20" t="s">
        <v>82</v>
      </c>
      <c r="F54" s="324" t="s">
        <v>81</v>
      </c>
      <c r="G54" s="71">
        <f>IFERROR(VLOOKUP(E54:E54,[1]Sheet4!$O:$P,2,0),0)</f>
        <v>0</v>
      </c>
      <c r="H54" s="45">
        <f t="shared" si="3"/>
        <v>0</v>
      </c>
      <c r="I54" s="359">
        <v>5</v>
      </c>
      <c r="J54" s="214">
        <f t="shared" si="9"/>
        <v>0</v>
      </c>
      <c r="K54" s="76">
        <f t="shared" si="9"/>
        <v>0</v>
      </c>
      <c r="L54" s="76">
        <f t="shared" si="4"/>
        <v>0</v>
      </c>
      <c r="M54" s="77">
        <f t="shared" si="5"/>
        <v>5</v>
      </c>
      <c r="N54" s="30">
        <f>SUMIF('3 D P'!$D:$D,Cockpit!$E$5:$E$146,'3 D P'!L:L)</f>
        <v>0</v>
      </c>
      <c r="O54" s="30">
        <f>SUMIF('3 D P'!$D:$D,Cockpit!$E$5:$E$146,'3 D P'!M:M)</f>
        <v>0</v>
      </c>
      <c r="P54" s="30">
        <f>SUMIF('3 D P'!$D:$D,Cockpit!$E$5:$E$146,'3 D P'!N:N)</f>
        <v>0</v>
      </c>
      <c r="Q54" s="132">
        <f>IFERROR(VLOOKUP($D54,'Aptiv Dispatch'!$A:$B,2,FALSE),0)</f>
        <v>0</v>
      </c>
      <c r="R54" s="34">
        <f>SUMIF('Consumption MTD'!B:B,Cockpit!$E$5:$E$146,'Consumption MTD'!C:C)</f>
        <v>0</v>
      </c>
      <c r="S54" s="34">
        <f>SUMIF('BIW Lifting A Shift'!$B:$B,Cockpit!$E$5:$E$146,'BIW Lifting A Shift'!C:C)</f>
        <v>0</v>
      </c>
      <c r="T54" s="34">
        <f>SUMIF('BIW Lifting B Shift'!$B:$B,Cockpit!$E$5:$E$146,'BIW Lifting B Shift'!C:C)</f>
        <v>0</v>
      </c>
      <c r="U54" s="74">
        <f t="shared" si="6"/>
        <v>5</v>
      </c>
      <c r="V54" s="74">
        <f t="shared" si="7"/>
        <v>5</v>
      </c>
      <c r="W54" s="457">
        <f t="shared" si="8"/>
        <v>5</v>
      </c>
      <c r="X54" s="555">
        <f>SUMIF(FLOAT!$D:$D,Cockpit!$E$5:$E$146,FLOAT!F:F)</f>
        <v>0</v>
      </c>
      <c r="Y54" s="15">
        <v>5</v>
      </c>
      <c r="Z54" s="455">
        <v>0</v>
      </c>
      <c r="AA54" s="49"/>
      <c r="AB54" s="15"/>
      <c r="AC54" s="15"/>
      <c r="AD54" s="54"/>
      <c r="AE54" s="118">
        <v>48</v>
      </c>
      <c r="AF54" s="49"/>
      <c r="AG54" s="278"/>
      <c r="AH54" s="62">
        <f>SUMIF(FLOAT!$D:$D,Cockpit!$E54:$E191,FLOAT!G:G)</f>
        <v>0</v>
      </c>
      <c r="AI54" s="62">
        <f>SUMIF(FLOAT!$D:$D,Cockpit!$E54:$E191,FLOAT!H:H)</f>
        <v>0</v>
      </c>
      <c r="AJ54" s="62">
        <f>SUMIF(FLOAT!$D:$D,Cockpit!$E54:$E191,FLOAT!I:I)</f>
        <v>0</v>
      </c>
      <c r="AK54" s="62">
        <f>SUMIF(FLOAT!$D:$D,Cockpit!$E54:$E191,FLOAT!J:J)</f>
        <v>0</v>
      </c>
      <c r="AL54" s="62">
        <f>SUMIF(FLOAT!$D:$D,Cockpit!$E54:$E191,FLOAT!K:K)</f>
        <v>0</v>
      </c>
      <c r="AM54" s="62">
        <f>SUMIF(FLOAT!$D:$D,Cockpit!$E54:$E191,FLOAT!L:L)</f>
        <v>0</v>
      </c>
      <c r="AN54" s="62">
        <f>SUMIF(FLOAT!$D:$D,Cockpit!$E54:$E191,FLOAT!M:M)</f>
        <v>0</v>
      </c>
      <c r="AO54" s="62">
        <f>SUMIF(FLOAT!$D:$D,Cockpit!$E54:$E191,FLOAT!N:N)</f>
        <v>0</v>
      </c>
      <c r="AP54" s="62">
        <f>SUMIF(FLOAT!$D:$D,Cockpit!$E54:$E191,FLOAT!O:O)</f>
        <v>0</v>
      </c>
      <c r="AQ54" s="62">
        <f>SUMIF(FLOAT!$D:$D,Cockpit!$E54:$E191,FLOAT!P:P)</f>
        <v>0</v>
      </c>
      <c r="AR54" s="60">
        <f t="shared" si="0"/>
        <v>0</v>
      </c>
      <c r="AS54" s="212">
        <v>1</v>
      </c>
      <c r="AT54" s="239" t="s">
        <v>414</v>
      </c>
      <c r="AU54" s="17" t="b">
        <f t="shared" si="1"/>
        <v>0</v>
      </c>
    </row>
    <row r="55" spans="1:47" s="17" customFormat="1" ht="21.75" hidden="1" thickBot="1" x14ac:dyDescent="0.35">
      <c r="A55" s="2"/>
      <c r="B55" s="97"/>
      <c r="C55" s="213">
        <v>544254630344</v>
      </c>
      <c r="D55" s="708">
        <v>544254630344</v>
      </c>
      <c r="E55" s="679" t="s">
        <v>84</v>
      </c>
      <c r="F55" s="650" t="s">
        <v>83</v>
      </c>
      <c r="G55" s="71">
        <f>IFERROR(VLOOKUP(E55:E55,[1]Sheet4!$O:$P,2,0),0)</f>
        <v>0</v>
      </c>
      <c r="H55" s="231">
        <f t="shared" si="3"/>
        <v>0</v>
      </c>
      <c r="I55" s="232">
        <v>2</v>
      </c>
      <c r="J55" s="214">
        <f>Q55</f>
        <v>0</v>
      </c>
      <c r="K55" s="76">
        <f t="shared" si="9"/>
        <v>0</v>
      </c>
      <c r="L55" s="76">
        <f t="shared" si="4"/>
        <v>0</v>
      </c>
      <c r="M55" s="77">
        <f t="shared" si="5"/>
        <v>2</v>
      </c>
      <c r="N55" s="30">
        <f>SUMIF('3 D P'!$D:$D,Cockpit!$E$5:$E$146,'3 D P'!L:L)</f>
        <v>0</v>
      </c>
      <c r="O55" s="30">
        <f>SUMIF('3 D P'!$D:$D,Cockpit!$E$5:$E$146,'3 D P'!M:M)</f>
        <v>0</v>
      </c>
      <c r="P55" s="30">
        <f>SUMIF('3 D P'!$D:$D,Cockpit!$E$5:$E$146,'3 D P'!N:N)</f>
        <v>0</v>
      </c>
      <c r="Q55" s="132">
        <f>IFERROR(VLOOKUP($D55,'Aptiv Dispatch'!$A:$B,2,FALSE),0)</f>
        <v>0</v>
      </c>
      <c r="R55" s="34">
        <f>SUMIF('Consumption MTD'!B:B,Cockpit!$E$5:$E$146,'Consumption MTD'!C:C)</f>
        <v>0</v>
      </c>
      <c r="S55" s="34">
        <f>SUMIF('BIW Lifting A Shift'!$B:$B,Cockpit!$E$5:$E$146,'BIW Lifting A Shift'!C:C)</f>
        <v>0</v>
      </c>
      <c r="T55" s="34">
        <f>SUMIF('BIW Lifting B Shift'!$B:$B,Cockpit!$E$5:$E$146,'BIW Lifting B Shift'!C:C)</f>
        <v>0</v>
      </c>
      <c r="U55" s="74">
        <f t="shared" si="6"/>
        <v>2</v>
      </c>
      <c r="V55" s="74">
        <f t="shared" si="7"/>
        <v>2</v>
      </c>
      <c r="W55" s="457">
        <f t="shared" si="8"/>
        <v>2</v>
      </c>
      <c r="X55" s="555">
        <f>SUMIF(FLOAT!$D:$D,Cockpit!$E$5:$E$146,FLOAT!F:F)</f>
        <v>0</v>
      </c>
      <c r="Y55" s="15">
        <v>2</v>
      </c>
      <c r="Z55" s="455">
        <v>0</v>
      </c>
      <c r="AA55" s="49"/>
      <c r="AB55" s="15"/>
      <c r="AC55" s="15"/>
      <c r="AD55" s="54"/>
      <c r="AE55" s="118">
        <v>3</v>
      </c>
      <c r="AF55" s="50"/>
      <c r="AG55" s="281"/>
      <c r="AH55" s="62">
        <f>SUMIF(FLOAT!$D:$D,Cockpit!$E55:$E192,FLOAT!G:G)</f>
        <v>0</v>
      </c>
      <c r="AI55" s="62">
        <f>SUMIF(FLOAT!$D:$D,Cockpit!$E55:$E192,FLOAT!H:H)</f>
        <v>0</v>
      </c>
      <c r="AJ55" s="62">
        <f>SUMIF(FLOAT!$D:$D,Cockpit!$E55:$E192,FLOAT!I:I)</f>
        <v>0</v>
      </c>
      <c r="AK55" s="62">
        <f>SUMIF(FLOAT!$D:$D,Cockpit!$E55:$E192,FLOAT!J:J)</f>
        <v>0</v>
      </c>
      <c r="AL55" s="62">
        <f>SUMIF(FLOAT!$D:$D,Cockpit!$E55:$E192,FLOAT!K:K)</f>
        <v>0</v>
      </c>
      <c r="AM55" s="62">
        <f>SUMIF(FLOAT!$D:$D,Cockpit!$E55:$E192,FLOAT!L:L)</f>
        <v>0</v>
      </c>
      <c r="AN55" s="62">
        <f>SUMIF(FLOAT!$D:$D,Cockpit!$E55:$E192,FLOAT!M:M)</f>
        <v>0</v>
      </c>
      <c r="AO55" s="62">
        <f>SUMIF(FLOAT!$D:$D,Cockpit!$E55:$E192,FLOAT!N:N)</f>
        <v>0</v>
      </c>
      <c r="AP55" s="62">
        <f>SUMIF(FLOAT!$D:$D,Cockpit!$E55:$E192,FLOAT!O:O)</f>
        <v>0</v>
      </c>
      <c r="AQ55" s="62">
        <f>SUMIF(FLOAT!$D:$D,Cockpit!$E55:$E192,FLOAT!P:P)</f>
        <v>0</v>
      </c>
      <c r="AR55" s="240">
        <f t="shared" si="0"/>
        <v>0</v>
      </c>
      <c r="AS55" s="241">
        <v>2</v>
      </c>
      <c r="AT55" s="242" t="s">
        <v>412</v>
      </c>
      <c r="AU55" s="17" t="b">
        <f t="shared" si="1"/>
        <v>0</v>
      </c>
    </row>
    <row r="56" spans="1:47" s="17" customFormat="1" ht="21.75" hidden="1" thickBot="1" x14ac:dyDescent="0.35">
      <c r="A56" s="2"/>
      <c r="B56" s="97"/>
      <c r="C56" s="70"/>
      <c r="D56" s="712">
        <v>544254630611</v>
      </c>
      <c r="E56" s="680" t="s">
        <v>203</v>
      </c>
      <c r="F56" s="651" t="s">
        <v>206</v>
      </c>
      <c r="G56" s="71">
        <f>IFERROR(VLOOKUP(E56:E56,[1]Sheet4!$O:$P,2,0),0)</f>
        <v>0</v>
      </c>
      <c r="H56" s="184">
        <f>G56</f>
        <v>0</v>
      </c>
      <c r="I56" s="220">
        <v>0</v>
      </c>
      <c r="J56" s="75">
        <f t="shared" si="9"/>
        <v>0</v>
      </c>
      <c r="K56" s="76">
        <f t="shared" si="9"/>
        <v>0</v>
      </c>
      <c r="L56" s="155">
        <f>H56-K56</f>
        <v>0</v>
      </c>
      <c r="M56" s="77">
        <f t="shared" si="5"/>
        <v>0</v>
      </c>
      <c r="N56" s="30">
        <f>SUMIF('3 D P'!$D:$D,Cockpit!$E$5:$E$146,'3 D P'!L:L)</f>
        <v>0</v>
      </c>
      <c r="O56" s="30">
        <f>SUMIF('3 D P'!$D:$D,Cockpit!$E$5:$E$146,'3 D P'!M:M)</f>
        <v>0</v>
      </c>
      <c r="P56" s="30">
        <f>SUMIF('3 D P'!$D:$D,Cockpit!$E$5:$E$146,'3 D P'!N:N)</f>
        <v>0</v>
      </c>
      <c r="Q56" s="132">
        <f>IFERROR(VLOOKUP($D56,'Aptiv Dispatch'!$A:$B,2,FALSE),0)</f>
        <v>0</v>
      </c>
      <c r="R56" s="34">
        <f>SUMIF('Consumption MTD'!B:B,Cockpit!$E$5:$E$146,'Consumption MTD'!C:C)</f>
        <v>0</v>
      </c>
      <c r="S56" s="34">
        <f>SUMIF('BIW Lifting A Shift'!$B:$B,Cockpit!$E$5:$E$146,'BIW Lifting A Shift'!C:C)</f>
        <v>0</v>
      </c>
      <c r="T56" s="34">
        <f>SUMIF('BIW Lifting B Shift'!$B:$B,Cockpit!$E$5:$E$146,'BIW Lifting B Shift'!C:C)</f>
        <v>0</v>
      </c>
      <c r="U56" s="74">
        <f t="shared" si="6"/>
        <v>0</v>
      </c>
      <c r="V56" s="74">
        <f t="shared" si="7"/>
        <v>0</v>
      </c>
      <c r="W56" s="457">
        <f t="shared" si="8"/>
        <v>0</v>
      </c>
      <c r="X56" s="555">
        <f>SUMIF(FLOAT!$D:$D,Cockpit!$E$5:$E$146,FLOAT!F:F)</f>
        <v>0</v>
      </c>
      <c r="Y56" s="15">
        <v>0</v>
      </c>
      <c r="Z56" s="455">
        <v>0</v>
      </c>
      <c r="AA56" s="49"/>
      <c r="AB56" s="15"/>
      <c r="AC56" s="15"/>
      <c r="AD56" s="54"/>
      <c r="AE56" s="147"/>
      <c r="AF56" s="221"/>
      <c r="AH56" s="62">
        <f>SUMIF(FLOAT!$D:$D,Cockpit!$E56:$E193,FLOAT!G:G)</f>
        <v>0</v>
      </c>
      <c r="AI56" s="62">
        <f>SUMIF(FLOAT!$D:$D,Cockpit!$E56:$E193,FLOAT!H:H)</f>
        <v>0</v>
      </c>
      <c r="AJ56" s="62">
        <f>SUMIF(FLOAT!$D:$D,Cockpit!$E56:$E193,FLOAT!I:I)</f>
        <v>0</v>
      </c>
      <c r="AK56" s="62">
        <f>SUMIF(FLOAT!$D:$D,Cockpit!$E56:$E193,FLOAT!J:J)</f>
        <v>0</v>
      </c>
      <c r="AL56" s="62">
        <f>SUMIF(FLOAT!$D:$D,Cockpit!$E56:$E193,FLOAT!K:K)</f>
        <v>0</v>
      </c>
      <c r="AM56" s="62">
        <f>SUMIF(FLOAT!$D:$D,Cockpit!$E56:$E193,FLOAT!L:L)</f>
        <v>0</v>
      </c>
      <c r="AN56" s="62">
        <f>SUMIF(FLOAT!$D:$D,Cockpit!$E56:$E193,FLOAT!M:M)</f>
        <v>0</v>
      </c>
      <c r="AO56" s="62">
        <f>SUMIF(FLOAT!$D:$D,Cockpit!$E56:$E193,FLOAT!N:N)</f>
        <v>0</v>
      </c>
      <c r="AP56" s="62">
        <f>SUMIF(FLOAT!$D:$D,Cockpit!$E56:$E193,FLOAT!O:O)</f>
        <v>0</v>
      </c>
      <c r="AQ56" s="62">
        <f>SUMIF(FLOAT!$D:$D,Cockpit!$E56:$E193,FLOAT!P:P)</f>
        <v>0</v>
      </c>
      <c r="AR56" s="222">
        <f t="shared" si="0"/>
        <v>0</v>
      </c>
      <c r="AS56" s="15">
        <v>1</v>
      </c>
      <c r="AT56" s="17" t="s">
        <v>415</v>
      </c>
      <c r="AU56" s="17" t="b">
        <f t="shared" si="1"/>
        <v>0</v>
      </c>
    </row>
    <row r="57" spans="1:47" s="17" customFormat="1" ht="21.75" hidden="1" thickBot="1" x14ac:dyDescent="0.35">
      <c r="A57" s="2"/>
      <c r="B57" s="97"/>
      <c r="C57" s="70"/>
      <c r="D57" s="713">
        <v>544254630601</v>
      </c>
      <c r="E57" s="681" t="s">
        <v>202</v>
      </c>
      <c r="F57" s="652" t="s">
        <v>207</v>
      </c>
      <c r="G57" s="71">
        <f>IFERROR(VLOOKUP(E57:E57,[1]Sheet4!$O:$P,2,0),0)</f>
        <v>0</v>
      </c>
      <c r="H57" s="71">
        <f>G57</f>
        <v>0</v>
      </c>
      <c r="I57" s="180">
        <v>0</v>
      </c>
      <c r="J57" s="75">
        <f>Q57</f>
        <v>0</v>
      </c>
      <c r="K57" s="76">
        <f t="shared" si="9"/>
        <v>0</v>
      </c>
      <c r="L57" s="155">
        <f>H57-K57</f>
        <v>0</v>
      </c>
      <c r="M57" s="77">
        <f t="shared" si="5"/>
        <v>0</v>
      </c>
      <c r="N57" s="30">
        <f>SUMIF('3 D P'!$D:$D,Cockpit!$E$5:$E$146,'3 D P'!L:L)</f>
        <v>0</v>
      </c>
      <c r="O57" s="30">
        <f>SUMIF('3 D P'!$D:$D,Cockpit!$E$5:$E$146,'3 D P'!M:M)</f>
        <v>0</v>
      </c>
      <c r="P57" s="30">
        <f>SUMIF('3 D P'!$D:$D,Cockpit!$E$5:$E$146,'3 D P'!N:N)</f>
        <v>0</v>
      </c>
      <c r="Q57" s="132">
        <f>IFERROR(VLOOKUP($D57,'Aptiv Dispatch'!$A:$B,2,FALSE),0)</f>
        <v>0</v>
      </c>
      <c r="R57" s="34">
        <f>SUMIF('Consumption MTD'!B:B,Cockpit!$E$5:$E$146,'Consumption MTD'!C:C)</f>
        <v>0</v>
      </c>
      <c r="S57" s="34">
        <f>SUMIF('BIW Lifting A Shift'!$B:$B,Cockpit!$E$5:$E$146,'BIW Lifting A Shift'!C:C)</f>
        <v>0</v>
      </c>
      <c r="T57" s="34">
        <f>SUMIF('BIW Lifting B Shift'!$B:$B,Cockpit!$E$5:$E$146,'BIW Lifting B Shift'!C:C)</f>
        <v>0</v>
      </c>
      <c r="U57" s="74">
        <f t="shared" si="6"/>
        <v>0</v>
      </c>
      <c r="V57" s="74">
        <f t="shared" si="7"/>
        <v>0</v>
      </c>
      <c r="W57" s="457">
        <f t="shared" si="8"/>
        <v>0</v>
      </c>
      <c r="X57" s="555">
        <f>SUMIF(FLOAT!$D:$D,Cockpit!$E$5:$E$146,FLOAT!F:F)</f>
        <v>0</v>
      </c>
      <c r="Y57" s="15">
        <v>0</v>
      </c>
      <c r="Z57" s="455">
        <v>0</v>
      </c>
      <c r="AA57" s="49"/>
      <c r="AB57" s="15"/>
      <c r="AC57" s="15"/>
      <c r="AD57" s="54"/>
      <c r="AE57" s="147"/>
      <c r="AF57" s="49"/>
      <c r="AH57" s="62">
        <f>SUMIF(FLOAT!$D:$D,Cockpit!$E57:$E194,FLOAT!G:G)</f>
        <v>0</v>
      </c>
      <c r="AI57" s="62">
        <f>SUMIF(FLOAT!$D:$D,Cockpit!$E57:$E194,FLOAT!H:H)</f>
        <v>0</v>
      </c>
      <c r="AJ57" s="62">
        <f>SUMIF(FLOAT!$D:$D,Cockpit!$E57:$E194,FLOAT!I:I)</f>
        <v>0</v>
      </c>
      <c r="AK57" s="62">
        <f>SUMIF(FLOAT!$D:$D,Cockpit!$E57:$E194,FLOAT!J:J)</f>
        <v>0</v>
      </c>
      <c r="AL57" s="62">
        <f>SUMIF(FLOAT!$D:$D,Cockpit!$E57:$E194,FLOAT!K:K)</f>
        <v>0</v>
      </c>
      <c r="AM57" s="62">
        <f>SUMIF(FLOAT!$D:$D,Cockpit!$E57:$E194,FLOAT!L:L)</f>
        <v>0</v>
      </c>
      <c r="AN57" s="62">
        <f>SUMIF(FLOAT!$D:$D,Cockpit!$E57:$E194,FLOAT!M:M)</f>
        <v>0</v>
      </c>
      <c r="AO57" s="62">
        <f>SUMIF(FLOAT!$D:$D,Cockpit!$E57:$E194,FLOAT!N:N)</f>
        <v>0</v>
      </c>
      <c r="AP57" s="62">
        <f>SUMIF(FLOAT!$D:$D,Cockpit!$E57:$E194,FLOAT!O:O)</f>
        <v>0</v>
      </c>
      <c r="AQ57" s="62">
        <f>SUMIF(FLOAT!$D:$D,Cockpit!$E57:$E194,FLOAT!P:P)</f>
        <v>0</v>
      </c>
      <c r="AR57" s="60">
        <f t="shared" si="0"/>
        <v>0</v>
      </c>
      <c r="AS57" s="15">
        <v>3</v>
      </c>
      <c r="AT57" s="17" t="s">
        <v>415</v>
      </c>
      <c r="AU57" s="17" t="b">
        <f t="shared" si="1"/>
        <v>0</v>
      </c>
    </row>
    <row r="58" spans="1:47" s="17" customFormat="1" ht="21.75" hidden="1" thickBot="1" x14ac:dyDescent="0.35">
      <c r="A58" s="2"/>
      <c r="B58" s="97"/>
      <c r="C58" s="70"/>
      <c r="D58" s="713">
        <v>544254630705</v>
      </c>
      <c r="E58" s="681" t="s">
        <v>204</v>
      </c>
      <c r="F58" s="652" t="s">
        <v>208</v>
      </c>
      <c r="G58" s="71">
        <f>IFERROR(VLOOKUP(E58:E58,[1]Sheet4!$O:$P,2,0),0)</f>
        <v>0</v>
      </c>
      <c r="H58" s="71">
        <f>G58</f>
        <v>0</v>
      </c>
      <c r="I58" s="180">
        <v>0</v>
      </c>
      <c r="J58" s="75">
        <f>Q58</f>
        <v>0</v>
      </c>
      <c r="K58" s="76">
        <f t="shared" si="9"/>
        <v>0</v>
      </c>
      <c r="L58" s="155">
        <f>H58-K58</f>
        <v>0</v>
      </c>
      <c r="M58" s="77">
        <f t="shared" si="5"/>
        <v>0</v>
      </c>
      <c r="N58" s="30">
        <f>SUMIF('3 D P'!$D:$D,Cockpit!$E$5:$E$146,'3 D P'!L:L)</f>
        <v>0</v>
      </c>
      <c r="O58" s="30">
        <f>SUMIF('3 D P'!$D:$D,Cockpit!$E$5:$E$146,'3 D P'!M:M)</f>
        <v>0</v>
      </c>
      <c r="P58" s="30">
        <f>SUMIF('3 D P'!$D:$D,Cockpit!$E$5:$E$146,'3 D P'!N:N)</f>
        <v>0</v>
      </c>
      <c r="Q58" s="132">
        <f>IFERROR(VLOOKUP($D58,'Aptiv Dispatch'!$A:$B,2,FALSE),0)</f>
        <v>0</v>
      </c>
      <c r="R58" s="34">
        <f>SUMIF('Consumption MTD'!B:B,Cockpit!$E$5:$E$146,'Consumption MTD'!C:C)</f>
        <v>0</v>
      </c>
      <c r="S58" s="34">
        <f>SUMIF('BIW Lifting A Shift'!$B:$B,Cockpit!$E$5:$E$146,'BIW Lifting A Shift'!C:C)</f>
        <v>0</v>
      </c>
      <c r="T58" s="34">
        <f>SUMIF('BIW Lifting B Shift'!$B:$B,Cockpit!$E$5:$E$146,'BIW Lifting B Shift'!C:C)</f>
        <v>0</v>
      </c>
      <c r="U58" s="74">
        <f t="shared" si="6"/>
        <v>0</v>
      </c>
      <c r="V58" s="74">
        <f t="shared" si="7"/>
        <v>0</v>
      </c>
      <c r="W58" s="457">
        <f t="shared" si="8"/>
        <v>0</v>
      </c>
      <c r="X58" s="555">
        <f>SUMIF(FLOAT!$D:$D,Cockpit!$E$5:$E$146,FLOAT!F:F)</f>
        <v>0</v>
      </c>
      <c r="Y58" s="15">
        <v>0</v>
      </c>
      <c r="Z58" s="455">
        <v>0</v>
      </c>
      <c r="AA58" s="49"/>
      <c r="AB58" s="15"/>
      <c r="AC58" s="15"/>
      <c r="AD58" s="54"/>
      <c r="AE58" s="147"/>
      <c r="AF58" s="49"/>
      <c r="AH58" s="62">
        <f>SUMIF(FLOAT!$D:$D,Cockpit!$E58:$E195,FLOAT!G:G)</f>
        <v>0</v>
      </c>
      <c r="AI58" s="62">
        <f>SUMIF(FLOAT!$D:$D,Cockpit!$E58:$E195,FLOAT!H:H)</f>
        <v>0</v>
      </c>
      <c r="AJ58" s="62">
        <f>SUMIF(FLOAT!$D:$D,Cockpit!$E58:$E195,FLOAT!I:I)</f>
        <v>0</v>
      </c>
      <c r="AK58" s="62">
        <f>SUMIF(FLOAT!$D:$D,Cockpit!$E58:$E195,FLOAT!J:J)</f>
        <v>0</v>
      </c>
      <c r="AL58" s="62">
        <f>SUMIF(FLOAT!$D:$D,Cockpit!$E58:$E195,FLOAT!K:K)</f>
        <v>0</v>
      </c>
      <c r="AM58" s="62">
        <f>SUMIF(FLOAT!$D:$D,Cockpit!$E58:$E195,FLOAT!L:L)</f>
        <v>0</v>
      </c>
      <c r="AN58" s="62">
        <f>SUMIF(FLOAT!$D:$D,Cockpit!$E58:$E195,FLOAT!M:M)</f>
        <v>0</v>
      </c>
      <c r="AO58" s="62">
        <f>SUMIF(FLOAT!$D:$D,Cockpit!$E58:$E195,FLOAT!N:N)</f>
        <v>0</v>
      </c>
      <c r="AP58" s="62">
        <f>SUMIF(FLOAT!$D:$D,Cockpit!$E58:$E195,FLOAT!O:O)</f>
        <v>0</v>
      </c>
      <c r="AQ58" s="62">
        <f>SUMIF(FLOAT!$D:$D,Cockpit!$E58:$E195,FLOAT!P:P)</f>
        <v>0</v>
      </c>
      <c r="AR58" s="60">
        <f t="shared" si="0"/>
        <v>0</v>
      </c>
      <c r="AS58" s="15" t="e">
        <v>#N/A</v>
      </c>
      <c r="AT58" s="17" t="e">
        <v>#N/A</v>
      </c>
      <c r="AU58" s="17" t="e">
        <f t="shared" si="1"/>
        <v>#N/A</v>
      </c>
    </row>
    <row r="59" spans="1:47" s="17" customFormat="1" ht="19.5" hidden="1" thickBot="1" x14ac:dyDescent="0.35">
      <c r="A59" s="2"/>
      <c r="B59" s="97"/>
      <c r="C59" s="70"/>
      <c r="D59" s="846">
        <v>544254630600</v>
      </c>
      <c r="E59" s="681" t="s">
        <v>209</v>
      </c>
      <c r="F59" s="652" t="s">
        <v>210</v>
      </c>
      <c r="G59" s="71">
        <f>IFERROR(VLOOKUP(E59:E59,[1]Sheet4!$O:$P,2,0),0)</f>
        <v>0</v>
      </c>
      <c r="H59" s="833">
        <f>SUM(G59:G60)</f>
        <v>0</v>
      </c>
      <c r="I59" s="822">
        <v>0</v>
      </c>
      <c r="J59" s="836">
        <f>Q59</f>
        <v>0</v>
      </c>
      <c r="K59" s="822">
        <f>SUM(R59:R60)</f>
        <v>0</v>
      </c>
      <c r="L59" s="838">
        <f>H59-K59</f>
        <v>0</v>
      </c>
      <c r="M59" s="816">
        <f>SUM(I59:I60)+J59-K59</f>
        <v>0</v>
      </c>
      <c r="N59" s="30">
        <f>SUMIF('3 D P'!$D:$D,Cockpit!$E$5:$E$146,'3 D P'!L:L)</f>
        <v>0</v>
      </c>
      <c r="O59" s="30">
        <f>SUMIF('3 D P'!$D:$D,Cockpit!$E$5:$E$146,'3 D P'!M:M)</f>
        <v>0</v>
      </c>
      <c r="P59" s="30">
        <f>SUMIF('3 D P'!$D:$D,Cockpit!$E$5:$E$146,'3 D P'!N:N)</f>
        <v>0</v>
      </c>
      <c r="Q59" s="132">
        <f>IFERROR(VLOOKUP($D59,'Aptiv Dispatch'!$A:$B,2,FALSE),0)</f>
        <v>0</v>
      </c>
      <c r="R59" s="34">
        <f>SUMIF('Consumption MTD'!B:B,Cockpit!$E$5:$E$146,'Consumption MTD'!C:C)</f>
        <v>0</v>
      </c>
      <c r="S59" s="34">
        <f>SUMIF('BIW Lifting A Shift'!$B:$B,Cockpit!$E$5:$E$146,'BIW Lifting A Shift'!C:C)</f>
        <v>0</v>
      </c>
      <c r="T59" s="34">
        <f>SUMIF('BIW Lifting B Shift'!$B:$B,Cockpit!$E$5:$E$146,'BIW Lifting B Shift'!C:C)</f>
        <v>0</v>
      </c>
      <c r="U59" s="818">
        <f>M59-X59-X60</f>
        <v>0</v>
      </c>
      <c r="V59" s="818">
        <f>M59-X59-X60-S59-S60</f>
        <v>0</v>
      </c>
      <c r="W59" s="820">
        <f>V59-T59-T60</f>
        <v>0</v>
      </c>
      <c r="X59" s="555">
        <f>SUMIF(FLOAT!$D:$D,Cockpit!$E$5:$E$146,FLOAT!F:F)</f>
        <v>0</v>
      </c>
      <c r="Y59" s="15">
        <v>0</v>
      </c>
      <c r="Z59" s="455">
        <v>0</v>
      </c>
      <c r="AA59" s="49"/>
      <c r="AB59" s="15"/>
      <c r="AC59" s="15"/>
      <c r="AD59" s="54"/>
      <c r="AE59" s="147"/>
      <c r="AF59" s="49"/>
      <c r="AH59" s="62">
        <f>SUMIF(FLOAT!$D:$D,Cockpit!$E59:$E196,FLOAT!G:G)</f>
        <v>0</v>
      </c>
      <c r="AI59" s="62">
        <f>SUMIF(FLOAT!$D:$D,Cockpit!$E59:$E196,FLOAT!H:H)</f>
        <v>0</v>
      </c>
      <c r="AJ59" s="62">
        <f>SUMIF(FLOAT!$D:$D,Cockpit!$E59:$E196,FLOAT!I:I)</f>
        <v>0</v>
      </c>
      <c r="AK59" s="62">
        <f>SUMIF(FLOAT!$D:$D,Cockpit!$E59:$E196,FLOAT!J:J)</f>
        <v>0</v>
      </c>
      <c r="AL59" s="62">
        <f>SUMIF(FLOAT!$D:$D,Cockpit!$E59:$E196,FLOAT!K:K)</f>
        <v>0</v>
      </c>
      <c r="AM59" s="62">
        <f>SUMIF(FLOAT!$D:$D,Cockpit!$E59:$E196,FLOAT!L:L)</f>
        <v>0</v>
      </c>
      <c r="AN59" s="62">
        <f>SUMIF(FLOAT!$D:$D,Cockpit!$E59:$E196,FLOAT!M:M)</f>
        <v>0</v>
      </c>
      <c r="AO59" s="62">
        <f>SUMIF(FLOAT!$D:$D,Cockpit!$E59:$E196,FLOAT!N:N)</f>
        <v>0</v>
      </c>
      <c r="AP59" s="62">
        <f>SUMIF(FLOAT!$D:$D,Cockpit!$E59:$E196,FLOAT!O:O)</f>
        <v>0</v>
      </c>
      <c r="AQ59" s="62">
        <f>SUMIF(FLOAT!$D:$D,Cockpit!$E59:$E196,FLOAT!P:P)</f>
        <v>0</v>
      </c>
      <c r="AR59" s="60">
        <f t="shared" si="0"/>
        <v>0</v>
      </c>
      <c r="AS59" s="15">
        <v>11</v>
      </c>
      <c r="AT59" s="17" t="s">
        <v>415</v>
      </c>
      <c r="AU59" s="17" t="b">
        <f t="shared" si="1"/>
        <v>0</v>
      </c>
    </row>
    <row r="60" spans="1:47" s="17" customFormat="1" ht="19.5" hidden="1" thickBot="1" x14ac:dyDescent="0.35">
      <c r="A60" s="2"/>
      <c r="B60" s="97"/>
      <c r="C60" s="70"/>
      <c r="D60" s="848"/>
      <c r="E60" s="681" t="s">
        <v>211</v>
      </c>
      <c r="F60" s="652" t="s">
        <v>212</v>
      </c>
      <c r="G60" s="71">
        <f>IFERROR(VLOOKUP(E60:E60,[1]Sheet4!$O:$P,2,0),0)</f>
        <v>0</v>
      </c>
      <c r="H60" s="834"/>
      <c r="I60" s="823"/>
      <c r="J60" s="837"/>
      <c r="K60" s="823"/>
      <c r="L60" s="823"/>
      <c r="M60" s="816"/>
      <c r="N60" s="30">
        <f>SUMIF('3 D P'!$D:$D,Cockpit!$E$5:$E$146,'3 D P'!L:L)</f>
        <v>0</v>
      </c>
      <c r="O60" s="30">
        <f>SUMIF('3 D P'!$D:$D,Cockpit!$E$5:$E$146,'3 D P'!M:M)</f>
        <v>0</v>
      </c>
      <c r="P60" s="30">
        <f>SUMIF('3 D P'!$D:$D,Cockpit!$E$5:$E$146,'3 D P'!N:N)</f>
        <v>0</v>
      </c>
      <c r="Q60" s="132">
        <f>IFERROR(VLOOKUP($D60,'Aptiv Dispatch'!$A:$B,2,FALSE),0)</f>
        <v>0</v>
      </c>
      <c r="R60" s="34">
        <f>SUMIF('Consumption MTD'!B:B,Cockpit!$E$5:$E$146,'Consumption MTD'!C:C)</f>
        <v>0</v>
      </c>
      <c r="S60" s="34">
        <f>SUMIF('BIW Lifting A Shift'!$B:$B,Cockpit!$E$5:$E$146,'BIW Lifting A Shift'!C:C)</f>
        <v>0</v>
      </c>
      <c r="T60" s="34">
        <f>SUMIF('BIW Lifting B Shift'!$B:$B,Cockpit!$E$5:$E$146,'BIW Lifting B Shift'!C:C)</f>
        <v>0</v>
      </c>
      <c r="U60" s="818"/>
      <c r="V60" s="818"/>
      <c r="W60" s="820"/>
      <c r="X60" s="555">
        <f>SUMIF(FLOAT!$D:$D,Cockpit!$E$5:$E$146,FLOAT!F:F)</f>
        <v>0</v>
      </c>
      <c r="Y60" s="15"/>
      <c r="Z60" s="455">
        <v>0</v>
      </c>
      <c r="AA60" s="49"/>
      <c r="AB60" s="15"/>
      <c r="AC60" s="15"/>
      <c r="AD60" s="54"/>
      <c r="AE60" s="147"/>
      <c r="AF60" s="49"/>
      <c r="AH60" s="62">
        <f>SUMIF(FLOAT!$D:$D,Cockpit!$E60:$E197,FLOAT!G:G)</f>
        <v>0</v>
      </c>
      <c r="AI60" s="62">
        <f>SUMIF(FLOAT!$D:$D,Cockpit!$E60:$E197,FLOAT!H:H)</f>
        <v>0</v>
      </c>
      <c r="AJ60" s="62">
        <f>SUMIF(FLOAT!$D:$D,Cockpit!$E60:$E197,FLOAT!I:I)</f>
        <v>0</v>
      </c>
      <c r="AK60" s="62">
        <f>SUMIF(FLOAT!$D:$D,Cockpit!$E60:$E197,FLOAT!J:J)</f>
        <v>0</v>
      </c>
      <c r="AL60" s="62">
        <f>SUMIF(FLOAT!$D:$D,Cockpit!$E60:$E197,FLOAT!K:K)</f>
        <v>0</v>
      </c>
      <c r="AM60" s="62">
        <f>SUMIF(FLOAT!$D:$D,Cockpit!$E60:$E197,FLOAT!L:L)</f>
        <v>0</v>
      </c>
      <c r="AN60" s="62">
        <f>SUMIF(FLOAT!$D:$D,Cockpit!$E60:$E197,FLOAT!M:M)</f>
        <v>0</v>
      </c>
      <c r="AO60" s="62">
        <f>SUMIF(FLOAT!$D:$D,Cockpit!$E60:$E197,FLOAT!N:N)</f>
        <v>0</v>
      </c>
      <c r="AP60" s="62">
        <f>SUMIF(FLOAT!$D:$D,Cockpit!$E60:$E197,FLOAT!O:O)</f>
        <v>0</v>
      </c>
      <c r="AQ60" s="62">
        <f>SUMIF(FLOAT!$D:$D,Cockpit!$E60:$E197,FLOAT!P:P)</f>
        <v>0</v>
      </c>
      <c r="AR60" s="60">
        <f t="shared" si="0"/>
        <v>0</v>
      </c>
      <c r="AS60" s="15" t="e">
        <v>#N/A</v>
      </c>
      <c r="AT60" s="17" t="e">
        <v>#N/A</v>
      </c>
      <c r="AU60" s="17" t="e">
        <f t="shared" si="1"/>
        <v>#N/A</v>
      </c>
    </row>
    <row r="61" spans="1:47" s="17" customFormat="1" ht="19.5" hidden="1" thickBot="1" x14ac:dyDescent="0.35">
      <c r="A61" s="2"/>
      <c r="B61" s="97"/>
      <c r="C61" s="70"/>
      <c r="D61" s="846">
        <v>544254630610</v>
      </c>
      <c r="E61" s="681" t="s">
        <v>213</v>
      </c>
      <c r="F61" s="652" t="s">
        <v>214</v>
      </c>
      <c r="G61" s="71">
        <f>IFERROR(VLOOKUP(E61:E61,[1]Sheet4!$O:$P,2,0),0)</f>
        <v>0</v>
      </c>
      <c r="H61" s="833">
        <f>SUM(G61:G64)</f>
        <v>0</v>
      </c>
      <c r="I61" s="822">
        <v>0</v>
      </c>
      <c r="J61" s="836">
        <f>Q61</f>
        <v>0</v>
      </c>
      <c r="K61" s="822">
        <f>SUM(R61:R64)</f>
        <v>0</v>
      </c>
      <c r="L61" s="838">
        <f>H61-K61</f>
        <v>0</v>
      </c>
      <c r="M61" s="826">
        <f>SUM(I61:I64)+J61-K61</f>
        <v>0</v>
      </c>
      <c r="N61" s="30">
        <f>SUMIF('3 D P'!$D:$D,Cockpit!$E$5:$E$146,'3 D P'!L:L)</f>
        <v>0</v>
      </c>
      <c r="O61" s="30">
        <f>SUMIF('3 D P'!$D:$D,Cockpit!$E$5:$E$146,'3 D P'!M:M)</f>
        <v>0</v>
      </c>
      <c r="P61" s="30">
        <f>SUMIF('3 D P'!$D:$D,Cockpit!$E$5:$E$146,'3 D P'!N:N)</f>
        <v>0</v>
      </c>
      <c r="Q61" s="132">
        <f>IFERROR(VLOOKUP($D61,'Aptiv Dispatch'!$A:$B,2,FALSE),0)</f>
        <v>0</v>
      </c>
      <c r="R61" s="34">
        <f>SUMIF('Consumption MTD'!B:B,Cockpit!$E$5:$E$146,'Consumption MTD'!C:C)</f>
        <v>0</v>
      </c>
      <c r="S61" s="34">
        <f>SUMIF('BIW Lifting A Shift'!$B:$B,Cockpit!$E$5:$E$146,'BIW Lifting A Shift'!C:C)</f>
        <v>0</v>
      </c>
      <c r="T61" s="34">
        <f>SUMIF('BIW Lifting B Shift'!$B:$B,Cockpit!$E$5:$E$146,'BIW Lifting B Shift'!C:C)</f>
        <v>0</v>
      </c>
      <c r="U61" s="851">
        <f>M61-SUM(X61:X64)</f>
        <v>0</v>
      </c>
      <c r="V61" s="851">
        <f>M61-X61-X62-X63-X64-S61-S62-S63-S64</f>
        <v>0</v>
      </c>
      <c r="W61" s="854">
        <f>V61-T61-T62-T63-T64</f>
        <v>0</v>
      </c>
      <c r="X61" s="555">
        <f>SUMIF(FLOAT!$D:$D,Cockpit!$E$5:$E$146,FLOAT!F:F)</f>
        <v>0</v>
      </c>
      <c r="Y61" s="15">
        <v>0</v>
      </c>
      <c r="Z61" s="455">
        <v>0</v>
      </c>
      <c r="AA61" s="49"/>
      <c r="AB61" s="15"/>
      <c r="AC61" s="15"/>
      <c r="AD61" s="54"/>
      <c r="AE61" s="147"/>
      <c r="AF61" s="49"/>
      <c r="AH61" s="62">
        <f>SUMIF(FLOAT!$D:$D,Cockpit!$E61:$E198,FLOAT!G:G)</f>
        <v>0</v>
      </c>
      <c r="AI61" s="62">
        <f>SUMIF(FLOAT!$D:$D,Cockpit!$E61:$E198,FLOAT!H:H)</f>
        <v>0</v>
      </c>
      <c r="AJ61" s="62">
        <f>SUMIF(FLOAT!$D:$D,Cockpit!$E61:$E198,FLOAT!I:I)</f>
        <v>0</v>
      </c>
      <c r="AK61" s="62">
        <f>SUMIF(FLOAT!$D:$D,Cockpit!$E61:$E198,FLOAT!J:J)</f>
        <v>0</v>
      </c>
      <c r="AL61" s="62">
        <f>SUMIF(FLOAT!$D:$D,Cockpit!$E61:$E198,FLOAT!K:K)</f>
        <v>0</v>
      </c>
      <c r="AM61" s="62">
        <f>SUMIF(FLOAT!$D:$D,Cockpit!$E61:$E198,FLOAT!L:L)</f>
        <v>0</v>
      </c>
      <c r="AN61" s="62">
        <f>SUMIF(FLOAT!$D:$D,Cockpit!$E61:$E198,FLOAT!M:M)</f>
        <v>0</v>
      </c>
      <c r="AO61" s="62">
        <f>SUMIF(FLOAT!$D:$D,Cockpit!$E61:$E198,FLOAT!N:N)</f>
        <v>0</v>
      </c>
      <c r="AP61" s="62">
        <f>SUMIF(FLOAT!$D:$D,Cockpit!$E61:$E198,FLOAT!O:O)</f>
        <v>0</v>
      </c>
      <c r="AQ61" s="62">
        <f>SUMIF(FLOAT!$D:$D,Cockpit!$E61:$E198,FLOAT!P:P)</f>
        <v>0</v>
      </c>
      <c r="AR61" s="60">
        <f t="shared" si="0"/>
        <v>0</v>
      </c>
      <c r="AS61" s="212">
        <v>1</v>
      </c>
      <c r="AT61" s="17" t="s">
        <v>415</v>
      </c>
      <c r="AU61" s="17" t="b">
        <f t="shared" si="1"/>
        <v>0</v>
      </c>
    </row>
    <row r="62" spans="1:47" s="17" customFormat="1" ht="19.5" hidden="1" thickBot="1" x14ac:dyDescent="0.35">
      <c r="A62" s="2"/>
      <c r="B62" s="97"/>
      <c r="C62" s="70"/>
      <c r="D62" s="847"/>
      <c r="E62" s="681" t="s">
        <v>215</v>
      </c>
      <c r="F62" s="652" t="s">
        <v>216</v>
      </c>
      <c r="G62" s="71">
        <f>IFERROR(VLOOKUP(E62:E62,[1]Sheet4!$O:$P,2,0),0)</f>
        <v>0</v>
      </c>
      <c r="H62" s="835"/>
      <c r="I62" s="849"/>
      <c r="J62" s="850"/>
      <c r="K62" s="849"/>
      <c r="L62" s="849"/>
      <c r="M62" s="827"/>
      <c r="N62" s="30">
        <f>SUMIF('3 D P'!$D:$D,Cockpit!$E$5:$E$146,'3 D P'!L:L)</f>
        <v>0</v>
      </c>
      <c r="O62" s="30">
        <f>SUMIF('3 D P'!$D:$D,Cockpit!$E$5:$E$146,'3 D P'!M:M)</f>
        <v>0</v>
      </c>
      <c r="P62" s="30">
        <f>SUMIF('3 D P'!$D:$D,Cockpit!$E$5:$E$146,'3 D P'!N:N)</f>
        <v>0</v>
      </c>
      <c r="Q62" s="132">
        <f>IFERROR(VLOOKUP($D62,'Aptiv Dispatch'!$A:$B,2,FALSE),0)</f>
        <v>0</v>
      </c>
      <c r="R62" s="34">
        <f>SUMIF('Consumption MTD'!B:B,Cockpit!$E$5:$E$146,'Consumption MTD'!C:C)</f>
        <v>0</v>
      </c>
      <c r="S62" s="34">
        <f>SUMIF('BIW Lifting A Shift'!$B:$B,Cockpit!$E$5:$E$146,'BIW Lifting A Shift'!C:C)</f>
        <v>0</v>
      </c>
      <c r="T62" s="34">
        <f>SUMIF('BIW Lifting B Shift'!$B:$B,Cockpit!$E$5:$E$146,'BIW Lifting B Shift'!C:C)</f>
        <v>0</v>
      </c>
      <c r="U62" s="852"/>
      <c r="V62" s="852"/>
      <c r="W62" s="855"/>
      <c r="X62" s="555">
        <f>SUMIF(FLOAT!$D:$D,Cockpit!$E$5:$E$146,FLOAT!F:F)</f>
        <v>0</v>
      </c>
      <c r="Y62" s="15"/>
      <c r="Z62" s="455">
        <v>0</v>
      </c>
      <c r="AA62" s="49"/>
      <c r="AB62" s="15"/>
      <c r="AC62" s="15"/>
      <c r="AD62" s="54"/>
      <c r="AE62" s="147"/>
      <c r="AF62" s="49"/>
      <c r="AH62" s="62">
        <f>SUMIF(FLOAT!$D:$D,Cockpit!$E62:$E199,FLOAT!G:G)</f>
        <v>0</v>
      </c>
      <c r="AI62" s="62">
        <f>SUMIF(FLOAT!$D:$D,Cockpit!$E62:$E199,FLOAT!H:H)</f>
        <v>0</v>
      </c>
      <c r="AJ62" s="62">
        <f>SUMIF(FLOAT!$D:$D,Cockpit!$E62:$E199,FLOAT!I:I)</f>
        <v>0</v>
      </c>
      <c r="AK62" s="62">
        <f>SUMIF(FLOAT!$D:$D,Cockpit!$E62:$E199,FLOAT!J:J)</f>
        <v>0</v>
      </c>
      <c r="AL62" s="62">
        <f>SUMIF(FLOAT!$D:$D,Cockpit!$E62:$E199,FLOAT!K:K)</f>
        <v>0</v>
      </c>
      <c r="AM62" s="62">
        <f>SUMIF(FLOAT!$D:$D,Cockpit!$E62:$E199,FLOAT!L:L)</f>
        <v>0</v>
      </c>
      <c r="AN62" s="62">
        <f>SUMIF(FLOAT!$D:$D,Cockpit!$E62:$E199,FLOAT!M:M)</f>
        <v>0</v>
      </c>
      <c r="AO62" s="62">
        <f>SUMIF(FLOAT!$D:$D,Cockpit!$E62:$E199,FLOAT!N:N)</f>
        <v>0</v>
      </c>
      <c r="AP62" s="62">
        <f>SUMIF(FLOAT!$D:$D,Cockpit!$E62:$E199,FLOAT!O:O)</f>
        <v>0</v>
      </c>
      <c r="AQ62" s="62">
        <f>SUMIF(FLOAT!$D:$D,Cockpit!$E62:$E199,FLOAT!P:P)</f>
        <v>0</v>
      </c>
      <c r="AR62" s="60">
        <f t="shared" si="0"/>
        <v>0</v>
      </c>
      <c r="AS62" s="15" t="e">
        <v>#N/A</v>
      </c>
      <c r="AT62" s="17" t="e">
        <v>#N/A</v>
      </c>
      <c r="AU62" s="17" t="e">
        <f t="shared" si="1"/>
        <v>#N/A</v>
      </c>
    </row>
    <row r="63" spans="1:47" s="17" customFormat="1" ht="19.5" hidden="1" thickBot="1" x14ac:dyDescent="0.35">
      <c r="A63" s="2"/>
      <c r="B63" s="97"/>
      <c r="C63" s="70"/>
      <c r="D63" s="847"/>
      <c r="E63" s="681" t="s">
        <v>217</v>
      </c>
      <c r="F63" s="652" t="s">
        <v>218</v>
      </c>
      <c r="G63" s="71">
        <f>IFERROR(VLOOKUP(E63:E63,[1]Sheet4!$O:$P,2,0),0)</f>
        <v>0</v>
      </c>
      <c r="H63" s="835"/>
      <c r="I63" s="849"/>
      <c r="J63" s="850"/>
      <c r="K63" s="849"/>
      <c r="L63" s="849"/>
      <c r="M63" s="827"/>
      <c r="N63" s="30">
        <f>SUMIF('3 D P'!$D:$D,Cockpit!$E$5:$E$146,'3 D P'!L:L)</f>
        <v>0</v>
      </c>
      <c r="O63" s="30">
        <f>SUMIF('3 D P'!$D:$D,Cockpit!$E$5:$E$146,'3 D P'!M:M)</f>
        <v>0</v>
      </c>
      <c r="P63" s="30">
        <f>SUMIF('3 D P'!$D:$D,Cockpit!$E$5:$E$146,'3 D P'!N:N)</f>
        <v>0</v>
      </c>
      <c r="Q63" s="132">
        <f>IFERROR(VLOOKUP($D63,'Aptiv Dispatch'!$A:$B,2,FALSE),0)</f>
        <v>0</v>
      </c>
      <c r="R63" s="34">
        <f>SUMIF('Consumption MTD'!B:B,Cockpit!$E$5:$E$146,'Consumption MTD'!C:C)</f>
        <v>0</v>
      </c>
      <c r="S63" s="34">
        <f>SUMIF('BIW Lifting A Shift'!$B:$B,Cockpit!$E$5:$E$146,'BIW Lifting A Shift'!C:C)</f>
        <v>0</v>
      </c>
      <c r="T63" s="34">
        <f>SUMIF('BIW Lifting B Shift'!$B:$B,Cockpit!$E$5:$E$146,'BIW Lifting B Shift'!C:C)</f>
        <v>0</v>
      </c>
      <c r="U63" s="852"/>
      <c r="V63" s="852"/>
      <c r="W63" s="855"/>
      <c r="X63" s="555">
        <f>SUMIF(FLOAT!$D:$D,Cockpit!$E$5:$E$146,FLOAT!F:F)</f>
        <v>0</v>
      </c>
      <c r="Y63" s="15"/>
      <c r="Z63" s="455">
        <v>0</v>
      </c>
      <c r="AA63" s="49"/>
      <c r="AB63" s="15"/>
      <c r="AC63" s="15"/>
      <c r="AD63" s="54"/>
      <c r="AE63" s="147"/>
      <c r="AF63" s="49"/>
      <c r="AH63" s="62">
        <f>SUMIF(FLOAT!$D:$D,Cockpit!$E63:$E200,FLOAT!G:G)</f>
        <v>0</v>
      </c>
      <c r="AI63" s="62">
        <f>SUMIF(FLOAT!$D:$D,Cockpit!$E63:$E200,FLOAT!H:H)</f>
        <v>0</v>
      </c>
      <c r="AJ63" s="62">
        <f>SUMIF(FLOAT!$D:$D,Cockpit!$E63:$E200,FLOAT!I:I)</f>
        <v>0</v>
      </c>
      <c r="AK63" s="62">
        <f>SUMIF(FLOAT!$D:$D,Cockpit!$E63:$E200,FLOAT!J:J)</f>
        <v>0</v>
      </c>
      <c r="AL63" s="62">
        <f>SUMIF(FLOAT!$D:$D,Cockpit!$E63:$E200,FLOAT!K:K)</f>
        <v>0</v>
      </c>
      <c r="AM63" s="62">
        <f>SUMIF(FLOAT!$D:$D,Cockpit!$E63:$E200,FLOAT!L:L)</f>
        <v>0</v>
      </c>
      <c r="AN63" s="62">
        <f>SUMIF(FLOAT!$D:$D,Cockpit!$E63:$E200,FLOAT!M:M)</f>
        <v>0</v>
      </c>
      <c r="AO63" s="62">
        <f>SUMIF(FLOAT!$D:$D,Cockpit!$E63:$E200,FLOAT!N:N)</f>
        <v>0</v>
      </c>
      <c r="AP63" s="62">
        <f>SUMIF(FLOAT!$D:$D,Cockpit!$E63:$E200,FLOAT!O:O)</f>
        <v>0</v>
      </c>
      <c r="AQ63" s="62">
        <f>SUMIF(FLOAT!$D:$D,Cockpit!$E63:$E200,FLOAT!P:P)</f>
        <v>0</v>
      </c>
      <c r="AR63" s="60">
        <f t="shared" si="0"/>
        <v>0</v>
      </c>
      <c r="AS63" s="15" t="e">
        <v>#N/A</v>
      </c>
      <c r="AT63" s="17" t="e">
        <v>#N/A</v>
      </c>
      <c r="AU63" s="17" t="e">
        <f t="shared" si="1"/>
        <v>#N/A</v>
      </c>
    </row>
    <row r="64" spans="1:47" s="17" customFormat="1" ht="19.5" hidden="1" thickBot="1" x14ac:dyDescent="0.35">
      <c r="A64" s="2"/>
      <c r="B64" s="97"/>
      <c r="C64" s="70"/>
      <c r="D64" s="848"/>
      <c r="E64" s="681" t="s">
        <v>221</v>
      </c>
      <c r="F64" s="652" t="s">
        <v>222</v>
      </c>
      <c r="G64" s="71">
        <f>IFERROR(VLOOKUP(E64:E64,[1]Sheet4!$O:$P,2,0),0)</f>
        <v>0</v>
      </c>
      <c r="H64" s="834"/>
      <c r="I64" s="823"/>
      <c r="J64" s="837"/>
      <c r="K64" s="823"/>
      <c r="L64" s="823"/>
      <c r="M64" s="828"/>
      <c r="N64" s="30">
        <f>SUMIF('3 D P'!$D:$D,Cockpit!$E$5:$E$146,'3 D P'!L:L)</f>
        <v>0</v>
      </c>
      <c r="O64" s="30">
        <f>SUMIF('3 D P'!$D:$D,Cockpit!$E$5:$E$146,'3 D P'!M:M)</f>
        <v>0</v>
      </c>
      <c r="P64" s="30">
        <f>SUMIF('3 D P'!$D:$D,Cockpit!$E$5:$E$146,'3 D P'!N:N)</f>
        <v>0</v>
      </c>
      <c r="Q64" s="132">
        <f>IFERROR(VLOOKUP($D64,'Aptiv Dispatch'!$A:$B,2,FALSE),0)</f>
        <v>0</v>
      </c>
      <c r="R64" s="34">
        <f>SUMIF('Consumption MTD'!B:B,Cockpit!$E$5:$E$146,'Consumption MTD'!C:C)</f>
        <v>0</v>
      </c>
      <c r="S64" s="34">
        <f>SUMIF('BIW Lifting A Shift'!$B:$B,Cockpit!$E$5:$E$146,'BIW Lifting A Shift'!C:C)</f>
        <v>0</v>
      </c>
      <c r="T64" s="34">
        <f>SUMIF('BIW Lifting B Shift'!$B:$B,Cockpit!$E$5:$E$146,'BIW Lifting B Shift'!C:C)</f>
        <v>0</v>
      </c>
      <c r="U64" s="853"/>
      <c r="V64" s="853"/>
      <c r="W64" s="856"/>
      <c r="X64" s="555">
        <f>SUMIF(FLOAT!$D:$D,Cockpit!$E$5:$E$146,FLOAT!F:F)</f>
        <v>0</v>
      </c>
      <c r="Y64" s="15"/>
      <c r="Z64" s="455">
        <v>0</v>
      </c>
      <c r="AA64" s="49"/>
      <c r="AB64" s="15"/>
      <c r="AC64" s="15"/>
      <c r="AD64" s="54"/>
      <c r="AE64" s="147"/>
      <c r="AF64" s="49"/>
      <c r="AH64" s="62">
        <f>SUMIF(FLOAT!$D:$D,Cockpit!$E64:$E201,FLOAT!G:G)</f>
        <v>0</v>
      </c>
      <c r="AI64" s="62">
        <f>SUMIF(FLOAT!$D:$D,Cockpit!$E64:$E201,FLOAT!H:H)</f>
        <v>0</v>
      </c>
      <c r="AJ64" s="62">
        <f>SUMIF(FLOAT!$D:$D,Cockpit!$E64:$E201,FLOAT!I:I)</f>
        <v>0</v>
      </c>
      <c r="AK64" s="62">
        <f>SUMIF(FLOAT!$D:$D,Cockpit!$E64:$E201,FLOAT!J:J)</f>
        <v>0</v>
      </c>
      <c r="AL64" s="62">
        <f>SUMIF(FLOAT!$D:$D,Cockpit!$E64:$E201,FLOAT!K:K)</f>
        <v>0</v>
      </c>
      <c r="AM64" s="62">
        <f>SUMIF(FLOAT!$D:$D,Cockpit!$E64:$E201,FLOAT!L:L)</f>
        <v>0</v>
      </c>
      <c r="AN64" s="62">
        <f>SUMIF(FLOAT!$D:$D,Cockpit!$E64:$E201,FLOAT!M:M)</f>
        <v>0</v>
      </c>
      <c r="AO64" s="62">
        <f>SUMIF(FLOAT!$D:$D,Cockpit!$E64:$E201,FLOAT!N:N)</f>
        <v>0</v>
      </c>
      <c r="AP64" s="62">
        <f>SUMIF(FLOAT!$D:$D,Cockpit!$E64:$E201,FLOAT!O:O)</f>
        <v>0</v>
      </c>
      <c r="AQ64" s="62">
        <f>SUMIF(FLOAT!$D:$D,Cockpit!$E64:$E201,FLOAT!P:P)</f>
        <v>0</v>
      </c>
      <c r="AR64" s="60">
        <f t="shared" si="0"/>
        <v>0</v>
      </c>
      <c r="AS64" s="15" t="e">
        <v>#N/A</v>
      </c>
      <c r="AT64" s="17" t="e">
        <v>#N/A</v>
      </c>
      <c r="AU64" s="17" t="e">
        <f t="shared" si="1"/>
        <v>#N/A</v>
      </c>
    </row>
    <row r="65" spans="1:47" s="17" customFormat="1" ht="21.75" hidden="1" thickBot="1" x14ac:dyDescent="0.35">
      <c r="A65" s="2"/>
      <c r="B65" s="97"/>
      <c r="C65" s="70"/>
      <c r="D65" s="714">
        <v>544254630812</v>
      </c>
      <c r="E65" s="682" t="s">
        <v>219</v>
      </c>
      <c r="F65" s="652" t="s">
        <v>220</v>
      </c>
      <c r="G65" s="71">
        <f>IFERROR(VLOOKUP(E65:E65,[1]Sheet4!$O:$P,2,0),0)</f>
        <v>0</v>
      </c>
      <c r="H65" s="71">
        <f>G65</f>
        <v>0</v>
      </c>
      <c r="I65" s="173">
        <v>1</v>
      </c>
      <c r="J65" s="75">
        <f t="shared" ref="J65:K68" si="10">Q65</f>
        <v>0</v>
      </c>
      <c r="K65" s="76">
        <f t="shared" si="10"/>
        <v>0</v>
      </c>
      <c r="L65" s="155">
        <f>H65-K65</f>
        <v>0</v>
      </c>
      <c r="M65" s="77">
        <f>I65+J65-K65</f>
        <v>1</v>
      </c>
      <c r="N65" s="30">
        <f>SUMIF('3 D P'!$D:$D,Cockpit!$E$5:$E$146,'3 D P'!L:L)</f>
        <v>0</v>
      </c>
      <c r="O65" s="30">
        <f>SUMIF('3 D P'!$D:$D,Cockpit!$E$5:$E$146,'3 D P'!M:M)</f>
        <v>0</v>
      </c>
      <c r="P65" s="30">
        <f>SUMIF('3 D P'!$D:$D,Cockpit!$E$5:$E$146,'3 D P'!N:N)</f>
        <v>0</v>
      </c>
      <c r="Q65" s="132">
        <f>IFERROR(VLOOKUP($D65,'Aptiv Dispatch'!$A:$B,2,FALSE),0)</f>
        <v>0</v>
      </c>
      <c r="R65" s="34">
        <f>SUMIF('Consumption MTD'!B:B,Cockpit!$E$5:$E$146,'Consumption MTD'!C:C)</f>
        <v>0</v>
      </c>
      <c r="S65" s="34">
        <f>SUMIF('BIW Lifting A Shift'!$B:$B,Cockpit!$E$5:$E$146,'BIW Lifting A Shift'!C:C)</f>
        <v>0</v>
      </c>
      <c r="T65" s="34">
        <f>SUMIF('BIW Lifting B Shift'!$B:$B,Cockpit!$E$5:$E$146,'BIW Lifting B Shift'!C:C)</f>
        <v>0</v>
      </c>
      <c r="U65" s="74">
        <f>M65-X65</f>
        <v>1</v>
      </c>
      <c r="V65" s="74">
        <f>M65-S65-X65</f>
        <v>1</v>
      </c>
      <c r="W65" s="457">
        <f>V65-T65</f>
        <v>1</v>
      </c>
      <c r="X65" s="555">
        <f>SUMIF(FLOAT!$D:$D,Cockpit!$E$5:$E$146,FLOAT!F:F)</f>
        <v>0</v>
      </c>
      <c r="Y65" s="15">
        <v>1</v>
      </c>
      <c r="Z65" s="455">
        <v>0</v>
      </c>
      <c r="AA65" s="49"/>
      <c r="AB65" s="15"/>
      <c r="AC65" s="15"/>
      <c r="AD65" s="54"/>
      <c r="AE65" s="147"/>
      <c r="AF65" s="49"/>
      <c r="AH65" s="62">
        <f>SUMIF(FLOAT!$D:$D,Cockpit!$E65:$E202,FLOAT!G:G)</f>
        <v>0</v>
      </c>
      <c r="AI65" s="62">
        <f>SUMIF(FLOAT!$D:$D,Cockpit!$E65:$E202,FLOAT!H:H)</f>
        <v>0</v>
      </c>
      <c r="AJ65" s="62">
        <f>SUMIF(FLOAT!$D:$D,Cockpit!$E65:$E202,FLOAT!I:I)</f>
        <v>0</v>
      </c>
      <c r="AK65" s="62">
        <f>SUMIF(FLOAT!$D:$D,Cockpit!$E65:$E202,FLOAT!J:J)</f>
        <v>0</v>
      </c>
      <c r="AL65" s="62">
        <f>SUMIF(FLOAT!$D:$D,Cockpit!$E65:$E202,FLOAT!K:K)</f>
        <v>0</v>
      </c>
      <c r="AM65" s="62">
        <f>SUMIF(FLOAT!$D:$D,Cockpit!$E65:$E202,FLOAT!L:L)</f>
        <v>0</v>
      </c>
      <c r="AN65" s="62">
        <f>SUMIF(FLOAT!$D:$D,Cockpit!$E65:$E202,FLOAT!M:M)</f>
        <v>0</v>
      </c>
      <c r="AO65" s="62">
        <f>SUMIF(FLOAT!$D:$D,Cockpit!$E65:$E202,FLOAT!N:N)</f>
        <v>0</v>
      </c>
      <c r="AP65" s="62">
        <f>SUMIF(FLOAT!$D:$D,Cockpit!$E65:$E202,FLOAT!O:O)</f>
        <v>0</v>
      </c>
      <c r="AQ65" s="62">
        <f>SUMIF(FLOAT!$D:$D,Cockpit!$E65:$E202,FLOAT!P:P)</f>
        <v>0</v>
      </c>
      <c r="AR65" s="60">
        <f t="shared" si="0"/>
        <v>0</v>
      </c>
      <c r="AS65" s="15" t="e">
        <v>#N/A</v>
      </c>
      <c r="AT65" s="17" t="e">
        <v>#N/A</v>
      </c>
      <c r="AU65" s="17" t="e">
        <f t="shared" si="1"/>
        <v>#N/A</v>
      </c>
    </row>
    <row r="66" spans="1:47" s="17" customFormat="1" ht="21.75" hidden="1" thickBot="1" x14ac:dyDescent="0.35">
      <c r="A66" s="2"/>
      <c r="B66" s="97"/>
      <c r="C66" s="70"/>
      <c r="D66" s="713">
        <v>544254630703</v>
      </c>
      <c r="E66" s="681" t="s">
        <v>205</v>
      </c>
      <c r="F66" s="652" t="s">
        <v>223</v>
      </c>
      <c r="G66" s="71">
        <f>IFERROR(VLOOKUP(E66:E66,[1]Sheet4!$O:$P,2,0),0)</f>
        <v>0</v>
      </c>
      <c r="H66" s="71">
        <f>G66</f>
        <v>0</v>
      </c>
      <c r="I66" s="180">
        <v>0</v>
      </c>
      <c r="J66" s="75">
        <f t="shared" si="10"/>
        <v>0</v>
      </c>
      <c r="K66" s="76">
        <f t="shared" si="10"/>
        <v>0</v>
      </c>
      <c r="L66" s="155">
        <f>H66-K66</f>
        <v>0</v>
      </c>
      <c r="M66" s="77">
        <f>I66+J66-K66</f>
        <v>0</v>
      </c>
      <c r="N66" s="30">
        <f>SUMIF('3 D P'!$D:$D,Cockpit!$E$5:$E$146,'3 D P'!L:L)</f>
        <v>0</v>
      </c>
      <c r="O66" s="30">
        <f>SUMIF('3 D P'!$D:$D,Cockpit!$E$5:$E$146,'3 D P'!M:M)</f>
        <v>0</v>
      </c>
      <c r="P66" s="30">
        <f>SUMIF('3 D P'!$D:$D,Cockpit!$E$5:$E$146,'3 D P'!N:N)</f>
        <v>0</v>
      </c>
      <c r="Q66" s="132">
        <f>IFERROR(VLOOKUP($D66,'Aptiv Dispatch'!$A:$B,2,FALSE),0)</f>
        <v>0</v>
      </c>
      <c r="R66" s="34">
        <f>SUMIF('Consumption MTD'!B:B,Cockpit!$E$5:$E$146,'Consumption MTD'!C:C)</f>
        <v>0</v>
      </c>
      <c r="S66" s="34">
        <f>SUMIF('BIW Lifting A Shift'!$B:$B,Cockpit!$E$5:$E$146,'BIW Lifting A Shift'!C:C)</f>
        <v>0</v>
      </c>
      <c r="T66" s="34">
        <f>SUMIF('BIW Lifting B Shift'!$B:$B,Cockpit!$E$5:$E$146,'BIW Lifting B Shift'!C:C)</f>
        <v>0</v>
      </c>
      <c r="U66" s="74">
        <f>M66-X66</f>
        <v>0</v>
      </c>
      <c r="V66" s="74">
        <f>M66-S66-X66</f>
        <v>0</v>
      </c>
      <c r="W66" s="457">
        <f>V66-T66</f>
        <v>0</v>
      </c>
      <c r="X66" s="555">
        <f>SUMIF(FLOAT!$D:$D,Cockpit!$E$5:$E$146,FLOAT!F:F)</f>
        <v>0</v>
      </c>
      <c r="Y66" s="15">
        <v>0</v>
      </c>
      <c r="Z66" s="455">
        <v>0</v>
      </c>
      <c r="AA66" s="49"/>
      <c r="AB66" s="15"/>
      <c r="AC66" s="15"/>
      <c r="AD66" s="54"/>
      <c r="AE66" s="147"/>
      <c r="AF66" s="49"/>
      <c r="AH66" s="62">
        <f>SUMIF(FLOAT!$D:$D,Cockpit!$E66:$E203,FLOAT!G:G)</f>
        <v>0</v>
      </c>
      <c r="AI66" s="62">
        <f>SUMIF(FLOAT!$D:$D,Cockpit!$E66:$E203,FLOAT!H:H)</f>
        <v>0</v>
      </c>
      <c r="AJ66" s="62">
        <f>SUMIF(FLOAT!$D:$D,Cockpit!$E66:$E203,FLOAT!I:I)</f>
        <v>0</v>
      </c>
      <c r="AK66" s="62">
        <f>SUMIF(FLOAT!$D:$D,Cockpit!$E66:$E203,FLOAT!J:J)</f>
        <v>0</v>
      </c>
      <c r="AL66" s="62">
        <f>SUMIF(FLOAT!$D:$D,Cockpit!$E66:$E203,FLOAT!K:K)</f>
        <v>0</v>
      </c>
      <c r="AM66" s="62">
        <f>SUMIF(FLOAT!$D:$D,Cockpit!$E66:$E203,FLOAT!L:L)</f>
        <v>0</v>
      </c>
      <c r="AN66" s="62">
        <f>SUMIF(FLOAT!$D:$D,Cockpit!$E66:$E203,FLOAT!M:M)</f>
        <v>0</v>
      </c>
      <c r="AO66" s="62">
        <f>SUMIF(FLOAT!$D:$D,Cockpit!$E66:$E203,FLOAT!N:N)</f>
        <v>0</v>
      </c>
      <c r="AP66" s="62">
        <f>SUMIF(FLOAT!$D:$D,Cockpit!$E66:$E203,FLOAT!O:O)</f>
        <v>0</v>
      </c>
      <c r="AQ66" s="62">
        <f>SUMIF(FLOAT!$D:$D,Cockpit!$E66:$E203,FLOAT!P:P)</f>
        <v>0</v>
      </c>
      <c r="AR66" s="60">
        <f t="shared" si="0"/>
        <v>0</v>
      </c>
      <c r="AS66" s="15">
        <v>1</v>
      </c>
      <c r="AT66" s="17" t="s">
        <v>416</v>
      </c>
      <c r="AU66" s="17" t="b">
        <f t="shared" si="1"/>
        <v>0</v>
      </c>
    </row>
    <row r="67" spans="1:47" s="17" customFormat="1" ht="21.75" hidden="1" thickBot="1" x14ac:dyDescent="0.35">
      <c r="A67" s="2"/>
      <c r="B67" s="97"/>
      <c r="C67" s="70"/>
      <c r="D67" s="714">
        <v>544254630811</v>
      </c>
      <c r="E67" s="682" t="s">
        <v>224</v>
      </c>
      <c r="F67" s="652" t="s">
        <v>225</v>
      </c>
      <c r="G67" s="71">
        <f>IFERROR(VLOOKUP(E67:E67,[1]Sheet4!$O:$P,2,0),0)</f>
        <v>0</v>
      </c>
      <c r="H67" s="71">
        <f>G67</f>
        <v>0</v>
      </c>
      <c r="I67" s="127">
        <v>5</v>
      </c>
      <c r="J67" s="75">
        <f t="shared" si="10"/>
        <v>0</v>
      </c>
      <c r="K67" s="76">
        <f t="shared" si="10"/>
        <v>0</v>
      </c>
      <c r="L67" s="155">
        <f>H67-K67</f>
        <v>0</v>
      </c>
      <c r="M67" s="77">
        <f>I67+J67-K67</f>
        <v>5</v>
      </c>
      <c r="N67" s="30">
        <f>SUMIF('3 D P'!$D:$D,Cockpit!$E$5:$E$146,'3 D P'!L:L)</f>
        <v>0</v>
      </c>
      <c r="O67" s="30">
        <f>SUMIF('3 D P'!$D:$D,Cockpit!$E$5:$E$146,'3 D P'!M:M)</f>
        <v>0</v>
      </c>
      <c r="P67" s="30">
        <f>SUMIF('3 D P'!$D:$D,Cockpit!$E$5:$E$146,'3 D P'!N:N)</f>
        <v>0</v>
      </c>
      <c r="Q67" s="132">
        <f>IFERROR(VLOOKUP($D67,'Aptiv Dispatch'!$A:$B,2,FALSE),0)</f>
        <v>0</v>
      </c>
      <c r="R67" s="34">
        <f>SUMIF('Consumption MTD'!B:B,Cockpit!$E$5:$E$146,'Consumption MTD'!C:C)</f>
        <v>0</v>
      </c>
      <c r="S67" s="34">
        <f>SUMIF('BIW Lifting A Shift'!$B:$B,Cockpit!$E$5:$E$146,'BIW Lifting A Shift'!C:C)</f>
        <v>0</v>
      </c>
      <c r="T67" s="34">
        <f>SUMIF('BIW Lifting B Shift'!$B:$B,Cockpit!$E$5:$E$146,'BIW Lifting B Shift'!C:C)</f>
        <v>0</v>
      </c>
      <c r="U67" s="74">
        <f>M67-X67</f>
        <v>5</v>
      </c>
      <c r="V67" s="74">
        <f>M67-S67-X67</f>
        <v>5</v>
      </c>
      <c r="W67" s="457">
        <f>V67-T67</f>
        <v>5</v>
      </c>
      <c r="X67" s="555">
        <f>SUMIF(FLOAT!$D:$D,Cockpit!$E$5:$E$146,FLOAT!F:F)</f>
        <v>0</v>
      </c>
      <c r="Y67" s="15">
        <v>5</v>
      </c>
      <c r="Z67" s="455">
        <v>0</v>
      </c>
      <c r="AA67" s="49"/>
      <c r="AB67" s="15"/>
      <c r="AC67" s="15"/>
      <c r="AD67" s="54"/>
      <c r="AE67" s="147"/>
      <c r="AF67" s="49"/>
      <c r="AH67" s="62">
        <f>SUMIF(FLOAT!$D:$D,Cockpit!$E67:$E204,FLOAT!G:G)</f>
        <v>0</v>
      </c>
      <c r="AI67" s="62">
        <f>SUMIF(FLOAT!$D:$D,Cockpit!$E67:$E204,FLOAT!H:H)</f>
        <v>0</v>
      </c>
      <c r="AJ67" s="62">
        <f>SUMIF(FLOAT!$D:$D,Cockpit!$E67:$E204,FLOAT!I:I)</f>
        <v>0</v>
      </c>
      <c r="AK67" s="62">
        <f>SUMIF(FLOAT!$D:$D,Cockpit!$E67:$E204,FLOAT!J:J)</f>
        <v>0</v>
      </c>
      <c r="AL67" s="62">
        <f>SUMIF(FLOAT!$D:$D,Cockpit!$E67:$E204,FLOAT!K:K)</f>
        <v>0</v>
      </c>
      <c r="AM67" s="62">
        <f>SUMIF(FLOAT!$D:$D,Cockpit!$E67:$E204,FLOAT!L:L)</f>
        <v>0</v>
      </c>
      <c r="AN67" s="62">
        <f>SUMIF(FLOAT!$D:$D,Cockpit!$E67:$E204,FLOAT!M:M)</f>
        <v>0</v>
      </c>
      <c r="AO67" s="62">
        <f>SUMIF(FLOAT!$D:$D,Cockpit!$E67:$E204,FLOAT!N:N)</f>
        <v>0</v>
      </c>
      <c r="AP67" s="62">
        <f>SUMIF(FLOAT!$D:$D,Cockpit!$E67:$E204,FLOAT!O:O)</f>
        <v>0</v>
      </c>
      <c r="AQ67" s="62">
        <f>SUMIF(FLOAT!$D:$D,Cockpit!$E67:$E204,FLOAT!P:P)</f>
        <v>0</v>
      </c>
      <c r="AR67" s="60">
        <f t="shared" si="0"/>
        <v>0</v>
      </c>
      <c r="AS67" s="15" t="e">
        <v>#N/A</v>
      </c>
      <c r="AT67" s="17" t="e">
        <v>#N/A</v>
      </c>
      <c r="AU67" s="17" t="e">
        <f t="shared" si="1"/>
        <v>#N/A</v>
      </c>
    </row>
    <row r="68" spans="1:47" s="17" customFormat="1" ht="21.75" hidden="1" thickBot="1" x14ac:dyDescent="0.35">
      <c r="A68" s="2"/>
      <c r="B68" s="97"/>
      <c r="C68" s="70"/>
      <c r="D68" s="715">
        <v>544254630455</v>
      </c>
      <c r="E68" s="683" t="s">
        <v>198</v>
      </c>
      <c r="F68" s="653" t="s">
        <v>226</v>
      </c>
      <c r="G68" s="71">
        <f>IFERROR(VLOOKUP(E68:E68,[1]Sheet4!$O:$P,2,0),0)</f>
        <v>0</v>
      </c>
      <c r="H68" s="129">
        <f>G68</f>
        <v>0</v>
      </c>
      <c r="I68" s="127">
        <v>1</v>
      </c>
      <c r="J68" s="125">
        <f t="shared" si="10"/>
        <v>0</v>
      </c>
      <c r="K68" s="127">
        <f t="shared" si="10"/>
        <v>0</v>
      </c>
      <c r="L68" s="155">
        <f>H68-K68</f>
        <v>0</v>
      </c>
      <c r="M68" s="78">
        <f>I68+J68-K68</f>
        <v>1</v>
      </c>
      <c r="N68" s="30">
        <f>SUMIF('3 D P'!$D:$D,Cockpit!$E$5:$E$146,'3 D P'!L:L)</f>
        <v>0</v>
      </c>
      <c r="O68" s="30">
        <f>SUMIF('3 D P'!$D:$D,Cockpit!$E$5:$E$146,'3 D P'!M:M)</f>
        <v>0</v>
      </c>
      <c r="P68" s="30">
        <f>SUMIF('3 D P'!$D:$D,Cockpit!$E$5:$E$146,'3 D P'!N:N)</f>
        <v>0</v>
      </c>
      <c r="Q68" s="132">
        <f>IFERROR(VLOOKUP($D68,'Aptiv Dispatch'!$A:$B,2,FALSE),0)</f>
        <v>0</v>
      </c>
      <c r="R68" s="34">
        <f>SUMIF('Consumption MTD'!B:B,Cockpit!$E$5:$E$146,'Consumption MTD'!C:C)</f>
        <v>0</v>
      </c>
      <c r="S68" s="34">
        <f>SUMIF('BIW Lifting A Shift'!$B:$B,Cockpit!$E$5:$E$146,'BIW Lifting A Shift'!C:C)</f>
        <v>0</v>
      </c>
      <c r="T68" s="34">
        <f>SUMIF('BIW Lifting B Shift'!$B:$B,Cockpit!$E$5:$E$146,'BIW Lifting B Shift'!C:C)</f>
        <v>0</v>
      </c>
      <c r="U68" s="72">
        <f>M68-X68</f>
        <v>1</v>
      </c>
      <c r="V68" s="72">
        <f>M68-S68-X68</f>
        <v>1</v>
      </c>
      <c r="W68" s="565">
        <f>V68-T68</f>
        <v>1</v>
      </c>
      <c r="X68" s="555">
        <f>SUMIF(FLOAT!$D:$D,Cockpit!$E$5:$E$146,FLOAT!F:F)</f>
        <v>0</v>
      </c>
      <c r="Y68" s="15">
        <v>1</v>
      </c>
      <c r="Z68" s="455">
        <v>0</v>
      </c>
      <c r="AA68" s="49"/>
      <c r="AB68" s="15"/>
      <c r="AC68" s="15"/>
      <c r="AD68" s="54"/>
      <c r="AE68" s="147"/>
      <c r="AF68" s="216"/>
      <c r="AH68" s="62">
        <f>SUMIF(FLOAT!$D:$D,Cockpit!$E68:$E205,FLOAT!G:G)</f>
        <v>0</v>
      </c>
      <c r="AI68" s="62">
        <f>SUMIF(FLOAT!$D:$D,Cockpit!$E68:$E205,FLOAT!H:H)</f>
        <v>0</v>
      </c>
      <c r="AJ68" s="62">
        <f>SUMIF(FLOAT!$D:$D,Cockpit!$E68:$E205,FLOAT!I:I)</f>
        <v>0</v>
      </c>
      <c r="AK68" s="62">
        <f>SUMIF(FLOAT!$D:$D,Cockpit!$E68:$E205,FLOAT!J:J)</f>
        <v>0</v>
      </c>
      <c r="AL68" s="62">
        <f>SUMIF(FLOAT!$D:$D,Cockpit!$E68:$E205,FLOAT!K:K)</f>
        <v>0</v>
      </c>
      <c r="AM68" s="62">
        <f>SUMIF(FLOAT!$D:$D,Cockpit!$E68:$E205,FLOAT!L:L)</f>
        <v>0</v>
      </c>
      <c r="AN68" s="62">
        <f>SUMIF(FLOAT!$D:$D,Cockpit!$E68:$E205,FLOAT!M:M)</f>
        <v>0</v>
      </c>
      <c r="AO68" s="62">
        <f>SUMIF(FLOAT!$D:$D,Cockpit!$E68:$E205,FLOAT!N:N)</f>
        <v>0</v>
      </c>
      <c r="AP68" s="62">
        <f>SUMIF(FLOAT!$D:$D,Cockpit!$E68:$E205,FLOAT!O:O)</f>
        <v>0</v>
      </c>
      <c r="AQ68" s="62">
        <f>SUMIF(FLOAT!$D:$D,Cockpit!$E68:$E205,FLOAT!P:P)</f>
        <v>0</v>
      </c>
      <c r="AR68" s="217">
        <f t="shared" si="0"/>
        <v>0</v>
      </c>
      <c r="AS68" s="15" t="e">
        <v>#N/A</v>
      </c>
      <c r="AT68" s="17" t="e">
        <v>#N/A</v>
      </c>
      <c r="AU68" s="17" t="e">
        <f t="shared" si="1"/>
        <v>#N/A</v>
      </c>
    </row>
    <row r="69" spans="1:47" s="17" customFormat="1" ht="19.5" hidden="1" thickBot="1" x14ac:dyDescent="0.35">
      <c r="A69" s="2"/>
      <c r="B69" s="97"/>
      <c r="C69" s="70"/>
      <c r="D69" s="842">
        <v>544254630808</v>
      </c>
      <c r="E69" s="684" t="s">
        <v>231</v>
      </c>
      <c r="F69" s="654" t="s">
        <v>233</v>
      </c>
      <c r="G69" s="71">
        <f>IFERROR(VLOOKUP(E69:E69,[1]Sheet4!$O:$P,2,0),0)</f>
        <v>0</v>
      </c>
      <c r="H69" s="829">
        <f>SUM(G69:G70)</f>
        <v>0</v>
      </c>
      <c r="I69" s="844">
        <v>0</v>
      </c>
      <c r="J69" s="831">
        <f>Q69</f>
        <v>0</v>
      </c>
      <c r="K69" s="832">
        <f>SUM(R69:R70)</f>
        <v>0</v>
      </c>
      <c r="L69" s="832">
        <f>H69-K69</f>
        <v>0</v>
      </c>
      <c r="M69" s="816">
        <f>SUM(I69:I70)+J69-K69</f>
        <v>0</v>
      </c>
      <c r="N69" s="30">
        <f>SUMIF('3 D P'!$D:$D,Cockpit!$E$5:$E$146,'3 D P'!L:L)</f>
        <v>0</v>
      </c>
      <c r="O69" s="30">
        <f>SUMIF('3 D P'!$D:$D,Cockpit!$E$5:$E$146,'3 D P'!M:M)</f>
        <v>0</v>
      </c>
      <c r="P69" s="30">
        <f>SUMIF('3 D P'!$D:$D,Cockpit!$E$5:$E$146,'3 D P'!N:N)</f>
        <v>0</v>
      </c>
      <c r="Q69" s="132">
        <f>IFERROR(VLOOKUP($D69,'Aptiv Dispatch'!$A:$B,2,FALSE),0)</f>
        <v>0</v>
      </c>
      <c r="R69" s="34">
        <f>SUMIF('Consumption MTD'!B:B,Cockpit!$E$5:$E$146,'Consumption MTD'!C:C)</f>
        <v>0</v>
      </c>
      <c r="S69" s="34">
        <f>SUMIF('BIW Lifting A Shift'!$B:$B,Cockpit!$E$5:$E$146,'BIW Lifting A Shift'!C:C)</f>
        <v>0</v>
      </c>
      <c r="T69" s="34">
        <f>SUMIF('BIW Lifting B Shift'!$B:$B,Cockpit!$E$5:$E$146,'BIW Lifting B Shift'!C:C)</f>
        <v>0</v>
      </c>
      <c r="U69" s="818">
        <f>M69-X69-X70</f>
        <v>0</v>
      </c>
      <c r="V69" s="818">
        <f>M69-X69-X70-S69-S70</f>
        <v>0</v>
      </c>
      <c r="W69" s="820">
        <f>V69-T69-T70</f>
        <v>0</v>
      </c>
      <c r="X69" s="555">
        <f>SUMIF(FLOAT!$D:$D,Cockpit!$E$5:$E$146,FLOAT!F:F)</f>
        <v>0</v>
      </c>
      <c r="Y69" s="15">
        <v>0</v>
      </c>
      <c r="Z69" s="455">
        <v>0</v>
      </c>
      <c r="AA69" s="49"/>
      <c r="AB69" s="15"/>
      <c r="AC69" s="15"/>
      <c r="AD69" s="54"/>
      <c r="AE69" s="147"/>
      <c r="AF69" s="233"/>
      <c r="AG69" s="280"/>
      <c r="AH69" s="62">
        <f>SUMIF(FLOAT!$D:$D,Cockpit!$E69:$E206,FLOAT!G:G)</f>
        <v>0</v>
      </c>
      <c r="AI69" s="62">
        <f>SUMIF(FLOAT!$D:$D,Cockpit!$E69:$E206,FLOAT!H:H)</f>
        <v>0</v>
      </c>
      <c r="AJ69" s="62">
        <f>SUMIF(FLOAT!$D:$D,Cockpit!$E69:$E206,FLOAT!I:I)</f>
        <v>0</v>
      </c>
      <c r="AK69" s="62">
        <f>SUMIF(FLOAT!$D:$D,Cockpit!$E69:$E206,FLOAT!J:J)</f>
        <v>0</v>
      </c>
      <c r="AL69" s="62">
        <f>SUMIF(FLOAT!$D:$D,Cockpit!$E69:$E206,FLOAT!K:K)</f>
        <v>0</v>
      </c>
      <c r="AM69" s="62">
        <f>SUMIF(FLOAT!$D:$D,Cockpit!$E69:$E206,FLOAT!L:L)</f>
        <v>0</v>
      </c>
      <c r="AN69" s="62">
        <f>SUMIF(FLOAT!$D:$D,Cockpit!$E69:$E206,FLOAT!M:M)</f>
        <v>0</v>
      </c>
      <c r="AO69" s="62">
        <f>SUMIF(FLOAT!$D:$D,Cockpit!$E69:$E206,FLOAT!N:N)</f>
        <v>0</v>
      </c>
      <c r="AP69" s="62">
        <f>SUMIF(FLOAT!$D:$D,Cockpit!$E69:$E206,FLOAT!O:O)</f>
        <v>0</v>
      </c>
      <c r="AQ69" s="62">
        <f>SUMIF(FLOAT!$D:$D,Cockpit!$E69:$E206,FLOAT!P:P)</f>
        <v>0</v>
      </c>
      <c r="AR69" s="235">
        <f t="shared" si="0"/>
        <v>0</v>
      </c>
      <c r="AS69" s="244">
        <v>9</v>
      </c>
      <c r="AT69" s="237" t="s">
        <v>417</v>
      </c>
      <c r="AU69" s="17" t="b">
        <f t="shared" si="1"/>
        <v>0</v>
      </c>
    </row>
    <row r="70" spans="1:47" s="17" customFormat="1" ht="19.5" hidden="1" thickBot="1" x14ac:dyDescent="0.35">
      <c r="A70" s="2"/>
      <c r="B70" s="97"/>
      <c r="C70" s="70"/>
      <c r="D70" s="843"/>
      <c r="E70" s="681" t="s">
        <v>234</v>
      </c>
      <c r="F70" s="655" t="s">
        <v>235</v>
      </c>
      <c r="G70" s="71">
        <f>IFERROR(VLOOKUP(E70:E70,[1]Sheet4!$O:$P,2,0),0)</f>
        <v>0</v>
      </c>
      <c r="H70" s="830"/>
      <c r="I70" s="845">
        <v>0</v>
      </c>
      <c r="J70" s="831"/>
      <c r="K70" s="832"/>
      <c r="L70" s="832"/>
      <c r="M70" s="816"/>
      <c r="N70" s="30">
        <f>SUMIF('3 D P'!$D:$D,Cockpit!$E$5:$E$146,'3 D P'!L:L)</f>
        <v>0</v>
      </c>
      <c r="O70" s="30">
        <f>SUMIF('3 D P'!$D:$D,Cockpit!$E$5:$E$146,'3 D P'!M:M)</f>
        <v>0</v>
      </c>
      <c r="P70" s="30">
        <f>SUMIF('3 D P'!$D:$D,Cockpit!$E$5:$E$146,'3 D P'!N:N)</f>
        <v>0</v>
      </c>
      <c r="Q70" s="132">
        <f>IFERROR(VLOOKUP($D70,'Aptiv Dispatch'!$A:$B,2,FALSE),0)</f>
        <v>0</v>
      </c>
      <c r="R70" s="34">
        <f>SUMIF('Consumption MTD'!B:B,Cockpit!$E$5:$E$146,'Consumption MTD'!C:C)</f>
        <v>0</v>
      </c>
      <c r="S70" s="34">
        <f>SUMIF('BIW Lifting A Shift'!$B:$B,Cockpit!$E$5:$E$146,'BIW Lifting A Shift'!C:C)</f>
        <v>0</v>
      </c>
      <c r="T70" s="34">
        <f>SUMIF('BIW Lifting B Shift'!$B:$B,Cockpit!$E$5:$E$146,'BIW Lifting B Shift'!C:C)</f>
        <v>0</v>
      </c>
      <c r="U70" s="818"/>
      <c r="V70" s="818"/>
      <c r="W70" s="820"/>
      <c r="X70" s="555">
        <f>SUMIF(FLOAT!$D:$D,Cockpit!$E$5:$E$146,FLOAT!F:F)</f>
        <v>0</v>
      </c>
      <c r="Y70" s="15"/>
      <c r="Z70" s="455">
        <v>0</v>
      </c>
      <c r="AA70" s="49"/>
      <c r="AB70" s="15"/>
      <c r="AC70" s="15"/>
      <c r="AD70" s="54"/>
      <c r="AE70" s="147"/>
      <c r="AF70" s="49"/>
      <c r="AG70" s="278"/>
      <c r="AH70" s="62">
        <f>SUMIF(FLOAT!$D:$D,Cockpit!$E70:$E207,FLOAT!G:G)</f>
        <v>0</v>
      </c>
      <c r="AI70" s="62">
        <f>SUMIF(FLOAT!$D:$D,Cockpit!$E70:$E207,FLOAT!H:H)</f>
        <v>0</v>
      </c>
      <c r="AJ70" s="62">
        <f>SUMIF(FLOAT!$D:$D,Cockpit!$E70:$E207,FLOAT!I:I)</f>
        <v>0</v>
      </c>
      <c r="AK70" s="62">
        <f>SUMIF(FLOAT!$D:$D,Cockpit!$E70:$E207,FLOAT!J:J)</f>
        <v>0</v>
      </c>
      <c r="AL70" s="62">
        <f>SUMIF(FLOAT!$D:$D,Cockpit!$E70:$E207,FLOAT!K:K)</f>
        <v>0</v>
      </c>
      <c r="AM70" s="62">
        <f>SUMIF(FLOAT!$D:$D,Cockpit!$E70:$E207,FLOAT!L:L)</f>
        <v>0</v>
      </c>
      <c r="AN70" s="62">
        <f>SUMIF(FLOAT!$D:$D,Cockpit!$E70:$E207,FLOAT!M:M)</f>
        <v>0</v>
      </c>
      <c r="AO70" s="62">
        <f>SUMIF(FLOAT!$D:$D,Cockpit!$E70:$E207,FLOAT!N:N)</f>
        <v>0</v>
      </c>
      <c r="AP70" s="62">
        <f>SUMIF(FLOAT!$D:$D,Cockpit!$E70:$E207,FLOAT!O:O)</f>
        <v>0</v>
      </c>
      <c r="AQ70" s="62">
        <f>SUMIF(FLOAT!$D:$D,Cockpit!$E70:$E207,FLOAT!P:P)</f>
        <v>0</v>
      </c>
      <c r="AR70" s="60">
        <f t="shared" ref="AR70:AR133" si="11">AH70+AI70+AJ70+AK70+AL70+AM70+AO70+AP70+AQ70</f>
        <v>0</v>
      </c>
      <c r="AS70" s="15" t="e">
        <v>#N/A</v>
      </c>
      <c r="AT70" s="239" t="e">
        <v>#N/A</v>
      </c>
      <c r="AU70" s="17" t="e">
        <f>AF70=AS70</f>
        <v>#N/A</v>
      </c>
    </row>
    <row r="71" spans="1:47" s="17" customFormat="1" ht="21.75" hidden="1" thickBot="1" x14ac:dyDescent="0.35">
      <c r="A71" s="2"/>
      <c r="B71" s="97"/>
      <c r="C71" s="70"/>
      <c r="D71" s="716">
        <v>544254630810</v>
      </c>
      <c r="E71" s="680" t="s">
        <v>236</v>
      </c>
      <c r="F71" s="656" t="s">
        <v>237</v>
      </c>
      <c r="G71" s="71">
        <f>IFERROR(VLOOKUP(E71:E71,[1]Sheet4!$O:$P,2,0),0)</f>
        <v>0</v>
      </c>
      <c r="H71" s="184">
        <f>G71</f>
        <v>0</v>
      </c>
      <c r="I71" s="243">
        <v>0</v>
      </c>
      <c r="J71" s="215">
        <f t="shared" ref="J71:K76" si="12">Q71</f>
        <v>0</v>
      </c>
      <c r="K71" s="128">
        <f t="shared" si="12"/>
        <v>0</v>
      </c>
      <c r="L71" s="155">
        <f>H71-K71</f>
        <v>0</v>
      </c>
      <c r="M71" s="131">
        <f>I71+J71-K71</f>
        <v>0</v>
      </c>
      <c r="N71" s="30">
        <f>SUMIF('3 D P'!$D:$D,Cockpit!$E$5:$E$146,'3 D P'!L:L)</f>
        <v>0</v>
      </c>
      <c r="O71" s="30">
        <f>SUMIF('3 D P'!$D:$D,Cockpit!$E$5:$E$146,'3 D P'!M:M)</f>
        <v>0</v>
      </c>
      <c r="P71" s="30">
        <f>SUMIF('3 D P'!$D:$D,Cockpit!$E$5:$E$146,'3 D P'!N:N)</f>
        <v>0</v>
      </c>
      <c r="Q71" s="132">
        <f>IFERROR(VLOOKUP($D71,'Aptiv Dispatch'!$A:$B,2,FALSE),0)</f>
        <v>0</v>
      </c>
      <c r="R71" s="34">
        <f>SUMIF('Consumption MTD'!B:B,Cockpit!$E$5:$E$146,'Consumption MTD'!C:C)</f>
        <v>0</v>
      </c>
      <c r="S71" s="34">
        <f>SUMIF('BIW Lifting A Shift'!$B:$B,Cockpit!$E$5:$E$146,'BIW Lifting A Shift'!C:C)</f>
        <v>0</v>
      </c>
      <c r="T71" s="34">
        <f>SUMIF('BIW Lifting B Shift'!$B:$B,Cockpit!$E$5:$E$146,'BIW Lifting B Shift'!C:C)</f>
        <v>0</v>
      </c>
      <c r="U71" s="73">
        <f>M71-X71</f>
        <v>0</v>
      </c>
      <c r="V71" s="73">
        <f>M71-S71-X71</f>
        <v>0</v>
      </c>
      <c r="W71" s="566">
        <f>V71-T71</f>
        <v>0</v>
      </c>
      <c r="X71" s="555">
        <f>SUMIF(FLOAT!$D:$D,Cockpit!$E$5:$E$146,FLOAT!F:F)</f>
        <v>0</v>
      </c>
      <c r="Y71" s="15">
        <v>0</v>
      </c>
      <c r="Z71" s="455">
        <v>0</v>
      </c>
      <c r="AA71" s="49"/>
      <c r="AB71" s="15"/>
      <c r="AC71" s="15"/>
      <c r="AD71" s="54"/>
      <c r="AE71" s="147"/>
      <c r="AF71" s="49"/>
      <c r="AG71" s="278"/>
      <c r="AH71" s="62">
        <f>SUMIF(FLOAT!$D:$D,Cockpit!$E71:$E208,FLOAT!G:G)</f>
        <v>0</v>
      </c>
      <c r="AI71" s="62">
        <f>SUMIF(FLOAT!$D:$D,Cockpit!$E71:$E208,FLOAT!H:H)</f>
        <v>0</v>
      </c>
      <c r="AJ71" s="62">
        <f>SUMIF(FLOAT!$D:$D,Cockpit!$E71:$E208,FLOAT!I:I)</f>
        <v>0</v>
      </c>
      <c r="AK71" s="62">
        <f>SUMIF(FLOAT!$D:$D,Cockpit!$E71:$E208,FLOAT!J:J)</f>
        <v>0</v>
      </c>
      <c r="AL71" s="62">
        <f>SUMIF(FLOAT!$D:$D,Cockpit!$E71:$E208,FLOAT!K:K)</f>
        <v>0</v>
      </c>
      <c r="AM71" s="62">
        <f>SUMIF(FLOAT!$D:$D,Cockpit!$E71:$E208,FLOAT!L:L)</f>
        <v>0</v>
      </c>
      <c r="AN71" s="62">
        <f>SUMIF(FLOAT!$D:$D,Cockpit!$E71:$E208,FLOAT!M:M)</f>
        <v>0</v>
      </c>
      <c r="AO71" s="62">
        <f>SUMIF(FLOAT!$D:$D,Cockpit!$E71:$E208,FLOAT!N:N)</f>
        <v>0</v>
      </c>
      <c r="AP71" s="62">
        <f>SUMIF(FLOAT!$D:$D,Cockpit!$E71:$E208,FLOAT!O:O)</f>
        <v>0</v>
      </c>
      <c r="AQ71" s="62">
        <f>SUMIF(FLOAT!$D:$D,Cockpit!$E71:$E208,FLOAT!P:P)</f>
        <v>0</v>
      </c>
      <c r="AR71" s="60">
        <f t="shared" si="11"/>
        <v>0</v>
      </c>
      <c r="AS71" s="212">
        <v>6</v>
      </c>
      <c r="AT71" s="239" t="s">
        <v>418</v>
      </c>
      <c r="AU71" s="17" t="b">
        <f>AF71=AS71</f>
        <v>0</v>
      </c>
    </row>
    <row r="72" spans="1:47" s="17" customFormat="1" ht="21.75" hidden="1" thickBot="1" x14ac:dyDescent="0.35">
      <c r="A72" s="2"/>
      <c r="B72" s="97"/>
      <c r="C72" s="70"/>
      <c r="D72" s="717">
        <v>544254630809</v>
      </c>
      <c r="E72" s="685" t="s">
        <v>230</v>
      </c>
      <c r="F72" s="656" t="s">
        <v>232</v>
      </c>
      <c r="G72" s="71">
        <f>IFERROR(VLOOKUP(E72:E72,[1]Sheet4!$O:$P,2,0),0)</f>
        <v>0</v>
      </c>
      <c r="H72" s="230">
        <f>G72</f>
        <v>0</v>
      </c>
      <c r="I72" s="232">
        <v>0</v>
      </c>
      <c r="J72" s="214">
        <f t="shared" si="12"/>
        <v>0</v>
      </c>
      <c r="K72" s="76">
        <f t="shared" si="12"/>
        <v>0</v>
      </c>
      <c r="L72" s="155">
        <f>H72-K72</f>
        <v>0</v>
      </c>
      <c r="M72" s="77">
        <f>I72+J72-K72</f>
        <v>0</v>
      </c>
      <c r="N72" s="30">
        <f>SUMIF('3 D P'!$D:$D,Cockpit!$E$5:$E$146,'3 D P'!L:L)</f>
        <v>0</v>
      </c>
      <c r="O72" s="30">
        <f>SUMIF('3 D P'!$D:$D,Cockpit!$E$5:$E$146,'3 D P'!M:M)</f>
        <v>0</v>
      </c>
      <c r="P72" s="30">
        <f>SUMIF('3 D P'!$D:$D,Cockpit!$E$5:$E$146,'3 D P'!N:N)</f>
        <v>0</v>
      </c>
      <c r="Q72" s="132">
        <f>IFERROR(VLOOKUP($D72,'Aptiv Dispatch'!$A:$B,2,FALSE),0)</f>
        <v>0</v>
      </c>
      <c r="R72" s="34">
        <f>SUMIF('Consumption MTD'!B:B,Cockpit!$E$5:$E$146,'Consumption MTD'!C:C)</f>
        <v>0</v>
      </c>
      <c r="S72" s="34">
        <f>SUMIF('BIW Lifting A Shift'!$B:$B,Cockpit!$E$5:$E$146,'BIW Lifting A Shift'!C:C)</f>
        <v>0</v>
      </c>
      <c r="T72" s="34">
        <f>SUMIF('BIW Lifting B Shift'!$B:$B,Cockpit!$E$5:$E$146,'BIW Lifting B Shift'!C:C)</f>
        <v>0</v>
      </c>
      <c r="U72" s="74">
        <f>M72-X72</f>
        <v>0</v>
      </c>
      <c r="V72" s="74">
        <f>M72-S72-X72</f>
        <v>0</v>
      </c>
      <c r="W72" s="457">
        <f>V72-T72</f>
        <v>0</v>
      </c>
      <c r="X72" s="555">
        <f>SUMIF(FLOAT!$D:$D,Cockpit!$E$5:$E$146,FLOAT!F:F)</f>
        <v>0</v>
      </c>
      <c r="Y72" s="15">
        <v>0</v>
      </c>
      <c r="Z72" s="455">
        <v>0</v>
      </c>
      <c r="AA72" s="49"/>
      <c r="AB72" s="15"/>
      <c r="AC72" s="15"/>
      <c r="AD72" s="54"/>
      <c r="AE72" s="147"/>
      <c r="AF72" s="50"/>
      <c r="AG72" s="281"/>
      <c r="AH72" s="62">
        <f>SUMIF(FLOAT!$D:$D,Cockpit!$E72:$E209,FLOAT!G:G)</f>
        <v>0</v>
      </c>
      <c r="AI72" s="62">
        <f>SUMIF(FLOAT!$D:$D,Cockpit!$E72:$E209,FLOAT!H:H)</f>
        <v>0</v>
      </c>
      <c r="AJ72" s="62">
        <f>SUMIF(FLOAT!$D:$D,Cockpit!$E72:$E209,FLOAT!I:I)</f>
        <v>0</v>
      </c>
      <c r="AK72" s="62">
        <f>SUMIF(FLOAT!$D:$D,Cockpit!$E72:$E209,FLOAT!J:J)</f>
        <v>0</v>
      </c>
      <c r="AL72" s="62">
        <f>SUMIF(FLOAT!$D:$D,Cockpit!$E72:$E209,FLOAT!K:K)</f>
        <v>0</v>
      </c>
      <c r="AM72" s="62">
        <f>SUMIF(FLOAT!$D:$D,Cockpit!$E72:$E209,FLOAT!L:L)</f>
        <v>0</v>
      </c>
      <c r="AN72" s="62">
        <f>SUMIF(FLOAT!$D:$D,Cockpit!$E72:$E209,FLOAT!M:M)</f>
        <v>0</v>
      </c>
      <c r="AO72" s="62">
        <f>SUMIF(FLOAT!$D:$D,Cockpit!$E72:$E209,FLOAT!N:N)</f>
        <v>0</v>
      </c>
      <c r="AP72" s="62">
        <f>SUMIF(FLOAT!$D:$D,Cockpit!$E72:$E209,FLOAT!O:O)</f>
        <v>0</v>
      </c>
      <c r="AQ72" s="62">
        <f>SUMIF(FLOAT!$D:$D,Cockpit!$E72:$E209,FLOAT!P:P)</f>
        <v>0</v>
      </c>
      <c r="AR72" s="240">
        <f t="shared" si="11"/>
        <v>0</v>
      </c>
      <c r="AS72" s="245">
        <v>7</v>
      </c>
      <c r="AT72" s="242" t="s">
        <v>419</v>
      </c>
      <c r="AU72" s="17" t="b">
        <f>AF72=AS72</f>
        <v>0</v>
      </c>
    </row>
    <row r="73" spans="1:47" s="17" customFormat="1" ht="21.75" hidden="1" thickBot="1" x14ac:dyDescent="0.35">
      <c r="A73" s="2"/>
      <c r="B73" s="97"/>
      <c r="C73" s="70"/>
      <c r="D73" s="696">
        <v>544254630512</v>
      </c>
      <c r="E73" s="686" t="s">
        <v>365</v>
      </c>
      <c r="F73" s="657" t="s">
        <v>364</v>
      </c>
      <c r="G73" s="71">
        <f>IFERROR(VLOOKUP(E73:E73,[1]Sheet4!$O:$P,2,0),0)</f>
        <v>0</v>
      </c>
      <c r="H73" s="230">
        <f>G73</f>
        <v>0</v>
      </c>
      <c r="I73" s="232">
        <v>4</v>
      </c>
      <c r="J73" s="214">
        <f t="shared" si="12"/>
        <v>0</v>
      </c>
      <c r="K73" s="76">
        <f t="shared" si="12"/>
        <v>0</v>
      </c>
      <c r="L73" s="155">
        <f>H73-K73</f>
        <v>0</v>
      </c>
      <c r="M73" s="77">
        <f>I73+J73-K73</f>
        <v>4</v>
      </c>
      <c r="N73" s="30">
        <f>SUMIF('3 D P'!$D:$D,Cockpit!$E$5:$E$146,'3 D P'!L:L)</f>
        <v>0</v>
      </c>
      <c r="O73" s="30">
        <f>SUMIF('3 D P'!$D:$D,Cockpit!$E$5:$E$146,'3 D P'!M:M)</f>
        <v>0</v>
      </c>
      <c r="P73" s="30">
        <f>SUMIF('3 D P'!$D:$D,Cockpit!$E$5:$E$146,'3 D P'!N:N)</f>
        <v>0</v>
      </c>
      <c r="Q73" s="132">
        <f>IFERROR(VLOOKUP($D73,'Aptiv Dispatch'!$A:$B,2,FALSE),0)</f>
        <v>0</v>
      </c>
      <c r="R73" s="34">
        <f>SUMIF('Consumption MTD'!B:B,Cockpit!$E$5:$E$146,'Consumption MTD'!C:C)</f>
        <v>0</v>
      </c>
      <c r="S73" s="34">
        <f>SUMIF('BIW Lifting A Shift'!$B:$B,Cockpit!$E$5:$E$146,'BIW Lifting A Shift'!C:C)</f>
        <v>0</v>
      </c>
      <c r="T73" s="34">
        <f>SUMIF('BIW Lifting B Shift'!$B:$B,Cockpit!$E$5:$E$146,'BIW Lifting B Shift'!C:C)</f>
        <v>0</v>
      </c>
      <c r="U73" s="74">
        <f>M73-X73</f>
        <v>4</v>
      </c>
      <c r="V73" s="74">
        <f>M73-S73-X73</f>
        <v>4</v>
      </c>
      <c r="W73" s="457">
        <f>V73-T73</f>
        <v>4</v>
      </c>
      <c r="X73" s="555">
        <f>SUMIF(FLOAT!$D:$D,Cockpit!$E$5:$E$146,FLOAT!F:F)</f>
        <v>0</v>
      </c>
      <c r="Y73" s="15">
        <v>4</v>
      </c>
      <c r="Z73" s="455">
        <v>4</v>
      </c>
      <c r="AA73" s="49"/>
      <c r="AB73" s="15"/>
      <c r="AC73" s="15"/>
      <c r="AD73" s="54"/>
      <c r="AE73" s="147"/>
      <c r="AF73" s="50"/>
      <c r="AG73" s="281"/>
      <c r="AH73" s="62">
        <f>SUMIF(FLOAT!$D:$D,Cockpit!$E73:$E210,FLOAT!G:G)</f>
        <v>0</v>
      </c>
      <c r="AI73" s="62">
        <f>SUMIF(FLOAT!$D:$D,Cockpit!$E73:$E210,FLOAT!H:H)</f>
        <v>0</v>
      </c>
      <c r="AJ73" s="62">
        <f>SUMIF(FLOAT!$D:$D,Cockpit!$E73:$E210,FLOAT!I:I)</f>
        <v>0</v>
      </c>
      <c r="AK73" s="62">
        <f>SUMIF(FLOAT!$D:$D,Cockpit!$E73:$E210,FLOAT!J:J)</f>
        <v>0</v>
      </c>
      <c r="AL73" s="62">
        <f>SUMIF(FLOAT!$D:$D,Cockpit!$E73:$E210,FLOAT!K:K)</f>
        <v>0</v>
      </c>
      <c r="AM73" s="62">
        <f>SUMIF(FLOAT!$D:$D,Cockpit!$E73:$E210,FLOAT!L:L)</f>
        <v>0</v>
      </c>
      <c r="AN73" s="62">
        <f>SUMIF(FLOAT!$D:$D,Cockpit!$E73:$E210,FLOAT!M:M)</f>
        <v>0</v>
      </c>
      <c r="AO73" s="62">
        <f>SUMIF(FLOAT!$D:$D,Cockpit!$E73:$E210,FLOAT!N:N)</f>
        <v>0</v>
      </c>
      <c r="AP73" s="62">
        <f>SUMIF(FLOAT!$D:$D,Cockpit!$E73:$E210,FLOAT!O:O)</f>
        <v>0</v>
      </c>
      <c r="AQ73" s="62">
        <f>SUMIF(FLOAT!$D:$D,Cockpit!$E73:$E210,FLOAT!P:P)</f>
        <v>0</v>
      </c>
      <c r="AR73" s="60">
        <f t="shared" si="11"/>
        <v>0</v>
      </c>
      <c r="AS73" s="238"/>
    </row>
    <row r="74" spans="1:47" s="17" customFormat="1" ht="19.5" hidden="1" thickBot="1" x14ac:dyDescent="0.35">
      <c r="A74" s="2"/>
      <c r="B74" s="97"/>
      <c r="C74" s="70"/>
      <c r="D74" s="896">
        <v>544254630510</v>
      </c>
      <c r="E74" s="686" t="s">
        <v>367</v>
      </c>
      <c r="F74" s="657" t="s">
        <v>366</v>
      </c>
      <c r="G74" s="71">
        <f>IFERROR(VLOOKUP(E74:E74,[1]Sheet4!$O:$P,2,0),0)</f>
        <v>0</v>
      </c>
      <c r="H74" s="833">
        <f>SUM(G74:G75)</f>
        <v>0</v>
      </c>
      <c r="I74" s="895">
        <v>34</v>
      </c>
      <c r="J74" s="836">
        <f>Q74</f>
        <v>0</v>
      </c>
      <c r="K74" s="822">
        <f>SUM(R74:R75)</f>
        <v>0</v>
      </c>
      <c r="L74" s="838">
        <f>H74-K74</f>
        <v>0</v>
      </c>
      <c r="M74" s="816">
        <f>SUM(I74:I75)+J74-K74</f>
        <v>34</v>
      </c>
      <c r="N74" s="30">
        <f>SUMIF('3 D P'!$D:$D,Cockpit!$E$5:$E$146,'3 D P'!L:L)</f>
        <v>0</v>
      </c>
      <c r="O74" s="30">
        <f>SUMIF('3 D P'!$D:$D,Cockpit!$E$5:$E$146,'3 D P'!M:M)</f>
        <v>0</v>
      </c>
      <c r="P74" s="30">
        <f>SUMIF('3 D P'!$D:$D,Cockpit!$E$5:$E$146,'3 D P'!N:N)</f>
        <v>0</v>
      </c>
      <c r="Q74" s="132">
        <f>IFERROR(VLOOKUP($D74,'Aptiv Dispatch'!$A:$B,2,FALSE),0)</f>
        <v>0</v>
      </c>
      <c r="R74" s="34">
        <f>SUMIF('Consumption MTD'!B:B,Cockpit!$E$5:$E$146,'Consumption MTD'!C:C)</f>
        <v>0</v>
      </c>
      <c r="S74" s="34">
        <f>SUMIF('BIW Lifting A Shift'!$B:$B,Cockpit!$E$5:$E$146,'BIW Lifting A Shift'!C:C)</f>
        <v>0</v>
      </c>
      <c r="T74" s="34">
        <f>SUMIF('BIW Lifting B Shift'!$B:$B,Cockpit!$E$5:$E$146,'BIW Lifting B Shift'!C:C)</f>
        <v>0</v>
      </c>
      <c r="U74" s="818">
        <f>M74-X74-X75</f>
        <v>34</v>
      </c>
      <c r="V74" s="818">
        <f>M74-X74-X75-S74-S75</f>
        <v>34</v>
      </c>
      <c r="W74" s="820">
        <f>V74-T74-T75</f>
        <v>34</v>
      </c>
      <c r="X74" s="555">
        <f>SUMIF(FLOAT!$D:$D,Cockpit!$E$5:$E$146,FLOAT!F:F)</f>
        <v>0</v>
      </c>
      <c r="Y74" s="15">
        <v>34</v>
      </c>
      <c r="Z74" s="455">
        <v>34</v>
      </c>
      <c r="AA74" s="49"/>
      <c r="AB74" s="15"/>
      <c r="AC74" s="15"/>
      <c r="AD74" s="54"/>
      <c r="AE74" s="147"/>
      <c r="AF74" s="49"/>
      <c r="AH74" s="62">
        <f>SUMIF(FLOAT!$D:$D,Cockpit!$E74:$E210,FLOAT!G:G)</f>
        <v>0</v>
      </c>
      <c r="AI74" s="62">
        <f>SUMIF(FLOAT!$D:$D,Cockpit!$E74:$E210,FLOAT!H:H)</f>
        <v>0</v>
      </c>
      <c r="AJ74" s="62">
        <f>SUMIF(FLOAT!$D:$D,Cockpit!$E74:$E210,FLOAT!I:I)</f>
        <v>0</v>
      </c>
      <c r="AK74" s="62">
        <f>SUMIF(FLOAT!$D:$D,Cockpit!$E74:$E210,FLOAT!J:J)</f>
        <v>0</v>
      </c>
      <c r="AL74" s="62">
        <f>SUMIF(FLOAT!$D:$D,Cockpit!$E74:$E210,FLOAT!K:K)</f>
        <v>0</v>
      </c>
      <c r="AM74" s="62">
        <f>SUMIF(FLOAT!$D:$D,Cockpit!$E74:$E210,FLOAT!L:L)</f>
        <v>0</v>
      </c>
      <c r="AN74" s="62">
        <f>SUMIF(FLOAT!$D:$D,Cockpit!$E74:$E210,FLOAT!M:M)</f>
        <v>0</v>
      </c>
      <c r="AO74" s="62">
        <f>SUMIF(FLOAT!$D:$D,Cockpit!$E74:$E210,FLOAT!N:N)</f>
        <v>0</v>
      </c>
      <c r="AP74" s="283">
        <f>SUMIF(FLOAT!$D:$D,Cockpit!$E74:$E210,FLOAT!O:O)</f>
        <v>0</v>
      </c>
      <c r="AQ74" s="62">
        <f>SUMIF(FLOAT!$D:$D,Cockpit!$E74:$E210,FLOAT!P:P)</f>
        <v>0</v>
      </c>
      <c r="AR74" s="60">
        <f>AH74+AI74+AJ74+AK74+AL74+AM74+AO74+AP74+AQ74</f>
        <v>0</v>
      </c>
      <c r="AS74" s="238"/>
    </row>
    <row r="75" spans="1:47" s="17" customFormat="1" ht="19.5" hidden="1" thickBot="1" x14ac:dyDescent="0.35">
      <c r="A75" s="2"/>
      <c r="B75" s="97"/>
      <c r="C75" s="70"/>
      <c r="D75" s="896"/>
      <c r="E75" s="686" t="s">
        <v>379</v>
      </c>
      <c r="F75" s="658" t="s">
        <v>430</v>
      </c>
      <c r="G75" s="71">
        <f>IFERROR(VLOOKUP(E75:E75,[1]Sheet4!$O:$P,2,0),0)</f>
        <v>0</v>
      </c>
      <c r="H75" s="834"/>
      <c r="I75" s="823"/>
      <c r="J75" s="837"/>
      <c r="K75" s="823"/>
      <c r="L75" s="823"/>
      <c r="M75" s="816"/>
      <c r="N75" s="30">
        <f>SUMIF('3 D P'!$D:$D,Cockpit!$E$5:$E$146,'3 D P'!L:L)</f>
        <v>0</v>
      </c>
      <c r="O75" s="30">
        <f>SUMIF('3 D P'!$D:$D,Cockpit!$E$5:$E$146,'3 D P'!M:M)</f>
        <v>0</v>
      </c>
      <c r="P75" s="30">
        <f>SUMIF('3 D P'!$D:$D,Cockpit!$E$5:$E$146,'3 D P'!N:N)</f>
        <v>0</v>
      </c>
      <c r="Q75" s="132">
        <f>IFERROR(VLOOKUP($D75,'Aptiv Dispatch'!$A:$B,2,FALSE),0)</f>
        <v>0</v>
      </c>
      <c r="R75" s="34">
        <f>SUMIF('Consumption MTD'!B:B,Cockpit!$E$5:$E$146,'Consumption MTD'!C:C)</f>
        <v>0</v>
      </c>
      <c r="S75" s="34">
        <f>SUMIF('BIW Lifting A Shift'!$B:$B,Cockpit!$E$5:$E$146,'BIW Lifting A Shift'!C:C)</f>
        <v>0</v>
      </c>
      <c r="T75" s="34">
        <f>SUMIF('BIW Lifting B Shift'!$B:$B,Cockpit!$E$5:$E$146,'BIW Lifting B Shift'!C:C)</f>
        <v>0</v>
      </c>
      <c r="U75" s="818"/>
      <c r="V75" s="818"/>
      <c r="W75" s="820"/>
      <c r="X75" s="555">
        <f>SUMIF(FLOAT!$D:$D,Cockpit!$E$5:$E$146,FLOAT!F:F)</f>
        <v>0</v>
      </c>
      <c r="Y75" s="15"/>
      <c r="Z75" s="455">
        <v>0</v>
      </c>
      <c r="AA75" s="49"/>
      <c r="AB75" s="15"/>
      <c r="AC75" s="15"/>
      <c r="AD75" s="54"/>
      <c r="AE75" s="147"/>
      <c r="AF75" s="49"/>
      <c r="AH75" s="62">
        <f>SUMIF(FLOAT!$D:$D,Cockpit!$E75:$E211,FLOAT!G:G)</f>
        <v>0</v>
      </c>
      <c r="AI75" s="62">
        <f>SUMIF(FLOAT!$D:$D,Cockpit!$E75:$E211,FLOAT!H:H)</f>
        <v>0</v>
      </c>
      <c r="AJ75" s="62">
        <f>SUMIF(FLOAT!$D:$D,Cockpit!$E75:$E211,FLOAT!I:I)</f>
        <v>0</v>
      </c>
      <c r="AK75" s="62">
        <f>SUMIF(FLOAT!$D:$D,Cockpit!$E75:$E211,FLOAT!J:J)</f>
        <v>0</v>
      </c>
      <c r="AL75" s="62">
        <f>SUMIF(FLOAT!$D:$D,Cockpit!$E75:$E211,FLOAT!K:K)</f>
        <v>0</v>
      </c>
      <c r="AM75" s="62">
        <f>SUMIF(FLOAT!$D:$D,Cockpit!$E75:$E211,FLOAT!L:L)</f>
        <v>0</v>
      </c>
      <c r="AN75" s="62">
        <f>SUMIF(FLOAT!$D:$D,Cockpit!$E75:$E211,FLOAT!M:M)</f>
        <v>0</v>
      </c>
      <c r="AO75" s="62">
        <f>SUMIF(FLOAT!$D:$D,Cockpit!$E75:$E211,FLOAT!N:N)</f>
        <v>0</v>
      </c>
      <c r="AP75" s="62">
        <f>SUMIF(FLOAT!$D:$D,Cockpit!$E75:$E211,FLOAT!O:O)</f>
        <v>0</v>
      </c>
      <c r="AQ75" s="62">
        <f>SUMIF(FLOAT!$D:$D,Cockpit!$E75:$E211,FLOAT!P:P)</f>
        <v>0</v>
      </c>
      <c r="AR75" s="60">
        <f>AH75+AI75+AJ75+AK75+AL75+AM75+AO75+AP75+AQ75</f>
        <v>0</v>
      </c>
      <c r="AS75" s="238"/>
    </row>
    <row r="76" spans="1:47" s="17" customFormat="1" ht="21.75" hidden="1" thickBot="1" x14ac:dyDescent="0.35">
      <c r="A76" s="2"/>
      <c r="B76" s="97"/>
      <c r="C76" s="70"/>
      <c r="D76" s="696">
        <v>544254640219</v>
      </c>
      <c r="E76" s="686" t="s">
        <v>370</v>
      </c>
      <c r="F76" s="657" t="s">
        <v>369</v>
      </c>
      <c r="G76" s="71">
        <f>IFERROR(VLOOKUP(E76:E76,[1]Sheet4!$O:$P,2,0),0)</f>
        <v>0</v>
      </c>
      <c r="H76" s="230">
        <f>G76</f>
        <v>0</v>
      </c>
      <c r="I76" s="232">
        <v>1</v>
      </c>
      <c r="J76" s="214">
        <f t="shared" si="12"/>
        <v>0</v>
      </c>
      <c r="K76" s="76">
        <f t="shared" si="12"/>
        <v>0</v>
      </c>
      <c r="L76" s="155">
        <f>H76-K76</f>
        <v>0</v>
      </c>
      <c r="M76" s="77">
        <f>I76+J76-K76</f>
        <v>1</v>
      </c>
      <c r="N76" s="30">
        <f>SUMIF('3 D P'!$D:$D,Cockpit!$E$5:$E$146,'3 D P'!L:L)</f>
        <v>0</v>
      </c>
      <c r="O76" s="30">
        <f>SUMIF('3 D P'!$D:$D,Cockpit!$E$5:$E$146,'3 D P'!M:M)</f>
        <v>0</v>
      </c>
      <c r="P76" s="30">
        <f>SUMIF('3 D P'!$D:$D,Cockpit!$E$5:$E$146,'3 D P'!N:N)</f>
        <v>0</v>
      </c>
      <c r="Q76" s="132">
        <f>IFERROR(VLOOKUP($D76,'Aptiv Dispatch'!$A:$B,2,FALSE),0)</f>
        <v>0</v>
      </c>
      <c r="R76" s="34">
        <f>SUMIF('Consumption MTD'!B:B,Cockpit!$E$5:$E$146,'Consumption MTD'!C:C)</f>
        <v>0</v>
      </c>
      <c r="S76" s="34">
        <f>SUMIF('BIW Lifting A Shift'!$B:$B,Cockpit!$E$5:$E$146,'BIW Lifting A Shift'!C:C)</f>
        <v>0</v>
      </c>
      <c r="T76" s="34">
        <f>SUMIF('BIW Lifting B Shift'!$B:$B,Cockpit!$E$5:$E$146,'BIW Lifting B Shift'!C:C)</f>
        <v>0</v>
      </c>
      <c r="U76" s="74">
        <f>M76-X76</f>
        <v>1</v>
      </c>
      <c r="V76" s="74">
        <f>M76-S76-X76</f>
        <v>1</v>
      </c>
      <c r="W76" s="457">
        <f>V76-T76</f>
        <v>1</v>
      </c>
      <c r="X76" s="555">
        <f>SUMIF(FLOAT!$D:$D,Cockpit!$E$5:$E$146,FLOAT!F:F)</f>
        <v>0</v>
      </c>
      <c r="Y76" s="15">
        <v>1</v>
      </c>
      <c r="Z76" s="455">
        <v>4</v>
      </c>
      <c r="AA76" s="49"/>
      <c r="AB76" s="15"/>
      <c r="AC76" s="15"/>
      <c r="AD76" s="54"/>
      <c r="AE76" s="147"/>
      <c r="AF76" s="50"/>
      <c r="AG76" s="281"/>
      <c r="AH76" s="62">
        <f>SUMIF(FLOAT!$D:$D,Cockpit!$E76:$E212,FLOAT!G:G)</f>
        <v>0</v>
      </c>
      <c r="AI76" s="62">
        <f>SUMIF(FLOAT!$D:$D,Cockpit!$E76:$E212,FLOAT!H:H)</f>
        <v>0</v>
      </c>
      <c r="AJ76" s="62">
        <f>SUMIF(FLOAT!$D:$D,Cockpit!$E76:$E212,FLOAT!I:I)</f>
        <v>0</v>
      </c>
      <c r="AK76" s="62">
        <f>SUMIF(FLOAT!$D:$D,Cockpit!$E76:$E212,FLOAT!J:J)</f>
        <v>0</v>
      </c>
      <c r="AL76" s="62">
        <f>SUMIF(FLOAT!$D:$D,Cockpit!$E76:$E212,FLOAT!K:K)</f>
        <v>0</v>
      </c>
      <c r="AM76" s="62">
        <f>SUMIF(FLOAT!$D:$D,Cockpit!$E76:$E212,FLOAT!L:L)</f>
        <v>0</v>
      </c>
      <c r="AN76" s="62">
        <f>SUMIF(FLOAT!$D:$D,Cockpit!$E76:$E212,FLOAT!M:M)</f>
        <v>0</v>
      </c>
      <c r="AO76" s="62">
        <f>SUMIF(FLOAT!$D:$D,Cockpit!$E76:$E212,FLOAT!N:N)</f>
        <v>0</v>
      </c>
      <c r="AP76" s="62">
        <f>SUMIF(FLOAT!$D:$D,Cockpit!$E76:$E212,FLOAT!O:O)</f>
        <v>0</v>
      </c>
      <c r="AQ76" s="62">
        <f>SUMIF(FLOAT!$D:$D,Cockpit!$E76:$E212,FLOAT!P:P)</f>
        <v>0</v>
      </c>
      <c r="AR76" s="60">
        <f t="shared" si="11"/>
        <v>0</v>
      </c>
      <c r="AS76" s="238"/>
    </row>
    <row r="77" spans="1:47" s="17" customFormat="1" ht="19.5" hidden="1" thickBot="1" x14ac:dyDescent="0.35">
      <c r="A77" s="2"/>
      <c r="B77" s="97"/>
      <c r="C77" s="70"/>
      <c r="D77" s="896">
        <v>544254630499</v>
      </c>
      <c r="E77" s="686" t="s">
        <v>368</v>
      </c>
      <c r="F77" s="658" t="s">
        <v>440</v>
      </c>
      <c r="G77" s="71">
        <f>IFERROR(VLOOKUP(E77:E77,[1]Sheet4!$O:$P,2,0),0)</f>
        <v>0</v>
      </c>
      <c r="H77" s="833">
        <f>SUM(G77:G78)</f>
        <v>0</v>
      </c>
      <c r="I77" s="895">
        <v>0</v>
      </c>
      <c r="J77" s="836">
        <f>Q77</f>
        <v>0</v>
      </c>
      <c r="K77" s="822">
        <f>SUM(R77:R78)</f>
        <v>0</v>
      </c>
      <c r="L77" s="838">
        <f>H77-K77</f>
        <v>0</v>
      </c>
      <c r="M77" s="816">
        <f>SUM(I77:I78)+J77-K77</f>
        <v>0</v>
      </c>
      <c r="N77" s="30">
        <f>SUMIF('3 D P'!$D:$D,Cockpit!$E$5:$E$146,'3 D P'!L:L)</f>
        <v>0</v>
      </c>
      <c r="O77" s="30">
        <f>SUMIF('3 D P'!$D:$D,Cockpit!$E$5:$E$146,'3 D P'!M:M)</f>
        <v>0</v>
      </c>
      <c r="P77" s="30">
        <f>SUMIF('3 D P'!$D:$D,Cockpit!$E$5:$E$146,'3 D P'!N:N)</f>
        <v>0</v>
      </c>
      <c r="Q77" s="132">
        <f>IFERROR(VLOOKUP($D77,'Aptiv Dispatch'!$A:$B,2,FALSE),0)</f>
        <v>0</v>
      </c>
      <c r="R77" s="34">
        <f>SUMIF('Consumption MTD'!B:B,Cockpit!$E$5:$E$146,'Consumption MTD'!C:C)</f>
        <v>0</v>
      </c>
      <c r="S77" s="34">
        <f>SUMIF('BIW Lifting A Shift'!$B:$B,Cockpit!$E$5:$E$146,'BIW Lifting A Shift'!C:C)</f>
        <v>0</v>
      </c>
      <c r="T77" s="34">
        <f>SUMIF('BIW Lifting B Shift'!$B:$B,Cockpit!$E$5:$E$146,'BIW Lifting B Shift'!C:C)</f>
        <v>0</v>
      </c>
      <c r="U77" s="818">
        <f>M77-X77-X78</f>
        <v>0</v>
      </c>
      <c r="V77" s="818">
        <f>M77-X77-X78-S77-S78</f>
        <v>0</v>
      </c>
      <c r="W77" s="820">
        <f>V77-T77-T78</f>
        <v>0</v>
      </c>
      <c r="X77" s="555">
        <f>SUMIF(FLOAT!$D:$D,Cockpit!$E$5:$E$146,FLOAT!F:F)</f>
        <v>0</v>
      </c>
      <c r="Y77" s="15">
        <v>0</v>
      </c>
      <c r="Z77" s="455">
        <v>0</v>
      </c>
      <c r="AA77" s="49"/>
      <c r="AB77" s="15"/>
      <c r="AC77" s="15"/>
      <c r="AD77" s="54"/>
      <c r="AE77" s="147"/>
      <c r="AF77" s="49"/>
      <c r="AH77" s="62">
        <f>SUMIF(FLOAT!$D:$D,Cockpit!$E77:$E213,FLOAT!G:G)</f>
        <v>0</v>
      </c>
      <c r="AI77" s="62">
        <f>SUMIF(FLOAT!$D:$D,Cockpit!$E77:$E213,FLOAT!H:H)</f>
        <v>0</v>
      </c>
      <c r="AJ77" s="62">
        <f>SUMIF(FLOAT!$D:$D,Cockpit!$E77:$E213,FLOAT!I:I)</f>
        <v>0</v>
      </c>
      <c r="AK77" s="62">
        <f>SUMIF(FLOAT!$D:$D,Cockpit!$E77:$E213,FLOAT!J:J)</f>
        <v>0</v>
      </c>
      <c r="AL77" s="62">
        <f>SUMIF(FLOAT!$D:$D,Cockpit!$E77:$E213,FLOAT!K:K)</f>
        <v>0</v>
      </c>
      <c r="AM77" s="62">
        <f>SUMIF(FLOAT!$D:$D,Cockpit!$E77:$E213,FLOAT!L:L)</f>
        <v>0</v>
      </c>
      <c r="AN77" s="62">
        <f>SUMIF(FLOAT!$D:$D,Cockpit!$E77:$E213,FLOAT!M:M)</f>
        <v>0</v>
      </c>
      <c r="AO77" s="62">
        <f>SUMIF(FLOAT!$D:$D,Cockpit!$E77:$E213,FLOAT!N:N)</f>
        <v>0</v>
      </c>
      <c r="AP77" s="62">
        <f>SUMIF(FLOAT!$D:$D,Cockpit!$E77:$E213,FLOAT!O:O)</f>
        <v>0</v>
      </c>
      <c r="AQ77" s="62">
        <f>SUMIF(FLOAT!$D:$D,Cockpit!$E77:$E213,FLOAT!P:P)</f>
        <v>0</v>
      </c>
      <c r="AR77" s="60">
        <f t="shared" si="11"/>
        <v>0</v>
      </c>
      <c r="AS77" s="238"/>
    </row>
    <row r="78" spans="1:47" s="17" customFormat="1" ht="19.5" hidden="1" thickBot="1" x14ac:dyDescent="0.35">
      <c r="A78" s="2"/>
      <c r="B78" s="97"/>
      <c r="C78" s="70"/>
      <c r="D78" s="896"/>
      <c r="E78" s="686" t="s">
        <v>441</v>
      </c>
      <c r="F78" s="659" t="s">
        <v>442</v>
      </c>
      <c r="G78" s="71">
        <f>IFERROR(VLOOKUP(E78:E78,[1]Sheet4!$O:$P,2,0),0)</f>
        <v>0</v>
      </c>
      <c r="H78" s="834"/>
      <c r="I78" s="823"/>
      <c r="J78" s="837"/>
      <c r="K78" s="823"/>
      <c r="L78" s="823"/>
      <c r="M78" s="816"/>
      <c r="N78" s="30">
        <f>SUMIF('3 D P'!$D:$D,Cockpit!$E$5:$E$146,'3 D P'!L:L)</f>
        <v>0</v>
      </c>
      <c r="O78" s="30">
        <f>SUMIF('3 D P'!$D:$D,Cockpit!$E$5:$E$146,'3 D P'!M:M)</f>
        <v>0</v>
      </c>
      <c r="P78" s="30">
        <f>SUMIF('3 D P'!$D:$D,Cockpit!$E$5:$E$146,'3 D P'!N:N)</f>
        <v>0</v>
      </c>
      <c r="Q78" s="132">
        <f>IFERROR(VLOOKUP($D78,'Aptiv Dispatch'!$A:$B,2,FALSE),0)</f>
        <v>0</v>
      </c>
      <c r="R78" s="34">
        <f>SUMIF('Consumption MTD'!B:B,Cockpit!$E$5:$E$146,'Consumption MTD'!C:C)</f>
        <v>0</v>
      </c>
      <c r="S78" s="34">
        <f>SUMIF('BIW Lifting A Shift'!$B:$B,Cockpit!$E$5:$E$146,'BIW Lifting A Shift'!C:C)</f>
        <v>0</v>
      </c>
      <c r="T78" s="34">
        <f>SUMIF('BIW Lifting B Shift'!$B:$B,Cockpit!$E$5:$E$146,'BIW Lifting B Shift'!C:C)</f>
        <v>0</v>
      </c>
      <c r="U78" s="818"/>
      <c r="V78" s="818"/>
      <c r="W78" s="820"/>
      <c r="X78" s="555">
        <f>SUMIF(FLOAT!$D:$D,Cockpit!$E$5:$E$146,FLOAT!F:F)</f>
        <v>0</v>
      </c>
      <c r="Y78" s="15"/>
      <c r="Z78" s="455">
        <v>0</v>
      </c>
      <c r="AA78" s="49"/>
      <c r="AB78" s="15"/>
      <c r="AC78" s="15"/>
      <c r="AD78" s="54"/>
      <c r="AE78" s="147"/>
      <c r="AF78" s="49"/>
      <c r="AH78" s="62">
        <f>SUMIF(FLOAT!$D:$D,Cockpit!$E78:$E214,FLOAT!G:G)</f>
        <v>0</v>
      </c>
      <c r="AI78" s="62">
        <f>SUMIF(FLOAT!$D:$D,Cockpit!$E78:$E214,FLOAT!H:H)</f>
        <v>0</v>
      </c>
      <c r="AJ78" s="62">
        <f>SUMIF(FLOAT!$D:$D,Cockpit!$E78:$E214,FLOAT!I:I)</f>
        <v>0</v>
      </c>
      <c r="AK78" s="62">
        <f>SUMIF(FLOAT!$D:$D,Cockpit!$E78:$E214,FLOAT!J:J)</f>
        <v>0</v>
      </c>
      <c r="AL78" s="62">
        <f>SUMIF(FLOAT!$D:$D,Cockpit!$E78:$E214,FLOAT!K:K)</f>
        <v>0</v>
      </c>
      <c r="AM78" s="62">
        <f>SUMIF(FLOAT!$D:$D,Cockpit!$E78:$E214,FLOAT!L:L)</f>
        <v>0</v>
      </c>
      <c r="AN78" s="62">
        <f>SUMIF(FLOAT!$D:$D,Cockpit!$E78:$E214,FLOAT!M:M)</f>
        <v>0</v>
      </c>
      <c r="AO78" s="62">
        <f>SUMIF(FLOAT!$D:$D,Cockpit!$E78:$E214,FLOAT!N:N)</f>
        <v>0</v>
      </c>
      <c r="AP78" s="62">
        <f>SUMIF(FLOAT!$D:$D,Cockpit!$E78:$E214,FLOAT!O:O)</f>
        <v>0</v>
      </c>
      <c r="AQ78" s="62">
        <f>SUMIF(FLOAT!$D:$D,Cockpit!$E78:$E214,FLOAT!P:P)</f>
        <v>0</v>
      </c>
      <c r="AR78" s="60">
        <f t="shared" si="11"/>
        <v>0</v>
      </c>
      <c r="AS78" s="238"/>
    </row>
    <row r="79" spans="1:47" s="17" customFormat="1" ht="19.5" hidden="1" thickBot="1" x14ac:dyDescent="0.35">
      <c r="A79" s="2"/>
      <c r="B79" s="97"/>
      <c r="C79" s="70"/>
      <c r="D79" s="896">
        <v>544254640202</v>
      </c>
      <c r="E79" s="686" t="s">
        <v>437</v>
      </c>
      <c r="F79" s="658" t="s">
        <v>443</v>
      </c>
      <c r="G79" s="71">
        <f>IFERROR(VLOOKUP(E79:E79,[1]Sheet4!$O:$P,2,0),0)</f>
        <v>0</v>
      </c>
      <c r="H79" s="833">
        <f>SUM(G79:G80)</f>
        <v>0</v>
      </c>
      <c r="I79" s="822">
        <v>8</v>
      </c>
      <c r="J79" s="836">
        <f>Q79</f>
        <v>0</v>
      </c>
      <c r="K79" s="822">
        <f>SUM(R79:R80)</f>
        <v>0</v>
      </c>
      <c r="L79" s="838">
        <f>H79-K79</f>
        <v>0</v>
      </c>
      <c r="M79" s="816">
        <f>SUM(I79:I80)+J79-K79</f>
        <v>8</v>
      </c>
      <c r="N79" s="30">
        <f>SUMIF('3 D P'!$D:$D,Cockpit!$E$5:$E$146,'3 D P'!L:L)</f>
        <v>0</v>
      </c>
      <c r="O79" s="30">
        <f>SUMIF('3 D P'!$D:$D,Cockpit!$E$5:$E$146,'3 D P'!M:M)</f>
        <v>0</v>
      </c>
      <c r="P79" s="30">
        <f>SUMIF('3 D P'!$D:$D,Cockpit!$E$5:$E$146,'3 D P'!N:N)</f>
        <v>0</v>
      </c>
      <c r="Q79" s="132">
        <f>IFERROR(VLOOKUP($D79,'Aptiv Dispatch'!$A:$B,2,FALSE),0)</f>
        <v>0</v>
      </c>
      <c r="R79" s="34">
        <f>SUMIF('Consumption MTD'!B:B,Cockpit!$E$5:$E$146,'Consumption MTD'!C:C)</f>
        <v>0</v>
      </c>
      <c r="S79" s="34">
        <f>SUMIF('BIW Lifting A Shift'!$B:$B,Cockpit!$E$5:$E$146,'BIW Lifting A Shift'!C:C)</f>
        <v>0</v>
      </c>
      <c r="T79" s="34">
        <f>SUMIF('BIW Lifting B Shift'!$B:$B,Cockpit!$E$5:$E$146,'BIW Lifting B Shift'!C:C)</f>
        <v>0</v>
      </c>
      <c r="U79" s="818">
        <f>M79-X79-X80</f>
        <v>8</v>
      </c>
      <c r="V79" s="818">
        <f>M79-X79-X80-S79-S80</f>
        <v>8</v>
      </c>
      <c r="W79" s="820">
        <f>V79-T79-T80</f>
        <v>8</v>
      </c>
      <c r="X79" s="555">
        <f>SUMIF(FLOAT!$D:$D,Cockpit!$E$5:$E$146,FLOAT!F:F)</f>
        <v>0</v>
      </c>
      <c r="Y79" s="15">
        <v>6</v>
      </c>
      <c r="Z79" s="455">
        <v>10</v>
      </c>
      <c r="AA79" s="49"/>
      <c r="AB79" s="15"/>
      <c r="AC79" s="15"/>
      <c r="AD79" s="54"/>
      <c r="AE79" s="147"/>
      <c r="AF79" s="49"/>
      <c r="AH79" s="62">
        <f>SUMIF(FLOAT!$D:$D,Cockpit!$E79:$E215,FLOAT!G:G)</f>
        <v>0</v>
      </c>
      <c r="AI79" s="62">
        <f>SUMIF(FLOAT!$D:$D,Cockpit!$E79:$E215,FLOAT!H:H)</f>
        <v>0</v>
      </c>
      <c r="AJ79" s="62">
        <f>SUMIF(FLOAT!$D:$D,Cockpit!$E79:$E215,FLOAT!I:I)</f>
        <v>0</v>
      </c>
      <c r="AK79" s="62">
        <f>SUMIF(FLOAT!$D:$D,Cockpit!$E79:$E215,FLOAT!J:J)</f>
        <v>0</v>
      </c>
      <c r="AL79" s="62">
        <f>SUMIF(FLOAT!$D:$D,Cockpit!$E79:$E215,FLOAT!K:K)</f>
        <v>0</v>
      </c>
      <c r="AM79" s="62">
        <f>SUMIF(FLOAT!$D:$D,Cockpit!$E79:$E215,FLOAT!L:L)</f>
        <v>0</v>
      </c>
      <c r="AN79" s="62">
        <f>SUMIF(FLOAT!$D:$D,Cockpit!$E79:$E215,FLOAT!M:M)</f>
        <v>0</v>
      </c>
      <c r="AO79" s="62">
        <f>SUMIF(FLOAT!$D:$D,Cockpit!$E79:$E215,FLOAT!N:N)</f>
        <v>0</v>
      </c>
      <c r="AP79" s="62">
        <f>SUMIF(FLOAT!$D:$D,Cockpit!$E79:$E215,FLOAT!O:O)</f>
        <v>0</v>
      </c>
      <c r="AQ79" s="62">
        <f>SUMIF(FLOAT!$D:$D,Cockpit!$E79:$E215,FLOAT!P:P)</f>
        <v>0</v>
      </c>
      <c r="AR79" s="60">
        <f t="shared" si="11"/>
        <v>0</v>
      </c>
      <c r="AS79" s="238"/>
    </row>
    <row r="80" spans="1:47" s="17" customFormat="1" ht="19.5" hidden="1" thickBot="1" x14ac:dyDescent="0.35">
      <c r="A80" s="2"/>
      <c r="B80" s="97"/>
      <c r="C80" s="70"/>
      <c r="D80" s="896"/>
      <c r="E80" s="687" t="s">
        <v>439</v>
      </c>
      <c r="F80" s="660" t="s">
        <v>438</v>
      </c>
      <c r="G80" s="71">
        <f>IFERROR(VLOOKUP(E80:E80,[1]Sheet4!$O:$P,2,0),0)</f>
        <v>0</v>
      </c>
      <c r="H80" s="834"/>
      <c r="I80" s="823"/>
      <c r="J80" s="837"/>
      <c r="K80" s="823"/>
      <c r="L80" s="823"/>
      <c r="M80" s="816"/>
      <c r="N80" s="30">
        <f>SUMIF('3 D P'!$D:$D,Cockpit!$E$5:$E$146,'3 D P'!L:L)</f>
        <v>0</v>
      </c>
      <c r="O80" s="30">
        <f>SUMIF('3 D P'!$D:$D,Cockpit!$E$5:$E$146,'3 D P'!M:M)</f>
        <v>0</v>
      </c>
      <c r="P80" s="30">
        <f>SUMIF('3 D P'!$D:$D,Cockpit!$E$5:$E$146,'3 D P'!N:N)</f>
        <v>0</v>
      </c>
      <c r="Q80" s="132">
        <f>IFERROR(VLOOKUP($D80,'Aptiv Dispatch'!$A:$B,2,FALSE),0)</f>
        <v>0</v>
      </c>
      <c r="R80" s="34">
        <f>SUMIF('Consumption MTD'!B:B,Cockpit!$E$5:$E$146,'Consumption MTD'!C:C)</f>
        <v>0</v>
      </c>
      <c r="S80" s="34">
        <f>SUMIF('BIW Lifting A Shift'!$B:$B,Cockpit!$E$5:$E$146,'BIW Lifting A Shift'!C:C)</f>
        <v>0</v>
      </c>
      <c r="T80" s="34">
        <f>SUMIF('BIW Lifting B Shift'!$B:$B,Cockpit!$E$5:$E$146,'BIW Lifting B Shift'!C:C)</f>
        <v>0</v>
      </c>
      <c r="U80" s="818"/>
      <c r="V80" s="818"/>
      <c r="W80" s="820"/>
      <c r="X80" s="555">
        <f>SUMIF(FLOAT!$D:$D,Cockpit!$E$5:$E$146,FLOAT!F:F)</f>
        <v>0</v>
      </c>
      <c r="Y80" s="15"/>
      <c r="Z80" s="455">
        <v>0</v>
      </c>
      <c r="AA80" s="49"/>
      <c r="AB80" s="15"/>
      <c r="AC80" s="15"/>
      <c r="AD80" s="54"/>
      <c r="AE80" s="147"/>
      <c r="AF80" s="49"/>
      <c r="AH80" s="544">
        <f>SUMIF(FLOAT!$D:$D,Cockpit!$E80:$E216,FLOAT!G:G)</f>
        <v>0</v>
      </c>
      <c r="AI80" s="62">
        <f>SUMIF(FLOAT!$D:$D,Cockpit!$E80:$E216,FLOAT!H:H)</f>
        <v>0</v>
      </c>
      <c r="AJ80" s="537">
        <f>SUMIF(FLOAT!$D:$D,Cockpit!$E80:$E216,FLOAT!I:I)</f>
        <v>0</v>
      </c>
      <c r="AK80" s="62">
        <f>SUMIF(FLOAT!$D:$D,Cockpit!$E80:$E216,FLOAT!J:J)</f>
        <v>0</v>
      </c>
      <c r="AL80" s="62">
        <f>SUMIF(FLOAT!$D:$D,Cockpit!$E80:$E216,FLOAT!K:K)</f>
        <v>0</v>
      </c>
      <c r="AM80" s="62">
        <f>SUMIF(FLOAT!$D:$D,Cockpit!$E80:$E216,FLOAT!L:L)</f>
        <v>0</v>
      </c>
      <c r="AN80" s="538">
        <f>SUMIF(FLOAT!$D:$D,Cockpit!$E80:$E216,FLOAT!M:M)</f>
        <v>0</v>
      </c>
      <c r="AO80" s="62">
        <f>SUMIF(FLOAT!$D:$D,Cockpit!$E80:$E216,FLOAT!N:N)</f>
        <v>0</v>
      </c>
      <c r="AP80" s="538">
        <f>SUMIF(FLOAT!$D:$D,Cockpit!$E80:$E216,FLOAT!O:O)</f>
        <v>0</v>
      </c>
      <c r="AQ80" s="62">
        <f>SUMIF(FLOAT!$D:$D,Cockpit!$E80:$E216,FLOAT!P:P)</f>
        <v>0</v>
      </c>
      <c r="AR80" s="60">
        <f t="shared" si="11"/>
        <v>0</v>
      </c>
      <c r="AS80" s="238"/>
    </row>
    <row r="81" spans="1:45" s="17" customFormat="1" ht="19.5" hidden="1" thickBot="1" x14ac:dyDescent="0.35">
      <c r="A81" s="2"/>
      <c r="B81" s="97"/>
      <c r="C81" s="70"/>
      <c r="D81" s="896">
        <v>544254640207</v>
      </c>
      <c r="E81" s="686" t="s">
        <v>444</v>
      </c>
      <c r="F81" s="658" t="s">
        <v>445</v>
      </c>
      <c r="G81" s="71">
        <f>IFERROR(VLOOKUP(E81:E81,[1]Sheet4!$O:$P,2,0),0)</f>
        <v>0</v>
      </c>
      <c r="H81" s="833">
        <f>SUM(G81:G82)</f>
        <v>0</v>
      </c>
      <c r="I81" s="822">
        <v>0</v>
      </c>
      <c r="J81" s="836">
        <f>Q81</f>
        <v>0</v>
      </c>
      <c r="K81" s="822">
        <f>SUM(R81:R82)</f>
        <v>0</v>
      </c>
      <c r="L81" s="838">
        <f>H81-K81</f>
        <v>0</v>
      </c>
      <c r="M81" s="816">
        <f>SUM(I81:I82)+J81-K81</f>
        <v>0</v>
      </c>
      <c r="N81" s="30">
        <f>SUMIF('3 D P'!$D:$D,Cockpit!$E$5:$E$146,'3 D P'!L:L)</f>
        <v>0</v>
      </c>
      <c r="O81" s="30">
        <f>SUMIF('3 D P'!$D:$D,Cockpit!$E$5:$E$146,'3 D P'!M:M)</f>
        <v>0</v>
      </c>
      <c r="P81" s="30">
        <f>SUMIF('3 D P'!$D:$D,Cockpit!$E$5:$E$146,'3 D P'!N:N)</f>
        <v>0</v>
      </c>
      <c r="Q81" s="132">
        <f>IFERROR(VLOOKUP($D81,'Aptiv Dispatch'!$A:$B,2,FALSE),0)</f>
        <v>0</v>
      </c>
      <c r="R81" s="34">
        <f>SUMIF('Consumption MTD'!B:B,Cockpit!$E$5:$E$146,'Consumption MTD'!C:C)</f>
        <v>0</v>
      </c>
      <c r="S81" s="34">
        <f>SUMIF('BIW Lifting A Shift'!$B:$B,Cockpit!$E$5:$E$146,'BIW Lifting A Shift'!C:C)</f>
        <v>0</v>
      </c>
      <c r="T81" s="34">
        <f>SUMIF('BIW Lifting B Shift'!$B:$B,Cockpit!$E$5:$E$146,'BIW Lifting B Shift'!C:C)</f>
        <v>0</v>
      </c>
      <c r="U81" s="818">
        <f>M81-X81-X82</f>
        <v>0</v>
      </c>
      <c r="V81" s="818">
        <f>M81-X81-X82-S81-S82</f>
        <v>0</v>
      </c>
      <c r="W81" s="820">
        <f>V81-T81-T82</f>
        <v>0</v>
      </c>
      <c r="X81" s="555">
        <f>SUMIF(FLOAT!$D:$D,Cockpit!$E$5:$E$146,FLOAT!F:F)</f>
        <v>0</v>
      </c>
      <c r="Y81" s="15">
        <v>0</v>
      </c>
      <c r="Z81" s="455">
        <v>0</v>
      </c>
      <c r="AA81" s="49"/>
      <c r="AB81" s="15"/>
      <c r="AC81" s="15"/>
      <c r="AD81" s="54"/>
      <c r="AE81" s="147"/>
      <c r="AF81" s="49"/>
      <c r="AH81" s="62">
        <f>SUMIF(FLOAT!$D:$D,Cockpit!$E81:$E217,FLOAT!G:G)</f>
        <v>0</v>
      </c>
      <c r="AI81" s="62">
        <f>SUMIF(FLOAT!$D:$D,Cockpit!$E81:$E217,FLOAT!H:H)</f>
        <v>0</v>
      </c>
      <c r="AJ81" s="62">
        <f>SUMIF(FLOAT!$D:$D,Cockpit!$E81:$E217,FLOAT!I:I)</f>
        <v>0</v>
      </c>
      <c r="AK81" s="62">
        <f>SUMIF(FLOAT!$D:$D,Cockpit!$E81:$E217,FLOAT!J:J)</f>
        <v>0</v>
      </c>
      <c r="AL81" s="62">
        <f>SUMIF(FLOAT!$D:$D,Cockpit!$E81:$E217,FLOAT!K:K)</f>
        <v>0</v>
      </c>
      <c r="AM81" s="62">
        <f>SUMIF(FLOAT!$D:$D,Cockpit!$E81:$E217,FLOAT!L:L)</f>
        <v>0</v>
      </c>
      <c r="AN81" s="62">
        <f>SUMIF(FLOAT!$D:$D,Cockpit!$E81:$E217,FLOAT!M:M)</f>
        <v>0</v>
      </c>
      <c r="AO81" s="62">
        <f>SUMIF(FLOAT!$D:$D,Cockpit!$E81:$E217,FLOAT!N:N)</f>
        <v>0</v>
      </c>
      <c r="AP81" s="62">
        <f>SUMIF(FLOAT!$D:$D,Cockpit!$E81:$E217,FLOAT!O:O)</f>
        <v>0</v>
      </c>
      <c r="AQ81" s="62">
        <f>SUMIF(FLOAT!$D:$D,Cockpit!$E81:$E217,FLOAT!P:P)</f>
        <v>0</v>
      </c>
      <c r="AR81" s="60">
        <f t="shared" si="11"/>
        <v>0</v>
      </c>
      <c r="AS81" s="238"/>
    </row>
    <row r="82" spans="1:45" s="17" customFormat="1" ht="19.5" hidden="1" thickBot="1" x14ac:dyDescent="0.35">
      <c r="A82" s="2"/>
      <c r="B82" s="97"/>
      <c r="C82" s="70"/>
      <c r="D82" s="896"/>
      <c r="E82" s="686" t="s">
        <v>446</v>
      </c>
      <c r="F82" s="661" t="s">
        <v>447</v>
      </c>
      <c r="G82" s="71">
        <f>IFERROR(VLOOKUP(E82:E82,[1]Sheet4!$O:$P,2,0),0)</f>
        <v>0</v>
      </c>
      <c r="H82" s="834"/>
      <c r="I82" s="823"/>
      <c r="J82" s="837"/>
      <c r="K82" s="823"/>
      <c r="L82" s="823"/>
      <c r="M82" s="816"/>
      <c r="N82" s="30">
        <f>SUMIF('3 D P'!$D:$D,Cockpit!$E$5:$E$146,'3 D P'!L:L)</f>
        <v>0</v>
      </c>
      <c r="O82" s="30">
        <f>SUMIF('3 D P'!$D:$D,Cockpit!$E$5:$E$146,'3 D P'!M:M)</f>
        <v>0</v>
      </c>
      <c r="P82" s="30">
        <f>SUMIF('3 D P'!$D:$D,Cockpit!$E$5:$E$146,'3 D P'!N:N)</f>
        <v>0</v>
      </c>
      <c r="Q82" s="132">
        <f>IFERROR(VLOOKUP($D82,'Aptiv Dispatch'!$A:$B,2,FALSE),0)</f>
        <v>0</v>
      </c>
      <c r="R82" s="34">
        <f>SUMIF('Consumption MTD'!B:B,Cockpit!$E$5:$E$146,'Consumption MTD'!C:C)</f>
        <v>0</v>
      </c>
      <c r="S82" s="34">
        <f>SUMIF('BIW Lifting A Shift'!$B:$B,Cockpit!$E$5:$E$146,'BIW Lifting A Shift'!C:C)</f>
        <v>0</v>
      </c>
      <c r="T82" s="34">
        <f>SUMIF('BIW Lifting B Shift'!$B:$B,Cockpit!$E$5:$E$146,'BIW Lifting B Shift'!C:C)</f>
        <v>0</v>
      </c>
      <c r="U82" s="818"/>
      <c r="V82" s="818"/>
      <c r="W82" s="820"/>
      <c r="X82" s="555">
        <f>SUMIF(FLOAT!$D:$D,Cockpit!$E$5:$E$146,FLOAT!F:F)</f>
        <v>0</v>
      </c>
      <c r="Y82" s="15"/>
      <c r="Z82" s="455">
        <v>0</v>
      </c>
      <c r="AA82" s="49"/>
      <c r="AB82" s="15"/>
      <c r="AC82" s="15"/>
      <c r="AD82" s="54"/>
      <c r="AE82" s="147"/>
      <c r="AF82" s="49"/>
      <c r="AH82" s="62">
        <f>SUMIF(FLOAT!$D:$D,Cockpit!$E82:$E218,FLOAT!G:G)</f>
        <v>0</v>
      </c>
      <c r="AI82" s="62">
        <f>SUMIF(FLOAT!$D:$D,Cockpit!$E82:$E218,FLOAT!H:H)</f>
        <v>0</v>
      </c>
      <c r="AJ82" s="62">
        <f>SUMIF(FLOAT!$D:$D,Cockpit!$E82:$E218,FLOAT!I:I)</f>
        <v>0</v>
      </c>
      <c r="AK82" s="62">
        <f>SUMIF(FLOAT!$D:$D,Cockpit!$E82:$E218,FLOAT!J:J)</f>
        <v>0</v>
      </c>
      <c r="AL82" s="62">
        <f>SUMIF(FLOAT!$D:$D,Cockpit!$E82:$E218,FLOAT!K:K)</f>
        <v>0</v>
      </c>
      <c r="AM82" s="62">
        <f>SUMIF(FLOAT!$D:$D,Cockpit!$E82:$E218,FLOAT!L:L)</f>
        <v>0</v>
      </c>
      <c r="AN82" s="62">
        <f>SUMIF(FLOAT!$D:$D,Cockpit!$E82:$E218,FLOAT!M:M)</f>
        <v>0</v>
      </c>
      <c r="AO82" s="62">
        <f>SUMIF(FLOAT!$D:$D,Cockpit!$E82:$E218,FLOAT!N:N)</f>
        <v>0</v>
      </c>
      <c r="AP82" s="62">
        <f>SUMIF(FLOAT!$D:$D,Cockpit!$E82:$E218,FLOAT!O:O)</f>
        <v>0</v>
      </c>
      <c r="AQ82" s="62">
        <f>SUMIF(FLOAT!$D:$D,Cockpit!$E82:$E218,FLOAT!P:P)</f>
        <v>0</v>
      </c>
      <c r="AR82" s="60">
        <f t="shared" si="11"/>
        <v>0</v>
      </c>
      <c r="AS82" s="238"/>
    </row>
    <row r="83" spans="1:45" s="17" customFormat="1" ht="21.75" hidden="1" thickBot="1" x14ac:dyDescent="0.35">
      <c r="A83" s="2"/>
      <c r="B83" s="97"/>
      <c r="C83" s="70"/>
      <c r="D83" s="696">
        <v>544254610240</v>
      </c>
      <c r="E83" s="686" t="s">
        <v>448</v>
      </c>
      <c r="F83" s="659" t="s">
        <v>449</v>
      </c>
      <c r="G83" s="71">
        <f>IFERROR(VLOOKUP(E83:E83,[1]Sheet4!$O:$P,2,0),0)</f>
        <v>0</v>
      </c>
      <c r="H83" s="230">
        <f>G83</f>
        <v>0</v>
      </c>
      <c r="I83" s="232">
        <v>0</v>
      </c>
      <c r="J83" s="214">
        <f t="shared" ref="J83:K86" si="13">Q83</f>
        <v>0</v>
      </c>
      <c r="K83" s="76">
        <f t="shared" si="13"/>
        <v>0</v>
      </c>
      <c r="L83" s="155">
        <f>H83-K83</f>
        <v>0</v>
      </c>
      <c r="M83" s="77">
        <f>I83+J83-K83</f>
        <v>0</v>
      </c>
      <c r="N83" s="30">
        <f>SUMIF('3 D P'!$D:$D,Cockpit!$E$5:$E$146,'3 D P'!L:L)</f>
        <v>0</v>
      </c>
      <c r="O83" s="30">
        <f>SUMIF('3 D P'!$D:$D,Cockpit!$E$5:$E$146,'3 D P'!M:M)</f>
        <v>0</v>
      </c>
      <c r="P83" s="30">
        <f>SUMIF('3 D P'!$D:$D,Cockpit!$E$5:$E$146,'3 D P'!N:N)</f>
        <v>0</v>
      </c>
      <c r="Q83" s="132">
        <f>IFERROR(VLOOKUP($D83,'Aptiv Dispatch'!$A:$B,2,FALSE),0)</f>
        <v>0</v>
      </c>
      <c r="R83" s="34">
        <f>SUMIF('Consumption MTD'!B:B,Cockpit!$E$5:$E$146,'Consumption MTD'!C:C)</f>
        <v>0</v>
      </c>
      <c r="S83" s="34">
        <f>SUMIF('BIW Lifting A Shift'!$B:$B,Cockpit!$E$5:$E$146,'BIW Lifting A Shift'!C:C)</f>
        <v>0</v>
      </c>
      <c r="T83" s="34">
        <f>SUMIF('BIW Lifting B Shift'!$B:$B,Cockpit!$E$5:$E$146,'BIW Lifting B Shift'!C:C)</f>
        <v>0</v>
      </c>
      <c r="U83" s="74">
        <f>M83-X83</f>
        <v>0</v>
      </c>
      <c r="V83" s="74">
        <f>M83-S83-X83</f>
        <v>0</v>
      </c>
      <c r="W83" s="457">
        <f>V83-T83</f>
        <v>0</v>
      </c>
      <c r="X83" s="555">
        <f>SUMIF(FLOAT!$D:$D,Cockpit!$E$5:$E$146,FLOAT!F:F)</f>
        <v>0</v>
      </c>
      <c r="Y83" s="15">
        <v>0</v>
      </c>
      <c r="Z83" s="455">
        <v>0</v>
      </c>
      <c r="AA83" s="49"/>
      <c r="AB83" s="15"/>
      <c r="AC83" s="15"/>
      <c r="AD83" s="54"/>
      <c r="AE83" s="147"/>
      <c r="AF83" s="50"/>
      <c r="AG83" s="281"/>
      <c r="AH83" s="62">
        <f>SUMIF(FLOAT!$D:$D,Cockpit!$E83:$E219,FLOAT!G:G)</f>
        <v>0</v>
      </c>
      <c r="AI83" s="62">
        <f>SUMIF(FLOAT!$D:$D,Cockpit!$E83:$E219,FLOAT!H:H)</f>
        <v>0</v>
      </c>
      <c r="AJ83" s="62">
        <f>SUMIF(FLOAT!$D:$D,Cockpit!$E83:$E219,FLOAT!I:I)</f>
        <v>0</v>
      </c>
      <c r="AK83" s="62">
        <f>SUMIF(FLOAT!$D:$D,Cockpit!$E83:$E219,FLOAT!J:J)</f>
        <v>0</v>
      </c>
      <c r="AL83" s="62">
        <f>SUMIF(FLOAT!$D:$D,Cockpit!$E83:$E219,FLOAT!K:K)</f>
        <v>0</v>
      </c>
      <c r="AM83" s="62">
        <f>SUMIF(FLOAT!$D:$D,Cockpit!$E83:$E219,FLOAT!L:L)</f>
        <v>0</v>
      </c>
      <c r="AN83" s="62">
        <f>SUMIF(FLOAT!$D:$D,Cockpit!$E83:$E219,FLOAT!M:M)</f>
        <v>0</v>
      </c>
      <c r="AO83" s="62">
        <f>SUMIF(FLOAT!$D:$D,Cockpit!$E83:$E219,FLOAT!N:N)</f>
        <v>0</v>
      </c>
      <c r="AP83" s="62">
        <f>SUMIF(FLOAT!$D:$D,Cockpit!$E83:$E219,FLOAT!O:O)</f>
        <v>0</v>
      </c>
      <c r="AQ83" s="62">
        <f>SUMIF(FLOAT!$D:$D,Cockpit!$E83:$E219,FLOAT!P:P)</f>
        <v>0</v>
      </c>
      <c r="AR83" s="60">
        <f t="shared" si="11"/>
        <v>0</v>
      </c>
      <c r="AS83" s="238"/>
    </row>
    <row r="84" spans="1:45" s="17" customFormat="1" ht="21.75" hidden="1" thickBot="1" x14ac:dyDescent="0.35">
      <c r="A84" s="2"/>
      <c r="B84" s="97"/>
      <c r="C84" s="70"/>
      <c r="D84" s="696">
        <v>544254630486</v>
      </c>
      <c r="E84" s="686" t="s">
        <v>450</v>
      </c>
      <c r="F84" s="661" t="s">
        <v>451</v>
      </c>
      <c r="G84" s="71">
        <f>IFERROR(VLOOKUP(E84:E84,[1]Sheet4!$O:$P,2,0),0)</f>
        <v>0</v>
      </c>
      <c r="H84" s="230">
        <f>G84</f>
        <v>0</v>
      </c>
      <c r="I84" s="232">
        <v>0</v>
      </c>
      <c r="J84" s="214">
        <f t="shared" si="13"/>
        <v>0</v>
      </c>
      <c r="K84" s="76">
        <f t="shared" si="13"/>
        <v>0</v>
      </c>
      <c r="L84" s="155">
        <f>H84-K84</f>
        <v>0</v>
      </c>
      <c r="M84" s="77">
        <f>I84+J84-K84</f>
        <v>0</v>
      </c>
      <c r="N84" s="30">
        <f>SUMIF('3 D P'!$D:$D,Cockpit!$E$5:$E$146,'3 D P'!L:L)</f>
        <v>0</v>
      </c>
      <c r="O84" s="30">
        <f>SUMIF('3 D P'!$D:$D,Cockpit!$E$5:$E$146,'3 D P'!M:M)</f>
        <v>0</v>
      </c>
      <c r="P84" s="30">
        <f>SUMIF('3 D P'!$D:$D,Cockpit!$E$5:$E$146,'3 D P'!N:N)</f>
        <v>0</v>
      </c>
      <c r="Q84" s="132">
        <f>IFERROR(VLOOKUP($D84,'Aptiv Dispatch'!$A:$B,2,FALSE),0)</f>
        <v>0</v>
      </c>
      <c r="R84" s="34">
        <f>SUMIF('Consumption MTD'!B:B,Cockpit!$E$5:$E$146,'Consumption MTD'!C:C)</f>
        <v>0</v>
      </c>
      <c r="S84" s="34">
        <f>SUMIF('BIW Lifting A Shift'!$B:$B,Cockpit!$E$5:$E$146,'BIW Lifting A Shift'!C:C)</f>
        <v>0</v>
      </c>
      <c r="T84" s="34">
        <f>SUMIF('BIW Lifting B Shift'!$B:$B,Cockpit!$E$5:$E$146,'BIW Lifting B Shift'!C:C)</f>
        <v>0</v>
      </c>
      <c r="U84" s="74">
        <f>M84-X84</f>
        <v>0</v>
      </c>
      <c r="V84" s="74">
        <f>M84-S84-X84</f>
        <v>0</v>
      </c>
      <c r="W84" s="457">
        <f>V84-T84</f>
        <v>0</v>
      </c>
      <c r="X84" s="555">
        <f>SUMIF(FLOAT!$D:$D,Cockpit!$E$5:$E$146,FLOAT!F:F)</f>
        <v>0</v>
      </c>
      <c r="Y84" s="15">
        <v>0</v>
      </c>
      <c r="Z84" s="455">
        <v>0</v>
      </c>
      <c r="AA84" s="49"/>
      <c r="AB84" s="15"/>
      <c r="AC84" s="15"/>
      <c r="AD84" s="54"/>
      <c r="AE84" s="147"/>
      <c r="AF84" s="50"/>
      <c r="AG84" s="281"/>
      <c r="AH84" s="62">
        <f>SUMIF(FLOAT!$D:$D,Cockpit!$E84:$E220,FLOAT!G:G)</f>
        <v>0</v>
      </c>
      <c r="AI84" s="62">
        <f>SUMIF(FLOAT!$D:$D,Cockpit!$E84:$E220,FLOAT!H:H)</f>
        <v>0</v>
      </c>
      <c r="AJ84" s="62">
        <f>SUMIF(FLOAT!$D:$D,Cockpit!$E84:$E220,FLOAT!I:I)</f>
        <v>0</v>
      </c>
      <c r="AK84" s="62">
        <f>SUMIF(FLOAT!$D:$D,Cockpit!$E84:$E220,FLOAT!J:J)</f>
        <v>0</v>
      </c>
      <c r="AL84" s="62">
        <f>SUMIF(FLOAT!$D:$D,Cockpit!$E84:$E220,FLOAT!K:K)</f>
        <v>0</v>
      </c>
      <c r="AM84" s="62">
        <f>SUMIF(FLOAT!$D:$D,Cockpit!$E84:$E220,FLOAT!L:L)</f>
        <v>0</v>
      </c>
      <c r="AN84" s="62">
        <f>SUMIF(FLOAT!$D:$D,Cockpit!$E84:$E220,FLOAT!M:M)</f>
        <v>0</v>
      </c>
      <c r="AO84" s="62">
        <f>SUMIF(FLOAT!$D:$D,Cockpit!$E84:$E220,FLOAT!N:N)</f>
        <v>0</v>
      </c>
      <c r="AP84" s="62">
        <f>SUMIF(FLOAT!$D:$D,Cockpit!$E84:$E220,FLOAT!O:O)</f>
        <v>0</v>
      </c>
      <c r="AQ84" s="62">
        <f>SUMIF(FLOAT!$D:$D,Cockpit!$E84:$E220,FLOAT!P:P)</f>
        <v>0</v>
      </c>
      <c r="AR84" s="60">
        <f t="shared" si="11"/>
        <v>0</v>
      </c>
      <c r="AS84" s="238"/>
    </row>
    <row r="85" spans="1:45" s="17" customFormat="1" ht="21.75" hidden="1" thickBot="1" x14ac:dyDescent="0.35">
      <c r="A85" s="2"/>
      <c r="B85" s="97"/>
      <c r="C85" s="70"/>
      <c r="D85" s="696">
        <v>544254610239</v>
      </c>
      <c r="E85" s="686" t="s">
        <v>377</v>
      </c>
      <c r="F85" s="659" t="s">
        <v>452</v>
      </c>
      <c r="G85" s="71">
        <f>IFERROR(VLOOKUP(E85:E85,[1]Sheet4!$O:$P,2,0),0)</f>
        <v>0</v>
      </c>
      <c r="H85" s="230">
        <f>G85</f>
        <v>0</v>
      </c>
      <c r="I85" s="232">
        <v>0</v>
      </c>
      <c r="J85" s="214">
        <f t="shared" si="13"/>
        <v>0</v>
      </c>
      <c r="K85" s="76">
        <f t="shared" si="13"/>
        <v>0</v>
      </c>
      <c r="L85" s="155">
        <f>H85-K85</f>
        <v>0</v>
      </c>
      <c r="M85" s="77">
        <f>I85+J85-K85</f>
        <v>0</v>
      </c>
      <c r="N85" s="30">
        <f>SUMIF('3 D P'!$D:$D,Cockpit!$E$5:$E$146,'3 D P'!L:L)</f>
        <v>0</v>
      </c>
      <c r="O85" s="30">
        <f>SUMIF('3 D P'!$D:$D,Cockpit!$E$5:$E$146,'3 D P'!M:M)</f>
        <v>0</v>
      </c>
      <c r="P85" s="30">
        <f>SUMIF('3 D P'!$D:$D,Cockpit!$E$5:$E$146,'3 D P'!N:N)</f>
        <v>0</v>
      </c>
      <c r="Q85" s="132">
        <f>IFERROR(VLOOKUP($D85,'Aptiv Dispatch'!$A:$B,2,FALSE),0)</f>
        <v>0</v>
      </c>
      <c r="R85" s="34">
        <f>SUMIF('Consumption MTD'!B:B,Cockpit!$E$5:$E$146,'Consumption MTD'!C:C)</f>
        <v>0</v>
      </c>
      <c r="S85" s="34">
        <f>SUMIF('BIW Lifting A Shift'!$B:$B,Cockpit!$E$5:$E$146,'BIW Lifting A Shift'!C:C)</f>
        <v>0</v>
      </c>
      <c r="T85" s="34">
        <f>SUMIF('BIW Lifting B Shift'!$B:$B,Cockpit!$E$5:$E$146,'BIW Lifting B Shift'!C:C)</f>
        <v>0</v>
      </c>
      <c r="U85" s="74">
        <f>M85-X85</f>
        <v>0</v>
      </c>
      <c r="V85" s="74">
        <f>M85-S85-X85</f>
        <v>0</v>
      </c>
      <c r="W85" s="457">
        <f>V85-T85</f>
        <v>0</v>
      </c>
      <c r="X85" s="555">
        <f>SUMIF(FLOAT!$D:$D,Cockpit!$E$5:$E$146,FLOAT!F:F)</f>
        <v>0</v>
      </c>
      <c r="Y85" s="15">
        <v>0</v>
      </c>
      <c r="Z85" s="455">
        <v>0</v>
      </c>
      <c r="AA85" s="49"/>
      <c r="AB85" s="15"/>
      <c r="AC85" s="15"/>
      <c r="AD85" s="54"/>
      <c r="AE85" s="147"/>
      <c r="AF85" s="50"/>
      <c r="AG85" s="281"/>
      <c r="AH85" s="62">
        <f>SUMIF(FLOAT!$D:$D,Cockpit!$E85:$E221,FLOAT!G:G)</f>
        <v>0</v>
      </c>
      <c r="AI85" s="62">
        <f>SUMIF(FLOAT!$D:$D,Cockpit!$E85:$E221,FLOAT!H:H)</f>
        <v>0</v>
      </c>
      <c r="AJ85" s="62">
        <f>SUMIF(FLOAT!$D:$D,Cockpit!$E85:$E221,FLOAT!I:I)</f>
        <v>0</v>
      </c>
      <c r="AK85" s="62">
        <f>SUMIF(FLOAT!$D:$D,Cockpit!$E85:$E221,FLOAT!J:J)</f>
        <v>0</v>
      </c>
      <c r="AL85" s="62">
        <f>SUMIF(FLOAT!$D:$D,Cockpit!$E85:$E221,FLOAT!K:K)</f>
        <v>0</v>
      </c>
      <c r="AM85" s="62">
        <f>SUMIF(FLOAT!$D:$D,Cockpit!$E85:$E221,FLOAT!L:L)</f>
        <v>0</v>
      </c>
      <c r="AN85" s="62">
        <f>SUMIF(FLOAT!$D:$D,Cockpit!$E85:$E221,FLOAT!M:M)</f>
        <v>0</v>
      </c>
      <c r="AO85" s="62">
        <f>SUMIF(FLOAT!$D:$D,Cockpit!$E85:$E221,FLOAT!N:N)</f>
        <v>0</v>
      </c>
      <c r="AP85" s="62">
        <f>SUMIF(FLOAT!$D:$D,Cockpit!$E85:$E221,FLOAT!O:O)</f>
        <v>0</v>
      </c>
      <c r="AQ85" s="62">
        <f>SUMIF(FLOAT!$D:$D,Cockpit!$E85:$E221,FLOAT!P:P)</f>
        <v>0</v>
      </c>
      <c r="AR85" s="60">
        <f t="shared" si="11"/>
        <v>0</v>
      </c>
      <c r="AS85" s="238"/>
    </row>
    <row r="86" spans="1:45" s="17" customFormat="1" ht="21.75" hidden="1" thickBot="1" x14ac:dyDescent="0.35">
      <c r="A86" s="2"/>
      <c r="B86" s="97"/>
      <c r="C86" s="70"/>
      <c r="D86" s="696">
        <v>544254630490</v>
      </c>
      <c r="E86" s="686" t="s">
        <v>453</v>
      </c>
      <c r="F86" s="659" t="s">
        <v>454</v>
      </c>
      <c r="G86" s="71">
        <f>IFERROR(VLOOKUP(E86:E86,[1]Sheet4!$O:$P,2,0),0)</f>
        <v>0</v>
      </c>
      <c r="H86" s="230">
        <f>G86</f>
        <v>0</v>
      </c>
      <c r="I86" s="232">
        <v>0</v>
      </c>
      <c r="J86" s="214">
        <f t="shared" si="13"/>
        <v>0</v>
      </c>
      <c r="K86" s="76">
        <f t="shared" si="13"/>
        <v>0</v>
      </c>
      <c r="L86" s="155">
        <f>H86-K86</f>
        <v>0</v>
      </c>
      <c r="M86" s="77">
        <f>I86+J86-K86</f>
        <v>0</v>
      </c>
      <c r="N86" s="30">
        <f>SUMIF('3 D P'!$D:$D,Cockpit!$E$5:$E$146,'3 D P'!L:L)</f>
        <v>0</v>
      </c>
      <c r="O86" s="30">
        <f>SUMIF('3 D P'!$D:$D,Cockpit!$E$5:$E$146,'3 D P'!M:M)</f>
        <v>0</v>
      </c>
      <c r="P86" s="30">
        <f>SUMIF('3 D P'!$D:$D,Cockpit!$E$5:$E$146,'3 D P'!N:N)</f>
        <v>0</v>
      </c>
      <c r="Q86" s="132">
        <f>IFERROR(VLOOKUP($D86,'Aptiv Dispatch'!$A:$B,2,FALSE),0)</f>
        <v>0</v>
      </c>
      <c r="R86" s="34">
        <f>SUMIF('Consumption MTD'!B:B,Cockpit!$E$5:$E$146,'Consumption MTD'!C:C)</f>
        <v>0</v>
      </c>
      <c r="S86" s="34">
        <f>SUMIF('BIW Lifting A Shift'!$B:$B,Cockpit!$E$5:$E$146,'BIW Lifting A Shift'!C:C)</f>
        <v>0</v>
      </c>
      <c r="T86" s="34">
        <f>SUMIF('BIW Lifting B Shift'!$B:$B,Cockpit!$E$5:$E$146,'BIW Lifting B Shift'!C:C)</f>
        <v>0</v>
      </c>
      <c r="U86" s="74">
        <f>M86-X86</f>
        <v>0</v>
      </c>
      <c r="V86" s="74">
        <f>M86-S86-X86</f>
        <v>0</v>
      </c>
      <c r="W86" s="457">
        <f>V86-T86</f>
        <v>0</v>
      </c>
      <c r="X86" s="555">
        <f>SUMIF(FLOAT!$D:$D,Cockpit!$E$5:$E$146,FLOAT!F:F)</f>
        <v>0</v>
      </c>
      <c r="Y86" s="15">
        <v>0</v>
      </c>
      <c r="Z86" s="455">
        <v>0</v>
      </c>
      <c r="AA86" s="49"/>
      <c r="AB86" s="15"/>
      <c r="AC86" s="15"/>
      <c r="AD86" s="54"/>
      <c r="AE86" s="147"/>
      <c r="AF86" s="50"/>
      <c r="AG86" s="281"/>
      <c r="AH86" s="62">
        <f>SUMIF(FLOAT!$D:$D,Cockpit!$E86:$E222,FLOAT!G:G)</f>
        <v>0</v>
      </c>
      <c r="AI86" s="62">
        <f>SUMIF(FLOAT!$D:$D,Cockpit!$E86:$E222,FLOAT!H:H)</f>
        <v>0</v>
      </c>
      <c r="AJ86" s="62">
        <f>SUMIF(FLOAT!$D:$D,Cockpit!$E86:$E222,FLOAT!I:I)</f>
        <v>0</v>
      </c>
      <c r="AK86" s="62">
        <f>SUMIF(FLOAT!$D:$D,Cockpit!$E86:$E222,FLOAT!J:J)</f>
        <v>0</v>
      </c>
      <c r="AL86" s="62">
        <f>SUMIF(FLOAT!$D:$D,Cockpit!$E86:$E222,FLOAT!K:K)</f>
        <v>0</v>
      </c>
      <c r="AM86" s="62">
        <f>SUMIF(FLOAT!$D:$D,Cockpit!$E86:$E222,FLOAT!L:L)</f>
        <v>0</v>
      </c>
      <c r="AN86" s="62">
        <f>SUMIF(FLOAT!$D:$D,Cockpit!$E86:$E222,FLOAT!M:M)</f>
        <v>0</v>
      </c>
      <c r="AO86" s="62">
        <f>SUMIF(FLOAT!$D:$D,Cockpit!$E86:$E222,FLOAT!N:N)</f>
        <v>0</v>
      </c>
      <c r="AP86" s="62">
        <f>SUMIF(FLOAT!$D:$D,Cockpit!$E86:$E222,FLOAT!O:O)</f>
        <v>0</v>
      </c>
      <c r="AQ86" s="62">
        <f>SUMIF(FLOAT!$D:$D,Cockpit!$E86:$E222,FLOAT!P:P)</f>
        <v>0</v>
      </c>
      <c r="AR86" s="60">
        <f t="shared" si="11"/>
        <v>0</v>
      </c>
      <c r="AS86" s="238"/>
    </row>
    <row r="87" spans="1:45" s="17" customFormat="1" ht="19.5" hidden="1" thickBot="1" x14ac:dyDescent="0.35">
      <c r="A87" s="2"/>
      <c r="B87" s="97"/>
      <c r="C87" s="70"/>
      <c r="D87" s="896">
        <v>544254630503</v>
      </c>
      <c r="E87" s="686" t="s">
        <v>455</v>
      </c>
      <c r="F87" s="659" t="s">
        <v>456</v>
      </c>
      <c r="G87" s="71">
        <f>IFERROR(VLOOKUP(E87:E87,[1]Sheet4!$O:$P,2,0),0)</f>
        <v>0</v>
      </c>
      <c r="H87" s="833">
        <f>SUM(G87:G88)</f>
        <v>0</v>
      </c>
      <c r="I87" s="895">
        <v>0</v>
      </c>
      <c r="J87" s="836">
        <f>Q87</f>
        <v>0</v>
      </c>
      <c r="K87" s="822">
        <f>SUM(R87:R88)</f>
        <v>0</v>
      </c>
      <c r="L87" s="838">
        <f>H87-K87</f>
        <v>0</v>
      </c>
      <c r="M87" s="816">
        <f>SUM(I87:I88)+J87-K87</f>
        <v>0</v>
      </c>
      <c r="N87" s="30">
        <f>SUMIF('3 D P'!$D:$D,Cockpit!$E$5:$E$146,'3 D P'!L:L)</f>
        <v>0</v>
      </c>
      <c r="O87" s="30">
        <f>SUMIF('3 D P'!$D:$D,Cockpit!$E$5:$E$146,'3 D P'!M:M)</f>
        <v>0</v>
      </c>
      <c r="P87" s="30">
        <f>SUMIF('3 D P'!$D:$D,Cockpit!$E$5:$E$146,'3 D P'!N:N)</f>
        <v>0</v>
      </c>
      <c r="Q87" s="132">
        <f>IFERROR(VLOOKUP($D87,'Aptiv Dispatch'!$A:$B,2,FALSE),0)</f>
        <v>0</v>
      </c>
      <c r="R87" s="34">
        <f>SUMIF('Consumption MTD'!B:B,Cockpit!$E$5:$E$146,'Consumption MTD'!C:C)</f>
        <v>0</v>
      </c>
      <c r="S87" s="34">
        <f>SUMIF('BIW Lifting A Shift'!$B:$B,Cockpit!$E$5:$E$146,'BIW Lifting A Shift'!C:C)</f>
        <v>0</v>
      </c>
      <c r="T87" s="34">
        <f>SUMIF('BIW Lifting B Shift'!$B:$B,Cockpit!$E$5:$E$146,'BIW Lifting B Shift'!C:C)</f>
        <v>0</v>
      </c>
      <c r="U87" s="818">
        <f>M87-X87-X88</f>
        <v>0</v>
      </c>
      <c r="V87" s="818">
        <f>M87-X87-X88-S87-S88</f>
        <v>0</v>
      </c>
      <c r="W87" s="820">
        <f>V87-T87-T88</f>
        <v>0</v>
      </c>
      <c r="X87" s="555">
        <f>SUMIF(FLOAT!$D:$D,Cockpit!$E$5:$E$146,FLOAT!F:F)</f>
        <v>0</v>
      </c>
      <c r="Y87" s="15">
        <v>0</v>
      </c>
      <c r="Z87" s="455">
        <v>0</v>
      </c>
      <c r="AA87" s="49"/>
      <c r="AB87" s="15"/>
      <c r="AC87" s="15"/>
      <c r="AD87" s="54"/>
      <c r="AE87" s="147"/>
      <c r="AF87" s="49"/>
      <c r="AH87" s="62">
        <f>SUMIF(FLOAT!$D:$D,Cockpit!$E87:$E223,FLOAT!G:G)</f>
        <v>0</v>
      </c>
      <c r="AI87" s="62">
        <f>SUMIF(FLOAT!$D:$D,Cockpit!$E87:$E223,FLOAT!H:H)</f>
        <v>0</v>
      </c>
      <c r="AJ87" s="62">
        <f>SUMIF(FLOAT!$D:$D,Cockpit!$E87:$E223,FLOAT!I:I)</f>
        <v>0</v>
      </c>
      <c r="AK87" s="62">
        <f>SUMIF(FLOAT!$D:$D,Cockpit!$E87:$E223,FLOAT!J:J)</f>
        <v>0</v>
      </c>
      <c r="AL87" s="62">
        <f>SUMIF(FLOAT!$D:$D,Cockpit!$E87:$E223,FLOAT!K:K)</f>
        <v>0</v>
      </c>
      <c r="AM87" s="62">
        <f>SUMIF(FLOAT!$D:$D,Cockpit!$E87:$E223,FLOAT!L:L)</f>
        <v>0</v>
      </c>
      <c r="AN87" s="62">
        <f>SUMIF(FLOAT!$D:$D,Cockpit!$E87:$E223,FLOAT!M:M)</f>
        <v>0</v>
      </c>
      <c r="AO87" s="62">
        <f>SUMIF(FLOAT!$D:$D,Cockpit!$E87:$E223,FLOAT!N:N)</f>
        <v>0</v>
      </c>
      <c r="AP87" s="62">
        <f>SUMIF(FLOAT!$D:$D,Cockpit!$E87:$E223,FLOAT!O:O)</f>
        <v>0</v>
      </c>
      <c r="AQ87" s="62">
        <f>SUMIF(FLOAT!$D:$D,Cockpit!$E87:$E223,FLOAT!P:P)</f>
        <v>0</v>
      </c>
      <c r="AR87" s="60">
        <f t="shared" si="11"/>
        <v>0</v>
      </c>
      <c r="AS87" s="238"/>
    </row>
    <row r="88" spans="1:45" s="17" customFormat="1" ht="19.5" hidden="1" thickBot="1" x14ac:dyDescent="0.35">
      <c r="A88" s="2"/>
      <c r="B88" s="97"/>
      <c r="C88" s="70"/>
      <c r="D88" s="896"/>
      <c r="E88" s="686" t="s">
        <v>457</v>
      </c>
      <c r="F88" s="659" t="s">
        <v>458</v>
      </c>
      <c r="G88" s="71">
        <f>IFERROR(VLOOKUP(E88:E88,[1]Sheet4!$O:$P,2,0),0)</f>
        <v>0</v>
      </c>
      <c r="H88" s="834"/>
      <c r="I88" s="823"/>
      <c r="J88" s="837"/>
      <c r="K88" s="823"/>
      <c r="L88" s="823"/>
      <c r="M88" s="816"/>
      <c r="N88" s="30">
        <f>SUMIF('3 D P'!$D:$D,Cockpit!$E$5:$E$146,'3 D P'!L:L)</f>
        <v>0</v>
      </c>
      <c r="O88" s="30">
        <f>SUMIF('3 D P'!$D:$D,Cockpit!$E$5:$E$146,'3 D P'!M:M)</f>
        <v>0</v>
      </c>
      <c r="P88" s="30">
        <f>SUMIF('3 D P'!$D:$D,Cockpit!$E$5:$E$146,'3 D P'!N:N)</f>
        <v>0</v>
      </c>
      <c r="Q88" s="132">
        <f>IFERROR(VLOOKUP($D88,'Aptiv Dispatch'!$A:$B,2,FALSE),0)</f>
        <v>0</v>
      </c>
      <c r="R88" s="34">
        <f>SUMIF('Consumption MTD'!B:B,Cockpit!$E$5:$E$146,'Consumption MTD'!C:C)</f>
        <v>0</v>
      </c>
      <c r="S88" s="34">
        <f>SUMIF('BIW Lifting A Shift'!$B:$B,Cockpit!$E$5:$E$146,'BIW Lifting A Shift'!C:C)</f>
        <v>0</v>
      </c>
      <c r="T88" s="34">
        <f>SUMIF('BIW Lifting B Shift'!$B:$B,Cockpit!$E$5:$E$146,'BIW Lifting B Shift'!C:C)</f>
        <v>0</v>
      </c>
      <c r="U88" s="818"/>
      <c r="V88" s="818"/>
      <c r="W88" s="820"/>
      <c r="X88" s="555">
        <f>SUMIF(FLOAT!$D:$D,Cockpit!$E$5:$E$146,FLOAT!F:F)</f>
        <v>0</v>
      </c>
      <c r="Y88" s="15"/>
      <c r="Z88" s="455">
        <v>0</v>
      </c>
      <c r="AA88" s="49"/>
      <c r="AB88" s="15"/>
      <c r="AC88" s="15"/>
      <c r="AD88" s="54"/>
      <c r="AE88" s="147"/>
      <c r="AF88" s="49"/>
      <c r="AH88" s="62">
        <f>SUMIF(FLOAT!$D:$D,Cockpit!$E88:$E224,FLOAT!G:G)</f>
        <v>0</v>
      </c>
      <c r="AI88" s="62">
        <f>SUMIF(FLOAT!$D:$D,Cockpit!$E88:$E224,FLOAT!H:H)</f>
        <v>0</v>
      </c>
      <c r="AJ88" s="62">
        <f>SUMIF(FLOAT!$D:$D,Cockpit!$E88:$E224,FLOAT!I:I)</f>
        <v>0</v>
      </c>
      <c r="AK88" s="62">
        <f>SUMIF(FLOAT!$D:$D,Cockpit!$E88:$E224,FLOAT!J:J)</f>
        <v>0</v>
      </c>
      <c r="AL88" s="62">
        <f>SUMIF(FLOAT!$D:$D,Cockpit!$E88:$E224,FLOAT!K:K)</f>
        <v>0</v>
      </c>
      <c r="AM88" s="62">
        <f>SUMIF(FLOAT!$D:$D,Cockpit!$E88:$E224,FLOAT!L:L)</f>
        <v>0</v>
      </c>
      <c r="AN88" s="62">
        <f>SUMIF(FLOAT!$D:$D,Cockpit!$E88:$E224,FLOAT!M:M)</f>
        <v>0</v>
      </c>
      <c r="AO88" s="62">
        <f>SUMIF(FLOAT!$D:$D,Cockpit!$E88:$E224,FLOAT!N:N)</f>
        <v>0</v>
      </c>
      <c r="AP88" s="62">
        <f>SUMIF(FLOAT!$D:$D,Cockpit!$E88:$E224,FLOAT!O:O)</f>
        <v>0</v>
      </c>
      <c r="AQ88" s="62">
        <f>SUMIF(FLOAT!$D:$D,Cockpit!$E88:$E224,FLOAT!P:P)</f>
        <v>0</v>
      </c>
      <c r="AR88" s="60">
        <f t="shared" si="11"/>
        <v>0</v>
      </c>
      <c r="AS88" s="238"/>
    </row>
    <row r="89" spans="1:45" s="17" customFormat="1" ht="19.5" hidden="1" thickBot="1" x14ac:dyDescent="0.35">
      <c r="A89" s="2"/>
      <c r="B89" s="97"/>
      <c r="C89" s="70"/>
      <c r="D89" s="896">
        <v>544254630476</v>
      </c>
      <c r="E89" s="686" t="s">
        <v>459</v>
      </c>
      <c r="F89" s="659" t="s">
        <v>460</v>
      </c>
      <c r="G89" s="71">
        <f>IFERROR(VLOOKUP(E89:E89,[1]Sheet4!$O:$P,2,0),0)</f>
        <v>0</v>
      </c>
      <c r="H89" s="833">
        <f>SUM(G89:G90)</f>
        <v>0</v>
      </c>
      <c r="I89" s="822">
        <v>0</v>
      </c>
      <c r="J89" s="836">
        <f>Q89</f>
        <v>0</v>
      </c>
      <c r="K89" s="822">
        <f>SUM(R89:R90)</f>
        <v>0</v>
      </c>
      <c r="L89" s="838">
        <f>H89-K89</f>
        <v>0</v>
      </c>
      <c r="M89" s="816">
        <f>SUM(I89:I90)+J89-K89</f>
        <v>0</v>
      </c>
      <c r="N89" s="30">
        <f>SUMIF('3 D P'!$D:$D,Cockpit!$E$5:$E$146,'3 D P'!L:L)</f>
        <v>0</v>
      </c>
      <c r="O89" s="30">
        <f>SUMIF('3 D P'!$D:$D,Cockpit!$E$5:$E$146,'3 D P'!M:M)</f>
        <v>0</v>
      </c>
      <c r="P89" s="30">
        <f>SUMIF('3 D P'!$D:$D,Cockpit!$E$5:$E$146,'3 D P'!N:N)</f>
        <v>0</v>
      </c>
      <c r="Q89" s="132">
        <f>IFERROR(VLOOKUP($D89,'Aptiv Dispatch'!$A:$B,2,FALSE),0)</f>
        <v>0</v>
      </c>
      <c r="R89" s="34">
        <f>SUMIF('Consumption MTD'!B:B,Cockpit!$E$5:$E$146,'Consumption MTD'!C:C)</f>
        <v>0</v>
      </c>
      <c r="S89" s="34">
        <f>SUMIF('BIW Lifting A Shift'!$B:$B,Cockpit!$E$5:$E$146,'BIW Lifting A Shift'!C:C)</f>
        <v>0</v>
      </c>
      <c r="T89" s="34">
        <f>SUMIF('BIW Lifting B Shift'!$B:$B,Cockpit!$E$5:$E$146,'BIW Lifting B Shift'!C:C)</f>
        <v>0</v>
      </c>
      <c r="U89" s="818">
        <f>M89-X89-X90</f>
        <v>0</v>
      </c>
      <c r="V89" s="818">
        <f>M89-X89-X90-S89-S90</f>
        <v>0</v>
      </c>
      <c r="W89" s="820">
        <f>V89-T89-T90</f>
        <v>0</v>
      </c>
      <c r="X89" s="555">
        <f>SUMIF(FLOAT!$D:$D,Cockpit!$E$5:$E$146,FLOAT!F:F)</f>
        <v>0</v>
      </c>
      <c r="Y89" s="15">
        <v>0</v>
      </c>
      <c r="Z89" s="455">
        <v>0</v>
      </c>
      <c r="AA89" s="49"/>
      <c r="AB89" s="15"/>
      <c r="AC89" s="15"/>
      <c r="AD89" s="54"/>
      <c r="AE89" s="147"/>
      <c r="AF89" s="49"/>
      <c r="AH89" s="62">
        <f>SUMIF(FLOAT!$D:$D,Cockpit!$E89:$E225,FLOAT!G:G)</f>
        <v>0</v>
      </c>
      <c r="AI89" s="62">
        <f>SUMIF(FLOAT!$D:$D,Cockpit!$E89:$E225,FLOAT!H:H)</f>
        <v>0</v>
      </c>
      <c r="AJ89" s="62">
        <f>SUMIF(FLOAT!$D:$D,Cockpit!$E89:$E225,FLOAT!I:I)</f>
        <v>0</v>
      </c>
      <c r="AK89" s="62">
        <f>SUMIF(FLOAT!$D:$D,Cockpit!$E89:$E225,FLOAT!J:J)</f>
        <v>0</v>
      </c>
      <c r="AL89" s="62">
        <f>SUMIF(FLOAT!$D:$D,Cockpit!$E89:$E225,FLOAT!K:K)</f>
        <v>0</v>
      </c>
      <c r="AM89" s="62">
        <f>SUMIF(FLOAT!$D:$D,Cockpit!$E89:$E225,FLOAT!L:L)</f>
        <v>0</v>
      </c>
      <c r="AN89" s="62">
        <f>SUMIF(FLOAT!$D:$D,Cockpit!$E89:$E225,FLOAT!M:M)</f>
        <v>0</v>
      </c>
      <c r="AO89" s="62">
        <f>SUMIF(FLOAT!$D:$D,Cockpit!$E89:$E225,FLOAT!N:N)</f>
        <v>0</v>
      </c>
      <c r="AP89" s="62">
        <f>SUMIF(FLOAT!$D:$D,Cockpit!$E89:$E225,FLOAT!O:O)</f>
        <v>0</v>
      </c>
      <c r="AQ89" s="62">
        <f>SUMIF(FLOAT!$D:$D,Cockpit!$E89:$E225,FLOAT!P:P)</f>
        <v>0</v>
      </c>
      <c r="AR89" s="60">
        <f t="shared" si="11"/>
        <v>0</v>
      </c>
      <c r="AS89" s="238"/>
    </row>
    <row r="90" spans="1:45" s="17" customFormat="1" ht="19.5" hidden="1" thickBot="1" x14ac:dyDescent="0.35">
      <c r="A90" s="2"/>
      <c r="B90" s="97"/>
      <c r="C90" s="70"/>
      <c r="D90" s="896"/>
      <c r="E90" s="686" t="s">
        <v>461</v>
      </c>
      <c r="F90" s="659" t="s">
        <v>462</v>
      </c>
      <c r="G90" s="71">
        <f>IFERROR(VLOOKUP(E90:E90,[1]Sheet4!$O:$P,2,0),0)</f>
        <v>0</v>
      </c>
      <c r="H90" s="834"/>
      <c r="I90" s="823"/>
      <c r="J90" s="837"/>
      <c r="K90" s="823"/>
      <c r="L90" s="823"/>
      <c r="M90" s="816"/>
      <c r="N90" s="30">
        <f>SUMIF('3 D P'!$D:$D,Cockpit!$E$5:$E$146,'3 D P'!L:L)</f>
        <v>0</v>
      </c>
      <c r="O90" s="30">
        <f>SUMIF('3 D P'!$D:$D,Cockpit!$E$5:$E$146,'3 D P'!M:M)</f>
        <v>0</v>
      </c>
      <c r="P90" s="30">
        <f>SUMIF('3 D P'!$D:$D,Cockpit!$E$5:$E$146,'3 D P'!N:N)</f>
        <v>0</v>
      </c>
      <c r="Q90" s="132">
        <f>IFERROR(VLOOKUP($D90,'Aptiv Dispatch'!$A:$B,2,FALSE),0)</f>
        <v>0</v>
      </c>
      <c r="R90" s="34">
        <f>SUMIF('Consumption MTD'!B:B,Cockpit!$E$5:$E$146,'Consumption MTD'!C:C)</f>
        <v>0</v>
      </c>
      <c r="S90" s="34">
        <f>SUMIF('BIW Lifting A Shift'!$B:$B,Cockpit!$E$5:$E$146,'BIW Lifting A Shift'!C:C)</f>
        <v>0</v>
      </c>
      <c r="T90" s="34">
        <f>SUMIF('BIW Lifting B Shift'!$B:$B,Cockpit!$E$5:$E$146,'BIW Lifting B Shift'!C:C)</f>
        <v>0</v>
      </c>
      <c r="U90" s="818"/>
      <c r="V90" s="818"/>
      <c r="W90" s="820"/>
      <c r="X90" s="555">
        <f>SUMIF(FLOAT!$D:$D,Cockpit!$E$5:$E$146,FLOAT!F:F)</f>
        <v>0</v>
      </c>
      <c r="Y90" s="15"/>
      <c r="Z90" s="455">
        <v>0</v>
      </c>
      <c r="AA90" s="49"/>
      <c r="AB90" s="15"/>
      <c r="AC90" s="15"/>
      <c r="AD90" s="54"/>
      <c r="AE90" s="147"/>
      <c r="AF90" s="49"/>
      <c r="AH90" s="62">
        <f>SUMIF(FLOAT!$D:$D,Cockpit!$E90:$E226,FLOAT!G:G)</f>
        <v>0</v>
      </c>
      <c r="AI90" s="62">
        <f>SUMIF(FLOAT!$D:$D,Cockpit!$E90:$E226,FLOAT!H:H)</f>
        <v>0</v>
      </c>
      <c r="AJ90" s="62">
        <f>SUMIF(FLOAT!$D:$D,Cockpit!$E90:$E226,FLOAT!I:I)</f>
        <v>0</v>
      </c>
      <c r="AK90" s="62">
        <f>SUMIF(FLOAT!$D:$D,Cockpit!$E90:$E226,FLOAT!J:J)</f>
        <v>0</v>
      </c>
      <c r="AL90" s="62">
        <f>SUMIF(FLOAT!$D:$D,Cockpit!$E90:$E226,FLOAT!K:K)</f>
        <v>0</v>
      </c>
      <c r="AM90" s="62">
        <f>SUMIF(FLOAT!$D:$D,Cockpit!$E90:$E226,FLOAT!L:L)</f>
        <v>0</v>
      </c>
      <c r="AN90" s="62">
        <f>SUMIF(FLOAT!$D:$D,Cockpit!$E90:$E226,FLOAT!M:M)</f>
        <v>0</v>
      </c>
      <c r="AO90" s="62">
        <f>SUMIF(FLOAT!$D:$D,Cockpit!$E90:$E226,FLOAT!N:N)</f>
        <v>0</v>
      </c>
      <c r="AP90" s="62">
        <f>SUMIF(FLOAT!$D:$D,Cockpit!$E90:$E226,FLOAT!O:O)</f>
        <v>0</v>
      </c>
      <c r="AQ90" s="62">
        <f>SUMIF(FLOAT!$D:$D,Cockpit!$E90:$E226,FLOAT!P:P)</f>
        <v>0</v>
      </c>
      <c r="AR90" s="60">
        <f t="shared" si="11"/>
        <v>0</v>
      </c>
      <c r="AS90" s="238"/>
    </row>
    <row r="91" spans="1:45" s="17" customFormat="1" ht="19.5" hidden="1" thickBot="1" x14ac:dyDescent="0.35">
      <c r="A91" s="2"/>
      <c r="B91" s="97"/>
      <c r="C91" s="70"/>
      <c r="D91" s="896">
        <v>544254630481</v>
      </c>
      <c r="E91" s="686" t="s">
        <v>463</v>
      </c>
      <c r="F91" s="659" t="s">
        <v>464</v>
      </c>
      <c r="G91" s="71">
        <f>IFERROR(VLOOKUP(E91:E91,[1]Sheet4!$O:$P,2,0),0)</f>
        <v>0</v>
      </c>
      <c r="H91" s="833">
        <f>SUM(G91:G92)</f>
        <v>0</v>
      </c>
      <c r="I91" s="822">
        <v>0</v>
      </c>
      <c r="J91" s="836">
        <f>Q91</f>
        <v>0</v>
      </c>
      <c r="K91" s="822">
        <f>SUM(R91:R92)</f>
        <v>0</v>
      </c>
      <c r="L91" s="838">
        <f>H91-K91</f>
        <v>0</v>
      </c>
      <c r="M91" s="816">
        <f>SUM(I91:I92)+J91-K91</f>
        <v>0</v>
      </c>
      <c r="N91" s="30">
        <f>SUMIF('3 D P'!$D:$D,Cockpit!$E$5:$E$146,'3 D P'!L:L)</f>
        <v>0</v>
      </c>
      <c r="O91" s="30">
        <f>SUMIF('3 D P'!$D:$D,Cockpit!$E$5:$E$146,'3 D P'!M:M)</f>
        <v>0</v>
      </c>
      <c r="P91" s="30">
        <f>SUMIF('3 D P'!$D:$D,Cockpit!$E$5:$E$146,'3 D P'!N:N)</f>
        <v>0</v>
      </c>
      <c r="Q91" s="132">
        <f>IFERROR(VLOOKUP($D91,'Aptiv Dispatch'!$A:$B,2,FALSE),0)</f>
        <v>0</v>
      </c>
      <c r="R91" s="34">
        <f>SUMIF('Consumption MTD'!B:B,Cockpit!$E$5:$E$146,'Consumption MTD'!C:C)</f>
        <v>0</v>
      </c>
      <c r="S91" s="34">
        <f>SUMIF('BIW Lifting A Shift'!$B:$B,Cockpit!$E$5:$E$146,'BIW Lifting A Shift'!C:C)</f>
        <v>0</v>
      </c>
      <c r="T91" s="34">
        <f>SUMIF('BIW Lifting B Shift'!$B:$B,Cockpit!$E$5:$E$146,'BIW Lifting B Shift'!C:C)</f>
        <v>0</v>
      </c>
      <c r="U91" s="818">
        <f>M91-X91-X92</f>
        <v>0</v>
      </c>
      <c r="V91" s="818">
        <f>M91-X91-X92-S91-S92</f>
        <v>0</v>
      </c>
      <c r="W91" s="820">
        <f>V91-T91-T92</f>
        <v>0</v>
      </c>
      <c r="X91" s="555">
        <f>SUMIF(FLOAT!$D:$D,Cockpit!$E$5:$E$146,FLOAT!F:F)</f>
        <v>0</v>
      </c>
      <c r="Y91" s="15">
        <v>0</v>
      </c>
      <c r="Z91" s="455">
        <v>0</v>
      </c>
      <c r="AA91" s="49"/>
      <c r="AB91" s="15"/>
      <c r="AC91" s="15"/>
      <c r="AD91" s="54"/>
      <c r="AE91" s="147"/>
      <c r="AF91" s="49"/>
      <c r="AH91" s="62">
        <f>SUMIF(FLOAT!$D:$D,Cockpit!$E91:$E227,FLOAT!G:G)</f>
        <v>0</v>
      </c>
      <c r="AI91" s="62">
        <f>SUMIF(FLOAT!$D:$D,Cockpit!$E91:$E227,FLOAT!H:H)</f>
        <v>0</v>
      </c>
      <c r="AJ91" s="62">
        <f>SUMIF(FLOAT!$D:$D,Cockpit!$E91:$E227,FLOAT!I:I)</f>
        <v>0</v>
      </c>
      <c r="AK91" s="62">
        <f>SUMIF(FLOAT!$D:$D,Cockpit!$E91:$E227,FLOAT!J:J)</f>
        <v>0</v>
      </c>
      <c r="AL91" s="62">
        <f>SUMIF(FLOAT!$D:$D,Cockpit!$E91:$E227,FLOAT!K:K)</f>
        <v>0</v>
      </c>
      <c r="AM91" s="62">
        <f>SUMIF(FLOAT!$D:$D,Cockpit!$E91:$E227,FLOAT!L:L)</f>
        <v>0</v>
      </c>
      <c r="AN91" s="62">
        <f>SUMIF(FLOAT!$D:$D,Cockpit!$E91:$E227,FLOAT!M:M)</f>
        <v>0</v>
      </c>
      <c r="AO91" s="62">
        <f>SUMIF(FLOAT!$D:$D,Cockpit!$E91:$E227,FLOAT!N:N)</f>
        <v>0</v>
      </c>
      <c r="AP91" s="62">
        <f>SUMIF(FLOAT!$D:$D,Cockpit!$E91:$E227,FLOAT!O:O)</f>
        <v>0</v>
      </c>
      <c r="AQ91" s="62">
        <f>SUMIF(FLOAT!$D:$D,Cockpit!$E91:$E227,FLOAT!P:P)</f>
        <v>0</v>
      </c>
      <c r="AR91" s="60">
        <f>AH91+AI91+AJ91+AK91+AL91+AM91+AO91+AP91+AQ91</f>
        <v>0</v>
      </c>
      <c r="AS91" s="238"/>
    </row>
    <row r="92" spans="1:45" s="17" customFormat="1" ht="19.5" hidden="1" thickBot="1" x14ac:dyDescent="0.35">
      <c r="A92" s="2"/>
      <c r="B92" s="97"/>
      <c r="C92" s="70"/>
      <c r="D92" s="896"/>
      <c r="E92" s="686" t="s">
        <v>378</v>
      </c>
      <c r="F92" s="658" t="s">
        <v>502</v>
      </c>
      <c r="G92" s="71">
        <f>IFERROR(VLOOKUP(E92:E92,[1]Sheet4!$O:$P,2,0),0)</f>
        <v>0</v>
      </c>
      <c r="H92" s="834"/>
      <c r="I92" s="823"/>
      <c r="J92" s="837"/>
      <c r="K92" s="823"/>
      <c r="L92" s="823"/>
      <c r="M92" s="816"/>
      <c r="N92" s="30">
        <f>SUMIF('3 D P'!$D:$D,Cockpit!$E$5:$E$146,'3 D P'!L:L)</f>
        <v>0</v>
      </c>
      <c r="O92" s="30">
        <f>SUMIF('3 D P'!$D:$D,Cockpit!$E$5:$E$146,'3 D P'!M:M)</f>
        <v>0</v>
      </c>
      <c r="P92" s="30">
        <f>SUMIF('3 D P'!$D:$D,Cockpit!$E$5:$E$146,'3 D P'!N:N)</f>
        <v>0</v>
      </c>
      <c r="Q92" s="132">
        <f>IFERROR(VLOOKUP($D92,'Aptiv Dispatch'!$A:$B,2,FALSE),0)</f>
        <v>0</v>
      </c>
      <c r="R92" s="34">
        <f>SUMIF('Consumption MTD'!B:B,Cockpit!$E$5:$E$146,'Consumption MTD'!C:C)</f>
        <v>0</v>
      </c>
      <c r="S92" s="34">
        <f>SUMIF('BIW Lifting A Shift'!$B:$B,Cockpit!$E$5:$E$146,'BIW Lifting A Shift'!C:C)</f>
        <v>0</v>
      </c>
      <c r="T92" s="34">
        <f>SUMIF('BIW Lifting B Shift'!$B:$B,Cockpit!$E$5:$E$146,'BIW Lifting B Shift'!C:C)</f>
        <v>0</v>
      </c>
      <c r="U92" s="818"/>
      <c r="V92" s="818"/>
      <c r="W92" s="820"/>
      <c r="X92" s="555">
        <f>SUMIF(FLOAT!$D:$D,Cockpit!$E$5:$E$146,FLOAT!F:F)</f>
        <v>0</v>
      </c>
      <c r="Y92" s="15"/>
      <c r="Z92" s="455">
        <v>0</v>
      </c>
      <c r="AA92" s="49"/>
      <c r="AB92" s="15"/>
      <c r="AC92" s="15"/>
      <c r="AD92" s="54"/>
      <c r="AE92" s="147"/>
      <c r="AF92" s="49"/>
      <c r="AH92" s="62">
        <f>SUMIF(FLOAT!$D:$D,Cockpit!$E92:$E228,FLOAT!G:G)</f>
        <v>0</v>
      </c>
      <c r="AI92" s="62">
        <f>SUMIF(FLOAT!$D:$D,Cockpit!$E92:$E228,FLOAT!H:H)</f>
        <v>0</v>
      </c>
      <c r="AJ92" s="62">
        <f>SUMIF(FLOAT!$D:$D,Cockpit!$E92:$E228,FLOAT!I:I)</f>
        <v>0</v>
      </c>
      <c r="AK92" s="62">
        <f>SUMIF(FLOAT!$D:$D,Cockpit!$E92:$E228,FLOAT!J:J)</f>
        <v>0</v>
      </c>
      <c r="AL92" s="62">
        <f>SUMIF(FLOAT!$D:$D,Cockpit!$E92:$E228,FLOAT!K:K)</f>
        <v>0</v>
      </c>
      <c r="AM92" s="62">
        <f>SUMIF(FLOAT!$D:$D,Cockpit!$E92:$E228,FLOAT!L:L)</f>
        <v>0</v>
      </c>
      <c r="AN92" s="62">
        <f>SUMIF(FLOAT!$D:$D,Cockpit!$E92:$E228,FLOAT!M:M)</f>
        <v>0</v>
      </c>
      <c r="AO92" s="62">
        <f>SUMIF(FLOAT!$D:$D,Cockpit!$E92:$E228,FLOAT!N:N)</f>
        <v>0</v>
      </c>
      <c r="AP92" s="62">
        <f>SUMIF(FLOAT!$D:$D,Cockpit!$E92:$E228,FLOAT!O:O)</f>
        <v>0</v>
      </c>
      <c r="AQ92" s="62">
        <f>SUMIF(FLOAT!$D:$D,Cockpit!$E92:$E228,FLOAT!P:P)</f>
        <v>0</v>
      </c>
      <c r="AR92" s="60">
        <f>AH92+AI92+AJ92+AK92+AL92+AM92+AO92+AP92+AQ92</f>
        <v>0</v>
      </c>
      <c r="AS92" s="238"/>
    </row>
    <row r="93" spans="1:45" s="17" customFormat="1" ht="21.75" hidden="1" thickBot="1" x14ac:dyDescent="0.35">
      <c r="A93" s="2"/>
      <c r="B93" s="97"/>
      <c r="C93" s="70"/>
      <c r="D93" s="696">
        <v>544254630477</v>
      </c>
      <c r="E93" s="686" t="s">
        <v>465</v>
      </c>
      <c r="F93" s="659" t="s">
        <v>466</v>
      </c>
      <c r="G93" s="71">
        <f>IFERROR(VLOOKUP(E93:E93,[1]Sheet4!$O:$P,2,0),0)</f>
        <v>0</v>
      </c>
      <c r="H93" s="230">
        <f>G93</f>
        <v>0</v>
      </c>
      <c r="I93" s="232">
        <v>0</v>
      </c>
      <c r="J93" s="214">
        <f t="shared" ref="J93:K95" si="14">Q93</f>
        <v>0</v>
      </c>
      <c r="K93" s="76">
        <f t="shared" si="14"/>
        <v>0</v>
      </c>
      <c r="L93" s="155">
        <f>H93-K93</f>
        <v>0</v>
      </c>
      <c r="M93" s="77">
        <f>I93+J93-K93</f>
        <v>0</v>
      </c>
      <c r="N93" s="30">
        <f>SUMIF('3 D P'!$D:$D,Cockpit!$E$5:$E$146,'3 D P'!L:L)</f>
        <v>0</v>
      </c>
      <c r="O93" s="30">
        <f>SUMIF('3 D P'!$D:$D,Cockpit!$E$5:$E$146,'3 D P'!M:M)</f>
        <v>0</v>
      </c>
      <c r="P93" s="30">
        <f>SUMIF('3 D P'!$D:$D,Cockpit!$E$5:$E$146,'3 D P'!N:N)</f>
        <v>0</v>
      </c>
      <c r="Q93" s="132">
        <f>IFERROR(VLOOKUP($D93,'Aptiv Dispatch'!$A:$B,2,FALSE),0)</f>
        <v>0</v>
      </c>
      <c r="R93" s="34">
        <f>SUMIF('Consumption MTD'!B:B,Cockpit!$E$5:$E$146,'Consumption MTD'!C:C)</f>
        <v>0</v>
      </c>
      <c r="S93" s="34">
        <f>SUMIF('BIW Lifting A Shift'!$B:$B,Cockpit!$E$5:$E$146,'BIW Lifting A Shift'!C:C)</f>
        <v>0</v>
      </c>
      <c r="T93" s="34">
        <f>SUMIF('BIW Lifting B Shift'!$B:$B,Cockpit!$E$5:$E$146,'BIW Lifting B Shift'!C:C)</f>
        <v>0</v>
      </c>
      <c r="U93" s="74">
        <f>M93-X93</f>
        <v>0</v>
      </c>
      <c r="V93" s="74">
        <f>M93-S93-X93</f>
        <v>0</v>
      </c>
      <c r="W93" s="457">
        <f>V93-T93</f>
        <v>0</v>
      </c>
      <c r="X93" s="555">
        <f>SUMIF(FLOAT!$D:$D,Cockpit!$E$5:$E$146,FLOAT!F:F)</f>
        <v>0</v>
      </c>
      <c r="Y93" s="15">
        <v>0</v>
      </c>
      <c r="Z93" s="455">
        <v>0</v>
      </c>
      <c r="AA93" s="49"/>
      <c r="AB93" s="15"/>
      <c r="AC93" s="15"/>
      <c r="AD93" s="54"/>
      <c r="AE93" s="147"/>
      <c r="AF93" s="50"/>
      <c r="AG93" s="281"/>
      <c r="AH93" s="62">
        <f>SUMIF(FLOAT!$D:$D,Cockpit!$E93:$E228,FLOAT!G:G)</f>
        <v>0</v>
      </c>
      <c r="AI93" s="62">
        <f>SUMIF(FLOAT!$D:$D,Cockpit!$E93:$E228,FLOAT!H:H)</f>
        <v>0</v>
      </c>
      <c r="AJ93" s="62">
        <f>SUMIF(FLOAT!$D:$D,Cockpit!$E93:$E228,FLOAT!I:I)</f>
        <v>0</v>
      </c>
      <c r="AK93" s="62">
        <f>SUMIF(FLOAT!$D:$D,Cockpit!$E93:$E228,FLOAT!J:J)</f>
        <v>0</v>
      </c>
      <c r="AL93" s="62">
        <f>SUMIF(FLOAT!$D:$D,Cockpit!$E93:$E228,FLOAT!K:K)</f>
        <v>0</v>
      </c>
      <c r="AM93" s="62">
        <f>SUMIF(FLOAT!$D:$D,Cockpit!$E93:$E228,FLOAT!L:L)</f>
        <v>0</v>
      </c>
      <c r="AN93" s="62">
        <f>SUMIF(FLOAT!$D:$D,Cockpit!$E93:$E228,FLOAT!M:M)</f>
        <v>0</v>
      </c>
      <c r="AO93" s="62">
        <f>SUMIF(FLOAT!$D:$D,Cockpit!$E93:$E228,FLOAT!N:N)</f>
        <v>0</v>
      </c>
      <c r="AP93" s="62">
        <f>SUMIF(FLOAT!$D:$D,Cockpit!$E93:$E228,FLOAT!O:O)</f>
        <v>0</v>
      </c>
      <c r="AQ93" s="62">
        <f>SUMIF(FLOAT!$D:$D,Cockpit!$E93:$E228,FLOAT!P:P)</f>
        <v>0</v>
      </c>
      <c r="AR93" s="60">
        <f t="shared" si="11"/>
        <v>0</v>
      </c>
      <c r="AS93" s="238"/>
    </row>
    <row r="94" spans="1:45" s="17" customFormat="1" ht="21.75" hidden="1" thickBot="1" x14ac:dyDescent="0.35">
      <c r="A94" s="2"/>
      <c r="B94" s="97"/>
      <c r="C94" s="70"/>
      <c r="D94" s="696">
        <v>544254630473</v>
      </c>
      <c r="E94" s="686" t="s">
        <v>467</v>
      </c>
      <c r="F94" s="659" t="s">
        <v>468</v>
      </c>
      <c r="G94" s="71">
        <f>IFERROR(VLOOKUP(E94:E94,[1]Sheet4!$O:$P,2,0),0)</f>
        <v>0</v>
      </c>
      <c r="H94" s="230">
        <f>G94</f>
        <v>0</v>
      </c>
      <c r="I94" s="232">
        <v>0</v>
      </c>
      <c r="J94" s="214">
        <f t="shared" si="14"/>
        <v>0</v>
      </c>
      <c r="K94" s="76">
        <f t="shared" si="14"/>
        <v>0</v>
      </c>
      <c r="L94" s="155">
        <f>H94-K94</f>
        <v>0</v>
      </c>
      <c r="M94" s="77">
        <f>I94+J94-K94</f>
        <v>0</v>
      </c>
      <c r="N94" s="30">
        <f>SUMIF('3 D P'!$D:$D,Cockpit!$E$5:$E$146,'3 D P'!L:L)</f>
        <v>0</v>
      </c>
      <c r="O94" s="30">
        <f>SUMIF('3 D P'!$D:$D,Cockpit!$E$5:$E$146,'3 D P'!M:M)</f>
        <v>0</v>
      </c>
      <c r="P94" s="30">
        <f>SUMIF('3 D P'!$D:$D,Cockpit!$E$5:$E$146,'3 D P'!N:N)</f>
        <v>0</v>
      </c>
      <c r="Q94" s="132">
        <f>IFERROR(VLOOKUP($D94,'Aptiv Dispatch'!$A:$B,2,FALSE),0)</f>
        <v>0</v>
      </c>
      <c r="R94" s="34">
        <f>SUMIF('Consumption MTD'!B:B,Cockpit!$E$5:$E$146,'Consumption MTD'!C:C)</f>
        <v>0</v>
      </c>
      <c r="S94" s="34">
        <f>SUMIF('BIW Lifting A Shift'!$B:$B,Cockpit!$E$5:$E$146,'BIW Lifting A Shift'!C:C)</f>
        <v>0</v>
      </c>
      <c r="T94" s="34">
        <f>SUMIF('BIW Lifting B Shift'!$B:$B,Cockpit!$E$5:$E$146,'BIW Lifting B Shift'!C:C)</f>
        <v>0</v>
      </c>
      <c r="U94" s="74">
        <f>M94-X94</f>
        <v>0</v>
      </c>
      <c r="V94" s="74">
        <f>M94-S94-X94</f>
        <v>0</v>
      </c>
      <c r="W94" s="457">
        <f>V94-T94</f>
        <v>0</v>
      </c>
      <c r="X94" s="555">
        <f>SUMIF(FLOAT!$D:$D,Cockpit!$E$5:$E$146,FLOAT!F:F)</f>
        <v>0</v>
      </c>
      <c r="Y94" s="15">
        <v>0</v>
      </c>
      <c r="Z94" s="455">
        <v>0</v>
      </c>
      <c r="AA94" s="49"/>
      <c r="AB94" s="15"/>
      <c r="AC94" s="15"/>
      <c r="AD94" s="54"/>
      <c r="AE94" s="147"/>
      <c r="AF94" s="50"/>
      <c r="AG94" s="281"/>
      <c r="AH94" s="62">
        <f>SUMIF(FLOAT!$D:$D,Cockpit!$E94:$E229,FLOAT!G:G)</f>
        <v>0</v>
      </c>
      <c r="AI94" s="62">
        <f>SUMIF(FLOAT!$D:$D,Cockpit!$E94:$E229,FLOAT!H:H)</f>
        <v>0</v>
      </c>
      <c r="AJ94" s="62">
        <f>SUMIF(FLOAT!$D:$D,Cockpit!$E94:$E229,FLOAT!I:I)</f>
        <v>0</v>
      </c>
      <c r="AK94" s="62">
        <f>SUMIF(FLOAT!$D:$D,Cockpit!$E94:$E229,FLOAT!J:J)</f>
        <v>0</v>
      </c>
      <c r="AL94" s="62">
        <f>SUMIF(FLOAT!$D:$D,Cockpit!$E94:$E229,FLOAT!K:K)</f>
        <v>0</v>
      </c>
      <c r="AM94" s="62">
        <f>SUMIF(FLOAT!$D:$D,Cockpit!$E94:$E229,FLOAT!L:L)</f>
        <v>0</v>
      </c>
      <c r="AN94" s="62">
        <f>SUMIF(FLOAT!$D:$D,Cockpit!$E94:$E229,FLOAT!M:M)</f>
        <v>0</v>
      </c>
      <c r="AO94" s="62">
        <f>SUMIF(FLOAT!$D:$D,Cockpit!$E94:$E229,FLOAT!N:N)</f>
        <v>0</v>
      </c>
      <c r="AP94" s="62">
        <f>SUMIF(FLOAT!$D:$D,Cockpit!$E94:$E229,FLOAT!O:O)</f>
        <v>0</v>
      </c>
      <c r="AQ94" s="62">
        <f>SUMIF(FLOAT!$D:$D,Cockpit!$E94:$E229,FLOAT!P:P)</f>
        <v>0</v>
      </c>
      <c r="AR94" s="60">
        <f t="shared" si="11"/>
        <v>0</v>
      </c>
      <c r="AS94" s="238"/>
    </row>
    <row r="95" spans="1:45" s="17" customFormat="1" ht="21.75" hidden="1" thickBot="1" x14ac:dyDescent="0.35">
      <c r="A95" s="2"/>
      <c r="B95" s="97"/>
      <c r="C95" s="70"/>
      <c r="D95" s="696">
        <v>544254630474</v>
      </c>
      <c r="E95" s="686" t="s">
        <v>469</v>
      </c>
      <c r="F95" s="659" t="s">
        <v>470</v>
      </c>
      <c r="G95" s="71">
        <f>IFERROR(VLOOKUP(E95:E95,[1]Sheet4!$O:$P,2,0),0)</f>
        <v>0</v>
      </c>
      <c r="H95" s="230">
        <f>G95</f>
        <v>0</v>
      </c>
      <c r="I95" s="232">
        <v>0</v>
      </c>
      <c r="J95" s="214">
        <f t="shared" si="14"/>
        <v>0</v>
      </c>
      <c r="K95" s="76">
        <f t="shared" si="14"/>
        <v>0</v>
      </c>
      <c r="L95" s="155">
        <f>H95-K95</f>
        <v>0</v>
      </c>
      <c r="M95" s="77">
        <f>I95+J95-K95</f>
        <v>0</v>
      </c>
      <c r="N95" s="30">
        <f>SUMIF('3 D P'!$D:$D,Cockpit!$E$5:$E$146,'3 D P'!L:L)</f>
        <v>0</v>
      </c>
      <c r="O95" s="30">
        <f>SUMIF('3 D P'!$D:$D,Cockpit!$E$5:$E$146,'3 D P'!M:M)</f>
        <v>0</v>
      </c>
      <c r="P95" s="30">
        <f>SUMIF('3 D P'!$D:$D,Cockpit!$E$5:$E$146,'3 D P'!N:N)</f>
        <v>0</v>
      </c>
      <c r="Q95" s="132">
        <f>IFERROR(VLOOKUP($D95,'Aptiv Dispatch'!$A:$B,2,FALSE),0)</f>
        <v>0</v>
      </c>
      <c r="R95" s="34">
        <f>SUMIF('Consumption MTD'!B:B,Cockpit!$E$5:$E$146,'Consumption MTD'!C:C)</f>
        <v>0</v>
      </c>
      <c r="S95" s="34">
        <f>SUMIF('BIW Lifting A Shift'!$B:$B,Cockpit!$E$5:$E$146,'BIW Lifting A Shift'!C:C)</f>
        <v>0</v>
      </c>
      <c r="T95" s="34">
        <f>SUMIF('BIW Lifting B Shift'!$B:$B,Cockpit!$E$5:$E$146,'BIW Lifting B Shift'!C:C)</f>
        <v>0</v>
      </c>
      <c r="U95" s="74">
        <f>M95-X95</f>
        <v>0</v>
      </c>
      <c r="V95" s="74">
        <f>M95-S95-X95</f>
        <v>0</v>
      </c>
      <c r="W95" s="457">
        <f>V95-T95</f>
        <v>0</v>
      </c>
      <c r="X95" s="555">
        <f>SUMIF(FLOAT!$D:$D,Cockpit!$E$5:$E$146,FLOAT!F:F)</f>
        <v>0</v>
      </c>
      <c r="Y95" s="15">
        <v>0</v>
      </c>
      <c r="Z95" s="455">
        <v>0</v>
      </c>
      <c r="AA95" s="49"/>
      <c r="AB95" s="15"/>
      <c r="AC95" s="15"/>
      <c r="AD95" s="54"/>
      <c r="AE95" s="147"/>
      <c r="AF95" s="50"/>
      <c r="AG95" s="281"/>
      <c r="AH95" s="62">
        <f>SUMIF(FLOAT!$D:$D,Cockpit!$E95:$E230,FLOAT!G:G)</f>
        <v>0</v>
      </c>
      <c r="AI95" s="62">
        <f>SUMIF(FLOAT!$D:$D,Cockpit!$E95:$E230,FLOAT!H:H)</f>
        <v>0</v>
      </c>
      <c r="AJ95" s="62">
        <f>SUMIF(FLOAT!$D:$D,Cockpit!$E95:$E230,FLOAT!I:I)</f>
        <v>0</v>
      </c>
      <c r="AK95" s="62">
        <f>SUMIF(FLOAT!$D:$D,Cockpit!$E95:$E230,FLOAT!J:J)</f>
        <v>0</v>
      </c>
      <c r="AL95" s="62">
        <f>SUMIF(FLOAT!$D:$D,Cockpit!$E95:$E230,FLOAT!K:K)</f>
        <v>0</v>
      </c>
      <c r="AM95" s="62">
        <f>SUMIF(FLOAT!$D:$D,Cockpit!$E95:$E230,FLOAT!L:L)</f>
        <v>0</v>
      </c>
      <c r="AN95" s="62">
        <f>SUMIF(FLOAT!$D:$D,Cockpit!$E95:$E230,FLOAT!M:M)</f>
        <v>0</v>
      </c>
      <c r="AO95" s="62">
        <f>SUMIF(FLOAT!$D:$D,Cockpit!$E95:$E230,FLOAT!N:N)</f>
        <v>0</v>
      </c>
      <c r="AP95" s="62">
        <f>SUMIF(FLOAT!$D:$D,Cockpit!$E95:$E230,FLOAT!O:O)</f>
        <v>0</v>
      </c>
      <c r="AQ95" s="62">
        <f>SUMIF(FLOAT!$D:$D,Cockpit!$E95:$E230,FLOAT!P:P)</f>
        <v>0</v>
      </c>
      <c r="AR95" s="60">
        <f t="shared" si="11"/>
        <v>0</v>
      </c>
      <c r="AS95" s="238"/>
    </row>
    <row r="96" spans="1:45" s="17" customFormat="1" ht="19.5" hidden="1" thickBot="1" x14ac:dyDescent="0.35">
      <c r="A96" s="2"/>
      <c r="B96" s="97"/>
      <c r="C96" s="70"/>
      <c r="D96" s="896">
        <v>544254640216</v>
      </c>
      <c r="E96" s="686" t="s">
        <v>471</v>
      </c>
      <c r="F96" s="659" t="s">
        <v>472</v>
      </c>
      <c r="G96" s="71">
        <f>IFERROR(VLOOKUP(E96:E96,[1]Sheet4!$O:$P,2,0),0)</f>
        <v>20</v>
      </c>
      <c r="H96" s="833">
        <f>SUM(G96:G97)</f>
        <v>20</v>
      </c>
      <c r="I96" s="895">
        <v>15</v>
      </c>
      <c r="J96" s="836">
        <f>Q96</f>
        <v>0</v>
      </c>
      <c r="K96" s="822">
        <f>SUM(R96:R97)</f>
        <v>0</v>
      </c>
      <c r="L96" s="838">
        <f>H96-K96</f>
        <v>20</v>
      </c>
      <c r="M96" s="816">
        <f>SUM(I96:I97)+J96-K96</f>
        <v>15</v>
      </c>
      <c r="N96" s="30">
        <f>SUMIF('3 D P'!$D:$D,Cockpit!$E$5:$E$146,'3 D P'!L:L)</f>
        <v>0</v>
      </c>
      <c r="O96" s="30">
        <f>SUMIF('3 D P'!$D:$D,Cockpit!$E$5:$E$146,'3 D P'!M:M)</f>
        <v>0</v>
      </c>
      <c r="P96" s="30">
        <f>SUMIF('3 D P'!$D:$D,Cockpit!$E$5:$E$146,'3 D P'!N:N)</f>
        <v>0</v>
      </c>
      <c r="Q96" s="132">
        <f>IFERROR(VLOOKUP($D96,'Aptiv Dispatch'!$A:$B,2,FALSE),0)</f>
        <v>0</v>
      </c>
      <c r="R96" s="34">
        <f>SUMIF('Consumption MTD'!B:B,Cockpit!$E$5:$E$146,'Consumption MTD'!C:C)</f>
        <v>0</v>
      </c>
      <c r="S96" s="34">
        <f>SUMIF('BIW Lifting A Shift'!$B:$B,Cockpit!$E$5:$E$146,'BIW Lifting A Shift'!C:C)</f>
        <v>0</v>
      </c>
      <c r="T96" s="34">
        <f>SUMIF('BIW Lifting B Shift'!$B:$B,Cockpit!$E$5:$E$146,'BIW Lifting B Shift'!C:C)</f>
        <v>0</v>
      </c>
      <c r="U96" s="818">
        <f>M96-X96-X97</f>
        <v>15</v>
      </c>
      <c r="V96" s="818">
        <f>M96-X96-X97-S96-S97</f>
        <v>15</v>
      </c>
      <c r="W96" s="820">
        <f>V96-T96-T97</f>
        <v>15</v>
      </c>
      <c r="X96" s="555">
        <f>SUMIF(FLOAT!$D:$D,Cockpit!$E$5:$E$146,FLOAT!F:F)</f>
        <v>0</v>
      </c>
      <c r="Y96" s="15">
        <v>15</v>
      </c>
      <c r="Z96" s="455">
        <v>3</v>
      </c>
      <c r="AA96" s="49"/>
      <c r="AB96" s="15"/>
      <c r="AC96" s="15"/>
      <c r="AD96" s="54"/>
      <c r="AE96" s="147"/>
      <c r="AF96" s="49"/>
      <c r="AH96" s="62">
        <f>SUMIF(FLOAT!$D:$D,Cockpit!$E96:$E231,FLOAT!G:G)</f>
        <v>0</v>
      </c>
      <c r="AI96" s="62">
        <f>SUMIF(FLOAT!$D:$D,Cockpit!$E96:$E231,FLOAT!H:H)</f>
        <v>0</v>
      </c>
      <c r="AJ96" s="62">
        <f>SUMIF(FLOAT!$D:$D,Cockpit!$E96:$E231,FLOAT!I:I)</f>
        <v>0</v>
      </c>
      <c r="AK96" s="62">
        <f>SUMIF(FLOAT!$D:$D,Cockpit!$E96:$E231,FLOAT!J:J)</f>
        <v>0</v>
      </c>
      <c r="AL96" s="62">
        <f>SUMIF(FLOAT!$D:$D,Cockpit!$E96:$E231,FLOAT!K:K)</f>
        <v>0</v>
      </c>
      <c r="AM96" s="62">
        <f>SUMIF(FLOAT!$D:$D,Cockpit!$E96:$E231,FLOAT!L:L)</f>
        <v>0</v>
      </c>
      <c r="AN96" s="62">
        <f>SUMIF(FLOAT!$D:$D,Cockpit!$E96:$E231,FLOAT!M:M)</f>
        <v>0</v>
      </c>
      <c r="AO96" s="62">
        <f>SUMIF(FLOAT!$D:$D,Cockpit!$E96:$E231,FLOAT!N:N)</f>
        <v>0</v>
      </c>
      <c r="AP96" s="62">
        <f>SUMIF(FLOAT!$D:$D,Cockpit!$E96:$E231,FLOAT!O:O)</f>
        <v>0</v>
      </c>
      <c r="AQ96" s="62">
        <f>SUMIF(FLOAT!$D:$D,Cockpit!$E96:$E231,FLOAT!P:P)</f>
        <v>0</v>
      </c>
      <c r="AR96" s="60">
        <f t="shared" si="11"/>
        <v>0</v>
      </c>
      <c r="AS96" s="238"/>
    </row>
    <row r="97" spans="1:45" s="17" customFormat="1" ht="19.5" hidden="1" thickBot="1" x14ac:dyDescent="0.35">
      <c r="A97" s="2"/>
      <c r="B97" s="97"/>
      <c r="C97" s="70"/>
      <c r="D97" s="896"/>
      <c r="E97" s="686" t="s">
        <v>473</v>
      </c>
      <c r="F97" s="659" t="s">
        <v>474</v>
      </c>
      <c r="G97" s="71">
        <f>IFERROR(VLOOKUP(E97:E97,[1]Sheet4!$O:$P,2,0),0)</f>
        <v>0</v>
      </c>
      <c r="H97" s="834"/>
      <c r="I97" s="823"/>
      <c r="J97" s="837"/>
      <c r="K97" s="823"/>
      <c r="L97" s="823"/>
      <c r="M97" s="816"/>
      <c r="N97" s="30">
        <f>SUMIF('3 D P'!$D:$D,Cockpit!$E$5:$E$146,'3 D P'!L:L)</f>
        <v>0</v>
      </c>
      <c r="O97" s="30">
        <f>SUMIF('3 D P'!$D:$D,Cockpit!$E$5:$E$146,'3 D P'!M:M)</f>
        <v>0</v>
      </c>
      <c r="P97" s="30">
        <f>SUMIF('3 D P'!$D:$D,Cockpit!$E$5:$E$146,'3 D P'!N:N)</f>
        <v>0</v>
      </c>
      <c r="Q97" s="132">
        <f>IFERROR(VLOOKUP($D97,'Aptiv Dispatch'!$A:$B,2,FALSE),0)</f>
        <v>0</v>
      </c>
      <c r="R97" s="34">
        <f>SUMIF('Consumption MTD'!B:B,Cockpit!$E$5:$E$146,'Consumption MTD'!C:C)</f>
        <v>0</v>
      </c>
      <c r="S97" s="34">
        <f>SUMIF('BIW Lifting A Shift'!$B:$B,Cockpit!$E$5:$E$146,'BIW Lifting A Shift'!C:C)</f>
        <v>0</v>
      </c>
      <c r="T97" s="34">
        <f>SUMIF('BIW Lifting B Shift'!$B:$B,Cockpit!$E$5:$E$146,'BIW Lifting B Shift'!C:C)</f>
        <v>0</v>
      </c>
      <c r="U97" s="818"/>
      <c r="V97" s="818"/>
      <c r="W97" s="820"/>
      <c r="X97" s="555">
        <f>SUMIF(FLOAT!$D:$D,Cockpit!$E$5:$E$146,FLOAT!F:F)</f>
        <v>0</v>
      </c>
      <c r="Y97" s="15"/>
      <c r="Z97" s="455">
        <v>0</v>
      </c>
      <c r="AA97" s="49"/>
      <c r="AB97" s="15"/>
      <c r="AC97" s="15"/>
      <c r="AD97" s="54"/>
      <c r="AE97" s="147"/>
      <c r="AF97" s="49"/>
      <c r="AH97" s="62">
        <f>SUMIF(FLOAT!$D:$D,Cockpit!$E97:$E232,FLOAT!G:G)</f>
        <v>0</v>
      </c>
      <c r="AI97" s="62">
        <f>SUMIF(FLOAT!$D:$D,Cockpit!$E97:$E232,FLOAT!H:H)</f>
        <v>0</v>
      </c>
      <c r="AJ97" s="62">
        <f>SUMIF(FLOAT!$D:$D,Cockpit!$E97:$E232,FLOAT!I:I)</f>
        <v>0</v>
      </c>
      <c r="AK97" s="62">
        <f>SUMIF(FLOAT!$D:$D,Cockpit!$E97:$E232,FLOAT!J:J)</f>
        <v>0</v>
      </c>
      <c r="AL97" s="62">
        <f>SUMIF(FLOAT!$D:$D,Cockpit!$E97:$E232,FLOAT!K:K)</f>
        <v>0</v>
      </c>
      <c r="AM97" s="62">
        <f>SUMIF(FLOAT!$D:$D,Cockpit!$E97:$E232,FLOAT!L:L)</f>
        <v>0</v>
      </c>
      <c r="AN97" s="62">
        <f>SUMIF(FLOAT!$D:$D,Cockpit!$E97:$E232,FLOAT!M:M)</f>
        <v>0</v>
      </c>
      <c r="AO97" s="62">
        <f>SUMIF(FLOAT!$D:$D,Cockpit!$E97:$E232,FLOAT!N:N)</f>
        <v>0</v>
      </c>
      <c r="AP97" s="62">
        <f>SUMIF(FLOAT!$D:$D,Cockpit!$E97:$E232,FLOAT!O:O)</f>
        <v>0</v>
      </c>
      <c r="AQ97" s="62">
        <f>SUMIF(FLOAT!$D:$D,Cockpit!$E97:$E232,FLOAT!P:P)</f>
        <v>0</v>
      </c>
      <c r="AR97" s="60">
        <f t="shared" si="11"/>
        <v>0</v>
      </c>
      <c r="AS97" s="238"/>
    </row>
    <row r="98" spans="1:45" s="17" customFormat="1" ht="21.75" hidden="1" thickBot="1" x14ac:dyDescent="0.35">
      <c r="A98" s="2"/>
      <c r="B98" s="97"/>
      <c r="C98" s="70"/>
      <c r="D98" s="696">
        <v>544254640218</v>
      </c>
      <c r="E98" s="686" t="s">
        <v>475</v>
      </c>
      <c r="F98" s="659" t="s">
        <v>476</v>
      </c>
      <c r="G98" s="71">
        <f>IFERROR(VLOOKUP(E98:E98,[1]Sheet4!$O:$P,2,0),0)</f>
        <v>38</v>
      </c>
      <c r="H98" s="230">
        <f>G98</f>
        <v>38</v>
      </c>
      <c r="I98" s="232">
        <v>0</v>
      </c>
      <c r="J98" s="214">
        <f>Q98</f>
        <v>0</v>
      </c>
      <c r="K98" s="76">
        <f>R98</f>
        <v>0</v>
      </c>
      <c r="L98" s="155">
        <f>H98-K98</f>
        <v>38</v>
      </c>
      <c r="M98" s="77">
        <f>I98+J98-K98</f>
        <v>0</v>
      </c>
      <c r="N98" s="30">
        <f>SUMIF('3 D P'!$D:$D,Cockpit!$E$5:$E$146,'3 D P'!L:L)</f>
        <v>0</v>
      </c>
      <c r="O98" s="30">
        <f>SUMIF('3 D P'!$D:$D,Cockpit!$E$5:$E$146,'3 D P'!M:M)</f>
        <v>0</v>
      </c>
      <c r="P98" s="30">
        <f>SUMIF('3 D P'!$D:$D,Cockpit!$E$5:$E$146,'3 D P'!N:N)</f>
        <v>0</v>
      </c>
      <c r="Q98" s="132">
        <f>IFERROR(VLOOKUP($D98,'Aptiv Dispatch'!$A:$B,2,FALSE),0)</f>
        <v>0</v>
      </c>
      <c r="R98" s="34">
        <f>SUMIF('Consumption MTD'!B:B,Cockpit!$E$5:$E$146,'Consumption MTD'!C:C)</f>
        <v>0</v>
      </c>
      <c r="S98" s="34">
        <f>SUMIF('BIW Lifting A Shift'!$B:$B,Cockpit!$E$5:$E$146,'BIW Lifting A Shift'!C:C)</f>
        <v>0</v>
      </c>
      <c r="T98" s="34">
        <f>SUMIF('BIW Lifting B Shift'!$B:$B,Cockpit!$E$5:$E$146,'BIW Lifting B Shift'!C:C)</f>
        <v>0</v>
      </c>
      <c r="U98" s="74">
        <f>M98-X98</f>
        <v>0</v>
      </c>
      <c r="V98" s="74">
        <f>M98-S98-X98</f>
        <v>0</v>
      </c>
      <c r="W98" s="457">
        <f>V98-T98</f>
        <v>0</v>
      </c>
      <c r="X98" s="555">
        <f>SUMIF(FLOAT!$D:$D,Cockpit!$E$5:$E$146,FLOAT!F:F)</f>
        <v>0</v>
      </c>
      <c r="Y98" s="15">
        <v>0</v>
      </c>
      <c r="Z98" s="455">
        <v>12</v>
      </c>
      <c r="AA98" s="49"/>
      <c r="AB98" s="15"/>
      <c r="AC98" s="15"/>
      <c r="AD98" s="54"/>
      <c r="AE98" s="147"/>
      <c r="AF98" s="50"/>
      <c r="AG98" s="281"/>
      <c r="AH98" s="537">
        <f>SUMIF(FLOAT!$D:$D,Cockpit!$E98:$E233,FLOAT!G:G)</f>
        <v>0</v>
      </c>
      <c r="AI98" s="62">
        <f>SUMIF(FLOAT!$D:$D,Cockpit!$E98:$E233,FLOAT!H:H)</f>
        <v>0</v>
      </c>
      <c r="AJ98" s="62">
        <f>SUMIF(FLOAT!$D:$D,Cockpit!$E98:$E233,FLOAT!I:I)</f>
        <v>0</v>
      </c>
      <c r="AK98" s="62">
        <f>SUMIF(FLOAT!$D:$D,Cockpit!$E98:$E233,FLOAT!J:J)</f>
        <v>0</v>
      </c>
      <c r="AL98" s="62">
        <f>SUMIF(FLOAT!$D:$D,Cockpit!$E98:$E233,FLOAT!K:K)</f>
        <v>0</v>
      </c>
      <c r="AM98" s="537">
        <f>SUMIF(FLOAT!$D:$D,Cockpit!$E98:$E233,FLOAT!L:L)</f>
        <v>0</v>
      </c>
      <c r="AN98" s="62">
        <f>SUMIF(FLOAT!$D:$D,Cockpit!$E98:$E233,FLOAT!M:M)</f>
        <v>0</v>
      </c>
      <c r="AO98" s="538">
        <f>SUMIF(FLOAT!$D:$D,Cockpit!$E98:$E233,FLOAT!N:N)</f>
        <v>0</v>
      </c>
      <c r="AP98" s="62">
        <f>SUMIF(FLOAT!$D:$D,Cockpit!$E98:$E233,FLOAT!O:O)</f>
        <v>0</v>
      </c>
      <c r="AQ98" s="62">
        <f>SUMIF(FLOAT!$D:$D,Cockpit!$E98:$E233,FLOAT!P:P)</f>
        <v>0</v>
      </c>
      <c r="AR98" s="60">
        <f t="shared" si="11"/>
        <v>0</v>
      </c>
      <c r="AS98" s="238"/>
    </row>
    <row r="99" spans="1:45" s="17" customFormat="1" ht="21.75" hidden="1" thickBot="1" x14ac:dyDescent="0.35">
      <c r="A99" s="2"/>
      <c r="B99" s="97"/>
      <c r="C99" s="70"/>
      <c r="D99" s="696">
        <v>544254640214</v>
      </c>
      <c r="E99" s="686" t="s">
        <v>477</v>
      </c>
      <c r="F99" s="659" t="s">
        <v>478</v>
      </c>
      <c r="G99" s="71">
        <f>IFERROR(VLOOKUP(E99:E99,[1]Sheet4!$O:$P,2,0),0)</f>
        <v>0</v>
      </c>
      <c r="H99" s="230">
        <f>G99</f>
        <v>0</v>
      </c>
      <c r="I99" s="232">
        <v>0</v>
      </c>
      <c r="J99" s="214">
        <f>Q99</f>
        <v>0</v>
      </c>
      <c r="K99" s="76">
        <f>R99</f>
        <v>0</v>
      </c>
      <c r="L99" s="155">
        <f>H99-K99</f>
        <v>0</v>
      </c>
      <c r="M99" s="77">
        <f>I99+J99-K99</f>
        <v>0</v>
      </c>
      <c r="N99" s="30">
        <f>SUMIF('3 D P'!$D:$D,Cockpit!$E$5:$E$146,'3 D P'!L:L)</f>
        <v>0</v>
      </c>
      <c r="O99" s="30">
        <f>SUMIF('3 D P'!$D:$D,Cockpit!$E$5:$E$146,'3 D P'!M:M)</f>
        <v>0</v>
      </c>
      <c r="P99" s="30">
        <f>SUMIF('3 D P'!$D:$D,Cockpit!$E$5:$E$146,'3 D P'!N:N)</f>
        <v>0</v>
      </c>
      <c r="Q99" s="132">
        <f>IFERROR(VLOOKUP($D99,'Aptiv Dispatch'!$A:$B,2,FALSE),0)</f>
        <v>0</v>
      </c>
      <c r="R99" s="34">
        <f>SUMIF('Consumption MTD'!B:B,Cockpit!$E$5:$E$146,'Consumption MTD'!C:C)</f>
        <v>0</v>
      </c>
      <c r="S99" s="34">
        <f>SUMIF('BIW Lifting A Shift'!$B:$B,Cockpit!$E$5:$E$146,'BIW Lifting A Shift'!C:C)</f>
        <v>0</v>
      </c>
      <c r="T99" s="34">
        <f>SUMIF('BIW Lifting B Shift'!$B:$B,Cockpit!$E$5:$E$146,'BIW Lifting B Shift'!C:C)</f>
        <v>0</v>
      </c>
      <c r="U99" s="74">
        <f>M99-X99</f>
        <v>0</v>
      </c>
      <c r="V99" s="74">
        <f>M99-S99-X99</f>
        <v>0</v>
      </c>
      <c r="W99" s="457">
        <f>V99-T99</f>
        <v>0</v>
      </c>
      <c r="X99" s="555">
        <f>SUMIF(FLOAT!$D:$D,Cockpit!$E$5:$E$146,FLOAT!F:F)</f>
        <v>0</v>
      </c>
      <c r="Y99" s="15">
        <v>0</v>
      </c>
      <c r="Z99" s="455">
        <v>0</v>
      </c>
      <c r="AA99" s="49"/>
      <c r="AB99" s="15"/>
      <c r="AC99" s="15"/>
      <c r="AD99" s="54"/>
      <c r="AE99" s="147"/>
      <c r="AF99" s="50"/>
      <c r="AG99" s="281"/>
      <c r="AH99" s="62">
        <f>SUMIF(FLOAT!$D:$D,Cockpit!$E99:$E234,FLOAT!G:G)</f>
        <v>0</v>
      </c>
      <c r="AI99" s="62">
        <f>SUMIF(FLOAT!$D:$D,Cockpit!$E99:$E234,FLOAT!H:H)</f>
        <v>0</v>
      </c>
      <c r="AJ99" s="62">
        <f>SUMIF(FLOAT!$D:$D,Cockpit!$E99:$E234,FLOAT!I:I)</f>
        <v>0</v>
      </c>
      <c r="AK99" s="62">
        <f>SUMIF(FLOAT!$D:$D,Cockpit!$E99:$E234,FLOAT!J:J)</f>
        <v>0</v>
      </c>
      <c r="AL99" s="62">
        <f>SUMIF(FLOAT!$D:$D,Cockpit!$E99:$E234,FLOAT!K:K)</f>
        <v>0</v>
      </c>
      <c r="AM99" s="62">
        <f>SUMIF(FLOAT!$D:$D,Cockpit!$E99:$E234,FLOAT!L:L)</f>
        <v>0</v>
      </c>
      <c r="AN99" s="62">
        <f>SUMIF(FLOAT!$D:$D,Cockpit!$E99:$E234,FLOAT!M:M)</f>
        <v>0</v>
      </c>
      <c r="AO99" s="62">
        <f>SUMIF(FLOAT!$D:$D,Cockpit!$E99:$E234,FLOAT!N:N)</f>
        <v>0</v>
      </c>
      <c r="AP99" s="62">
        <f>SUMIF(FLOAT!$D:$D,Cockpit!$E99:$E234,FLOAT!O:O)</f>
        <v>0</v>
      </c>
      <c r="AQ99" s="62">
        <f>SUMIF(FLOAT!$D:$D,Cockpit!$E99:$E234,FLOAT!P:P)</f>
        <v>0</v>
      </c>
      <c r="AR99" s="60">
        <f t="shared" si="11"/>
        <v>0</v>
      </c>
      <c r="AS99" s="238"/>
    </row>
    <row r="100" spans="1:45" s="17" customFormat="1" ht="19.5" hidden="1" thickBot="1" x14ac:dyDescent="0.35">
      <c r="A100" s="2"/>
      <c r="B100" s="97"/>
      <c r="C100" s="70"/>
      <c r="D100" s="896">
        <v>544254640213</v>
      </c>
      <c r="E100" s="687" t="s">
        <v>431</v>
      </c>
      <c r="F100" s="659" t="s">
        <v>479</v>
      </c>
      <c r="G100" s="71">
        <f>IFERROR(VLOOKUP(E100:E100,[1]Sheet4!$O:$P,2,0),0)</f>
        <v>82</v>
      </c>
      <c r="H100" s="833">
        <f>SUM(G100:G101)</f>
        <v>82</v>
      </c>
      <c r="I100" s="895">
        <v>1</v>
      </c>
      <c r="J100" s="836">
        <f>Q100</f>
        <v>0</v>
      </c>
      <c r="K100" s="822">
        <f>SUM(R100:R101)</f>
        <v>0</v>
      </c>
      <c r="L100" s="838">
        <f>H100-K100</f>
        <v>82</v>
      </c>
      <c r="M100" s="816">
        <f>SUM(I100:I101)+J100-K100</f>
        <v>1</v>
      </c>
      <c r="N100" s="30">
        <f>SUMIF('3 D P'!$D:$D,Cockpit!$E$5:$E$146,'3 D P'!L:L)</f>
        <v>0</v>
      </c>
      <c r="O100" s="30">
        <f>SUMIF('3 D P'!$D:$D,Cockpit!$E$5:$E$146,'3 D P'!M:M)</f>
        <v>0</v>
      </c>
      <c r="P100" s="30">
        <f>SUMIF('3 D P'!$D:$D,Cockpit!$E$5:$E$146,'3 D P'!N:N)</f>
        <v>0</v>
      </c>
      <c r="Q100" s="132">
        <f>IFERROR(VLOOKUP($D100,'Aptiv Dispatch'!$A:$B,2,FALSE),0)</f>
        <v>0</v>
      </c>
      <c r="R100" s="34">
        <f>SUMIF('Consumption MTD'!B:B,Cockpit!$E$5:$E$146,'Consumption MTD'!C:C)</f>
        <v>0</v>
      </c>
      <c r="S100" s="34">
        <f>SUMIF('BIW Lifting A Shift'!$B:$B,Cockpit!$E$5:$E$146,'BIW Lifting A Shift'!C:C)</f>
        <v>0</v>
      </c>
      <c r="T100" s="34">
        <f>SUMIF('BIW Lifting B Shift'!$B:$B,Cockpit!$E$5:$E$146,'BIW Lifting B Shift'!C:C)</f>
        <v>0</v>
      </c>
      <c r="U100" s="818">
        <f>M100-X100-X101</f>
        <v>1</v>
      </c>
      <c r="V100" s="818">
        <f>M100-X100-X101-S100-S101</f>
        <v>1</v>
      </c>
      <c r="W100" s="820">
        <f>V100-T100-T101</f>
        <v>1</v>
      </c>
      <c r="X100" s="555">
        <f>SUMIF(FLOAT!$D:$D,Cockpit!$E$5:$E$146,FLOAT!F:F)</f>
        <v>0</v>
      </c>
      <c r="Y100" s="15">
        <v>1</v>
      </c>
      <c r="Z100" s="455">
        <v>6</v>
      </c>
      <c r="AA100" s="49"/>
      <c r="AB100" s="15"/>
      <c r="AC100" s="15"/>
      <c r="AD100" s="54"/>
      <c r="AE100" s="147"/>
      <c r="AF100" s="49"/>
      <c r="AH100" s="282">
        <f>SUMIF(FLOAT!$D:$D,Cockpit!$E100:$E235,FLOAT!G:G)</f>
        <v>0</v>
      </c>
      <c r="AI100" s="537">
        <f>SUMIF(FLOAT!$D:$D,Cockpit!$E100:$E235,FLOAT!H:H)</f>
        <v>0</v>
      </c>
      <c r="AJ100" s="537">
        <f>SUMIF(FLOAT!$D:$D,Cockpit!$E100:$E235,FLOAT!I:I)</f>
        <v>0</v>
      </c>
      <c r="AK100" s="62">
        <f>SUMIF(FLOAT!$D:$D,Cockpit!$E100:$E235,FLOAT!J:J)</f>
        <v>0</v>
      </c>
      <c r="AL100" s="62">
        <f>SUMIF(FLOAT!$D:$D,Cockpit!$E100:$E235,FLOAT!K:K)</f>
        <v>0</v>
      </c>
      <c r="AM100" s="62">
        <f>SUMIF(FLOAT!$D:$D,Cockpit!$E100:$E235,FLOAT!L:L)</f>
        <v>0</v>
      </c>
      <c r="AN100" s="62">
        <f>SUMIF(FLOAT!$D:$D,Cockpit!$E100:$E235,FLOAT!M:M)</f>
        <v>0</v>
      </c>
      <c r="AO100" s="62">
        <f>SUMIF(FLOAT!$D:$D,Cockpit!$E100:$E235,FLOAT!N:N)</f>
        <v>0</v>
      </c>
      <c r="AP100" s="538">
        <f>SUMIF(FLOAT!$D:$D,Cockpit!$E100:$E235,FLOAT!O:O)</f>
        <v>0</v>
      </c>
      <c r="AQ100" s="62">
        <f>SUMIF(FLOAT!$D:$D,Cockpit!$E100:$E235,FLOAT!P:P)</f>
        <v>0</v>
      </c>
      <c r="AR100" s="60">
        <f t="shared" si="11"/>
        <v>0</v>
      </c>
      <c r="AS100" s="238"/>
    </row>
    <row r="101" spans="1:45" s="17" customFormat="1" ht="19.5" hidden="1" thickBot="1" x14ac:dyDescent="0.35">
      <c r="A101" s="2"/>
      <c r="B101" s="97"/>
      <c r="C101" s="70"/>
      <c r="D101" s="896"/>
      <c r="E101" s="686" t="s">
        <v>480</v>
      </c>
      <c r="F101" s="659" t="s">
        <v>481</v>
      </c>
      <c r="G101" s="71">
        <f>IFERROR(VLOOKUP(E101:E101,[1]Sheet4!$O:$P,2,0),0)</f>
        <v>0</v>
      </c>
      <c r="H101" s="834"/>
      <c r="I101" s="823"/>
      <c r="J101" s="837"/>
      <c r="K101" s="823"/>
      <c r="L101" s="823"/>
      <c r="M101" s="816"/>
      <c r="N101" s="30">
        <f>SUMIF('3 D P'!$D:$D,Cockpit!$E$5:$E$146,'3 D P'!L:L)</f>
        <v>0</v>
      </c>
      <c r="O101" s="30">
        <f>SUMIF('3 D P'!$D:$D,Cockpit!$E$5:$E$146,'3 D P'!M:M)</f>
        <v>0</v>
      </c>
      <c r="P101" s="30">
        <f>SUMIF('3 D P'!$D:$D,Cockpit!$E$5:$E$146,'3 D P'!N:N)</f>
        <v>0</v>
      </c>
      <c r="Q101" s="132">
        <f>IFERROR(VLOOKUP($D101,'Aptiv Dispatch'!$A:$B,2,FALSE),0)</f>
        <v>0</v>
      </c>
      <c r="R101" s="34">
        <f>SUMIF('Consumption MTD'!B:B,Cockpit!$E$5:$E$146,'Consumption MTD'!C:C)</f>
        <v>0</v>
      </c>
      <c r="S101" s="34">
        <f>SUMIF('BIW Lifting A Shift'!$B:$B,Cockpit!$E$5:$E$146,'BIW Lifting A Shift'!C:C)</f>
        <v>0</v>
      </c>
      <c r="T101" s="34">
        <f>SUMIF('BIW Lifting B Shift'!$B:$B,Cockpit!$E$5:$E$146,'BIW Lifting B Shift'!C:C)</f>
        <v>0</v>
      </c>
      <c r="U101" s="818"/>
      <c r="V101" s="818"/>
      <c r="W101" s="820"/>
      <c r="X101" s="555">
        <f>SUMIF(FLOAT!$D:$D,Cockpit!$E$5:$E$146,FLOAT!F:F)</f>
        <v>0</v>
      </c>
      <c r="Y101" s="15"/>
      <c r="Z101" s="455">
        <v>0</v>
      </c>
      <c r="AA101" s="49"/>
      <c r="AB101" s="15"/>
      <c r="AC101" s="15"/>
      <c r="AD101" s="54"/>
      <c r="AE101" s="147"/>
      <c r="AF101" s="49"/>
      <c r="AH101" s="62">
        <f>SUMIF(FLOAT!$D:$D,Cockpit!$E101:$E236,FLOAT!G:G)</f>
        <v>0</v>
      </c>
      <c r="AI101" s="62">
        <f>SUMIF(FLOAT!$D:$D,Cockpit!$E101:$E236,FLOAT!H:H)</f>
        <v>0</v>
      </c>
      <c r="AJ101" s="62">
        <f>SUMIF(FLOAT!$D:$D,Cockpit!$E101:$E236,FLOAT!I:I)</f>
        <v>0</v>
      </c>
      <c r="AK101" s="62">
        <f>SUMIF(FLOAT!$D:$D,Cockpit!$E101:$E236,FLOAT!J:J)</f>
        <v>0</v>
      </c>
      <c r="AL101" s="62">
        <f>SUMIF(FLOAT!$D:$D,Cockpit!$E101:$E236,FLOAT!K:K)</f>
        <v>0</v>
      </c>
      <c r="AM101" s="62">
        <f>SUMIF(FLOAT!$D:$D,Cockpit!$E101:$E236,FLOAT!L:L)</f>
        <v>0</v>
      </c>
      <c r="AN101" s="62">
        <f>SUMIF(FLOAT!$D:$D,Cockpit!$E101:$E236,FLOAT!M:M)</f>
        <v>0</v>
      </c>
      <c r="AO101" s="62">
        <f>SUMIF(FLOAT!$D:$D,Cockpit!$E101:$E236,FLOAT!N:N)</f>
        <v>0</v>
      </c>
      <c r="AP101" s="62">
        <f>SUMIF(FLOAT!$D:$D,Cockpit!$E101:$E236,FLOAT!O:O)</f>
        <v>0</v>
      </c>
      <c r="AQ101" s="62">
        <f>SUMIF(FLOAT!$D:$D,Cockpit!$E101:$E236,FLOAT!P:P)</f>
        <v>0</v>
      </c>
      <c r="AR101" s="60">
        <f t="shared" si="11"/>
        <v>0</v>
      </c>
      <c r="AS101" s="238"/>
    </row>
    <row r="102" spans="1:45" s="17" customFormat="1" ht="21.75" hidden="1" thickBot="1" x14ac:dyDescent="0.35">
      <c r="A102" s="2"/>
      <c r="B102" s="97"/>
      <c r="C102" s="70"/>
      <c r="D102" s="696">
        <v>544254640210</v>
      </c>
      <c r="E102" s="686" t="s">
        <v>482</v>
      </c>
      <c r="F102" s="661" t="s">
        <v>483</v>
      </c>
      <c r="G102" s="71">
        <f>IFERROR(VLOOKUP(E102:E102,[1]Sheet4!$O:$P,2,0),0)</f>
        <v>0</v>
      </c>
      <c r="H102" s="230">
        <f>G102</f>
        <v>0</v>
      </c>
      <c r="I102" s="232">
        <v>0</v>
      </c>
      <c r="J102" s="214">
        <f>Q102</f>
        <v>0</v>
      </c>
      <c r="K102" s="76">
        <f>R102</f>
        <v>0</v>
      </c>
      <c r="L102" s="155">
        <f>H102-K102</f>
        <v>0</v>
      </c>
      <c r="M102" s="77">
        <f>I102+J102-K102</f>
        <v>0</v>
      </c>
      <c r="N102" s="30">
        <f>SUMIF('3 D P'!$D:$D,Cockpit!$E$5:$E$146,'3 D P'!L:L)</f>
        <v>0</v>
      </c>
      <c r="O102" s="30">
        <f>SUMIF('3 D P'!$D:$D,Cockpit!$E$5:$E$146,'3 D P'!M:M)</f>
        <v>0</v>
      </c>
      <c r="P102" s="30">
        <f>SUMIF('3 D P'!$D:$D,Cockpit!$E$5:$E$146,'3 D P'!N:N)</f>
        <v>0</v>
      </c>
      <c r="Q102" s="132">
        <f>IFERROR(VLOOKUP($D102,'Aptiv Dispatch'!$A:$B,2,FALSE),0)</f>
        <v>0</v>
      </c>
      <c r="R102" s="34">
        <f>SUMIF('Consumption MTD'!B:B,Cockpit!$E$5:$E$146,'Consumption MTD'!C:C)</f>
        <v>0</v>
      </c>
      <c r="S102" s="34">
        <f>SUMIF('BIW Lifting A Shift'!$B:$B,Cockpit!$E$5:$E$146,'BIW Lifting A Shift'!C:C)</f>
        <v>0</v>
      </c>
      <c r="T102" s="34">
        <f>SUMIF('BIW Lifting B Shift'!$B:$B,Cockpit!$E$5:$E$146,'BIW Lifting B Shift'!C:C)</f>
        <v>0</v>
      </c>
      <c r="U102" s="74">
        <f>M102-X102</f>
        <v>0</v>
      </c>
      <c r="V102" s="74">
        <f>M102-S102-X102</f>
        <v>0</v>
      </c>
      <c r="W102" s="457">
        <f>V102-T102</f>
        <v>0</v>
      </c>
      <c r="X102" s="555">
        <f>SUMIF(FLOAT!$D:$D,Cockpit!$E$5:$E$146,FLOAT!F:F)</f>
        <v>0</v>
      </c>
      <c r="Y102" s="15">
        <v>0</v>
      </c>
      <c r="Z102" s="455">
        <v>0</v>
      </c>
      <c r="AA102" s="49"/>
      <c r="AB102" s="15"/>
      <c r="AC102" s="15"/>
      <c r="AD102" s="54"/>
      <c r="AE102" s="147"/>
      <c r="AF102" s="50"/>
      <c r="AG102" s="281"/>
      <c r="AH102" s="62">
        <f>SUMIF(FLOAT!$D:$D,Cockpit!$E102:$E237,FLOAT!G:G)</f>
        <v>0</v>
      </c>
      <c r="AI102" s="62">
        <f>SUMIF(FLOAT!$D:$D,Cockpit!$E102:$E237,FLOAT!H:H)</f>
        <v>0</v>
      </c>
      <c r="AJ102" s="62">
        <f>SUMIF(FLOAT!$D:$D,Cockpit!$E102:$E237,FLOAT!I:I)</f>
        <v>0</v>
      </c>
      <c r="AK102" s="62">
        <f>SUMIF(FLOAT!$D:$D,Cockpit!$E102:$E237,FLOAT!J:J)</f>
        <v>0</v>
      </c>
      <c r="AL102" s="62">
        <f>SUMIF(FLOAT!$D:$D,Cockpit!$E102:$E237,FLOAT!K:K)</f>
        <v>0</v>
      </c>
      <c r="AM102" s="62">
        <f>SUMIF(FLOAT!$D:$D,Cockpit!$E102:$E237,FLOAT!L:L)</f>
        <v>0</v>
      </c>
      <c r="AN102" s="62">
        <f>SUMIF(FLOAT!$D:$D,Cockpit!$E102:$E237,FLOAT!M:M)</f>
        <v>0</v>
      </c>
      <c r="AO102" s="62">
        <f>SUMIF(FLOAT!$D:$D,Cockpit!$E102:$E237,FLOAT!N:N)</f>
        <v>0</v>
      </c>
      <c r="AP102" s="62">
        <f>SUMIF(FLOAT!$D:$D,Cockpit!$E102:$E237,FLOAT!O:O)</f>
        <v>0</v>
      </c>
      <c r="AQ102" s="62">
        <f>SUMIF(FLOAT!$D:$D,Cockpit!$E102:$E237,FLOAT!P:P)</f>
        <v>0</v>
      </c>
      <c r="AR102" s="60">
        <f t="shared" si="11"/>
        <v>0</v>
      </c>
      <c r="AS102" s="238"/>
    </row>
    <row r="103" spans="1:45" s="17" customFormat="1" ht="21.75" hidden="1" thickBot="1" x14ac:dyDescent="0.35">
      <c r="A103" s="2"/>
      <c r="B103" s="97"/>
      <c r="C103" s="70"/>
      <c r="D103" s="696">
        <v>544254640209</v>
      </c>
      <c r="E103" s="686" t="s">
        <v>484</v>
      </c>
      <c r="F103" s="661" t="s">
        <v>485</v>
      </c>
      <c r="G103" s="71">
        <f>IFERROR(VLOOKUP(E103:E103,[1]Sheet4!$O:$P,2,0),0)</f>
        <v>0</v>
      </c>
      <c r="H103" s="230">
        <f>G103</f>
        <v>0</v>
      </c>
      <c r="I103" s="232">
        <v>0</v>
      </c>
      <c r="J103" s="214">
        <f>Q103</f>
        <v>0</v>
      </c>
      <c r="K103" s="76">
        <f>R103</f>
        <v>0</v>
      </c>
      <c r="L103" s="155">
        <f>H103-K103</f>
        <v>0</v>
      </c>
      <c r="M103" s="77">
        <f>I103+J103-K103</f>
        <v>0</v>
      </c>
      <c r="N103" s="30">
        <f>SUMIF('3 D P'!$D:$D,Cockpit!$E$5:$E$146,'3 D P'!L:L)</f>
        <v>0</v>
      </c>
      <c r="O103" s="30">
        <f>SUMIF('3 D P'!$D:$D,Cockpit!$E$5:$E$146,'3 D P'!M:M)</f>
        <v>0</v>
      </c>
      <c r="P103" s="30">
        <f>SUMIF('3 D P'!$D:$D,Cockpit!$E$5:$E$146,'3 D P'!N:N)</f>
        <v>0</v>
      </c>
      <c r="Q103" s="132">
        <f>IFERROR(VLOOKUP($D103,'Aptiv Dispatch'!$A:$B,2,FALSE),0)</f>
        <v>0</v>
      </c>
      <c r="R103" s="34">
        <f>SUMIF('Consumption MTD'!B:B,Cockpit!$E$5:$E$146,'Consumption MTD'!C:C)</f>
        <v>0</v>
      </c>
      <c r="S103" s="34">
        <f>SUMIF('BIW Lifting A Shift'!$B:$B,Cockpit!$E$5:$E$146,'BIW Lifting A Shift'!C:C)</f>
        <v>0</v>
      </c>
      <c r="T103" s="34">
        <f>SUMIF('BIW Lifting B Shift'!$B:$B,Cockpit!$E$5:$E$146,'BIW Lifting B Shift'!C:C)</f>
        <v>0</v>
      </c>
      <c r="U103" s="74">
        <f>M103-X103</f>
        <v>0</v>
      </c>
      <c r="V103" s="74">
        <f>M103-S103-X103</f>
        <v>0</v>
      </c>
      <c r="W103" s="457">
        <f>V103-T103</f>
        <v>0</v>
      </c>
      <c r="X103" s="555">
        <f>SUMIF(FLOAT!$D:$D,Cockpit!$E$5:$E$146,FLOAT!F:F)</f>
        <v>0</v>
      </c>
      <c r="Y103" s="15">
        <v>0</v>
      </c>
      <c r="Z103" s="455">
        <v>0</v>
      </c>
      <c r="AA103" s="49"/>
      <c r="AB103" s="15"/>
      <c r="AC103" s="15"/>
      <c r="AD103" s="54"/>
      <c r="AE103" s="147"/>
      <c r="AF103" s="50"/>
      <c r="AG103" s="281"/>
      <c r="AH103" s="62">
        <f>SUMIF(FLOAT!$D:$D,Cockpit!$E103:$E238,FLOAT!G:G)</f>
        <v>0</v>
      </c>
      <c r="AI103" s="62">
        <f>SUMIF(FLOAT!$D:$D,Cockpit!$E103:$E238,FLOAT!H:H)</f>
        <v>0</v>
      </c>
      <c r="AJ103" s="62">
        <f>SUMIF(FLOAT!$D:$D,Cockpit!$E103:$E238,FLOAT!I:I)</f>
        <v>0</v>
      </c>
      <c r="AK103" s="62">
        <f>SUMIF(FLOAT!$D:$D,Cockpit!$E103:$E238,FLOAT!J:J)</f>
        <v>0</v>
      </c>
      <c r="AL103" s="62">
        <f>SUMIF(FLOAT!$D:$D,Cockpit!$E103:$E238,FLOAT!K:K)</f>
        <v>0</v>
      </c>
      <c r="AM103" s="62">
        <f>SUMIF(FLOAT!$D:$D,Cockpit!$E103:$E238,FLOAT!L:L)</f>
        <v>0</v>
      </c>
      <c r="AN103" s="62">
        <f>SUMIF(FLOAT!$D:$D,Cockpit!$E103:$E238,FLOAT!M:M)</f>
        <v>0</v>
      </c>
      <c r="AO103" s="62">
        <f>SUMIF(FLOAT!$D:$D,Cockpit!$E103:$E238,FLOAT!N:N)</f>
        <v>0</v>
      </c>
      <c r="AP103" s="62">
        <f>SUMIF(FLOAT!$D:$D,Cockpit!$E103:$E238,FLOAT!O:O)</f>
        <v>0</v>
      </c>
      <c r="AQ103" s="62">
        <f>SUMIF(FLOAT!$D:$D,Cockpit!$E103:$E238,FLOAT!P:P)</f>
        <v>0</v>
      </c>
      <c r="AR103" s="60">
        <f t="shared" si="11"/>
        <v>0</v>
      </c>
      <c r="AS103" s="238"/>
    </row>
    <row r="104" spans="1:45" s="17" customFormat="1" ht="19.5" hidden="1" thickBot="1" x14ac:dyDescent="0.35">
      <c r="A104" s="2"/>
      <c r="B104" s="97"/>
      <c r="C104" s="70"/>
      <c r="D104" s="896">
        <v>544254640204</v>
      </c>
      <c r="E104" s="686" t="s">
        <v>486</v>
      </c>
      <c r="F104" s="661" t="s">
        <v>487</v>
      </c>
      <c r="G104" s="71">
        <f>IFERROR(VLOOKUP(E104:E104,[1]Sheet4!$O:$P,2,0),0)</f>
        <v>0</v>
      </c>
      <c r="H104" s="833">
        <f>SUM(G104:G105)</f>
        <v>0</v>
      </c>
      <c r="I104" s="895">
        <v>1</v>
      </c>
      <c r="J104" s="836">
        <f>Q104</f>
        <v>0</v>
      </c>
      <c r="K104" s="822">
        <f>SUM(R104:R105)</f>
        <v>0</v>
      </c>
      <c r="L104" s="838">
        <f>H104-K104</f>
        <v>0</v>
      </c>
      <c r="M104" s="816">
        <f>SUM(I104:I105)+J104-K104</f>
        <v>1</v>
      </c>
      <c r="N104" s="30">
        <f>SUMIF('3 D P'!$D:$D,Cockpit!$E$5:$E$146,'3 D P'!L:L)</f>
        <v>0</v>
      </c>
      <c r="O104" s="30">
        <f>SUMIF('3 D P'!$D:$D,Cockpit!$E$5:$E$146,'3 D P'!M:M)</f>
        <v>0</v>
      </c>
      <c r="P104" s="30">
        <f>SUMIF('3 D P'!$D:$D,Cockpit!$E$5:$E$146,'3 D P'!N:N)</f>
        <v>0</v>
      </c>
      <c r="Q104" s="132">
        <f>IFERROR(VLOOKUP($D104,'Aptiv Dispatch'!$A:$B,2,FALSE),0)</f>
        <v>0</v>
      </c>
      <c r="R104" s="34">
        <f>SUMIF('Consumption MTD'!B:B,Cockpit!$E$5:$E$146,'Consumption MTD'!C:C)</f>
        <v>0</v>
      </c>
      <c r="S104" s="34">
        <f>SUMIF('BIW Lifting A Shift'!$B:$B,Cockpit!$E$5:$E$146,'BIW Lifting A Shift'!C:C)</f>
        <v>0</v>
      </c>
      <c r="T104" s="34">
        <f>SUMIF('BIW Lifting B Shift'!$B:$B,Cockpit!$E$5:$E$146,'BIW Lifting B Shift'!C:C)</f>
        <v>0</v>
      </c>
      <c r="U104" s="818">
        <f>M104-X104-X105</f>
        <v>1</v>
      </c>
      <c r="V104" s="818">
        <f>M104-X104-X105-S104-S105</f>
        <v>1</v>
      </c>
      <c r="W104" s="820">
        <f>V104-T104-T105</f>
        <v>1</v>
      </c>
      <c r="X104" s="555">
        <f>SUMIF(FLOAT!$D:$D,Cockpit!$E$5:$E$146,FLOAT!F:F)</f>
        <v>0</v>
      </c>
      <c r="Y104" s="15">
        <v>0</v>
      </c>
      <c r="Z104" s="455">
        <v>4</v>
      </c>
      <c r="AA104" s="49"/>
      <c r="AB104" s="15"/>
      <c r="AC104" s="15"/>
      <c r="AD104" s="54"/>
      <c r="AE104" s="147"/>
      <c r="AF104" s="49"/>
      <c r="AH104" s="62">
        <f>SUMIF(FLOAT!$D:$D,Cockpit!$E104:$E239,FLOAT!G:G)</f>
        <v>0</v>
      </c>
      <c r="AI104" s="62">
        <f>SUMIF(FLOAT!$D:$D,Cockpit!$E104:$E239,FLOAT!H:H)</f>
        <v>0</v>
      </c>
      <c r="AJ104" s="62">
        <f>SUMIF(FLOAT!$D:$D,Cockpit!$E104:$E239,FLOAT!I:I)</f>
        <v>0</v>
      </c>
      <c r="AK104" s="62">
        <f>SUMIF(FLOAT!$D:$D,Cockpit!$E104:$E239,FLOAT!J:J)</f>
        <v>0</v>
      </c>
      <c r="AL104" s="62">
        <f>SUMIF(FLOAT!$D:$D,Cockpit!$E104:$E239,FLOAT!K:K)</f>
        <v>0</v>
      </c>
      <c r="AM104" s="62">
        <f>SUMIF(FLOAT!$D:$D,Cockpit!$E104:$E239,FLOAT!L:L)</f>
        <v>0</v>
      </c>
      <c r="AN104" s="62">
        <f>SUMIF(FLOAT!$D:$D,Cockpit!$E104:$E239,FLOAT!M:M)</f>
        <v>0</v>
      </c>
      <c r="AO104" s="62">
        <f>SUMIF(FLOAT!$D:$D,Cockpit!$E104:$E239,FLOAT!N:N)</f>
        <v>0</v>
      </c>
      <c r="AP104" s="283">
        <f>SUMIF(FLOAT!$D:$D,Cockpit!$E104:$E239,FLOAT!O:O)</f>
        <v>0</v>
      </c>
      <c r="AQ104" s="62">
        <f>SUMIF(FLOAT!$D:$D,Cockpit!$E104:$E239,FLOAT!P:P)</f>
        <v>0</v>
      </c>
      <c r="AR104" s="60">
        <f t="shared" si="11"/>
        <v>0</v>
      </c>
      <c r="AS104" s="238"/>
    </row>
    <row r="105" spans="1:45" s="17" customFormat="1" ht="19.5" hidden="1" thickBot="1" x14ac:dyDescent="0.35">
      <c r="A105" s="2"/>
      <c r="B105" s="97"/>
      <c r="C105" s="70"/>
      <c r="D105" s="896"/>
      <c r="E105" s="686" t="s">
        <v>488</v>
      </c>
      <c r="F105" s="661" t="s">
        <v>489</v>
      </c>
      <c r="G105" s="71">
        <f>IFERROR(VLOOKUP(E105:E105,[1]Sheet4!$O:$P,2,0),0)</f>
        <v>0</v>
      </c>
      <c r="H105" s="834"/>
      <c r="I105" s="823"/>
      <c r="J105" s="837"/>
      <c r="K105" s="823"/>
      <c r="L105" s="823"/>
      <c r="M105" s="816"/>
      <c r="N105" s="30">
        <f>SUMIF('3 D P'!$D:$D,Cockpit!$E$5:$E$146,'3 D P'!L:L)</f>
        <v>0</v>
      </c>
      <c r="O105" s="30">
        <f>SUMIF('3 D P'!$D:$D,Cockpit!$E$5:$E$146,'3 D P'!M:M)</f>
        <v>0</v>
      </c>
      <c r="P105" s="30">
        <f>SUMIF('3 D P'!$D:$D,Cockpit!$E$5:$E$146,'3 D P'!N:N)</f>
        <v>0</v>
      </c>
      <c r="Q105" s="132">
        <f>IFERROR(VLOOKUP($D105,'Aptiv Dispatch'!$A:$B,2,FALSE),0)</f>
        <v>0</v>
      </c>
      <c r="R105" s="34">
        <f>SUMIF('Consumption MTD'!B:B,Cockpit!$E$5:$E$146,'Consumption MTD'!C:C)</f>
        <v>0</v>
      </c>
      <c r="S105" s="34">
        <f>SUMIF('BIW Lifting A Shift'!$B:$B,Cockpit!$E$5:$E$146,'BIW Lifting A Shift'!C:C)</f>
        <v>0</v>
      </c>
      <c r="T105" s="34">
        <f>SUMIF('BIW Lifting B Shift'!$B:$B,Cockpit!$E$5:$E$146,'BIW Lifting B Shift'!C:C)</f>
        <v>0</v>
      </c>
      <c r="U105" s="818"/>
      <c r="V105" s="818"/>
      <c r="W105" s="820"/>
      <c r="X105" s="555">
        <f>SUMIF(FLOAT!$D:$D,Cockpit!$E$5:$E$146,FLOAT!F:F)</f>
        <v>0</v>
      </c>
      <c r="Y105" s="15"/>
      <c r="Z105" s="455">
        <v>0</v>
      </c>
      <c r="AA105" s="49"/>
      <c r="AB105" s="15"/>
      <c r="AC105" s="15"/>
      <c r="AD105" s="54"/>
      <c r="AE105" s="147"/>
      <c r="AF105" s="49"/>
      <c r="AH105" s="542">
        <f>SUMIF(FLOAT!$D:$D,Cockpit!$E105:$E240,FLOAT!G:G)</f>
        <v>0</v>
      </c>
      <c r="AI105" s="62">
        <f>SUMIF(FLOAT!$D:$D,Cockpit!$E105:$E240,FLOAT!H:H)</f>
        <v>0</v>
      </c>
      <c r="AJ105" s="62">
        <f>SUMIF(FLOAT!$D:$D,Cockpit!$E105:$E240,FLOAT!I:I)</f>
        <v>0</v>
      </c>
      <c r="AK105" s="62">
        <f>SUMIF(FLOAT!$D:$D,Cockpit!$E105:$E240,FLOAT!J:J)</f>
        <v>0</v>
      </c>
      <c r="AL105" s="62">
        <f>SUMIF(FLOAT!$D:$D,Cockpit!$E105:$E240,FLOAT!K:K)</f>
        <v>0</v>
      </c>
      <c r="AM105" s="62">
        <f>SUMIF(FLOAT!$D:$D,Cockpit!$E105:$E240,FLOAT!L:L)</f>
        <v>0</v>
      </c>
      <c r="AN105" s="62">
        <f>SUMIF(FLOAT!$D:$D,Cockpit!$E105:$E240,FLOAT!M:M)</f>
        <v>0</v>
      </c>
      <c r="AO105" s="62">
        <f>SUMIF(FLOAT!$D:$D,Cockpit!$E105:$E240,FLOAT!N:N)</f>
        <v>0</v>
      </c>
      <c r="AP105" s="62">
        <f>SUMIF(FLOAT!$D:$D,Cockpit!$E105:$E240,FLOAT!O:O)</f>
        <v>0</v>
      </c>
      <c r="AQ105" s="62">
        <f>SUMIF(FLOAT!$D:$D,Cockpit!$E105:$E240,FLOAT!P:P)</f>
        <v>0</v>
      </c>
      <c r="AR105" s="60">
        <f t="shared" si="11"/>
        <v>0</v>
      </c>
      <c r="AS105" s="238"/>
    </row>
    <row r="106" spans="1:45" s="17" customFormat="1" ht="21.75" hidden="1" thickBot="1" x14ac:dyDescent="0.35">
      <c r="A106" s="2"/>
      <c r="B106" s="97"/>
      <c r="C106" s="70"/>
      <c r="D106" s="696">
        <v>544254640203</v>
      </c>
      <c r="E106" s="687" t="s">
        <v>436</v>
      </c>
      <c r="F106" s="659" t="s">
        <v>490</v>
      </c>
      <c r="G106" s="71">
        <f>IFERROR(VLOOKUP(E106:E106,[1]Sheet4!$O:$P,2,0),0)</f>
        <v>0</v>
      </c>
      <c r="H106" s="230">
        <f t="shared" ref="H106:H115" si="15">G106</f>
        <v>0</v>
      </c>
      <c r="I106" s="232">
        <v>6</v>
      </c>
      <c r="J106" s="214">
        <f t="shared" ref="J106:K113" si="16">Q106</f>
        <v>0</v>
      </c>
      <c r="K106" s="76">
        <f t="shared" si="16"/>
        <v>0</v>
      </c>
      <c r="L106" s="155">
        <f t="shared" ref="L106:L113" si="17">H106-K106</f>
        <v>0</v>
      </c>
      <c r="M106" s="77">
        <f t="shared" ref="M106:M113" si="18">I106+J106-K106</f>
        <v>6</v>
      </c>
      <c r="N106" s="30">
        <f>SUMIF('3 D P'!$D:$D,Cockpit!$E$5:$E$146,'3 D P'!L:L)</f>
        <v>0</v>
      </c>
      <c r="O106" s="30">
        <f>SUMIF('3 D P'!$D:$D,Cockpit!$E$5:$E$146,'3 D P'!M:M)</f>
        <v>0</v>
      </c>
      <c r="P106" s="30">
        <f>SUMIF('3 D P'!$D:$D,Cockpit!$E$5:$E$146,'3 D P'!N:N)</f>
        <v>0</v>
      </c>
      <c r="Q106" s="132">
        <f>IFERROR(VLOOKUP($D106,'Aptiv Dispatch'!$A:$B,2,FALSE),0)</f>
        <v>0</v>
      </c>
      <c r="R106" s="34">
        <f>SUMIF('Consumption MTD'!B:B,Cockpit!$E$5:$E$146,'Consumption MTD'!C:C)</f>
        <v>0</v>
      </c>
      <c r="S106" s="34">
        <f>SUMIF('BIW Lifting A Shift'!$B:$B,Cockpit!$E$5:$E$146,'BIW Lifting A Shift'!C:C)</f>
        <v>0</v>
      </c>
      <c r="T106" s="34">
        <f>SUMIF('BIW Lifting B Shift'!$B:$B,Cockpit!$E$5:$E$146,'BIW Lifting B Shift'!C:C)</f>
        <v>0</v>
      </c>
      <c r="U106" s="74">
        <f t="shared" ref="U106:U113" si="19">M106-X106</f>
        <v>6</v>
      </c>
      <c r="V106" s="74">
        <f t="shared" ref="V106:V113" si="20">M106-S106-X106</f>
        <v>6</v>
      </c>
      <c r="W106" s="457">
        <f t="shared" ref="W106:W113" si="21">V106-T106</f>
        <v>6</v>
      </c>
      <c r="X106" s="555">
        <f>SUMIF(FLOAT!$D:$D,Cockpit!$E$5:$E$146,FLOAT!F:F)</f>
        <v>0</v>
      </c>
      <c r="Y106" s="15">
        <v>6</v>
      </c>
      <c r="Z106" s="455">
        <v>11</v>
      </c>
      <c r="AA106" s="49"/>
      <c r="AB106" s="15"/>
      <c r="AC106" s="15"/>
      <c r="AD106" s="54"/>
      <c r="AE106" s="147"/>
      <c r="AF106" s="514"/>
      <c r="AG106" s="278"/>
      <c r="AH106" s="226">
        <f>SUMIF(FLOAT!$D:$D,Cockpit!$E106:$E241,FLOAT!G:G)</f>
        <v>0</v>
      </c>
      <c r="AI106" s="62">
        <f>SUMIF(FLOAT!$D:$D,Cockpit!$E106:$E241,FLOAT!H:H)</f>
        <v>0</v>
      </c>
      <c r="AJ106" s="62">
        <f>SUMIF(FLOAT!$D:$D,Cockpit!$E106:$E241,FLOAT!I:I)</f>
        <v>0</v>
      </c>
      <c r="AK106" s="62">
        <f>SUMIF(FLOAT!$D:$D,Cockpit!$E106:$E241,FLOAT!J:J)</f>
        <v>0</v>
      </c>
      <c r="AL106" s="62">
        <f>SUMIF(FLOAT!$D:$D,Cockpit!$E106:$E241,FLOAT!K:K)</f>
        <v>0</v>
      </c>
      <c r="AM106" s="62">
        <f>SUMIF(FLOAT!$D:$D,Cockpit!$E106:$E241,FLOAT!L:L)</f>
        <v>0</v>
      </c>
      <c r="AN106" s="62">
        <f>SUMIF(FLOAT!$D:$D,Cockpit!$E106:$E241,FLOAT!M:M)</f>
        <v>0</v>
      </c>
      <c r="AO106" s="62">
        <f>SUMIF(FLOAT!$D:$D,Cockpit!$E106:$E241,FLOAT!N:N)</f>
        <v>0</v>
      </c>
      <c r="AP106" s="62">
        <f>SUMIF(FLOAT!$D:$D,Cockpit!$E106:$E241,FLOAT!O:O)</f>
        <v>0</v>
      </c>
      <c r="AQ106" s="62">
        <f>SUMIF(FLOAT!$D:$D,Cockpit!$E106:$E241,FLOAT!P:P)</f>
        <v>0</v>
      </c>
      <c r="AR106" s="60">
        <f t="shared" si="11"/>
        <v>0</v>
      </c>
      <c r="AS106" s="238"/>
    </row>
    <row r="107" spans="1:45" s="17" customFormat="1" ht="21.75" hidden="1" thickBot="1" x14ac:dyDescent="0.35">
      <c r="A107" s="2"/>
      <c r="B107" s="97"/>
      <c r="C107" s="70"/>
      <c r="D107" s="696">
        <v>544254640205</v>
      </c>
      <c r="E107" s="686" t="s">
        <v>491</v>
      </c>
      <c r="F107" s="659" t="s">
        <v>492</v>
      </c>
      <c r="G107" s="71">
        <f>IFERROR(VLOOKUP(E107:E107,[1]Sheet4!$O:$P,2,0),0)</f>
        <v>0</v>
      </c>
      <c r="H107" s="230">
        <f t="shared" si="15"/>
        <v>0</v>
      </c>
      <c r="I107" s="232">
        <v>5</v>
      </c>
      <c r="J107" s="214">
        <f t="shared" si="16"/>
        <v>0</v>
      </c>
      <c r="K107" s="76">
        <f t="shared" si="16"/>
        <v>0</v>
      </c>
      <c r="L107" s="155">
        <f t="shared" si="17"/>
        <v>0</v>
      </c>
      <c r="M107" s="77">
        <f t="shared" si="18"/>
        <v>5</v>
      </c>
      <c r="N107" s="30">
        <f>SUMIF('3 D P'!$D:$D,Cockpit!$E$5:$E$146,'3 D P'!L:L)</f>
        <v>0</v>
      </c>
      <c r="O107" s="30">
        <f>SUMIF('3 D P'!$D:$D,Cockpit!$E$5:$E$146,'3 D P'!M:M)</f>
        <v>0</v>
      </c>
      <c r="P107" s="30">
        <f>SUMIF('3 D P'!$D:$D,Cockpit!$E$5:$E$146,'3 D P'!N:N)</f>
        <v>0</v>
      </c>
      <c r="Q107" s="132">
        <f>IFERROR(VLOOKUP($D107,'Aptiv Dispatch'!$A:$B,2,FALSE),0)</f>
        <v>0</v>
      </c>
      <c r="R107" s="34">
        <f>SUMIF('Consumption MTD'!B:B,Cockpit!$E$5:$E$146,'Consumption MTD'!C:C)</f>
        <v>0</v>
      </c>
      <c r="S107" s="34">
        <f>SUMIF('BIW Lifting A Shift'!$B:$B,Cockpit!$E$5:$E$146,'BIW Lifting A Shift'!C:C)</f>
        <v>0</v>
      </c>
      <c r="T107" s="34">
        <f>SUMIF('BIW Lifting B Shift'!$B:$B,Cockpit!$E$5:$E$146,'BIW Lifting B Shift'!C:C)</f>
        <v>0</v>
      </c>
      <c r="U107" s="74">
        <f t="shared" si="19"/>
        <v>5</v>
      </c>
      <c r="V107" s="74">
        <f t="shared" si="20"/>
        <v>5</v>
      </c>
      <c r="W107" s="457">
        <f t="shared" si="21"/>
        <v>5</v>
      </c>
      <c r="X107" s="555">
        <f>SUMIF(FLOAT!$D:$D,Cockpit!$E$5:$E$146,FLOAT!F:F)</f>
        <v>0</v>
      </c>
      <c r="Y107" s="15">
        <v>5</v>
      </c>
      <c r="Z107" s="455">
        <v>5</v>
      </c>
      <c r="AA107" s="49"/>
      <c r="AB107" s="15"/>
      <c r="AC107" s="15"/>
      <c r="AD107" s="54"/>
      <c r="AE107" s="147"/>
      <c r="AF107" s="50"/>
      <c r="AG107" s="281"/>
      <c r="AH107" s="543">
        <f>SUMIF(FLOAT!$D:$D,Cockpit!$E107:$E242,FLOAT!G:G)</f>
        <v>0</v>
      </c>
      <c r="AI107" s="62">
        <f>SUMIF(FLOAT!$D:$D,Cockpit!$E107:$E242,FLOAT!H:H)</f>
        <v>0</v>
      </c>
      <c r="AJ107" s="62">
        <f>SUMIF(FLOAT!$D:$D,Cockpit!$E107:$E242,FLOAT!I:I)</f>
        <v>0</v>
      </c>
      <c r="AK107" s="62">
        <f>SUMIF(FLOAT!$D:$D,Cockpit!$E107:$E242,FLOAT!J:J)</f>
        <v>0</v>
      </c>
      <c r="AL107" s="62">
        <f>SUMIF(FLOAT!$D:$D,Cockpit!$E107:$E242,FLOAT!K:K)</f>
        <v>0</v>
      </c>
      <c r="AM107" s="62">
        <f>SUMIF(FLOAT!$D:$D,Cockpit!$E107:$E242,FLOAT!L:L)</f>
        <v>0</v>
      </c>
      <c r="AN107" s="62">
        <f>SUMIF(FLOAT!$D:$D,Cockpit!$E107:$E242,FLOAT!M:M)</f>
        <v>0</v>
      </c>
      <c r="AO107" s="62">
        <f>SUMIF(FLOAT!$D:$D,Cockpit!$E107:$E242,FLOAT!N:N)</f>
        <v>0</v>
      </c>
      <c r="AP107" s="62">
        <f>SUMIF(FLOAT!$D:$D,Cockpit!$E107:$E242,FLOAT!O:O)</f>
        <v>0</v>
      </c>
      <c r="AQ107" s="62">
        <f>SUMIF(FLOAT!$D:$D,Cockpit!$E107:$E242,FLOAT!P:P)</f>
        <v>0</v>
      </c>
      <c r="AR107" s="60">
        <f t="shared" si="11"/>
        <v>0</v>
      </c>
      <c r="AS107" s="238"/>
    </row>
    <row r="108" spans="1:45" s="17" customFormat="1" ht="21.75" hidden="1" thickBot="1" x14ac:dyDescent="0.35">
      <c r="A108" s="2"/>
      <c r="B108" s="97"/>
      <c r="C108" s="70"/>
      <c r="D108" s="696">
        <v>544254640198</v>
      </c>
      <c r="E108" s="686" t="s">
        <v>493</v>
      </c>
      <c r="F108" s="661" t="s">
        <v>494</v>
      </c>
      <c r="G108" s="71">
        <f>IFERROR(VLOOKUP(E108:E108,[1]Sheet4!$O:$P,2,0),0)</f>
        <v>0</v>
      </c>
      <c r="H108" s="230">
        <f t="shared" si="15"/>
        <v>0</v>
      </c>
      <c r="I108" s="232">
        <v>0</v>
      </c>
      <c r="J108" s="214">
        <f t="shared" si="16"/>
        <v>0</v>
      </c>
      <c r="K108" s="76">
        <f t="shared" si="16"/>
        <v>0</v>
      </c>
      <c r="L108" s="155">
        <f t="shared" si="17"/>
        <v>0</v>
      </c>
      <c r="M108" s="77">
        <f t="shared" si="18"/>
        <v>0</v>
      </c>
      <c r="N108" s="30">
        <f>SUMIF('3 D P'!$D:$D,Cockpit!$E$5:$E$146,'3 D P'!L:L)</f>
        <v>0</v>
      </c>
      <c r="O108" s="30">
        <f>SUMIF('3 D P'!$D:$D,Cockpit!$E$5:$E$146,'3 D P'!M:M)</f>
        <v>0</v>
      </c>
      <c r="P108" s="30">
        <f>SUMIF('3 D P'!$D:$D,Cockpit!$E$5:$E$146,'3 D P'!N:N)</f>
        <v>0</v>
      </c>
      <c r="Q108" s="132">
        <f>IFERROR(VLOOKUP($D108,'Aptiv Dispatch'!$A:$B,2,FALSE),0)</f>
        <v>0</v>
      </c>
      <c r="R108" s="34">
        <f>SUMIF('Consumption MTD'!B:B,Cockpit!$E$5:$E$146,'Consumption MTD'!C:C)</f>
        <v>0</v>
      </c>
      <c r="S108" s="34">
        <f>SUMIF('BIW Lifting A Shift'!$B:$B,Cockpit!$E$5:$E$146,'BIW Lifting A Shift'!C:C)</f>
        <v>0</v>
      </c>
      <c r="T108" s="34">
        <f>SUMIF('BIW Lifting B Shift'!$B:$B,Cockpit!$E$5:$E$146,'BIW Lifting B Shift'!C:C)</f>
        <v>0</v>
      </c>
      <c r="U108" s="74">
        <f t="shared" si="19"/>
        <v>0</v>
      </c>
      <c r="V108" s="74">
        <f t="shared" si="20"/>
        <v>0</v>
      </c>
      <c r="W108" s="457">
        <f t="shared" si="21"/>
        <v>0</v>
      </c>
      <c r="X108" s="555">
        <f>SUMIF(FLOAT!$D:$D,Cockpit!$E$5:$E$146,FLOAT!F:F)</f>
        <v>0</v>
      </c>
      <c r="Y108" s="15">
        <v>0</v>
      </c>
      <c r="Z108" s="455">
        <v>0</v>
      </c>
      <c r="AA108" s="49"/>
      <c r="AB108" s="15"/>
      <c r="AC108" s="15"/>
      <c r="AD108" s="54"/>
      <c r="AE108" s="147"/>
      <c r="AF108" s="50"/>
      <c r="AG108" s="281"/>
      <c r="AH108" s="62">
        <f>SUMIF(FLOAT!$D:$D,Cockpit!$E108:$E243,FLOAT!G:G)</f>
        <v>0</v>
      </c>
      <c r="AI108" s="62">
        <f>SUMIF(FLOAT!$D:$D,Cockpit!$E108:$E243,FLOAT!H:H)</f>
        <v>0</v>
      </c>
      <c r="AJ108" s="62">
        <f>SUMIF(FLOAT!$D:$D,Cockpit!$E108:$E243,FLOAT!I:I)</f>
        <v>0</v>
      </c>
      <c r="AK108" s="62">
        <f>SUMIF(FLOAT!$D:$D,Cockpit!$E108:$E243,FLOAT!J:J)</f>
        <v>0</v>
      </c>
      <c r="AL108" s="62">
        <f>SUMIF(FLOAT!$D:$D,Cockpit!$E108:$E243,FLOAT!K:K)</f>
        <v>0</v>
      </c>
      <c r="AM108" s="62">
        <f>SUMIF(FLOAT!$D:$D,Cockpit!$E108:$E243,FLOAT!L:L)</f>
        <v>0</v>
      </c>
      <c r="AN108" s="62">
        <f>SUMIF(FLOAT!$D:$D,Cockpit!$E108:$E243,FLOAT!M:M)</f>
        <v>0</v>
      </c>
      <c r="AO108" s="62">
        <f>SUMIF(FLOAT!$D:$D,Cockpit!$E108:$E243,FLOAT!N:N)</f>
        <v>0</v>
      </c>
      <c r="AP108" s="62">
        <f>SUMIF(FLOAT!$D:$D,Cockpit!$E108:$E243,FLOAT!O:O)</f>
        <v>0</v>
      </c>
      <c r="AQ108" s="62">
        <f>SUMIF(FLOAT!$D:$D,Cockpit!$E108:$E243,FLOAT!P:P)</f>
        <v>0</v>
      </c>
      <c r="AR108" s="60">
        <f t="shared" si="11"/>
        <v>0</v>
      </c>
      <c r="AS108" s="238"/>
    </row>
    <row r="109" spans="1:45" s="17" customFormat="1" ht="21.75" hidden="1" thickBot="1" x14ac:dyDescent="0.35">
      <c r="A109" s="2"/>
      <c r="B109" s="97"/>
      <c r="C109" s="70"/>
      <c r="D109" s="696">
        <v>544254640197</v>
      </c>
      <c r="E109" s="686" t="s">
        <v>434</v>
      </c>
      <c r="F109" s="661" t="s">
        <v>495</v>
      </c>
      <c r="G109" s="71">
        <f>IFERROR(VLOOKUP(E109:E109,[1]Sheet4!$O:$P,2,0),0)</f>
        <v>0</v>
      </c>
      <c r="H109" s="230">
        <f t="shared" si="15"/>
        <v>0</v>
      </c>
      <c r="I109" s="232">
        <v>6</v>
      </c>
      <c r="J109" s="214">
        <f t="shared" si="16"/>
        <v>0</v>
      </c>
      <c r="K109" s="76">
        <f t="shared" si="16"/>
        <v>0</v>
      </c>
      <c r="L109" s="155">
        <f t="shared" si="17"/>
        <v>0</v>
      </c>
      <c r="M109" s="77">
        <f t="shared" si="18"/>
        <v>6</v>
      </c>
      <c r="N109" s="30">
        <f>SUMIF('3 D P'!$D:$D,Cockpit!$E$5:$E$146,'3 D P'!L:L)</f>
        <v>0</v>
      </c>
      <c r="O109" s="30">
        <f>SUMIF('3 D P'!$D:$D,Cockpit!$E$5:$E$146,'3 D P'!M:M)</f>
        <v>0</v>
      </c>
      <c r="P109" s="30">
        <f>SUMIF('3 D P'!$D:$D,Cockpit!$E$5:$E$146,'3 D P'!N:N)</f>
        <v>0</v>
      </c>
      <c r="Q109" s="132">
        <f>IFERROR(VLOOKUP($D109,'Aptiv Dispatch'!$A:$B,2,FALSE),0)</f>
        <v>0</v>
      </c>
      <c r="R109" s="34">
        <f>SUMIF('Consumption MTD'!B:B,Cockpit!$E$5:$E$146,'Consumption MTD'!C:C)</f>
        <v>0</v>
      </c>
      <c r="S109" s="34">
        <f>SUMIF('BIW Lifting A Shift'!$B:$B,Cockpit!$E$5:$E$146,'BIW Lifting A Shift'!C:C)</f>
        <v>0</v>
      </c>
      <c r="T109" s="34">
        <f>SUMIF('BIW Lifting B Shift'!$B:$B,Cockpit!$E$5:$E$146,'BIW Lifting B Shift'!C:C)</f>
        <v>0</v>
      </c>
      <c r="U109" s="74">
        <f t="shared" si="19"/>
        <v>6</v>
      </c>
      <c r="V109" s="74">
        <f t="shared" si="20"/>
        <v>6</v>
      </c>
      <c r="W109" s="457">
        <f t="shared" si="21"/>
        <v>6</v>
      </c>
      <c r="X109" s="555">
        <f>SUMIF(FLOAT!$D:$D,Cockpit!$E$5:$E$146,FLOAT!F:F)</f>
        <v>0</v>
      </c>
      <c r="Y109" s="15">
        <v>6</v>
      </c>
      <c r="Z109" s="455">
        <v>6</v>
      </c>
      <c r="AA109" s="49"/>
      <c r="AB109" s="15"/>
      <c r="AC109" s="15"/>
      <c r="AD109" s="54"/>
      <c r="AE109" s="147"/>
      <c r="AF109" s="50"/>
      <c r="AG109" s="281"/>
      <c r="AH109" s="62">
        <f>SUMIF(FLOAT!$D:$D,Cockpit!$E109:$E244,FLOAT!G:G)</f>
        <v>0</v>
      </c>
      <c r="AI109" s="62">
        <f>SUMIF(FLOAT!$D:$D,Cockpit!$E109:$E244,FLOAT!H:H)</f>
        <v>0</v>
      </c>
      <c r="AJ109" s="62">
        <f>SUMIF(FLOAT!$D:$D,Cockpit!$E109:$E244,FLOAT!I:I)</f>
        <v>0</v>
      </c>
      <c r="AK109" s="62">
        <f>SUMIF(FLOAT!$D:$D,Cockpit!$E109:$E244,FLOAT!J:J)</f>
        <v>0</v>
      </c>
      <c r="AL109" s="62">
        <f>SUMIF(FLOAT!$D:$D,Cockpit!$E109:$E244,FLOAT!K:K)</f>
        <v>0</v>
      </c>
      <c r="AM109" s="62">
        <f>SUMIF(FLOAT!$D:$D,Cockpit!$E109:$E244,FLOAT!L:L)</f>
        <v>0</v>
      </c>
      <c r="AN109" s="62">
        <f>SUMIF(FLOAT!$D:$D,Cockpit!$E109:$E244,FLOAT!M:M)</f>
        <v>0</v>
      </c>
      <c r="AO109" s="62">
        <f>SUMIF(FLOAT!$D:$D,Cockpit!$E109:$E244,FLOAT!N:N)</f>
        <v>0</v>
      </c>
      <c r="AP109" s="62">
        <f>SUMIF(FLOAT!$D:$D,Cockpit!$E109:$E244,FLOAT!O:O)</f>
        <v>0</v>
      </c>
      <c r="AQ109" s="62">
        <f>SUMIF(FLOAT!$D:$D,Cockpit!$E109:$E244,FLOAT!P:P)</f>
        <v>0</v>
      </c>
      <c r="AR109" s="60">
        <f t="shared" si="11"/>
        <v>0</v>
      </c>
      <c r="AS109" s="238"/>
    </row>
    <row r="110" spans="1:45" s="17" customFormat="1" ht="21.75" hidden="1" thickBot="1" x14ac:dyDescent="0.35">
      <c r="A110" s="2"/>
      <c r="B110" s="97"/>
      <c r="C110" s="70"/>
      <c r="D110" s="696">
        <v>544254640199</v>
      </c>
      <c r="E110" s="686" t="s">
        <v>496</v>
      </c>
      <c r="F110" s="661" t="s">
        <v>497</v>
      </c>
      <c r="G110" s="71">
        <f>IFERROR(VLOOKUP(E110:E110,[1]Sheet4!$O:$P,2,0),0)</f>
        <v>0</v>
      </c>
      <c r="H110" s="230">
        <f t="shared" si="15"/>
        <v>0</v>
      </c>
      <c r="I110" s="232">
        <v>0</v>
      </c>
      <c r="J110" s="214">
        <f t="shared" si="16"/>
        <v>0</v>
      </c>
      <c r="K110" s="76">
        <f t="shared" si="16"/>
        <v>0</v>
      </c>
      <c r="L110" s="155">
        <f t="shared" si="17"/>
        <v>0</v>
      </c>
      <c r="M110" s="77">
        <f t="shared" si="18"/>
        <v>0</v>
      </c>
      <c r="N110" s="30">
        <f>SUMIF('3 D P'!$D:$D,Cockpit!$E$5:$E$146,'3 D P'!L:L)</f>
        <v>0</v>
      </c>
      <c r="O110" s="30">
        <f>SUMIF('3 D P'!$D:$D,Cockpit!$E$5:$E$146,'3 D P'!M:M)</f>
        <v>0</v>
      </c>
      <c r="P110" s="30">
        <f>SUMIF('3 D P'!$D:$D,Cockpit!$E$5:$E$146,'3 D P'!N:N)</f>
        <v>0</v>
      </c>
      <c r="Q110" s="132">
        <f>IFERROR(VLOOKUP($D110,'Aptiv Dispatch'!$A:$B,2,FALSE),0)</f>
        <v>0</v>
      </c>
      <c r="R110" s="34">
        <f>SUMIF('Consumption MTD'!B:B,Cockpit!$E$5:$E$146,'Consumption MTD'!C:C)</f>
        <v>0</v>
      </c>
      <c r="S110" s="34">
        <f>SUMIF('BIW Lifting A Shift'!$B:$B,Cockpit!$E$5:$E$146,'BIW Lifting A Shift'!C:C)</f>
        <v>0</v>
      </c>
      <c r="T110" s="34">
        <f>SUMIF('BIW Lifting B Shift'!$B:$B,Cockpit!$E$5:$E$146,'BIW Lifting B Shift'!C:C)</f>
        <v>0</v>
      </c>
      <c r="U110" s="74">
        <f t="shared" si="19"/>
        <v>0</v>
      </c>
      <c r="V110" s="74">
        <f t="shared" si="20"/>
        <v>0</v>
      </c>
      <c r="W110" s="457">
        <f t="shared" si="21"/>
        <v>0</v>
      </c>
      <c r="X110" s="555">
        <f>SUMIF(FLOAT!$D:$D,Cockpit!$E$5:$E$146,FLOAT!F:F)</f>
        <v>0</v>
      </c>
      <c r="Y110" s="15">
        <v>0</v>
      </c>
      <c r="Z110" s="455">
        <v>0</v>
      </c>
      <c r="AA110" s="49"/>
      <c r="AB110" s="15"/>
      <c r="AC110" s="15"/>
      <c r="AD110" s="54"/>
      <c r="AE110" s="147"/>
      <c r="AF110" s="50"/>
      <c r="AG110" s="281"/>
      <c r="AH110" s="62">
        <f>SUMIF(FLOAT!$D:$D,Cockpit!$E110:$E245,FLOAT!G:G)</f>
        <v>0</v>
      </c>
      <c r="AI110" s="62">
        <f>SUMIF(FLOAT!$D:$D,Cockpit!$E110:$E245,FLOAT!H:H)</f>
        <v>0</v>
      </c>
      <c r="AJ110" s="62">
        <f>SUMIF(FLOAT!$D:$D,Cockpit!$E110:$E245,FLOAT!I:I)</f>
        <v>0</v>
      </c>
      <c r="AK110" s="62">
        <f>SUMIF(FLOAT!$D:$D,Cockpit!$E110:$E245,FLOAT!J:J)</f>
        <v>0</v>
      </c>
      <c r="AL110" s="62">
        <f>SUMIF(FLOAT!$D:$D,Cockpit!$E110:$E245,FLOAT!K:K)</f>
        <v>0</v>
      </c>
      <c r="AM110" s="62">
        <f>SUMIF(FLOAT!$D:$D,Cockpit!$E110:$E245,FLOAT!L:L)</f>
        <v>0</v>
      </c>
      <c r="AN110" s="62">
        <f>SUMIF(FLOAT!$D:$D,Cockpit!$E110:$E245,FLOAT!M:M)</f>
        <v>0</v>
      </c>
      <c r="AO110" s="62">
        <f>SUMIF(FLOAT!$D:$D,Cockpit!$E110:$E245,FLOAT!N:N)</f>
        <v>0</v>
      </c>
      <c r="AP110" s="62">
        <f>SUMIF(FLOAT!$D:$D,Cockpit!$E110:$E245,FLOAT!O:O)</f>
        <v>0</v>
      </c>
      <c r="AQ110" s="62">
        <f>SUMIF(FLOAT!$D:$D,Cockpit!$E110:$E245,FLOAT!P:P)</f>
        <v>0</v>
      </c>
      <c r="AR110" s="60">
        <f t="shared" si="11"/>
        <v>0</v>
      </c>
      <c r="AS110" s="238"/>
    </row>
    <row r="111" spans="1:45" s="17" customFormat="1" ht="21.75" hidden="1" thickBot="1" x14ac:dyDescent="0.35">
      <c r="A111" s="2"/>
      <c r="B111" s="97"/>
      <c r="C111" s="70"/>
      <c r="D111" s="696">
        <v>544254640217</v>
      </c>
      <c r="E111" s="686" t="s">
        <v>498</v>
      </c>
      <c r="F111" s="661" t="s">
        <v>499</v>
      </c>
      <c r="G111" s="71">
        <f>IFERROR(VLOOKUP(E111:E111,[1]Sheet4!$O:$P,2,0),0)</f>
        <v>0</v>
      </c>
      <c r="H111" s="230">
        <f t="shared" si="15"/>
        <v>0</v>
      </c>
      <c r="I111" s="232">
        <v>7</v>
      </c>
      <c r="J111" s="214">
        <f t="shared" si="16"/>
        <v>0</v>
      </c>
      <c r="K111" s="76">
        <f t="shared" si="16"/>
        <v>0</v>
      </c>
      <c r="L111" s="155">
        <f t="shared" si="17"/>
        <v>0</v>
      </c>
      <c r="M111" s="77">
        <f t="shared" si="18"/>
        <v>7</v>
      </c>
      <c r="N111" s="30">
        <f>SUMIF('3 D P'!$D:$D,Cockpit!$E$5:$E$146,'3 D P'!L:L)</f>
        <v>0</v>
      </c>
      <c r="O111" s="30">
        <f>SUMIF('3 D P'!$D:$D,Cockpit!$E$5:$E$146,'3 D P'!M:M)</f>
        <v>0</v>
      </c>
      <c r="P111" s="30">
        <f>SUMIF('3 D P'!$D:$D,Cockpit!$E$5:$E$146,'3 D P'!N:N)</f>
        <v>0</v>
      </c>
      <c r="Q111" s="132">
        <f>IFERROR(VLOOKUP($D111,'Aptiv Dispatch'!$A:$B,2,FALSE),0)</f>
        <v>0</v>
      </c>
      <c r="R111" s="34">
        <f>SUMIF('Consumption MTD'!B:B,Cockpit!$E$5:$E$146,'Consumption MTD'!C:C)</f>
        <v>0</v>
      </c>
      <c r="S111" s="34">
        <f>SUMIF('BIW Lifting A Shift'!$B:$B,Cockpit!$E$5:$E$146,'BIW Lifting A Shift'!C:C)</f>
        <v>0</v>
      </c>
      <c r="T111" s="34">
        <f>SUMIF('BIW Lifting B Shift'!$B:$B,Cockpit!$E$5:$E$146,'BIW Lifting B Shift'!C:C)</f>
        <v>0</v>
      </c>
      <c r="U111" s="74">
        <f t="shared" si="19"/>
        <v>7</v>
      </c>
      <c r="V111" s="74">
        <f t="shared" si="20"/>
        <v>7</v>
      </c>
      <c r="W111" s="457">
        <f t="shared" si="21"/>
        <v>7</v>
      </c>
      <c r="X111" s="555">
        <f>SUMIF(FLOAT!$D:$D,Cockpit!$E$5:$E$146,FLOAT!F:F)</f>
        <v>0</v>
      </c>
      <c r="Y111" s="15">
        <v>7</v>
      </c>
      <c r="Z111" s="455">
        <v>7</v>
      </c>
      <c r="AA111" s="49"/>
      <c r="AB111" s="15"/>
      <c r="AC111" s="15"/>
      <c r="AD111" s="54"/>
      <c r="AE111" s="147"/>
      <c r="AF111" s="50"/>
      <c r="AG111" s="281"/>
      <c r="AH111" s="62">
        <f>SUMIF(FLOAT!$D:$D,Cockpit!$E111:$E246,FLOAT!G:G)</f>
        <v>0</v>
      </c>
      <c r="AI111" s="62">
        <f>SUMIF(FLOAT!$D:$D,Cockpit!$E111:$E246,FLOAT!H:H)</f>
        <v>0</v>
      </c>
      <c r="AJ111" s="62">
        <f>SUMIF(FLOAT!$D:$D,Cockpit!$E111:$E246,FLOAT!I:I)</f>
        <v>0</v>
      </c>
      <c r="AK111" s="62">
        <f>SUMIF(FLOAT!$D:$D,Cockpit!$E111:$E246,FLOAT!J:J)</f>
        <v>0</v>
      </c>
      <c r="AL111" s="62">
        <f>SUMIF(FLOAT!$D:$D,Cockpit!$E111:$E246,FLOAT!K:K)</f>
        <v>0</v>
      </c>
      <c r="AM111" s="62">
        <f>SUMIF(FLOAT!$D:$D,Cockpit!$E111:$E246,FLOAT!L:L)</f>
        <v>0</v>
      </c>
      <c r="AN111" s="62">
        <f>SUMIF(FLOAT!$D:$D,Cockpit!$E111:$E246,FLOAT!M:M)</f>
        <v>0</v>
      </c>
      <c r="AO111" s="62">
        <f>SUMIF(FLOAT!$D:$D,Cockpit!$E111:$E246,FLOAT!N:N)</f>
        <v>0</v>
      </c>
      <c r="AP111" s="62">
        <f>SUMIF(FLOAT!$D:$D,Cockpit!$E111:$E246,FLOAT!O:O)</f>
        <v>0</v>
      </c>
      <c r="AQ111" s="62">
        <f>SUMIF(FLOAT!$D:$D,Cockpit!$E111:$E246,FLOAT!P:P)</f>
        <v>0</v>
      </c>
      <c r="AR111" s="60">
        <f t="shared" si="11"/>
        <v>0</v>
      </c>
      <c r="AS111" s="238"/>
    </row>
    <row r="112" spans="1:45" s="17" customFormat="1" ht="21.75" hidden="1" thickBot="1" x14ac:dyDescent="0.35">
      <c r="A112" s="2"/>
      <c r="B112" s="97"/>
      <c r="C112" s="70"/>
      <c r="D112" s="696">
        <v>544254630871</v>
      </c>
      <c r="E112" s="686" t="s">
        <v>500</v>
      </c>
      <c r="F112" s="660" t="s">
        <v>501</v>
      </c>
      <c r="G112" s="71">
        <f>IFERROR(VLOOKUP(E112:E112,[1]Sheet4!$O:$P,2,0),0)</f>
        <v>0</v>
      </c>
      <c r="H112" s="230">
        <f t="shared" si="15"/>
        <v>0</v>
      </c>
      <c r="I112" s="232">
        <v>4</v>
      </c>
      <c r="J112" s="214">
        <f t="shared" si="16"/>
        <v>0</v>
      </c>
      <c r="K112" s="76">
        <f t="shared" si="16"/>
        <v>0</v>
      </c>
      <c r="L112" s="155">
        <f t="shared" si="17"/>
        <v>0</v>
      </c>
      <c r="M112" s="77">
        <f t="shared" si="18"/>
        <v>4</v>
      </c>
      <c r="N112" s="30">
        <f>SUMIF('3 D P'!$D:$D,Cockpit!$E$5:$E$146,'3 D P'!L:L)</f>
        <v>0</v>
      </c>
      <c r="O112" s="30">
        <f>SUMIF('3 D P'!$D:$D,Cockpit!$E$5:$E$146,'3 D P'!M:M)</f>
        <v>0</v>
      </c>
      <c r="P112" s="30">
        <f>SUMIF('3 D P'!$D:$D,Cockpit!$E$5:$E$146,'3 D P'!N:N)</f>
        <v>0</v>
      </c>
      <c r="Q112" s="132">
        <f>IFERROR(VLOOKUP($D112,'Aptiv Dispatch'!$A:$B,2,FALSE),0)</f>
        <v>0</v>
      </c>
      <c r="R112" s="34">
        <f>SUMIF('Consumption MTD'!B:B,Cockpit!$E$5:$E$146,'Consumption MTD'!C:C)</f>
        <v>0</v>
      </c>
      <c r="S112" s="34">
        <f>SUMIF('BIW Lifting A Shift'!$B:$B,Cockpit!$E$5:$E$146,'BIW Lifting A Shift'!C:C)</f>
        <v>0</v>
      </c>
      <c r="T112" s="34">
        <f>SUMIF('BIW Lifting B Shift'!$B:$B,Cockpit!$E$5:$E$146,'BIW Lifting B Shift'!C:C)</f>
        <v>0</v>
      </c>
      <c r="U112" s="74">
        <f t="shared" si="19"/>
        <v>4</v>
      </c>
      <c r="V112" s="74">
        <f t="shared" si="20"/>
        <v>4</v>
      </c>
      <c r="W112" s="457">
        <f t="shared" si="21"/>
        <v>4</v>
      </c>
      <c r="X112" s="555">
        <f>SUMIF(FLOAT!$D:$D,Cockpit!$E$5:$E$146,FLOAT!F:F)</f>
        <v>0</v>
      </c>
      <c r="Y112" s="15">
        <v>4</v>
      </c>
      <c r="Z112" s="455">
        <v>4</v>
      </c>
      <c r="AA112" s="49"/>
      <c r="AB112" s="15"/>
      <c r="AC112" s="15"/>
      <c r="AD112" s="54"/>
      <c r="AE112" s="147"/>
      <c r="AF112" s="50"/>
      <c r="AG112" s="281"/>
      <c r="AH112" s="62">
        <f>SUMIF(FLOAT!$D:$D,Cockpit!$E112:$E247,FLOAT!G:G)</f>
        <v>0</v>
      </c>
      <c r="AI112" s="62">
        <f>SUMIF(FLOAT!$D:$D,Cockpit!$E112:$E247,FLOAT!H:H)</f>
        <v>0</v>
      </c>
      <c r="AJ112" s="62">
        <f>SUMIF(FLOAT!$D:$D,Cockpit!$E112:$E247,FLOAT!I:I)</f>
        <v>0</v>
      </c>
      <c r="AK112" s="62">
        <f>SUMIF(FLOAT!$D:$D,Cockpit!$E112:$E247,FLOAT!J:J)</f>
        <v>0</v>
      </c>
      <c r="AL112" s="62">
        <f>SUMIF(FLOAT!$D:$D,Cockpit!$E112:$E247,FLOAT!K:K)</f>
        <v>0</v>
      </c>
      <c r="AM112" s="62">
        <f>SUMIF(FLOAT!$D:$D,Cockpit!$E112:$E247,FLOAT!L:L)</f>
        <v>0</v>
      </c>
      <c r="AN112" s="62">
        <f>SUMIF(FLOAT!$D:$D,Cockpit!$E112:$E247,FLOAT!M:M)</f>
        <v>0</v>
      </c>
      <c r="AO112" s="62">
        <f>SUMIF(FLOAT!$D:$D,Cockpit!$E112:$E247,FLOAT!N:N)</f>
        <v>0</v>
      </c>
      <c r="AP112" s="62">
        <f>SUMIF(FLOAT!$D:$D,Cockpit!$E112:$E247,FLOAT!O:O)</f>
        <v>0</v>
      </c>
      <c r="AQ112" s="62">
        <f>SUMIF(FLOAT!$D:$D,Cockpit!$E112:$E247,FLOAT!P:P)</f>
        <v>0</v>
      </c>
      <c r="AR112" s="60">
        <f t="shared" si="11"/>
        <v>0</v>
      </c>
      <c r="AS112" s="238"/>
    </row>
    <row r="113" spans="1:45" s="17" customFormat="1" ht="21.75" hidden="1" thickBot="1" x14ac:dyDescent="0.35">
      <c r="A113" s="2"/>
      <c r="B113" s="97"/>
      <c r="C113" s="70"/>
      <c r="D113" s="696">
        <v>544254640267</v>
      </c>
      <c r="E113" s="686" t="s">
        <v>433</v>
      </c>
      <c r="F113" s="660" t="s">
        <v>556</v>
      </c>
      <c r="G113" s="71">
        <f>IFERROR(VLOOKUP(E113:E113,[1]Sheet4!$O:$P,2,0),0)</f>
        <v>0</v>
      </c>
      <c r="H113" s="230">
        <f t="shared" si="15"/>
        <v>0</v>
      </c>
      <c r="I113" s="232">
        <v>3</v>
      </c>
      <c r="J113" s="214">
        <f t="shared" si="16"/>
        <v>0</v>
      </c>
      <c r="K113" s="76">
        <f t="shared" si="16"/>
        <v>0</v>
      </c>
      <c r="L113" s="155">
        <f t="shared" si="17"/>
        <v>0</v>
      </c>
      <c r="M113" s="77">
        <f t="shared" si="18"/>
        <v>3</v>
      </c>
      <c r="N113" s="30">
        <f>SUMIF('3 D P'!$D:$D,Cockpit!$E$5:$E$146,'3 D P'!L:L)</f>
        <v>0</v>
      </c>
      <c r="O113" s="30">
        <f>SUMIF('3 D P'!$D:$D,Cockpit!$E$5:$E$146,'3 D P'!M:M)</f>
        <v>0</v>
      </c>
      <c r="P113" s="30">
        <f>SUMIF('3 D P'!$D:$D,Cockpit!$E$5:$E$146,'3 D P'!N:N)</f>
        <v>0</v>
      </c>
      <c r="Q113" s="132">
        <f>IFERROR(VLOOKUP($D113,'Aptiv Dispatch'!$A:$B,2,FALSE),0)</f>
        <v>0</v>
      </c>
      <c r="R113" s="34">
        <f>SUMIF('Consumption MTD'!B:B,Cockpit!$E$5:$E$146,'Consumption MTD'!C:C)</f>
        <v>0</v>
      </c>
      <c r="S113" s="34">
        <f>SUMIF('BIW Lifting A Shift'!$B:$B,Cockpit!$E$5:$E$146,'BIW Lifting A Shift'!C:C)</f>
        <v>0</v>
      </c>
      <c r="T113" s="34">
        <f>SUMIF('BIW Lifting B Shift'!$B:$B,Cockpit!$E$5:$E$146,'BIW Lifting B Shift'!C:C)</f>
        <v>0</v>
      </c>
      <c r="U113" s="74">
        <f t="shared" si="19"/>
        <v>3</v>
      </c>
      <c r="V113" s="74">
        <f t="shared" si="20"/>
        <v>3</v>
      </c>
      <c r="W113" s="457">
        <f t="shared" si="21"/>
        <v>3</v>
      </c>
      <c r="X113" s="555">
        <f>SUMIF(FLOAT!$D:$D,Cockpit!$E$5:$E$146,FLOAT!F:F)</f>
        <v>0</v>
      </c>
      <c r="Y113" s="15">
        <v>3</v>
      </c>
      <c r="Z113" s="455">
        <v>3</v>
      </c>
      <c r="AA113" s="49"/>
      <c r="AB113" s="15"/>
      <c r="AC113" s="15"/>
      <c r="AD113" s="54"/>
      <c r="AE113" s="147"/>
      <c r="AF113" s="50"/>
      <c r="AG113" s="281"/>
      <c r="AH113" s="62">
        <f>SUMIF(FLOAT!$D:$D,Cockpit!$E113:$E248,FLOAT!G:G)</f>
        <v>0</v>
      </c>
      <c r="AI113" s="62">
        <f>SUMIF(FLOAT!$D:$D,Cockpit!$E113:$E248,FLOAT!H:H)</f>
        <v>0</v>
      </c>
      <c r="AJ113" s="62">
        <f>SUMIF(FLOAT!$D:$D,Cockpit!$E113:$E248,FLOAT!I:I)</f>
        <v>0</v>
      </c>
      <c r="AK113" s="62">
        <f>SUMIF(FLOAT!$D:$D,Cockpit!$E113:$E248,FLOAT!J:J)</f>
        <v>0</v>
      </c>
      <c r="AL113" s="62">
        <f>SUMIF(FLOAT!$D:$D,Cockpit!$E113:$E248,FLOAT!K:K)</f>
        <v>0</v>
      </c>
      <c r="AM113" s="62">
        <f>SUMIF(FLOAT!$D:$D,Cockpit!$E113:$E248,FLOAT!L:L)</f>
        <v>0</v>
      </c>
      <c r="AN113" s="62">
        <f>SUMIF(FLOAT!$D:$D,Cockpit!$E113:$E248,FLOAT!M:M)</f>
        <v>0</v>
      </c>
      <c r="AO113" s="62">
        <f>SUMIF(FLOAT!$D:$D,Cockpit!$E113:$E248,FLOAT!N:N)</f>
        <v>0</v>
      </c>
      <c r="AP113" s="62">
        <f>SUMIF(FLOAT!$D:$D,Cockpit!$E113:$E248,FLOAT!O:O)</f>
        <v>0</v>
      </c>
      <c r="AQ113" s="62">
        <f>SUMIF(FLOAT!$D:$D,Cockpit!$E113:$E248,FLOAT!P:P)</f>
        <v>0</v>
      </c>
      <c r="AR113" s="60">
        <f t="shared" si="11"/>
        <v>0</v>
      </c>
      <c r="AS113" s="238"/>
    </row>
    <row r="114" spans="1:45" s="17" customFormat="1" ht="21.75" hidden="1" thickBot="1" x14ac:dyDescent="0.35">
      <c r="A114" s="2"/>
      <c r="B114" s="97"/>
      <c r="C114" s="70"/>
      <c r="D114" s="696">
        <v>544254610241</v>
      </c>
      <c r="E114" s="686" t="s">
        <v>363</v>
      </c>
      <c r="F114" s="657" t="s">
        <v>362</v>
      </c>
      <c r="G114" s="71">
        <f>IFERROR(VLOOKUP(E114:E114,[1]Sheet4!$O:$P,2,0),0)</f>
        <v>0</v>
      </c>
      <c r="H114" s="230">
        <f t="shared" si="15"/>
        <v>0</v>
      </c>
      <c r="I114" s="232">
        <v>23</v>
      </c>
      <c r="J114" s="214">
        <f>Q114</f>
        <v>0</v>
      </c>
      <c r="K114" s="76">
        <f>R114</f>
        <v>0</v>
      </c>
      <c r="L114" s="155">
        <f>H114-K114</f>
        <v>0</v>
      </c>
      <c r="M114" s="77">
        <f>I114+J114-K114</f>
        <v>23</v>
      </c>
      <c r="N114" s="30">
        <f>SUMIF('3 D P'!$D:$D,Cockpit!$E$5:$E$146,'3 D P'!L:L)</f>
        <v>0</v>
      </c>
      <c r="O114" s="30">
        <f>SUMIF('3 D P'!$D:$D,Cockpit!$E$5:$E$146,'3 D P'!M:M)</f>
        <v>0</v>
      </c>
      <c r="P114" s="30">
        <f>SUMIF('3 D P'!$D:$D,Cockpit!$E$5:$E$146,'3 D P'!N:N)</f>
        <v>0</v>
      </c>
      <c r="Q114" s="132">
        <f>IFERROR(VLOOKUP($D114,'Aptiv Dispatch'!$A:$B,2,FALSE),0)</f>
        <v>0</v>
      </c>
      <c r="R114" s="34">
        <f>SUMIF('Consumption MTD'!B:B,Cockpit!$E$5:$E$146,'Consumption MTD'!C:C)</f>
        <v>0</v>
      </c>
      <c r="S114" s="34">
        <f>SUMIF('BIW Lifting A Shift'!$B:$B,Cockpit!$E$5:$E$146,'BIW Lifting A Shift'!C:C)</f>
        <v>0</v>
      </c>
      <c r="T114" s="34">
        <f>SUMIF('BIW Lifting B Shift'!$B:$B,Cockpit!$E$5:$E$146,'BIW Lifting B Shift'!C:C)</f>
        <v>0</v>
      </c>
      <c r="U114" s="74">
        <f>M114-X114</f>
        <v>23</v>
      </c>
      <c r="V114" s="74">
        <f>M114-S114-X114</f>
        <v>23</v>
      </c>
      <c r="W114" s="457">
        <f>V114-T114</f>
        <v>23</v>
      </c>
      <c r="X114" s="555">
        <f>SUMIF(FLOAT!$D:$D,Cockpit!$E$5:$E$146,FLOAT!F:F)</f>
        <v>0</v>
      </c>
      <c r="Y114" s="15">
        <v>23</v>
      </c>
      <c r="Z114" s="455">
        <v>23</v>
      </c>
      <c r="AA114" s="49"/>
      <c r="AB114" s="15"/>
      <c r="AC114" s="15"/>
      <c r="AD114" s="54"/>
      <c r="AE114" s="147"/>
      <c r="AF114" s="50"/>
      <c r="AG114" s="281"/>
      <c r="AH114" s="62">
        <f>SUMIF(FLOAT!$D:$D,Cockpit!$E114:$E250,FLOAT!G:G)</f>
        <v>0</v>
      </c>
      <c r="AI114" s="62">
        <f>SUMIF(FLOAT!$D:$D,Cockpit!$E114:$E250,FLOAT!H:H)</f>
        <v>0</v>
      </c>
      <c r="AJ114" s="62">
        <f>SUMIF(FLOAT!$D:$D,Cockpit!$E114:$E250,FLOAT!I:I)</f>
        <v>0</v>
      </c>
      <c r="AK114" s="62">
        <f>SUMIF(FLOAT!$D:$D,Cockpit!$E114:$E250,FLOAT!J:J)</f>
        <v>0</v>
      </c>
      <c r="AL114" s="62">
        <f>SUMIF(FLOAT!$D:$D,Cockpit!$E114:$E250,FLOAT!K:K)</f>
        <v>0</v>
      </c>
      <c r="AM114" s="62">
        <f>SUMIF(FLOAT!$D:$D,Cockpit!$E114:$E250,FLOAT!L:L)</f>
        <v>0</v>
      </c>
      <c r="AN114" s="62">
        <f>SUMIF(FLOAT!$D:$D,Cockpit!$E114:$E250,FLOAT!M:M)</f>
        <v>0</v>
      </c>
      <c r="AO114" s="62">
        <f>SUMIF(FLOAT!$D:$D,Cockpit!$E114:$E250,FLOAT!N:N)</f>
        <v>0</v>
      </c>
      <c r="AP114" s="62">
        <f>SUMIF(FLOAT!$D:$D,Cockpit!$E114:$E250,FLOAT!O:O)</f>
        <v>0</v>
      </c>
      <c r="AQ114" s="62">
        <f>SUMIF(FLOAT!$D:$D,Cockpit!$E114:$E250,FLOAT!P:P)</f>
        <v>0</v>
      </c>
      <c r="AR114" s="60">
        <f>AH114+AI114+AJ114+AK114+AL114+AM114+AO114+AP114+AQ114</f>
        <v>0</v>
      </c>
      <c r="AS114" s="238"/>
    </row>
    <row r="115" spans="1:45" s="17" customFormat="1" ht="21.75" hidden="1" thickBot="1" x14ac:dyDescent="0.35">
      <c r="A115" s="2"/>
      <c r="B115" s="97"/>
      <c r="C115" s="70"/>
      <c r="D115" s="696">
        <v>544254640248</v>
      </c>
      <c r="E115" s="687" t="s">
        <v>432</v>
      </c>
      <c r="F115" s="660" t="s">
        <v>435</v>
      </c>
      <c r="G115" s="71">
        <f>IFERROR(VLOOKUP(E115:E115,[1]Sheet4!$O:$P,2,0),0)</f>
        <v>0</v>
      </c>
      <c r="H115" s="230">
        <f t="shared" si="15"/>
        <v>0</v>
      </c>
      <c r="I115" s="232">
        <v>13</v>
      </c>
      <c r="J115" s="214">
        <f>Q115</f>
        <v>0</v>
      </c>
      <c r="K115" s="76">
        <f>R115</f>
        <v>0</v>
      </c>
      <c r="L115" s="155">
        <f>H115-K115</f>
        <v>0</v>
      </c>
      <c r="M115" s="77">
        <f>I115+J115-K115</f>
        <v>13</v>
      </c>
      <c r="N115" s="30">
        <f>SUMIF('3 D P'!$D:$D,Cockpit!$E$5:$E$146,'3 D P'!L:L)</f>
        <v>0</v>
      </c>
      <c r="O115" s="30">
        <f>SUMIF('3 D P'!$D:$D,Cockpit!$E$5:$E$146,'3 D P'!M:M)</f>
        <v>0</v>
      </c>
      <c r="P115" s="30">
        <f>SUMIF('3 D P'!$D:$D,Cockpit!$E$5:$E$146,'3 D P'!N:N)</f>
        <v>0</v>
      </c>
      <c r="Q115" s="132">
        <f>IFERROR(VLOOKUP($D115,'Aptiv Dispatch'!$A:$B,2,FALSE),0)</f>
        <v>0</v>
      </c>
      <c r="R115" s="34">
        <f>SUMIF('Consumption MTD'!B:B,Cockpit!$E$5:$E$146,'Consumption MTD'!C:C)</f>
        <v>0</v>
      </c>
      <c r="S115" s="34">
        <f>SUMIF('BIW Lifting A Shift'!$B:$B,Cockpit!$E$5:$E$146,'BIW Lifting A Shift'!C:C)</f>
        <v>0</v>
      </c>
      <c r="T115" s="34">
        <f>SUMIF('BIW Lifting B Shift'!$B:$B,Cockpit!$E$5:$E$146,'BIW Lifting B Shift'!C:C)</f>
        <v>0</v>
      </c>
      <c r="U115" s="74">
        <f>M115-X115</f>
        <v>13</v>
      </c>
      <c r="V115" s="74">
        <f>M115-S115-X115</f>
        <v>13</v>
      </c>
      <c r="W115" s="457">
        <f>V115-T115</f>
        <v>13</v>
      </c>
      <c r="X115" s="555">
        <f>SUMIF(FLOAT!$D:$D,Cockpit!$E$5:$E$146,FLOAT!F:F)</f>
        <v>0</v>
      </c>
      <c r="Y115" s="15">
        <v>9</v>
      </c>
      <c r="Z115" s="455">
        <v>48</v>
      </c>
      <c r="AA115" s="49"/>
      <c r="AB115" s="15"/>
      <c r="AC115" s="15"/>
      <c r="AD115" s="54"/>
      <c r="AE115" s="147"/>
      <c r="AF115" s="50"/>
      <c r="AG115" s="281"/>
      <c r="AH115" s="62">
        <f>SUMIF(FLOAT!$D:$D,Cockpit!$E115:$E251,FLOAT!G:G)</f>
        <v>0</v>
      </c>
      <c r="AI115" s="62">
        <f>SUMIF(FLOAT!$D:$D,Cockpit!$E115:$E251,FLOAT!H:H)</f>
        <v>0</v>
      </c>
      <c r="AJ115" s="283">
        <f>SUMIF(FLOAT!$D:$D,Cockpit!$E115:$E251,FLOAT!I:I)</f>
        <v>0</v>
      </c>
      <c r="AK115" s="62">
        <f>SUMIF(FLOAT!$D:$D,Cockpit!$E115:$E251,FLOAT!J:J)</f>
        <v>0</v>
      </c>
      <c r="AL115" s="62">
        <f>SUMIF(FLOAT!$D:$D,Cockpit!$E115:$E251,FLOAT!K:K)</f>
        <v>0</v>
      </c>
      <c r="AM115" s="62">
        <f>SUMIF(FLOAT!$D:$D,Cockpit!$E115:$E251,FLOAT!L:L)</f>
        <v>0</v>
      </c>
      <c r="AN115" s="62">
        <f>SUMIF(FLOAT!$D:$D,Cockpit!$E115:$E251,FLOAT!M:M)</f>
        <v>0</v>
      </c>
      <c r="AO115" s="62">
        <f>SUMIF(FLOAT!$D:$D,Cockpit!$E115:$E251,FLOAT!N:N)</f>
        <v>0</v>
      </c>
      <c r="AP115" s="62">
        <f>SUMIF(FLOAT!$D:$D,Cockpit!$E115:$E251,FLOAT!O:O)</f>
        <v>0</v>
      </c>
      <c r="AQ115" s="62">
        <f>SUMIF(FLOAT!$D:$D,Cockpit!$E115:$E251,FLOAT!P:P)</f>
        <v>0</v>
      </c>
      <c r="AR115" s="60">
        <f>AH115+AI115+AJ115+AK115+AL115+AM115+AO115+AP115+AQ115</f>
        <v>0</v>
      </c>
      <c r="AS115" s="238"/>
    </row>
    <row r="116" spans="1:45" s="17" customFormat="1" ht="21.75" hidden="1" thickBot="1" x14ac:dyDescent="0.35">
      <c r="A116" s="2"/>
      <c r="B116" s="97"/>
      <c r="C116" s="70"/>
      <c r="D116" s="696">
        <v>544254640251</v>
      </c>
      <c r="E116" s="686" t="s">
        <v>420</v>
      </c>
      <c r="F116" s="658" t="s">
        <v>503</v>
      </c>
      <c r="G116" s="71">
        <f>IFERROR(VLOOKUP(E116:E116,[1]Sheet4!$O:$P,2,0),0)</f>
        <v>0</v>
      </c>
      <c r="H116" s="230">
        <f t="shared" ref="H116:H135" si="22">G116</f>
        <v>0</v>
      </c>
      <c r="I116" s="232">
        <v>5</v>
      </c>
      <c r="J116" s="214">
        <f t="shared" ref="J116:K135" si="23">Q116</f>
        <v>0</v>
      </c>
      <c r="K116" s="76">
        <f t="shared" si="23"/>
        <v>0</v>
      </c>
      <c r="L116" s="155">
        <f t="shared" ref="L116:L135" si="24">H116-K116</f>
        <v>0</v>
      </c>
      <c r="M116" s="77">
        <f t="shared" ref="M116:M135" si="25">I116+J116-K116</f>
        <v>5</v>
      </c>
      <c r="N116" s="30">
        <f>SUMIF('3 D P'!$D:$D,Cockpit!$E$5:$E$146,'3 D P'!L:L)</f>
        <v>0</v>
      </c>
      <c r="O116" s="30">
        <f>SUMIF('3 D P'!$D:$D,Cockpit!$E$5:$E$146,'3 D P'!M:M)</f>
        <v>0</v>
      </c>
      <c r="P116" s="30">
        <f>SUMIF('3 D P'!$D:$D,Cockpit!$E$5:$E$146,'3 D P'!N:N)</f>
        <v>0</v>
      </c>
      <c r="Q116" s="132">
        <f>IFERROR(VLOOKUP($D116,'Aptiv Dispatch'!$A:$B,2,FALSE),0)</f>
        <v>0</v>
      </c>
      <c r="R116" s="34">
        <f>SUMIF('Consumption MTD'!B:B,Cockpit!$E$5:$E$146,'Consumption MTD'!C:C)</f>
        <v>0</v>
      </c>
      <c r="S116" s="34">
        <f>SUMIF('BIW Lifting A Shift'!$B:$B,Cockpit!$E$5:$E$146,'BIW Lifting A Shift'!C:C)</f>
        <v>0</v>
      </c>
      <c r="T116" s="34">
        <f>SUMIF('BIW Lifting B Shift'!$B:$B,Cockpit!$E$5:$E$146,'BIW Lifting B Shift'!C:C)</f>
        <v>0</v>
      </c>
      <c r="U116" s="74">
        <f t="shared" ref="U116:U135" si="26">M116-X116</f>
        <v>5</v>
      </c>
      <c r="V116" s="74">
        <f t="shared" ref="V116:V135" si="27">M116-S116-X116</f>
        <v>5</v>
      </c>
      <c r="W116" s="457">
        <f t="shared" ref="W116:W135" si="28">V116-T116</f>
        <v>5</v>
      </c>
      <c r="X116" s="555">
        <f>SUMIF(FLOAT!$D:$D,Cockpit!$E$5:$E$146,FLOAT!F:F)</f>
        <v>0</v>
      </c>
      <c r="Y116" s="15">
        <v>4</v>
      </c>
      <c r="Z116" s="455">
        <v>4</v>
      </c>
      <c r="AA116" s="49"/>
      <c r="AB116" s="15"/>
      <c r="AC116" s="15"/>
      <c r="AD116" s="54"/>
      <c r="AE116" s="147"/>
      <c r="AF116" s="50"/>
      <c r="AG116" s="281"/>
      <c r="AH116" s="62">
        <f>SUMIF(FLOAT!$D:$D,Cockpit!$E116:$E253,FLOAT!G:G)</f>
        <v>0</v>
      </c>
      <c r="AI116" s="62">
        <f>SUMIF(FLOAT!$D:$D,Cockpit!$E116:$E253,FLOAT!H:H)</f>
        <v>0</v>
      </c>
      <c r="AJ116" s="62">
        <f>SUMIF(FLOAT!$D:$D,Cockpit!$E116:$E253,FLOAT!I:I)</f>
        <v>0</v>
      </c>
      <c r="AK116" s="62">
        <f>SUMIF(FLOAT!$D:$D,Cockpit!$E116:$E253,FLOAT!J:J)</f>
        <v>0</v>
      </c>
      <c r="AL116" s="62">
        <f>SUMIF(FLOAT!$D:$D,Cockpit!$E116:$E253,FLOAT!K:K)</f>
        <v>0</v>
      </c>
      <c r="AM116" s="62">
        <f>SUMIF(FLOAT!$D:$D,Cockpit!$E116:$E253,FLOAT!L:L)</f>
        <v>0</v>
      </c>
      <c r="AN116" s="62">
        <f>SUMIF(FLOAT!$D:$D,Cockpit!$E116:$E253,FLOAT!M:M)</f>
        <v>0</v>
      </c>
      <c r="AO116" s="283">
        <f>SUMIF(FLOAT!$D:$D,Cockpit!$E116:$E253,FLOAT!N:N)</f>
        <v>0</v>
      </c>
      <c r="AP116" s="62">
        <f>SUMIF(FLOAT!$D:$D,Cockpit!$E116:$E253,FLOAT!O:O)</f>
        <v>0</v>
      </c>
      <c r="AQ116" s="62">
        <f>SUMIF(FLOAT!$D:$D,Cockpit!$E116:$E253,FLOAT!P:P)</f>
        <v>0</v>
      </c>
      <c r="AR116" s="60">
        <f t="shared" si="11"/>
        <v>0</v>
      </c>
      <c r="AS116" s="238"/>
    </row>
    <row r="117" spans="1:45" s="17" customFormat="1" ht="21.75" hidden="1" thickBot="1" x14ac:dyDescent="0.35">
      <c r="A117" s="2"/>
      <c r="B117" s="97"/>
      <c r="C117" s="70"/>
      <c r="D117" s="696"/>
      <c r="E117" s="686" t="s">
        <v>504</v>
      </c>
      <c r="F117" s="659" t="s">
        <v>505</v>
      </c>
      <c r="G117" s="71">
        <f>IFERROR(VLOOKUP(E117:E117,[1]Sheet4!$O:$P,2,0),0)</f>
        <v>0</v>
      </c>
      <c r="H117" s="230">
        <f t="shared" si="22"/>
        <v>0</v>
      </c>
      <c r="I117" s="232">
        <v>0</v>
      </c>
      <c r="J117" s="214">
        <f t="shared" si="23"/>
        <v>0</v>
      </c>
      <c r="K117" s="76">
        <f t="shared" si="23"/>
        <v>0</v>
      </c>
      <c r="L117" s="155">
        <f t="shared" si="24"/>
        <v>0</v>
      </c>
      <c r="M117" s="77">
        <f t="shared" si="25"/>
        <v>0</v>
      </c>
      <c r="N117" s="30">
        <f>SUMIF('3 D P'!$D:$D,Cockpit!$E$5:$E$146,'3 D P'!L:L)</f>
        <v>0</v>
      </c>
      <c r="O117" s="30">
        <f>SUMIF('3 D P'!$D:$D,Cockpit!$E$5:$E$146,'3 D P'!M:M)</f>
        <v>0</v>
      </c>
      <c r="P117" s="30">
        <f>SUMIF('3 D P'!$D:$D,Cockpit!$E$5:$E$146,'3 D P'!N:N)</f>
        <v>0</v>
      </c>
      <c r="Q117" s="132">
        <f>IFERROR(VLOOKUP($D117,'Aptiv Dispatch'!$A:$B,2,FALSE),0)</f>
        <v>0</v>
      </c>
      <c r="R117" s="34">
        <f>SUMIF('Consumption MTD'!B:B,Cockpit!$E$5:$E$146,'Consumption MTD'!C:C)</f>
        <v>0</v>
      </c>
      <c r="S117" s="34">
        <f>SUMIF('BIW Lifting A Shift'!$B:$B,Cockpit!$E$5:$E$146,'BIW Lifting A Shift'!C:C)</f>
        <v>0</v>
      </c>
      <c r="T117" s="34">
        <f>SUMIF('BIW Lifting B Shift'!$B:$B,Cockpit!$E$5:$E$146,'BIW Lifting B Shift'!C:C)</f>
        <v>0</v>
      </c>
      <c r="U117" s="74">
        <f t="shared" si="26"/>
        <v>0</v>
      </c>
      <c r="V117" s="74">
        <f t="shared" si="27"/>
        <v>0</v>
      </c>
      <c r="W117" s="457">
        <f t="shared" si="28"/>
        <v>0</v>
      </c>
      <c r="X117" s="555">
        <f>SUMIF(FLOAT!$D:$D,Cockpit!$E$5:$E$146,FLOAT!F:F)</f>
        <v>0</v>
      </c>
      <c r="Y117" s="15">
        <v>0</v>
      </c>
      <c r="Z117" s="455">
        <v>0</v>
      </c>
      <c r="AA117" s="49"/>
      <c r="AB117" s="15"/>
      <c r="AC117" s="15"/>
      <c r="AD117" s="54"/>
      <c r="AE117" s="147"/>
      <c r="AF117" s="50"/>
      <c r="AG117" s="281"/>
      <c r="AH117" s="62">
        <f>SUMIF(FLOAT!$D:$D,Cockpit!$E117:$E254,FLOAT!G:G)</f>
        <v>0</v>
      </c>
      <c r="AI117" s="62">
        <f>SUMIF(FLOAT!$D:$D,Cockpit!$E117:$E254,FLOAT!H:H)</f>
        <v>0</v>
      </c>
      <c r="AJ117" s="62">
        <f>SUMIF(FLOAT!$D:$D,Cockpit!$E117:$E254,FLOAT!I:I)</f>
        <v>0</v>
      </c>
      <c r="AK117" s="62">
        <f>SUMIF(FLOAT!$D:$D,Cockpit!$E117:$E254,FLOAT!J:J)</f>
        <v>0</v>
      </c>
      <c r="AL117" s="62">
        <f>SUMIF(FLOAT!$D:$D,Cockpit!$E117:$E254,FLOAT!K:K)</f>
        <v>0</v>
      </c>
      <c r="AM117" s="62">
        <f>SUMIF(FLOAT!$D:$D,Cockpit!$E117:$E254,FLOAT!L:L)</f>
        <v>0</v>
      </c>
      <c r="AN117" s="62">
        <f>SUMIF(FLOAT!$D:$D,Cockpit!$E117:$E254,FLOAT!M:M)</f>
        <v>0</v>
      </c>
      <c r="AO117" s="62">
        <f>SUMIF(FLOAT!$D:$D,Cockpit!$E117:$E254,FLOAT!N:N)</f>
        <v>0</v>
      </c>
      <c r="AP117" s="62">
        <f>SUMIF(FLOAT!$D:$D,Cockpit!$E117:$E254,FLOAT!O:O)</f>
        <v>0</v>
      </c>
      <c r="AQ117" s="62">
        <f>SUMIF(FLOAT!$D:$D,Cockpit!$E117:$E254,FLOAT!P:P)</f>
        <v>0</v>
      </c>
      <c r="AR117" s="60">
        <f t="shared" si="11"/>
        <v>0</v>
      </c>
      <c r="AS117" s="238"/>
    </row>
    <row r="118" spans="1:45" s="17" customFormat="1" ht="21.75" hidden="1" thickBot="1" x14ac:dyDescent="0.35">
      <c r="A118" s="2"/>
      <c r="B118" s="97"/>
      <c r="C118" s="70"/>
      <c r="D118" s="696"/>
      <c r="E118" s="686" t="s">
        <v>506</v>
      </c>
      <c r="F118" s="659" t="s">
        <v>507</v>
      </c>
      <c r="G118" s="71">
        <f>IFERROR(VLOOKUP(E118:E118,[1]Sheet4!$O:$P,2,0),0)</f>
        <v>0</v>
      </c>
      <c r="H118" s="230">
        <f t="shared" si="22"/>
        <v>0</v>
      </c>
      <c r="I118" s="232">
        <v>0</v>
      </c>
      <c r="J118" s="214">
        <f t="shared" si="23"/>
        <v>0</v>
      </c>
      <c r="K118" s="76">
        <f t="shared" si="23"/>
        <v>0</v>
      </c>
      <c r="L118" s="155">
        <f t="shared" si="24"/>
        <v>0</v>
      </c>
      <c r="M118" s="77">
        <f t="shared" si="25"/>
        <v>0</v>
      </c>
      <c r="N118" s="30">
        <f>SUMIF('3 D P'!$D:$D,Cockpit!$E$5:$E$146,'3 D P'!L:L)</f>
        <v>0</v>
      </c>
      <c r="O118" s="30">
        <f>SUMIF('3 D P'!$D:$D,Cockpit!$E$5:$E$146,'3 D P'!M:M)</f>
        <v>0</v>
      </c>
      <c r="P118" s="30">
        <f>SUMIF('3 D P'!$D:$D,Cockpit!$E$5:$E$146,'3 D P'!N:N)</f>
        <v>0</v>
      </c>
      <c r="Q118" s="132">
        <f>IFERROR(VLOOKUP($D118,'Aptiv Dispatch'!$A:$B,2,FALSE),0)</f>
        <v>0</v>
      </c>
      <c r="R118" s="34">
        <f>SUMIF('Consumption MTD'!B:B,Cockpit!$E$5:$E$146,'Consumption MTD'!C:C)</f>
        <v>0</v>
      </c>
      <c r="S118" s="34">
        <f>SUMIF('BIW Lifting A Shift'!$B:$B,Cockpit!$E$5:$E$146,'BIW Lifting A Shift'!C:C)</f>
        <v>0</v>
      </c>
      <c r="T118" s="34">
        <f>SUMIF('BIW Lifting B Shift'!$B:$B,Cockpit!$E$5:$E$146,'BIW Lifting B Shift'!C:C)</f>
        <v>0</v>
      </c>
      <c r="U118" s="74">
        <f t="shared" si="26"/>
        <v>0</v>
      </c>
      <c r="V118" s="74">
        <f t="shared" si="27"/>
        <v>0</v>
      </c>
      <c r="W118" s="457">
        <f t="shared" si="28"/>
        <v>0</v>
      </c>
      <c r="X118" s="555">
        <f>SUMIF(FLOAT!$D:$D,Cockpit!$E$5:$E$146,FLOAT!F:F)</f>
        <v>0</v>
      </c>
      <c r="Y118" s="15">
        <v>0</v>
      </c>
      <c r="Z118" s="455">
        <v>0</v>
      </c>
      <c r="AA118" s="49"/>
      <c r="AB118" s="15"/>
      <c r="AC118" s="15"/>
      <c r="AD118" s="54"/>
      <c r="AE118" s="147"/>
      <c r="AF118" s="50"/>
      <c r="AG118" s="281"/>
      <c r="AH118" s="62">
        <f>SUMIF(FLOAT!$D:$D,Cockpit!$E118:$E255,FLOAT!G:G)</f>
        <v>0</v>
      </c>
      <c r="AI118" s="62">
        <f>SUMIF(FLOAT!$D:$D,Cockpit!$E118:$E255,FLOAT!H:H)</f>
        <v>0</v>
      </c>
      <c r="AJ118" s="62">
        <f>SUMIF(FLOAT!$D:$D,Cockpit!$E118:$E255,FLOAT!I:I)</f>
        <v>0</v>
      </c>
      <c r="AK118" s="62">
        <f>SUMIF(FLOAT!$D:$D,Cockpit!$E118:$E255,FLOAT!J:J)</f>
        <v>0</v>
      </c>
      <c r="AL118" s="62">
        <f>SUMIF(FLOAT!$D:$D,Cockpit!$E118:$E255,FLOAT!K:K)</f>
        <v>0</v>
      </c>
      <c r="AM118" s="62">
        <f>SUMIF(FLOAT!$D:$D,Cockpit!$E118:$E255,FLOAT!L:L)</f>
        <v>0</v>
      </c>
      <c r="AN118" s="62">
        <f>SUMIF(FLOAT!$D:$D,Cockpit!$E118:$E255,FLOAT!M:M)</f>
        <v>0</v>
      </c>
      <c r="AO118" s="62">
        <f>SUMIF(FLOAT!$D:$D,Cockpit!$E118:$E255,FLOAT!N:N)</f>
        <v>0</v>
      </c>
      <c r="AP118" s="62">
        <f>SUMIF(FLOAT!$D:$D,Cockpit!$E118:$E255,FLOAT!O:O)</f>
        <v>0</v>
      </c>
      <c r="AQ118" s="62">
        <f>SUMIF(FLOAT!$D:$D,Cockpit!$E118:$E255,FLOAT!P:P)</f>
        <v>0</v>
      </c>
      <c r="AR118" s="60">
        <f t="shared" si="11"/>
        <v>0</v>
      </c>
      <c r="AS118" s="238"/>
    </row>
    <row r="119" spans="1:45" s="17" customFormat="1" ht="21.75" hidden="1" thickBot="1" x14ac:dyDescent="0.35">
      <c r="A119" s="2"/>
      <c r="B119" s="97"/>
      <c r="C119" s="70"/>
      <c r="D119" s="696"/>
      <c r="E119" s="686" t="s">
        <v>508</v>
      </c>
      <c r="F119" s="659" t="s">
        <v>509</v>
      </c>
      <c r="G119" s="71">
        <f>IFERROR(VLOOKUP(E119:E119,[1]Sheet4!$O:$P,2,0),0)</f>
        <v>0</v>
      </c>
      <c r="H119" s="230">
        <f t="shared" si="22"/>
        <v>0</v>
      </c>
      <c r="I119" s="232">
        <v>0</v>
      </c>
      <c r="J119" s="214">
        <f t="shared" si="23"/>
        <v>0</v>
      </c>
      <c r="K119" s="76">
        <f t="shared" si="23"/>
        <v>0</v>
      </c>
      <c r="L119" s="155">
        <f t="shared" si="24"/>
        <v>0</v>
      </c>
      <c r="M119" s="77">
        <f t="shared" si="25"/>
        <v>0</v>
      </c>
      <c r="N119" s="30">
        <f>SUMIF('3 D P'!$D:$D,Cockpit!$E$5:$E$146,'3 D P'!L:L)</f>
        <v>0</v>
      </c>
      <c r="O119" s="30">
        <f>SUMIF('3 D P'!$D:$D,Cockpit!$E$5:$E$146,'3 D P'!M:M)</f>
        <v>0</v>
      </c>
      <c r="P119" s="30">
        <f>SUMIF('3 D P'!$D:$D,Cockpit!$E$5:$E$146,'3 D P'!N:N)</f>
        <v>0</v>
      </c>
      <c r="Q119" s="132">
        <f>IFERROR(VLOOKUP($D119,'Aptiv Dispatch'!$A:$B,2,FALSE),0)</f>
        <v>0</v>
      </c>
      <c r="R119" s="34">
        <f>SUMIF('Consumption MTD'!B:B,Cockpit!$E$5:$E$146,'Consumption MTD'!C:C)</f>
        <v>0</v>
      </c>
      <c r="S119" s="34">
        <f>SUMIF('BIW Lifting A Shift'!$B:$B,Cockpit!$E$5:$E$146,'BIW Lifting A Shift'!C:C)</f>
        <v>0</v>
      </c>
      <c r="T119" s="34">
        <f>SUMIF('BIW Lifting B Shift'!$B:$B,Cockpit!$E$5:$E$146,'BIW Lifting B Shift'!C:C)</f>
        <v>0</v>
      </c>
      <c r="U119" s="74">
        <f t="shared" si="26"/>
        <v>0</v>
      </c>
      <c r="V119" s="74">
        <f t="shared" si="27"/>
        <v>0</v>
      </c>
      <c r="W119" s="457">
        <f t="shared" si="28"/>
        <v>0</v>
      </c>
      <c r="X119" s="555">
        <f>SUMIF(FLOAT!$D:$D,Cockpit!$E$5:$E$146,FLOAT!F:F)</f>
        <v>0</v>
      </c>
      <c r="Y119" s="15">
        <v>0</v>
      </c>
      <c r="Z119" s="455">
        <v>0</v>
      </c>
      <c r="AA119" s="49"/>
      <c r="AB119" s="15"/>
      <c r="AC119" s="15"/>
      <c r="AD119" s="54"/>
      <c r="AE119" s="147"/>
      <c r="AF119" s="50"/>
      <c r="AG119" s="281"/>
      <c r="AH119" s="62">
        <f>SUMIF(FLOAT!$D:$D,Cockpit!$E119:$E256,FLOAT!G:G)</f>
        <v>0</v>
      </c>
      <c r="AI119" s="62">
        <f>SUMIF(FLOAT!$D:$D,Cockpit!$E119:$E256,FLOAT!H:H)</f>
        <v>0</v>
      </c>
      <c r="AJ119" s="62">
        <f>SUMIF(FLOAT!$D:$D,Cockpit!$E119:$E256,FLOAT!I:I)</f>
        <v>0</v>
      </c>
      <c r="AK119" s="62">
        <f>SUMIF(FLOAT!$D:$D,Cockpit!$E119:$E256,FLOAT!J:J)</f>
        <v>0</v>
      </c>
      <c r="AL119" s="62">
        <f>SUMIF(FLOAT!$D:$D,Cockpit!$E119:$E256,FLOAT!K:K)</f>
        <v>0</v>
      </c>
      <c r="AM119" s="62">
        <f>SUMIF(FLOAT!$D:$D,Cockpit!$E119:$E256,FLOAT!L:L)</f>
        <v>0</v>
      </c>
      <c r="AN119" s="62">
        <f>SUMIF(FLOAT!$D:$D,Cockpit!$E119:$E256,FLOAT!M:M)</f>
        <v>0</v>
      </c>
      <c r="AO119" s="62">
        <f>SUMIF(FLOAT!$D:$D,Cockpit!$E119:$E256,FLOAT!N:N)</f>
        <v>0</v>
      </c>
      <c r="AP119" s="62">
        <f>SUMIF(FLOAT!$D:$D,Cockpit!$E119:$E256,FLOAT!O:O)</f>
        <v>0</v>
      </c>
      <c r="AQ119" s="62">
        <f>SUMIF(FLOAT!$D:$D,Cockpit!$E119:$E256,FLOAT!P:P)</f>
        <v>0</v>
      </c>
      <c r="AR119" s="60">
        <f t="shared" si="11"/>
        <v>0</v>
      </c>
      <c r="AS119" s="238"/>
    </row>
    <row r="120" spans="1:45" s="17" customFormat="1" ht="21.75" hidden="1" thickBot="1" x14ac:dyDescent="0.35">
      <c r="A120" s="2"/>
      <c r="B120" s="97"/>
      <c r="C120" s="70"/>
      <c r="D120" s="696"/>
      <c r="E120" s="686" t="s">
        <v>510</v>
      </c>
      <c r="F120" s="659" t="s">
        <v>511</v>
      </c>
      <c r="G120" s="71">
        <f>IFERROR(VLOOKUP(E120:E120,[1]Sheet4!$O:$P,2,0),0)</f>
        <v>0</v>
      </c>
      <c r="H120" s="230">
        <f t="shared" si="22"/>
        <v>0</v>
      </c>
      <c r="I120" s="232">
        <v>0</v>
      </c>
      <c r="J120" s="214">
        <f t="shared" si="23"/>
        <v>0</v>
      </c>
      <c r="K120" s="76">
        <f t="shared" si="23"/>
        <v>0</v>
      </c>
      <c r="L120" s="155">
        <f t="shared" si="24"/>
        <v>0</v>
      </c>
      <c r="M120" s="77">
        <f t="shared" si="25"/>
        <v>0</v>
      </c>
      <c r="N120" s="30">
        <f>SUMIF('3 D P'!$D:$D,Cockpit!$E$5:$E$146,'3 D P'!L:L)</f>
        <v>0</v>
      </c>
      <c r="O120" s="30">
        <f>SUMIF('3 D P'!$D:$D,Cockpit!$E$5:$E$146,'3 D P'!M:M)</f>
        <v>0</v>
      </c>
      <c r="P120" s="30">
        <f>SUMIF('3 D P'!$D:$D,Cockpit!$E$5:$E$146,'3 D P'!N:N)</f>
        <v>0</v>
      </c>
      <c r="Q120" s="132">
        <f>IFERROR(VLOOKUP($D120,'Aptiv Dispatch'!$A:$B,2,FALSE),0)</f>
        <v>0</v>
      </c>
      <c r="R120" s="34">
        <f>SUMIF('Consumption MTD'!B:B,Cockpit!$E$5:$E$146,'Consumption MTD'!C:C)</f>
        <v>0</v>
      </c>
      <c r="S120" s="34">
        <f>SUMIF('BIW Lifting A Shift'!$B:$B,Cockpit!$E$5:$E$146,'BIW Lifting A Shift'!C:C)</f>
        <v>0</v>
      </c>
      <c r="T120" s="34">
        <f>SUMIF('BIW Lifting B Shift'!$B:$B,Cockpit!$E$5:$E$146,'BIW Lifting B Shift'!C:C)</f>
        <v>0</v>
      </c>
      <c r="U120" s="74">
        <f t="shared" si="26"/>
        <v>0</v>
      </c>
      <c r="V120" s="74">
        <f t="shared" si="27"/>
        <v>0</v>
      </c>
      <c r="W120" s="457">
        <f t="shared" si="28"/>
        <v>0</v>
      </c>
      <c r="X120" s="555">
        <f>SUMIF(FLOAT!$D:$D,Cockpit!$E$5:$E$146,FLOAT!F:F)</f>
        <v>0</v>
      </c>
      <c r="Y120" s="15">
        <v>0</v>
      </c>
      <c r="Z120" s="455">
        <v>0</v>
      </c>
      <c r="AA120" s="49"/>
      <c r="AB120" s="15"/>
      <c r="AC120" s="15"/>
      <c r="AD120" s="54"/>
      <c r="AE120" s="147"/>
      <c r="AF120" s="50"/>
      <c r="AG120" s="281"/>
      <c r="AH120" s="62">
        <f>SUMIF(FLOAT!$D:$D,Cockpit!$E120:$E257,FLOAT!G:G)</f>
        <v>0</v>
      </c>
      <c r="AI120" s="62">
        <f>SUMIF(FLOAT!$D:$D,Cockpit!$E120:$E257,FLOAT!H:H)</f>
        <v>0</v>
      </c>
      <c r="AJ120" s="62">
        <f>SUMIF(FLOAT!$D:$D,Cockpit!$E120:$E257,FLOAT!I:I)</f>
        <v>0</v>
      </c>
      <c r="AK120" s="62">
        <f>SUMIF(FLOAT!$D:$D,Cockpit!$E120:$E257,FLOAT!J:J)</f>
        <v>0</v>
      </c>
      <c r="AL120" s="62">
        <f>SUMIF(FLOAT!$D:$D,Cockpit!$E120:$E257,FLOAT!K:K)</f>
        <v>0</v>
      </c>
      <c r="AM120" s="62">
        <f>SUMIF(FLOAT!$D:$D,Cockpit!$E120:$E257,FLOAT!L:L)</f>
        <v>0</v>
      </c>
      <c r="AN120" s="62">
        <f>SUMIF(FLOAT!$D:$D,Cockpit!$E120:$E257,FLOAT!M:M)</f>
        <v>0</v>
      </c>
      <c r="AO120" s="62">
        <f>SUMIF(FLOAT!$D:$D,Cockpit!$E120:$E257,FLOAT!N:N)</f>
        <v>0</v>
      </c>
      <c r="AP120" s="62">
        <f>SUMIF(FLOAT!$D:$D,Cockpit!$E120:$E257,FLOAT!O:O)</f>
        <v>0</v>
      </c>
      <c r="AQ120" s="62">
        <f>SUMIF(FLOAT!$D:$D,Cockpit!$E120:$E257,FLOAT!P:P)</f>
        <v>0</v>
      </c>
      <c r="AR120" s="60">
        <f t="shared" si="11"/>
        <v>0</v>
      </c>
      <c r="AS120" s="238"/>
    </row>
    <row r="121" spans="1:45" s="17" customFormat="1" ht="21.75" hidden="1" thickBot="1" x14ac:dyDescent="0.35">
      <c r="A121" s="2"/>
      <c r="B121" s="97"/>
      <c r="C121" s="70"/>
      <c r="D121" s="696"/>
      <c r="E121" s="686" t="s">
        <v>512</v>
      </c>
      <c r="F121" s="659" t="s">
        <v>513</v>
      </c>
      <c r="G121" s="71">
        <f>IFERROR(VLOOKUP(E121:E121,[1]Sheet4!$O:$P,2,0),0)</f>
        <v>0</v>
      </c>
      <c r="H121" s="230">
        <f t="shared" si="22"/>
        <v>0</v>
      </c>
      <c r="I121" s="232">
        <v>0</v>
      </c>
      <c r="J121" s="214">
        <f t="shared" si="23"/>
        <v>0</v>
      </c>
      <c r="K121" s="76">
        <f t="shared" si="23"/>
        <v>0</v>
      </c>
      <c r="L121" s="155">
        <f t="shared" si="24"/>
        <v>0</v>
      </c>
      <c r="M121" s="77">
        <f t="shared" si="25"/>
        <v>0</v>
      </c>
      <c r="N121" s="30">
        <f>SUMIF('3 D P'!$D:$D,Cockpit!$E$5:$E$146,'3 D P'!L:L)</f>
        <v>0</v>
      </c>
      <c r="O121" s="30">
        <f>SUMIF('3 D P'!$D:$D,Cockpit!$E$5:$E$146,'3 D P'!M:M)</f>
        <v>0</v>
      </c>
      <c r="P121" s="30">
        <f>SUMIF('3 D P'!$D:$D,Cockpit!$E$5:$E$146,'3 D P'!N:N)</f>
        <v>0</v>
      </c>
      <c r="Q121" s="132">
        <f>IFERROR(VLOOKUP($D121,'Aptiv Dispatch'!$A:$B,2,FALSE),0)</f>
        <v>0</v>
      </c>
      <c r="R121" s="34">
        <f>SUMIF('Consumption MTD'!B:B,Cockpit!$E$5:$E$146,'Consumption MTD'!C:C)</f>
        <v>0</v>
      </c>
      <c r="S121" s="34">
        <f>SUMIF('BIW Lifting A Shift'!$B:$B,Cockpit!$E$5:$E$146,'BIW Lifting A Shift'!C:C)</f>
        <v>0</v>
      </c>
      <c r="T121" s="34">
        <f>SUMIF('BIW Lifting B Shift'!$B:$B,Cockpit!$E$5:$E$146,'BIW Lifting B Shift'!C:C)</f>
        <v>0</v>
      </c>
      <c r="U121" s="74">
        <f t="shared" si="26"/>
        <v>0</v>
      </c>
      <c r="V121" s="74">
        <f t="shared" si="27"/>
        <v>0</v>
      </c>
      <c r="W121" s="457">
        <f t="shared" si="28"/>
        <v>0</v>
      </c>
      <c r="X121" s="555">
        <f>SUMIF(FLOAT!$D:$D,Cockpit!$E$5:$E$146,FLOAT!F:F)</f>
        <v>0</v>
      </c>
      <c r="Y121" s="15">
        <v>0</v>
      </c>
      <c r="Z121" s="455">
        <v>0</v>
      </c>
      <c r="AA121" s="49"/>
      <c r="AB121" s="15"/>
      <c r="AC121" s="15"/>
      <c r="AD121" s="54"/>
      <c r="AE121" s="147"/>
      <c r="AF121" s="50"/>
      <c r="AG121" s="281"/>
      <c r="AH121" s="62">
        <f>SUMIF(FLOAT!$D:$D,Cockpit!$E121:$E258,FLOAT!G:G)</f>
        <v>0</v>
      </c>
      <c r="AI121" s="62">
        <f>SUMIF(FLOAT!$D:$D,Cockpit!$E121:$E258,FLOAT!H:H)</f>
        <v>0</v>
      </c>
      <c r="AJ121" s="62">
        <f>SUMIF(FLOAT!$D:$D,Cockpit!$E121:$E258,FLOAT!I:I)</f>
        <v>0</v>
      </c>
      <c r="AK121" s="62">
        <f>SUMIF(FLOAT!$D:$D,Cockpit!$E121:$E258,FLOAT!J:J)</f>
        <v>0</v>
      </c>
      <c r="AL121" s="62">
        <f>SUMIF(FLOAT!$D:$D,Cockpit!$E121:$E258,FLOAT!K:K)</f>
        <v>0</v>
      </c>
      <c r="AM121" s="62">
        <f>SUMIF(FLOAT!$D:$D,Cockpit!$E121:$E258,FLOAT!L:L)</f>
        <v>0</v>
      </c>
      <c r="AN121" s="62">
        <f>SUMIF(FLOAT!$D:$D,Cockpit!$E121:$E258,FLOAT!M:M)</f>
        <v>0</v>
      </c>
      <c r="AO121" s="62">
        <f>SUMIF(FLOAT!$D:$D,Cockpit!$E121:$E258,FLOAT!N:N)</f>
        <v>0</v>
      </c>
      <c r="AP121" s="62">
        <f>SUMIF(FLOAT!$D:$D,Cockpit!$E121:$E258,FLOAT!O:O)</f>
        <v>0</v>
      </c>
      <c r="AQ121" s="62">
        <f>SUMIF(FLOAT!$D:$D,Cockpit!$E121:$E258,FLOAT!P:P)</f>
        <v>0</v>
      </c>
      <c r="AR121" s="60">
        <f t="shared" si="11"/>
        <v>0</v>
      </c>
      <c r="AS121" s="238"/>
    </row>
    <row r="122" spans="1:45" s="17" customFormat="1" ht="21.75" hidden="1" thickBot="1" x14ac:dyDescent="0.35">
      <c r="A122" s="2"/>
      <c r="B122" s="97"/>
      <c r="C122" s="70"/>
      <c r="D122" s="696"/>
      <c r="E122" s="686" t="s">
        <v>514</v>
      </c>
      <c r="F122" s="662" t="s">
        <v>502</v>
      </c>
      <c r="G122" s="71">
        <f>IFERROR(VLOOKUP(E122:E122,[1]Sheet4!$O:$P,2,0),0)</f>
        <v>0</v>
      </c>
      <c r="H122" s="230">
        <f t="shared" si="22"/>
        <v>0</v>
      </c>
      <c r="I122" s="232">
        <v>0</v>
      </c>
      <c r="J122" s="214">
        <f t="shared" si="23"/>
        <v>0</v>
      </c>
      <c r="K122" s="76">
        <f t="shared" si="23"/>
        <v>0</v>
      </c>
      <c r="L122" s="155">
        <f t="shared" si="24"/>
        <v>0</v>
      </c>
      <c r="M122" s="77">
        <f t="shared" si="25"/>
        <v>0</v>
      </c>
      <c r="N122" s="30">
        <f>SUMIF('3 D P'!$D:$D,Cockpit!$E$5:$E$146,'3 D P'!L:L)</f>
        <v>0</v>
      </c>
      <c r="O122" s="30">
        <f>SUMIF('3 D P'!$D:$D,Cockpit!$E$5:$E$146,'3 D P'!M:M)</f>
        <v>0</v>
      </c>
      <c r="P122" s="30">
        <f>SUMIF('3 D P'!$D:$D,Cockpit!$E$5:$E$146,'3 D P'!N:N)</f>
        <v>0</v>
      </c>
      <c r="Q122" s="132">
        <f>IFERROR(VLOOKUP($D122,'Aptiv Dispatch'!$A:$B,2,FALSE),0)</f>
        <v>0</v>
      </c>
      <c r="R122" s="34">
        <f>SUMIF('Consumption MTD'!B:B,Cockpit!$E$5:$E$146,'Consumption MTD'!C:C)</f>
        <v>0</v>
      </c>
      <c r="S122" s="34">
        <f>SUMIF('BIW Lifting A Shift'!$B:$B,Cockpit!$E$5:$E$146,'BIW Lifting A Shift'!C:C)</f>
        <v>0</v>
      </c>
      <c r="T122" s="34">
        <f>SUMIF('BIW Lifting B Shift'!$B:$B,Cockpit!$E$5:$E$146,'BIW Lifting B Shift'!C:C)</f>
        <v>0</v>
      </c>
      <c r="U122" s="74">
        <f t="shared" si="26"/>
        <v>0</v>
      </c>
      <c r="V122" s="74">
        <f t="shared" si="27"/>
        <v>0</v>
      </c>
      <c r="W122" s="457">
        <f t="shared" si="28"/>
        <v>0</v>
      </c>
      <c r="X122" s="555">
        <f>SUMIF(FLOAT!$D:$D,Cockpit!$E$5:$E$146,FLOAT!F:F)</f>
        <v>0</v>
      </c>
      <c r="Y122" s="15">
        <v>0</v>
      </c>
      <c r="Z122" s="455">
        <v>0</v>
      </c>
      <c r="AA122" s="49"/>
      <c r="AB122" s="15"/>
      <c r="AC122" s="15"/>
      <c r="AD122" s="54"/>
      <c r="AE122" s="147"/>
      <c r="AF122" s="50"/>
      <c r="AG122" s="281"/>
      <c r="AH122" s="62">
        <f>SUMIF(FLOAT!$D:$D,Cockpit!$E122:$E259,FLOAT!G:G)</f>
        <v>0</v>
      </c>
      <c r="AI122" s="62">
        <f>SUMIF(FLOAT!$D:$D,Cockpit!$E122:$E259,FLOAT!H:H)</f>
        <v>0</v>
      </c>
      <c r="AJ122" s="62">
        <f>SUMIF(FLOAT!$D:$D,Cockpit!$E122:$E259,FLOAT!I:I)</f>
        <v>0</v>
      </c>
      <c r="AK122" s="62">
        <f>SUMIF(FLOAT!$D:$D,Cockpit!$E122:$E259,FLOAT!J:J)</f>
        <v>0</v>
      </c>
      <c r="AL122" s="62">
        <f>SUMIF(FLOAT!$D:$D,Cockpit!$E122:$E259,FLOAT!K:K)</f>
        <v>0</v>
      </c>
      <c r="AM122" s="62">
        <f>SUMIF(FLOAT!$D:$D,Cockpit!$E122:$E259,FLOAT!L:L)</f>
        <v>0</v>
      </c>
      <c r="AN122" s="62">
        <f>SUMIF(FLOAT!$D:$D,Cockpit!$E122:$E259,FLOAT!M:M)</f>
        <v>0</v>
      </c>
      <c r="AO122" s="62">
        <f>SUMIF(FLOAT!$D:$D,Cockpit!$E122:$E259,FLOAT!N:N)</f>
        <v>0</v>
      </c>
      <c r="AP122" s="62">
        <f>SUMIF(FLOAT!$D:$D,Cockpit!$E122:$E259,FLOAT!O:O)</f>
        <v>0</v>
      </c>
      <c r="AQ122" s="62">
        <f>SUMIF(FLOAT!$D:$D,Cockpit!$E122:$E259,FLOAT!P:P)</f>
        <v>0</v>
      </c>
      <c r="AR122" s="60">
        <f t="shared" si="11"/>
        <v>0</v>
      </c>
      <c r="AS122" s="238"/>
    </row>
    <row r="123" spans="1:45" s="17" customFormat="1" ht="21.75" hidden="1" thickBot="1" x14ac:dyDescent="0.35">
      <c r="A123" s="2"/>
      <c r="B123" s="97"/>
      <c r="C123" s="70"/>
      <c r="D123" s="696"/>
      <c r="E123" s="686" t="s">
        <v>515</v>
      </c>
      <c r="F123" s="659" t="s">
        <v>516</v>
      </c>
      <c r="G123" s="71">
        <f>IFERROR(VLOOKUP(E123:E123,[1]Sheet4!$O:$P,2,0),0)</f>
        <v>0</v>
      </c>
      <c r="H123" s="230">
        <f t="shared" si="22"/>
        <v>0</v>
      </c>
      <c r="I123" s="232">
        <v>0</v>
      </c>
      <c r="J123" s="214">
        <f t="shared" si="23"/>
        <v>0</v>
      </c>
      <c r="K123" s="76">
        <f t="shared" si="23"/>
        <v>0</v>
      </c>
      <c r="L123" s="155">
        <f t="shared" si="24"/>
        <v>0</v>
      </c>
      <c r="M123" s="77">
        <f t="shared" si="25"/>
        <v>0</v>
      </c>
      <c r="N123" s="30">
        <f>SUMIF('3 D P'!$D:$D,Cockpit!$E$5:$E$146,'3 D P'!L:L)</f>
        <v>0</v>
      </c>
      <c r="O123" s="30">
        <f>SUMIF('3 D P'!$D:$D,Cockpit!$E$5:$E$146,'3 D P'!M:M)</f>
        <v>0</v>
      </c>
      <c r="P123" s="30">
        <f>SUMIF('3 D P'!$D:$D,Cockpit!$E$5:$E$146,'3 D P'!N:N)</f>
        <v>0</v>
      </c>
      <c r="Q123" s="132">
        <f>IFERROR(VLOOKUP($D123,'Aptiv Dispatch'!$A:$B,2,FALSE),0)</f>
        <v>0</v>
      </c>
      <c r="R123" s="34">
        <f>SUMIF('Consumption MTD'!B:B,Cockpit!$E$5:$E$146,'Consumption MTD'!C:C)</f>
        <v>0</v>
      </c>
      <c r="S123" s="34">
        <f>SUMIF('BIW Lifting A Shift'!$B:$B,Cockpit!$E$5:$E$146,'BIW Lifting A Shift'!C:C)</f>
        <v>0</v>
      </c>
      <c r="T123" s="34">
        <f>SUMIF('BIW Lifting B Shift'!$B:$B,Cockpit!$E$5:$E$146,'BIW Lifting B Shift'!C:C)</f>
        <v>0</v>
      </c>
      <c r="U123" s="74">
        <f t="shared" si="26"/>
        <v>0</v>
      </c>
      <c r="V123" s="74">
        <f t="shared" si="27"/>
        <v>0</v>
      </c>
      <c r="W123" s="457">
        <f t="shared" si="28"/>
        <v>0</v>
      </c>
      <c r="X123" s="555">
        <f>SUMIF(FLOAT!$D:$D,Cockpit!$E$5:$E$146,FLOAT!F:F)</f>
        <v>0</v>
      </c>
      <c r="Y123" s="15">
        <v>0</v>
      </c>
      <c r="Z123" s="455">
        <v>0</v>
      </c>
      <c r="AA123" s="49"/>
      <c r="AB123" s="15"/>
      <c r="AC123" s="15"/>
      <c r="AD123" s="54"/>
      <c r="AE123" s="147"/>
      <c r="AF123" s="50"/>
      <c r="AG123" s="281"/>
      <c r="AH123" s="62">
        <f>SUMIF(FLOAT!$D:$D,Cockpit!$E123:$E260,FLOAT!G:G)</f>
        <v>0</v>
      </c>
      <c r="AI123" s="62">
        <f>SUMIF(FLOAT!$D:$D,Cockpit!$E123:$E260,FLOAT!H:H)</f>
        <v>0</v>
      </c>
      <c r="AJ123" s="62">
        <f>SUMIF(FLOAT!$D:$D,Cockpit!$E123:$E260,FLOAT!I:I)</f>
        <v>0</v>
      </c>
      <c r="AK123" s="62">
        <f>SUMIF(FLOAT!$D:$D,Cockpit!$E123:$E260,FLOAT!J:J)</f>
        <v>0</v>
      </c>
      <c r="AL123" s="62">
        <f>SUMIF(FLOAT!$D:$D,Cockpit!$E123:$E260,FLOAT!K:K)</f>
        <v>0</v>
      </c>
      <c r="AM123" s="62">
        <f>SUMIF(FLOAT!$D:$D,Cockpit!$E123:$E260,FLOAT!L:L)</f>
        <v>0</v>
      </c>
      <c r="AN123" s="62">
        <f>SUMIF(FLOAT!$D:$D,Cockpit!$E123:$E260,FLOAT!M:M)</f>
        <v>0</v>
      </c>
      <c r="AO123" s="62">
        <f>SUMIF(FLOAT!$D:$D,Cockpit!$E123:$E260,FLOAT!N:N)</f>
        <v>0</v>
      </c>
      <c r="AP123" s="62">
        <f>SUMIF(FLOAT!$D:$D,Cockpit!$E123:$E260,FLOAT!O:O)</f>
        <v>0</v>
      </c>
      <c r="AQ123" s="62">
        <f>SUMIF(FLOAT!$D:$D,Cockpit!$E123:$E260,FLOAT!P:P)</f>
        <v>0</v>
      </c>
      <c r="AR123" s="60">
        <f t="shared" si="11"/>
        <v>0</v>
      </c>
      <c r="AS123" s="238"/>
    </row>
    <row r="124" spans="1:45" s="17" customFormat="1" ht="21.75" hidden="1" thickBot="1" x14ac:dyDescent="0.35">
      <c r="A124" s="2"/>
      <c r="B124" s="97"/>
      <c r="C124" s="70"/>
      <c r="D124" s="696"/>
      <c r="E124" s="686" t="s">
        <v>517</v>
      </c>
      <c r="F124" s="659" t="s">
        <v>518</v>
      </c>
      <c r="G124" s="71">
        <f>IFERROR(VLOOKUP(E124:E124,[1]Sheet4!$O:$P,2,0),0)</f>
        <v>0</v>
      </c>
      <c r="H124" s="230">
        <f t="shared" si="22"/>
        <v>0</v>
      </c>
      <c r="I124" s="232">
        <v>0</v>
      </c>
      <c r="J124" s="214">
        <f t="shared" si="23"/>
        <v>0</v>
      </c>
      <c r="K124" s="76">
        <f t="shared" si="23"/>
        <v>0</v>
      </c>
      <c r="L124" s="155">
        <f t="shared" si="24"/>
        <v>0</v>
      </c>
      <c r="M124" s="77">
        <f t="shared" si="25"/>
        <v>0</v>
      </c>
      <c r="N124" s="30">
        <f>SUMIF('3 D P'!$D:$D,Cockpit!$E$5:$E$146,'3 D P'!L:L)</f>
        <v>0</v>
      </c>
      <c r="O124" s="30">
        <f>SUMIF('3 D P'!$D:$D,Cockpit!$E$5:$E$146,'3 D P'!M:M)</f>
        <v>0</v>
      </c>
      <c r="P124" s="30">
        <f>SUMIF('3 D P'!$D:$D,Cockpit!$E$5:$E$146,'3 D P'!N:N)</f>
        <v>0</v>
      </c>
      <c r="Q124" s="132">
        <f>IFERROR(VLOOKUP($D124,'Aptiv Dispatch'!$A:$B,2,FALSE),0)</f>
        <v>0</v>
      </c>
      <c r="R124" s="34">
        <f>SUMIF('Consumption MTD'!B:B,Cockpit!$E$5:$E$146,'Consumption MTD'!C:C)</f>
        <v>0</v>
      </c>
      <c r="S124" s="34">
        <f>SUMIF('BIW Lifting A Shift'!$B:$B,Cockpit!$E$5:$E$146,'BIW Lifting A Shift'!C:C)</f>
        <v>0</v>
      </c>
      <c r="T124" s="34">
        <f>SUMIF('BIW Lifting B Shift'!$B:$B,Cockpit!$E$5:$E$146,'BIW Lifting B Shift'!C:C)</f>
        <v>0</v>
      </c>
      <c r="U124" s="74">
        <f t="shared" si="26"/>
        <v>0</v>
      </c>
      <c r="V124" s="74">
        <f t="shared" si="27"/>
        <v>0</v>
      </c>
      <c r="W124" s="457">
        <f t="shared" si="28"/>
        <v>0</v>
      </c>
      <c r="X124" s="555">
        <f>SUMIF(FLOAT!$D:$D,Cockpit!$E$5:$E$146,FLOAT!F:F)</f>
        <v>0</v>
      </c>
      <c r="Y124" s="15">
        <v>0</v>
      </c>
      <c r="Z124" s="455">
        <v>0</v>
      </c>
      <c r="AA124" s="49"/>
      <c r="AB124" s="15"/>
      <c r="AC124" s="15"/>
      <c r="AD124" s="54"/>
      <c r="AE124" s="147"/>
      <c r="AF124" s="50"/>
      <c r="AG124" s="281"/>
      <c r="AH124" s="62">
        <f>SUMIF(FLOAT!$D:$D,Cockpit!$E124:$E261,FLOAT!G:G)</f>
        <v>0</v>
      </c>
      <c r="AI124" s="62">
        <f>SUMIF(FLOAT!$D:$D,Cockpit!$E124:$E261,FLOAT!H:H)</f>
        <v>0</v>
      </c>
      <c r="AJ124" s="62">
        <f>SUMIF(FLOAT!$D:$D,Cockpit!$E124:$E261,FLOAT!I:I)</f>
        <v>0</v>
      </c>
      <c r="AK124" s="62">
        <f>SUMIF(FLOAT!$D:$D,Cockpit!$E124:$E261,FLOAT!J:J)</f>
        <v>0</v>
      </c>
      <c r="AL124" s="62">
        <f>SUMIF(FLOAT!$D:$D,Cockpit!$E124:$E261,FLOAT!K:K)</f>
        <v>0</v>
      </c>
      <c r="AM124" s="62">
        <f>SUMIF(FLOAT!$D:$D,Cockpit!$E124:$E261,FLOAT!L:L)</f>
        <v>0</v>
      </c>
      <c r="AN124" s="62">
        <f>SUMIF(FLOAT!$D:$D,Cockpit!$E124:$E261,FLOAT!M:M)</f>
        <v>0</v>
      </c>
      <c r="AO124" s="62">
        <f>SUMIF(FLOAT!$D:$D,Cockpit!$E124:$E261,FLOAT!N:N)</f>
        <v>0</v>
      </c>
      <c r="AP124" s="62">
        <f>SUMIF(FLOAT!$D:$D,Cockpit!$E124:$E261,FLOAT!O:O)</f>
        <v>0</v>
      </c>
      <c r="AQ124" s="62">
        <f>SUMIF(FLOAT!$D:$D,Cockpit!$E124:$E261,FLOAT!P:P)</f>
        <v>0</v>
      </c>
      <c r="AR124" s="60">
        <f t="shared" si="11"/>
        <v>0</v>
      </c>
      <c r="AS124" s="238"/>
    </row>
    <row r="125" spans="1:45" s="17" customFormat="1" ht="21.75" hidden="1" thickBot="1" x14ac:dyDescent="0.35">
      <c r="A125" s="2"/>
      <c r="B125" s="97"/>
      <c r="C125" s="70"/>
      <c r="D125" s="696"/>
      <c r="E125" s="686" t="s">
        <v>519</v>
      </c>
      <c r="F125" s="659" t="s">
        <v>520</v>
      </c>
      <c r="G125" s="71">
        <f>IFERROR(VLOOKUP(E125:E125,[1]Sheet4!$O:$P,2,0),0)</f>
        <v>0</v>
      </c>
      <c r="H125" s="230">
        <f t="shared" si="22"/>
        <v>0</v>
      </c>
      <c r="I125" s="232">
        <v>0</v>
      </c>
      <c r="J125" s="214">
        <f t="shared" si="23"/>
        <v>0</v>
      </c>
      <c r="K125" s="76">
        <f t="shared" si="23"/>
        <v>0</v>
      </c>
      <c r="L125" s="155">
        <f t="shared" si="24"/>
        <v>0</v>
      </c>
      <c r="M125" s="77">
        <f t="shared" si="25"/>
        <v>0</v>
      </c>
      <c r="N125" s="30">
        <f>SUMIF('3 D P'!$D:$D,Cockpit!$E$5:$E$146,'3 D P'!L:L)</f>
        <v>0</v>
      </c>
      <c r="O125" s="30">
        <f>SUMIF('3 D P'!$D:$D,Cockpit!$E$5:$E$146,'3 D P'!M:M)</f>
        <v>0</v>
      </c>
      <c r="P125" s="30">
        <f>SUMIF('3 D P'!$D:$D,Cockpit!$E$5:$E$146,'3 D P'!N:N)</f>
        <v>0</v>
      </c>
      <c r="Q125" s="132">
        <f>IFERROR(VLOOKUP($D125,'Aptiv Dispatch'!$A:$B,2,FALSE),0)</f>
        <v>0</v>
      </c>
      <c r="R125" s="34">
        <f>SUMIF('Consumption MTD'!B:B,Cockpit!$E$5:$E$146,'Consumption MTD'!C:C)</f>
        <v>0</v>
      </c>
      <c r="S125" s="34">
        <f>SUMIF('BIW Lifting A Shift'!$B:$B,Cockpit!$E$5:$E$146,'BIW Lifting A Shift'!C:C)</f>
        <v>0</v>
      </c>
      <c r="T125" s="34">
        <f>SUMIF('BIW Lifting B Shift'!$B:$B,Cockpit!$E$5:$E$146,'BIW Lifting B Shift'!C:C)</f>
        <v>0</v>
      </c>
      <c r="U125" s="74">
        <f t="shared" si="26"/>
        <v>0</v>
      </c>
      <c r="V125" s="74">
        <f t="shared" si="27"/>
        <v>0</v>
      </c>
      <c r="W125" s="457">
        <f t="shared" si="28"/>
        <v>0</v>
      </c>
      <c r="X125" s="555">
        <f>SUMIF(FLOAT!$D:$D,Cockpit!$E$5:$E$146,FLOAT!F:F)</f>
        <v>0</v>
      </c>
      <c r="Y125" s="15">
        <v>0</v>
      </c>
      <c r="Z125" s="455">
        <v>0</v>
      </c>
      <c r="AA125" s="49"/>
      <c r="AB125" s="15"/>
      <c r="AC125" s="15"/>
      <c r="AD125" s="54"/>
      <c r="AE125" s="147"/>
      <c r="AF125" s="50"/>
      <c r="AG125" s="281"/>
      <c r="AH125" s="62">
        <f>SUMIF(FLOAT!$D:$D,Cockpit!$E125:$E262,FLOAT!G:G)</f>
        <v>0</v>
      </c>
      <c r="AI125" s="62">
        <f>SUMIF(FLOAT!$D:$D,Cockpit!$E125:$E262,FLOAT!H:H)</f>
        <v>0</v>
      </c>
      <c r="AJ125" s="62">
        <f>SUMIF(FLOAT!$D:$D,Cockpit!$E125:$E262,FLOAT!I:I)</f>
        <v>0</v>
      </c>
      <c r="AK125" s="62">
        <f>SUMIF(FLOAT!$D:$D,Cockpit!$E125:$E262,FLOAT!J:J)</f>
        <v>0</v>
      </c>
      <c r="AL125" s="62">
        <f>SUMIF(FLOAT!$D:$D,Cockpit!$E125:$E262,FLOAT!K:K)</f>
        <v>0</v>
      </c>
      <c r="AM125" s="62">
        <f>SUMIF(FLOAT!$D:$D,Cockpit!$E125:$E262,FLOAT!L:L)</f>
        <v>0</v>
      </c>
      <c r="AN125" s="62">
        <f>SUMIF(FLOAT!$D:$D,Cockpit!$E125:$E262,FLOAT!M:M)</f>
        <v>0</v>
      </c>
      <c r="AO125" s="62">
        <f>SUMIF(FLOAT!$D:$D,Cockpit!$E125:$E262,FLOAT!N:N)</f>
        <v>0</v>
      </c>
      <c r="AP125" s="62">
        <f>SUMIF(FLOAT!$D:$D,Cockpit!$E125:$E262,FLOAT!O:O)</f>
        <v>0</v>
      </c>
      <c r="AQ125" s="62">
        <f>SUMIF(FLOAT!$D:$D,Cockpit!$E125:$E262,FLOAT!P:P)</f>
        <v>0</v>
      </c>
      <c r="AR125" s="60">
        <f t="shared" si="11"/>
        <v>0</v>
      </c>
      <c r="AS125" s="238"/>
    </row>
    <row r="126" spans="1:45" s="17" customFormat="1" ht="21.75" hidden="1" thickBot="1" x14ac:dyDescent="0.35">
      <c r="A126" s="2"/>
      <c r="B126" s="97"/>
      <c r="C126" s="70"/>
      <c r="D126" s="696"/>
      <c r="E126" s="686" t="s">
        <v>521</v>
      </c>
      <c r="F126" s="659" t="s">
        <v>522</v>
      </c>
      <c r="G126" s="71">
        <f>IFERROR(VLOOKUP(E126:E126,[1]Sheet4!$O:$P,2,0),0)</f>
        <v>0</v>
      </c>
      <c r="H126" s="230">
        <f t="shared" si="22"/>
        <v>0</v>
      </c>
      <c r="I126" s="232">
        <v>0</v>
      </c>
      <c r="J126" s="214">
        <f t="shared" si="23"/>
        <v>0</v>
      </c>
      <c r="K126" s="76">
        <f t="shared" si="23"/>
        <v>0</v>
      </c>
      <c r="L126" s="155">
        <f t="shared" si="24"/>
        <v>0</v>
      </c>
      <c r="M126" s="77">
        <f t="shared" si="25"/>
        <v>0</v>
      </c>
      <c r="N126" s="30">
        <f>SUMIF('3 D P'!$D:$D,Cockpit!$E$5:$E$146,'3 D P'!L:L)</f>
        <v>0</v>
      </c>
      <c r="O126" s="30">
        <f>SUMIF('3 D P'!$D:$D,Cockpit!$E$5:$E$146,'3 D P'!M:M)</f>
        <v>0</v>
      </c>
      <c r="P126" s="30">
        <f>SUMIF('3 D P'!$D:$D,Cockpit!$E$5:$E$146,'3 D P'!N:N)</f>
        <v>0</v>
      </c>
      <c r="Q126" s="132">
        <f>IFERROR(VLOOKUP($D126,'Aptiv Dispatch'!$A:$B,2,FALSE),0)</f>
        <v>0</v>
      </c>
      <c r="R126" s="34">
        <f>SUMIF('Consumption MTD'!B:B,Cockpit!$E$5:$E$146,'Consumption MTD'!C:C)</f>
        <v>0</v>
      </c>
      <c r="S126" s="34">
        <f>SUMIF('BIW Lifting A Shift'!$B:$B,Cockpit!$E$5:$E$146,'BIW Lifting A Shift'!C:C)</f>
        <v>0</v>
      </c>
      <c r="T126" s="34">
        <f>SUMIF('BIW Lifting B Shift'!$B:$B,Cockpit!$E$5:$E$146,'BIW Lifting B Shift'!C:C)</f>
        <v>0</v>
      </c>
      <c r="U126" s="74">
        <f t="shared" si="26"/>
        <v>0</v>
      </c>
      <c r="V126" s="74">
        <f t="shared" si="27"/>
        <v>0</v>
      </c>
      <c r="W126" s="457">
        <f t="shared" si="28"/>
        <v>0</v>
      </c>
      <c r="X126" s="555">
        <f>SUMIF(FLOAT!$D:$D,Cockpit!$E$5:$E$146,FLOAT!F:F)</f>
        <v>0</v>
      </c>
      <c r="Y126" s="15">
        <v>0</v>
      </c>
      <c r="Z126" s="455">
        <v>0</v>
      </c>
      <c r="AA126" s="49"/>
      <c r="AB126" s="15"/>
      <c r="AC126" s="15"/>
      <c r="AD126" s="54"/>
      <c r="AE126" s="147"/>
      <c r="AF126" s="50"/>
      <c r="AG126" s="281"/>
      <c r="AH126" s="62">
        <f>SUMIF(FLOAT!$D:$D,Cockpit!$E126:$E263,FLOAT!G:G)</f>
        <v>0</v>
      </c>
      <c r="AI126" s="62">
        <f>SUMIF(FLOAT!$D:$D,Cockpit!$E126:$E263,FLOAT!H:H)</f>
        <v>0</v>
      </c>
      <c r="AJ126" s="62">
        <f>SUMIF(FLOAT!$D:$D,Cockpit!$E126:$E263,FLOAT!I:I)</f>
        <v>0</v>
      </c>
      <c r="AK126" s="62">
        <f>SUMIF(FLOAT!$D:$D,Cockpit!$E126:$E263,FLOAT!J:J)</f>
        <v>0</v>
      </c>
      <c r="AL126" s="62">
        <f>SUMIF(FLOAT!$D:$D,Cockpit!$E126:$E263,FLOAT!K:K)</f>
        <v>0</v>
      </c>
      <c r="AM126" s="62">
        <f>SUMIF(FLOAT!$D:$D,Cockpit!$E126:$E263,FLOAT!L:L)</f>
        <v>0</v>
      </c>
      <c r="AN126" s="62">
        <f>SUMIF(FLOAT!$D:$D,Cockpit!$E126:$E263,FLOAT!M:M)</f>
        <v>0</v>
      </c>
      <c r="AO126" s="62">
        <f>SUMIF(FLOAT!$D:$D,Cockpit!$E126:$E263,FLOAT!N:N)</f>
        <v>0</v>
      </c>
      <c r="AP126" s="62">
        <f>SUMIF(FLOAT!$D:$D,Cockpit!$E126:$E263,FLOAT!O:O)</f>
        <v>0</v>
      </c>
      <c r="AQ126" s="62">
        <f>SUMIF(FLOAT!$D:$D,Cockpit!$E126:$E263,FLOAT!P:P)</f>
        <v>0</v>
      </c>
      <c r="AR126" s="60">
        <f t="shared" si="11"/>
        <v>0</v>
      </c>
      <c r="AS126" s="238"/>
    </row>
    <row r="127" spans="1:45" s="17" customFormat="1" ht="21.75" hidden="1" thickBot="1" x14ac:dyDescent="0.35">
      <c r="A127" s="2"/>
      <c r="B127" s="97"/>
      <c r="C127" s="70"/>
      <c r="D127" s="696"/>
      <c r="E127" s="686" t="s">
        <v>523</v>
      </c>
      <c r="F127" s="659" t="s">
        <v>524</v>
      </c>
      <c r="G127" s="71">
        <f>IFERROR(VLOOKUP(E127:E127,[1]Sheet4!$O:$P,2,0),0)</f>
        <v>0</v>
      </c>
      <c r="H127" s="230">
        <f t="shared" si="22"/>
        <v>0</v>
      </c>
      <c r="I127" s="232">
        <v>0</v>
      </c>
      <c r="J127" s="214">
        <f t="shared" si="23"/>
        <v>0</v>
      </c>
      <c r="K127" s="76">
        <f t="shared" si="23"/>
        <v>0</v>
      </c>
      <c r="L127" s="155">
        <f t="shared" si="24"/>
        <v>0</v>
      </c>
      <c r="M127" s="77">
        <f t="shared" si="25"/>
        <v>0</v>
      </c>
      <c r="N127" s="30">
        <f>SUMIF('3 D P'!$D:$D,Cockpit!$E$5:$E$146,'3 D P'!L:L)</f>
        <v>0</v>
      </c>
      <c r="O127" s="30">
        <f>SUMIF('3 D P'!$D:$D,Cockpit!$E$5:$E$146,'3 D P'!M:M)</f>
        <v>0</v>
      </c>
      <c r="P127" s="30">
        <f>SUMIF('3 D P'!$D:$D,Cockpit!$E$5:$E$146,'3 D P'!N:N)</f>
        <v>0</v>
      </c>
      <c r="Q127" s="132">
        <f>IFERROR(VLOOKUP($D127,'Aptiv Dispatch'!$A:$B,2,FALSE),0)</f>
        <v>0</v>
      </c>
      <c r="R127" s="34">
        <f>SUMIF('Consumption MTD'!B:B,Cockpit!$E$5:$E$146,'Consumption MTD'!C:C)</f>
        <v>0</v>
      </c>
      <c r="S127" s="34">
        <f>SUMIF('BIW Lifting A Shift'!$B:$B,Cockpit!$E$5:$E$146,'BIW Lifting A Shift'!C:C)</f>
        <v>0</v>
      </c>
      <c r="T127" s="34">
        <f>SUMIF('BIW Lifting B Shift'!$B:$B,Cockpit!$E$5:$E$146,'BIW Lifting B Shift'!C:C)</f>
        <v>0</v>
      </c>
      <c r="U127" s="74">
        <f t="shared" si="26"/>
        <v>0</v>
      </c>
      <c r="V127" s="74">
        <f t="shared" si="27"/>
        <v>0</v>
      </c>
      <c r="W127" s="457">
        <f t="shared" si="28"/>
        <v>0</v>
      </c>
      <c r="X127" s="555">
        <f>SUMIF(FLOAT!$D:$D,Cockpit!$E$5:$E$146,FLOAT!F:F)</f>
        <v>0</v>
      </c>
      <c r="Y127" s="15">
        <v>0</v>
      </c>
      <c r="Z127" s="455">
        <v>0</v>
      </c>
      <c r="AA127" s="49"/>
      <c r="AB127" s="15"/>
      <c r="AC127" s="15"/>
      <c r="AD127" s="54"/>
      <c r="AE127" s="147"/>
      <c r="AF127" s="50"/>
      <c r="AG127" s="281"/>
      <c r="AH127" s="62">
        <f>SUMIF(FLOAT!$D:$D,Cockpit!$E127:$E264,FLOAT!G:G)</f>
        <v>0</v>
      </c>
      <c r="AI127" s="62">
        <f>SUMIF(FLOAT!$D:$D,Cockpit!$E127:$E264,FLOAT!H:H)</f>
        <v>0</v>
      </c>
      <c r="AJ127" s="62">
        <f>SUMIF(FLOAT!$D:$D,Cockpit!$E127:$E264,FLOAT!I:I)</f>
        <v>0</v>
      </c>
      <c r="AK127" s="62">
        <f>SUMIF(FLOAT!$D:$D,Cockpit!$E127:$E264,FLOAT!J:J)</f>
        <v>0</v>
      </c>
      <c r="AL127" s="62">
        <f>SUMIF(FLOAT!$D:$D,Cockpit!$E127:$E264,FLOAT!K:K)</f>
        <v>0</v>
      </c>
      <c r="AM127" s="62">
        <f>SUMIF(FLOAT!$D:$D,Cockpit!$E127:$E264,FLOAT!L:L)</f>
        <v>0</v>
      </c>
      <c r="AN127" s="62">
        <f>SUMIF(FLOAT!$D:$D,Cockpit!$E127:$E264,FLOAT!M:M)</f>
        <v>0</v>
      </c>
      <c r="AO127" s="62">
        <f>SUMIF(FLOAT!$D:$D,Cockpit!$E127:$E264,FLOAT!N:N)</f>
        <v>0</v>
      </c>
      <c r="AP127" s="62">
        <f>SUMIF(FLOAT!$D:$D,Cockpit!$E127:$E264,FLOAT!O:O)</f>
        <v>0</v>
      </c>
      <c r="AQ127" s="62">
        <f>SUMIF(FLOAT!$D:$D,Cockpit!$E127:$E264,FLOAT!P:P)</f>
        <v>0</v>
      </c>
      <c r="AR127" s="60">
        <f t="shared" si="11"/>
        <v>0</v>
      </c>
      <c r="AS127" s="238"/>
    </row>
    <row r="128" spans="1:45" s="17" customFormat="1" ht="21.75" hidden="1" thickBot="1" x14ac:dyDescent="0.35">
      <c r="A128" s="2"/>
      <c r="B128" s="97"/>
      <c r="C128" s="70"/>
      <c r="D128" s="696"/>
      <c r="E128" s="686" t="s">
        <v>525</v>
      </c>
      <c r="F128" s="659" t="s">
        <v>526</v>
      </c>
      <c r="G128" s="71">
        <f>IFERROR(VLOOKUP(E128:E128,[1]Sheet4!$O:$P,2,0),0)</f>
        <v>0</v>
      </c>
      <c r="H128" s="230">
        <f t="shared" si="22"/>
        <v>0</v>
      </c>
      <c r="I128" s="232">
        <v>0</v>
      </c>
      <c r="J128" s="214">
        <f t="shared" si="23"/>
        <v>0</v>
      </c>
      <c r="K128" s="76">
        <f t="shared" si="23"/>
        <v>0</v>
      </c>
      <c r="L128" s="155">
        <f t="shared" si="24"/>
        <v>0</v>
      </c>
      <c r="M128" s="77">
        <f t="shared" si="25"/>
        <v>0</v>
      </c>
      <c r="N128" s="30">
        <f>SUMIF('3 D P'!$D:$D,Cockpit!$E$5:$E$146,'3 D P'!L:L)</f>
        <v>0</v>
      </c>
      <c r="O128" s="30">
        <f>SUMIF('3 D P'!$D:$D,Cockpit!$E$5:$E$146,'3 D P'!M:M)</f>
        <v>0</v>
      </c>
      <c r="P128" s="30">
        <f>SUMIF('3 D P'!$D:$D,Cockpit!$E$5:$E$146,'3 D P'!N:N)</f>
        <v>0</v>
      </c>
      <c r="Q128" s="132">
        <f>IFERROR(VLOOKUP($D128,'Aptiv Dispatch'!$A:$B,2,FALSE),0)</f>
        <v>0</v>
      </c>
      <c r="R128" s="34">
        <f>SUMIF('Consumption MTD'!B:B,Cockpit!$E$5:$E$146,'Consumption MTD'!C:C)</f>
        <v>0</v>
      </c>
      <c r="S128" s="34">
        <f>SUMIF('BIW Lifting A Shift'!$B:$B,Cockpit!$E$5:$E$146,'BIW Lifting A Shift'!C:C)</f>
        <v>0</v>
      </c>
      <c r="T128" s="34">
        <f>SUMIF('BIW Lifting B Shift'!$B:$B,Cockpit!$E$5:$E$146,'BIW Lifting B Shift'!C:C)</f>
        <v>0</v>
      </c>
      <c r="U128" s="74">
        <f t="shared" si="26"/>
        <v>0</v>
      </c>
      <c r="V128" s="74">
        <f t="shared" si="27"/>
        <v>0</v>
      </c>
      <c r="W128" s="457">
        <f t="shared" si="28"/>
        <v>0</v>
      </c>
      <c r="X128" s="555">
        <f>SUMIF(FLOAT!$D:$D,Cockpit!$E$5:$E$146,FLOAT!F:F)</f>
        <v>0</v>
      </c>
      <c r="Y128" s="15">
        <v>0</v>
      </c>
      <c r="Z128" s="455">
        <v>0</v>
      </c>
      <c r="AA128" s="49"/>
      <c r="AB128" s="15"/>
      <c r="AC128" s="15"/>
      <c r="AD128" s="54"/>
      <c r="AE128" s="147"/>
      <c r="AF128" s="50"/>
      <c r="AG128" s="281"/>
      <c r="AH128" s="62">
        <f>SUMIF(FLOAT!$D:$D,Cockpit!$E128:$E265,FLOAT!G:G)</f>
        <v>0</v>
      </c>
      <c r="AI128" s="62">
        <f>SUMIF(FLOAT!$D:$D,Cockpit!$E128:$E265,FLOAT!H:H)</f>
        <v>0</v>
      </c>
      <c r="AJ128" s="62">
        <f>SUMIF(FLOAT!$D:$D,Cockpit!$E128:$E265,FLOAT!I:I)</f>
        <v>0</v>
      </c>
      <c r="AK128" s="62">
        <f>SUMIF(FLOAT!$D:$D,Cockpit!$E128:$E265,FLOAT!J:J)</f>
        <v>0</v>
      </c>
      <c r="AL128" s="62">
        <f>SUMIF(FLOAT!$D:$D,Cockpit!$E128:$E265,FLOAT!K:K)</f>
        <v>0</v>
      </c>
      <c r="AM128" s="62">
        <f>SUMIF(FLOAT!$D:$D,Cockpit!$E128:$E265,FLOAT!L:L)</f>
        <v>0</v>
      </c>
      <c r="AN128" s="62">
        <f>SUMIF(FLOAT!$D:$D,Cockpit!$E128:$E265,FLOAT!M:M)</f>
        <v>0</v>
      </c>
      <c r="AO128" s="62">
        <f>SUMIF(FLOAT!$D:$D,Cockpit!$E128:$E265,FLOAT!N:N)</f>
        <v>0</v>
      </c>
      <c r="AP128" s="62">
        <f>SUMIF(FLOAT!$D:$D,Cockpit!$E128:$E265,FLOAT!O:O)</f>
        <v>0</v>
      </c>
      <c r="AQ128" s="62">
        <f>SUMIF(FLOAT!$D:$D,Cockpit!$E128:$E265,FLOAT!P:P)</f>
        <v>0</v>
      </c>
      <c r="AR128" s="60">
        <f t="shared" si="11"/>
        <v>0</v>
      </c>
      <c r="AS128" s="238"/>
    </row>
    <row r="129" spans="1:45" s="17" customFormat="1" ht="21.75" hidden="1" thickBot="1" x14ac:dyDescent="0.35">
      <c r="A129" s="2"/>
      <c r="B129" s="97"/>
      <c r="C129" s="70"/>
      <c r="D129" s="696"/>
      <c r="E129" s="686" t="s">
        <v>527</v>
      </c>
      <c r="F129" s="659" t="s">
        <v>528</v>
      </c>
      <c r="G129" s="71">
        <f>IFERROR(VLOOKUP(E129:E129,[1]Sheet4!$O:$P,2,0),0)</f>
        <v>0</v>
      </c>
      <c r="H129" s="230">
        <f t="shared" si="22"/>
        <v>0</v>
      </c>
      <c r="I129" s="232">
        <v>0</v>
      </c>
      <c r="J129" s="214">
        <f t="shared" si="23"/>
        <v>0</v>
      </c>
      <c r="K129" s="76">
        <f t="shared" si="23"/>
        <v>0</v>
      </c>
      <c r="L129" s="155">
        <f t="shared" si="24"/>
        <v>0</v>
      </c>
      <c r="M129" s="77">
        <f t="shared" si="25"/>
        <v>0</v>
      </c>
      <c r="N129" s="30">
        <f>SUMIF('3 D P'!$D:$D,Cockpit!$E$5:$E$146,'3 D P'!L:L)</f>
        <v>0</v>
      </c>
      <c r="O129" s="30">
        <f>SUMIF('3 D P'!$D:$D,Cockpit!$E$5:$E$146,'3 D P'!M:M)</f>
        <v>0</v>
      </c>
      <c r="P129" s="30">
        <f>SUMIF('3 D P'!$D:$D,Cockpit!$E$5:$E$146,'3 D P'!N:N)</f>
        <v>0</v>
      </c>
      <c r="Q129" s="132">
        <f>IFERROR(VLOOKUP($D129,'Aptiv Dispatch'!$A:$B,2,FALSE),0)</f>
        <v>0</v>
      </c>
      <c r="R129" s="34">
        <f>SUMIF('Consumption MTD'!B:B,Cockpit!$E$5:$E$146,'Consumption MTD'!C:C)</f>
        <v>0</v>
      </c>
      <c r="S129" s="34">
        <f>SUMIF('BIW Lifting A Shift'!$B:$B,Cockpit!$E$5:$E$146,'BIW Lifting A Shift'!C:C)</f>
        <v>0</v>
      </c>
      <c r="T129" s="34">
        <f>SUMIF('BIW Lifting B Shift'!$B:$B,Cockpit!$E$5:$E$146,'BIW Lifting B Shift'!C:C)</f>
        <v>0</v>
      </c>
      <c r="U129" s="74">
        <f t="shared" si="26"/>
        <v>0</v>
      </c>
      <c r="V129" s="74">
        <f t="shared" si="27"/>
        <v>0</v>
      </c>
      <c r="W129" s="457">
        <f t="shared" si="28"/>
        <v>0</v>
      </c>
      <c r="X129" s="555">
        <f>SUMIF(FLOAT!$D:$D,Cockpit!$E$5:$E$146,FLOAT!F:F)</f>
        <v>0</v>
      </c>
      <c r="Y129" s="15">
        <v>0</v>
      </c>
      <c r="Z129" s="455">
        <v>0</v>
      </c>
      <c r="AA129" s="49"/>
      <c r="AB129" s="15"/>
      <c r="AC129" s="15"/>
      <c r="AD129" s="54"/>
      <c r="AE129" s="147"/>
      <c r="AF129" s="50"/>
      <c r="AG129" s="281"/>
      <c r="AH129" s="62">
        <f>SUMIF(FLOAT!$D:$D,Cockpit!$E129:$E266,FLOAT!G:G)</f>
        <v>0</v>
      </c>
      <c r="AI129" s="62">
        <f>SUMIF(FLOAT!$D:$D,Cockpit!$E129:$E266,FLOAT!H:H)</f>
        <v>0</v>
      </c>
      <c r="AJ129" s="62">
        <f>SUMIF(FLOAT!$D:$D,Cockpit!$E129:$E266,FLOAT!I:I)</f>
        <v>0</v>
      </c>
      <c r="AK129" s="62">
        <f>SUMIF(FLOAT!$D:$D,Cockpit!$E129:$E266,FLOAT!J:J)</f>
        <v>0</v>
      </c>
      <c r="AL129" s="62">
        <f>SUMIF(FLOAT!$D:$D,Cockpit!$E129:$E266,FLOAT!K:K)</f>
        <v>0</v>
      </c>
      <c r="AM129" s="62">
        <f>SUMIF(FLOAT!$D:$D,Cockpit!$E129:$E266,FLOAT!L:L)</f>
        <v>0</v>
      </c>
      <c r="AN129" s="62">
        <f>SUMIF(FLOAT!$D:$D,Cockpit!$E129:$E266,FLOAT!M:M)</f>
        <v>0</v>
      </c>
      <c r="AO129" s="62">
        <f>SUMIF(FLOAT!$D:$D,Cockpit!$E129:$E266,FLOAT!N:N)</f>
        <v>0</v>
      </c>
      <c r="AP129" s="62">
        <f>SUMIF(FLOAT!$D:$D,Cockpit!$E129:$E266,FLOAT!O:O)</f>
        <v>0</v>
      </c>
      <c r="AQ129" s="62">
        <f>SUMIF(FLOAT!$D:$D,Cockpit!$E129:$E266,FLOAT!P:P)</f>
        <v>0</v>
      </c>
      <c r="AR129" s="60">
        <f t="shared" si="11"/>
        <v>0</v>
      </c>
      <c r="AS129" s="238"/>
    </row>
    <row r="130" spans="1:45" s="17" customFormat="1" ht="21.75" hidden="1" thickBot="1" x14ac:dyDescent="0.35">
      <c r="A130" s="2"/>
      <c r="B130" s="97"/>
      <c r="C130" s="70"/>
      <c r="D130" s="696"/>
      <c r="E130" s="686" t="s">
        <v>529</v>
      </c>
      <c r="F130" s="659" t="s">
        <v>530</v>
      </c>
      <c r="G130" s="71">
        <f>IFERROR(VLOOKUP(E130:E130,[1]Sheet4!$O:$P,2,0),0)</f>
        <v>0</v>
      </c>
      <c r="H130" s="230">
        <f t="shared" si="22"/>
        <v>0</v>
      </c>
      <c r="I130" s="232">
        <v>0</v>
      </c>
      <c r="J130" s="214">
        <f t="shared" si="23"/>
        <v>0</v>
      </c>
      <c r="K130" s="76">
        <f t="shared" si="23"/>
        <v>0</v>
      </c>
      <c r="L130" s="155">
        <f t="shared" si="24"/>
        <v>0</v>
      </c>
      <c r="M130" s="77">
        <f t="shared" si="25"/>
        <v>0</v>
      </c>
      <c r="N130" s="30">
        <f>SUMIF('3 D P'!$D:$D,Cockpit!$E$5:$E$146,'3 D P'!L:L)</f>
        <v>0</v>
      </c>
      <c r="O130" s="30">
        <f>SUMIF('3 D P'!$D:$D,Cockpit!$E$5:$E$146,'3 D P'!M:M)</f>
        <v>0</v>
      </c>
      <c r="P130" s="30">
        <f>SUMIF('3 D P'!$D:$D,Cockpit!$E$5:$E$146,'3 D P'!N:N)</f>
        <v>0</v>
      </c>
      <c r="Q130" s="132">
        <f>IFERROR(VLOOKUP($D130,'Aptiv Dispatch'!$A:$B,2,FALSE),0)</f>
        <v>0</v>
      </c>
      <c r="R130" s="34">
        <f>SUMIF('Consumption MTD'!B:B,Cockpit!$E$5:$E$146,'Consumption MTD'!C:C)</f>
        <v>0</v>
      </c>
      <c r="S130" s="34">
        <f>SUMIF('BIW Lifting A Shift'!$B:$B,Cockpit!$E$5:$E$146,'BIW Lifting A Shift'!C:C)</f>
        <v>0</v>
      </c>
      <c r="T130" s="34">
        <f>SUMIF('BIW Lifting B Shift'!$B:$B,Cockpit!$E$5:$E$146,'BIW Lifting B Shift'!C:C)</f>
        <v>0</v>
      </c>
      <c r="U130" s="74">
        <f t="shared" si="26"/>
        <v>0</v>
      </c>
      <c r="V130" s="74">
        <f t="shared" si="27"/>
        <v>0</v>
      </c>
      <c r="W130" s="457">
        <f t="shared" si="28"/>
        <v>0</v>
      </c>
      <c r="X130" s="555">
        <f>SUMIF(FLOAT!$D:$D,Cockpit!$E$5:$E$146,FLOAT!F:F)</f>
        <v>0</v>
      </c>
      <c r="Y130" s="15">
        <v>0</v>
      </c>
      <c r="Z130" s="455">
        <v>0</v>
      </c>
      <c r="AA130" s="49"/>
      <c r="AB130" s="15"/>
      <c r="AC130" s="15"/>
      <c r="AD130" s="54"/>
      <c r="AE130" s="147"/>
      <c r="AF130" s="50"/>
      <c r="AG130" s="281"/>
      <c r="AH130" s="62">
        <f>SUMIF(FLOAT!$D:$D,Cockpit!$E130:$E267,FLOAT!G:G)</f>
        <v>0</v>
      </c>
      <c r="AI130" s="62">
        <f>SUMIF(FLOAT!$D:$D,Cockpit!$E130:$E267,FLOAT!H:H)</f>
        <v>0</v>
      </c>
      <c r="AJ130" s="62">
        <f>SUMIF(FLOAT!$D:$D,Cockpit!$E130:$E267,FLOAT!I:I)</f>
        <v>0</v>
      </c>
      <c r="AK130" s="62">
        <f>SUMIF(FLOAT!$D:$D,Cockpit!$E130:$E267,FLOAT!J:J)</f>
        <v>0</v>
      </c>
      <c r="AL130" s="62">
        <f>SUMIF(FLOAT!$D:$D,Cockpit!$E130:$E267,FLOAT!K:K)</f>
        <v>0</v>
      </c>
      <c r="AM130" s="62">
        <f>SUMIF(FLOAT!$D:$D,Cockpit!$E130:$E267,FLOAT!L:L)</f>
        <v>0</v>
      </c>
      <c r="AN130" s="62">
        <f>SUMIF(FLOAT!$D:$D,Cockpit!$E130:$E267,FLOAT!M:M)</f>
        <v>0</v>
      </c>
      <c r="AO130" s="62">
        <f>SUMIF(FLOAT!$D:$D,Cockpit!$E130:$E267,FLOAT!N:N)</f>
        <v>0</v>
      </c>
      <c r="AP130" s="62">
        <f>SUMIF(FLOAT!$D:$D,Cockpit!$E130:$E267,FLOAT!O:O)</f>
        <v>0</v>
      </c>
      <c r="AQ130" s="62">
        <f>SUMIF(FLOAT!$D:$D,Cockpit!$E130:$E267,FLOAT!P:P)</f>
        <v>0</v>
      </c>
      <c r="AR130" s="60">
        <f t="shared" si="11"/>
        <v>0</v>
      </c>
      <c r="AS130" s="238"/>
    </row>
    <row r="131" spans="1:45" s="17" customFormat="1" ht="21.75" hidden="1" thickBot="1" x14ac:dyDescent="0.35">
      <c r="A131" s="2"/>
      <c r="B131" s="97"/>
      <c r="C131" s="70"/>
      <c r="D131" s="696"/>
      <c r="E131" s="686" t="s">
        <v>531</v>
      </c>
      <c r="F131" s="661" t="s">
        <v>532</v>
      </c>
      <c r="G131" s="71">
        <f>IFERROR(VLOOKUP(E131:E131,[1]Sheet4!$O:$P,2,0),0)</f>
        <v>0</v>
      </c>
      <c r="H131" s="230">
        <f t="shared" si="22"/>
        <v>0</v>
      </c>
      <c r="I131" s="232">
        <v>0</v>
      </c>
      <c r="J131" s="214">
        <f t="shared" si="23"/>
        <v>0</v>
      </c>
      <c r="K131" s="76">
        <f t="shared" si="23"/>
        <v>0</v>
      </c>
      <c r="L131" s="155">
        <f t="shared" si="24"/>
        <v>0</v>
      </c>
      <c r="M131" s="77">
        <f t="shared" si="25"/>
        <v>0</v>
      </c>
      <c r="N131" s="30">
        <f>SUMIF('3 D P'!$D:$D,Cockpit!$E$5:$E$146,'3 D P'!L:L)</f>
        <v>0</v>
      </c>
      <c r="O131" s="30">
        <f>SUMIF('3 D P'!$D:$D,Cockpit!$E$5:$E$146,'3 D P'!M:M)</f>
        <v>0</v>
      </c>
      <c r="P131" s="30">
        <f>SUMIF('3 D P'!$D:$D,Cockpit!$E$5:$E$146,'3 D P'!N:N)</f>
        <v>0</v>
      </c>
      <c r="Q131" s="132">
        <f>IFERROR(VLOOKUP($D131,'Aptiv Dispatch'!$A:$B,2,FALSE),0)</f>
        <v>0</v>
      </c>
      <c r="R131" s="34">
        <f>SUMIF('Consumption MTD'!B:B,Cockpit!$E$5:$E$146,'Consumption MTD'!C:C)</f>
        <v>0</v>
      </c>
      <c r="S131" s="34">
        <f>SUMIF('BIW Lifting A Shift'!$B:$B,Cockpit!$E$5:$E$146,'BIW Lifting A Shift'!C:C)</f>
        <v>0</v>
      </c>
      <c r="T131" s="34">
        <f>SUMIF('BIW Lifting B Shift'!$B:$B,Cockpit!$E$5:$E$146,'BIW Lifting B Shift'!C:C)</f>
        <v>0</v>
      </c>
      <c r="U131" s="74">
        <f t="shared" si="26"/>
        <v>0</v>
      </c>
      <c r="V131" s="74">
        <f t="shared" si="27"/>
        <v>0</v>
      </c>
      <c r="W131" s="457">
        <f t="shared" si="28"/>
        <v>0</v>
      </c>
      <c r="X131" s="555">
        <f>SUMIF(FLOAT!$D:$D,Cockpit!$E$5:$E$146,FLOAT!F:F)</f>
        <v>0</v>
      </c>
      <c r="Y131" s="15">
        <v>0</v>
      </c>
      <c r="Z131" s="455">
        <v>0</v>
      </c>
      <c r="AA131" s="49"/>
      <c r="AB131" s="15"/>
      <c r="AC131" s="15"/>
      <c r="AD131" s="54"/>
      <c r="AE131" s="147"/>
      <c r="AF131" s="50"/>
      <c r="AG131" s="281"/>
      <c r="AH131" s="62">
        <f>SUMIF(FLOAT!$D:$D,Cockpit!$E131:$E268,FLOAT!G:G)</f>
        <v>0</v>
      </c>
      <c r="AI131" s="62">
        <f>SUMIF(FLOAT!$D:$D,Cockpit!$E131:$E268,FLOAT!H:H)</f>
        <v>0</v>
      </c>
      <c r="AJ131" s="62">
        <f>SUMIF(FLOAT!$D:$D,Cockpit!$E131:$E268,FLOAT!I:I)</f>
        <v>0</v>
      </c>
      <c r="AK131" s="62">
        <f>SUMIF(FLOAT!$D:$D,Cockpit!$E131:$E268,FLOAT!J:J)</f>
        <v>0</v>
      </c>
      <c r="AL131" s="62">
        <f>SUMIF(FLOAT!$D:$D,Cockpit!$E131:$E268,FLOAT!K:K)</f>
        <v>0</v>
      </c>
      <c r="AM131" s="62">
        <f>SUMIF(FLOAT!$D:$D,Cockpit!$E131:$E268,FLOAT!L:L)</f>
        <v>0</v>
      </c>
      <c r="AN131" s="62">
        <f>SUMIF(FLOAT!$D:$D,Cockpit!$E131:$E268,FLOAT!M:M)</f>
        <v>0</v>
      </c>
      <c r="AO131" s="62">
        <f>SUMIF(FLOAT!$D:$D,Cockpit!$E131:$E268,FLOAT!N:N)</f>
        <v>0</v>
      </c>
      <c r="AP131" s="62">
        <f>SUMIF(FLOAT!$D:$D,Cockpit!$E131:$E268,FLOAT!O:O)</f>
        <v>0</v>
      </c>
      <c r="AQ131" s="62">
        <f>SUMIF(FLOAT!$D:$D,Cockpit!$E131:$E268,FLOAT!P:P)</f>
        <v>0</v>
      </c>
      <c r="AR131" s="60">
        <f t="shared" si="11"/>
        <v>0</v>
      </c>
      <c r="AS131" s="238"/>
    </row>
    <row r="132" spans="1:45" s="17" customFormat="1" ht="21.75" hidden="1" thickBot="1" x14ac:dyDescent="0.35">
      <c r="A132" s="2"/>
      <c r="B132" s="97"/>
      <c r="C132" s="70"/>
      <c r="D132" s="696"/>
      <c r="E132" s="686" t="s">
        <v>533</v>
      </c>
      <c r="F132" s="659" t="s">
        <v>443</v>
      </c>
      <c r="G132" s="71">
        <f>IFERROR(VLOOKUP(E132:E132,[1]Sheet4!$O:$P,2,0),0)</f>
        <v>0</v>
      </c>
      <c r="H132" s="230">
        <f t="shared" si="22"/>
        <v>0</v>
      </c>
      <c r="I132" s="232">
        <v>0</v>
      </c>
      <c r="J132" s="214">
        <f t="shared" si="23"/>
        <v>0</v>
      </c>
      <c r="K132" s="76">
        <f t="shared" si="23"/>
        <v>0</v>
      </c>
      <c r="L132" s="155">
        <f t="shared" si="24"/>
        <v>0</v>
      </c>
      <c r="M132" s="77">
        <f t="shared" si="25"/>
        <v>0</v>
      </c>
      <c r="N132" s="30">
        <f>SUMIF('3 D P'!$D:$D,Cockpit!$E$5:$E$146,'3 D P'!L:L)</f>
        <v>0</v>
      </c>
      <c r="O132" s="30">
        <f>SUMIF('3 D P'!$D:$D,Cockpit!$E$5:$E$146,'3 D P'!M:M)</f>
        <v>0</v>
      </c>
      <c r="P132" s="30">
        <f>SUMIF('3 D P'!$D:$D,Cockpit!$E$5:$E$146,'3 D P'!N:N)</f>
        <v>0</v>
      </c>
      <c r="Q132" s="132">
        <f>IFERROR(VLOOKUP($D132,'Aptiv Dispatch'!$A:$B,2,FALSE),0)</f>
        <v>0</v>
      </c>
      <c r="R132" s="34">
        <f>SUMIF('Consumption MTD'!B:B,Cockpit!$E$5:$E$146,'Consumption MTD'!C:C)</f>
        <v>0</v>
      </c>
      <c r="S132" s="34">
        <f>SUMIF('BIW Lifting A Shift'!$B:$B,Cockpit!$E$5:$E$146,'BIW Lifting A Shift'!C:C)</f>
        <v>0</v>
      </c>
      <c r="T132" s="34">
        <f>SUMIF('BIW Lifting B Shift'!$B:$B,Cockpit!$E$5:$E$146,'BIW Lifting B Shift'!C:C)</f>
        <v>0</v>
      </c>
      <c r="U132" s="74">
        <f t="shared" si="26"/>
        <v>0</v>
      </c>
      <c r="V132" s="74">
        <f t="shared" si="27"/>
        <v>0</v>
      </c>
      <c r="W132" s="457">
        <f t="shared" si="28"/>
        <v>0</v>
      </c>
      <c r="X132" s="555">
        <f>SUMIF(FLOAT!$D:$D,Cockpit!$E$5:$E$146,FLOAT!F:F)</f>
        <v>0</v>
      </c>
      <c r="Y132" s="15">
        <v>0</v>
      </c>
      <c r="Z132" s="455">
        <v>0</v>
      </c>
      <c r="AA132" s="49"/>
      <c r="AB132" s="15"/>
      <c r="AC132" s="15"/>
      <c r="AD132" s="54"/>
      <c r="AE132" s="147"/>
      <c r="AF132" s="50"/>
      <c r="AG132" s="281"/>
      <c r="AH132" s="62">
        <f>SUMIF(FLOAT!$D:$D,Cockpit!$E132:$E269,FLOAT!G:G)</f>
        <v>0</v>
      </c>
      <c r="AI132" s="62">
        <f>SUMIF(FLOAT!$D:$D,Cockpit!$E132:$E269,FLOAT!H:H)</f>
        <v>0</v>
      </c>
      <c r="AJ132" s="62">
        <f>SUMIF(FLOAT!$D:$D,Cockpit!$E132:$E269,FLOAT!I:I)</f>
        <v>0</v>
      </c>
      <c r="AK132" s="62">
        <f>SUMIF(FLOAT!$D:$D,Cockpit!$E132:$E269,FLOAT!J:J)</f>
        <v>0</v>
      </c>
      <c r="AL132" s="62">
        <f>SUMIF(FLOAT!$D:$D,Cockpit!$E132:$E269,FLOAT!K:K)</f>
        <v>0</v>
      </c>
      <c r="AM132" s="62">
        <f>SUMIF(FLOAT!$D:$D,Cockpit!$E132:$E269,FLOAT!L:L)</f>
        <v>0</v>
      </c>
      <c r="AN132" s="62">
        <f>SUMIF(FLOAT!$D:$D,Cockpit!$E132:$E269,FLOAT!M:M)</f>
        <v>0</v>
      </c>
      <c r="AO132" s="62">
        <f>SUMIF(FLOAT!$D:$D,Cockpit!$E132:$E269,FLOAT!N:N)</f>
        <v>0</v>
      </c>
      <c r="AP132" s="62">
        <f>SUMIF(FLOAT!$D:$D,Cockpit!$E132:$E269,FLOAT!O:O)</f>
        <v>0</v>
      </c>
      <c r="AQ132" s="62">
        <f>SUMIF(FLOAT!$D:$D,Cockpit!$E132:$E269,FLOAT!P:P)</f>
        <v>0</v>
      </c>
      <c r="AR132" s="60">
        <f t="shared" si="11"/>
        <v>0</v>
      </c>
      <c r="AS132" s="238"/>
    </row>
    <row r="133" spans="1:45" s="17" customFormat="1" ht="21.75" hidden="1" thickBot="1" x14ac:dyDescent="0.35">
      <c r="A133" s="2"/>
      <c r="B133" s="97"/>
      <c r="C133" s="70"/>
      <c r="D133" s="696"/>
      <c r="E133" s="686" t="s">
        <v>534</v>
      </c>
      <c r="F133" s="659" t="s">
        <v>535</v>
      </c>
      <c r="G133" s="71">
        <f>IFERROR(VLOOKUP(E133:E133,[1]Sheet4!$O:$P,2,0),0)</f>
        <v>0</v>
      </c>
      <c r="H133" s="230">
        <f t="shared" si="22"/>
        <v>0</v>
      </c>
      <c r="I133" s="232">
        <v>0</v>
      </c>
      <c r="J133" s="214">
        <f t="shared" si="23"/>
        <v>0</v>
      </c>
      <c r="K133" s="76">
        <f t="shared" si="23"/>
        <v>0</v>
      </c>
      <c r="L133" s="155">
        <f t="shared" si="24"/>
        <v>0</v>
      </c>
      <c r="M133" s="77">
        <f t="shared" si="25"/>
        <v>0</v>
      </c>
      <c r="N133" s="30">
        <f>SUMIF('3 D P'!$D:$D,Cockpit!$E$5:$E$146,'3 D P'!L:L)</f>
        <v>0</v>
      </c>
      <c r="O133" s="30">
        <f>SUMIF('3 D P'!$D:$D,Cockpit!$E$5:$E$146,'3 D P'!M:M)</f>
        <v>0</v>
      </c>
      <c r="P133" s="30">
        <f>SUMIF('3 D P'!$D:$D,Cockpit!$E$5:$E$146,'3 D P'!N:N)</f>
        <v>0</v>
      </c>
      <c r="Q133" s="132">
        <f>IFERROR(VLOOKUP($D133,'Aptiv Dispatch'!$A:$B,2,FALSE),0)</f>
        <v>0</v>
      </c>
      <c r="R133" s="34">
        <f>SUMIF('Consumption MTD'!B:B,Cockpit!$E$5:$E$146,'Consumption MTD'!C:C)</f>
        <v>0</v>
      </c>
      <c r="S133" s="34">
        <f>SUMIF('BIW Lifting A Shift'!$B:$B,Cockpit!$E$5:$E$146,'BIW Lifting A Shift'!C:C)</f>
        <v>0</v>
      </c>
      <c r="T133" s="34">
        <f>SUMIF('BIW Lifting B Shift'!$B:$B,Cockpit!$E$5:$E$146,'BIW Lifting B Shift'!C:C)</f>
        <v>0</v>
      </c>
      <c r="U133" s="74">
        <f t="shared" si="26"/>
        <v>0</v>
      </c>
      <c r="V133" s="74">
        <f t="shared" si="27"/>
        <v>0</v>
      </c>
      <c r="W133" s="457">
        <f t="shared" si="28"/>
        <v>0</v>
      </c>
      <c r="X133" s="555">
        <f>SUMIF(FLOAT!$D:$D,Cockpit!$E$5:$E$146,FLOAT!F:F)</f>
        <v>0</v>
      </c>
      <c r="Y133" s="15">
        <v>0</v>
      </c>
      <c r="Z133" s="455">
        <v>0</v>
      </c>
      <c r="AA133" s="49"/>
      <c r="AB133" s="15"/>
      <c r="AC133" s="15"/>
      <c r="AD133" s="54"/>
      <c r="AE133" s="147"/>
      <c r="AF133" s="50"/>
      <c r="AG133" s="281"/>
      <c r="AH133" s="62">
        <f>SUMIF(FLOAT!$D:$D,Cockpit!$E133:$E270,FLOAT!G:G)</f>
        <v>0</v>
      </c>
      <c r="AI133" s="62">
        <f>SUMIF(FLOAT!$D:$D,Cockpit!$E133:$E270,FLOAT!H:H)</f>
        <v>0</v>
      </c>
      <c r="AJ133" s="62">
        <f>SUMIF(FLOAT!$D:$D,Cockpit!$E133:$E270,FLOAT!I:I)</f>
        <v>0</v>
      </c>
      <c r="AK133" s="62">
        <f>SUMIF(FLOAT!$D:$D,Cockpit!$E133:$E270,FLOAT!J:J)</f>
        <v>0</v>
      </c>
      <c r="AL133" s="62">
        <f>SUMIF(FLOAT!$D:$D,Cockpit!$E133:$E270,FLOAT!K:K)</f>
        <v>0</v>
      </c>
      <c r="AM133" s="62">
        <f>SUMIF(FLOAT!$D:$D,Cockpit!$E133:$E270,FLOAT!L:L)</f>
        <v>0</v>
      </c>
      <c r="AN133" s="62">
        <f>SUMIF(FLOAT!$D:$D,Cockpit!$E133:$E270,FLOAT!M:M)</f>
        <v>0</v>
      </c>
      <c r="AO133" s="62">
        <f>SUMIF(FLOAT!$D:$D,Cockpit!$E133:$E270,FLOAT!N:N)</f>
        <v>0</v>
      </c>
      <c r="AP133" s="62">
        <f>SUMIF(FLOAT!$D:$D,Cockpit!$E133:$E270,FLOAT!O:O)</f>
        <v>0</v>
      </c>
      <c r="AQ133" s="62">
        <f>SUMIF(FLOAT!$D:$D,Cockpit!$E133:$E270,FLOAT!P:P)</f>
        <v>0</v>
      </c>
      <c r="AR133" s="60">
        <f t="shared" si="11"/>
        <v>0</v>
      </c>
      <c r="AS133" s="238"/>
    </row>
    <row r="134" spans="1:45" s="17" customFormat="1" ht="21.75" hidden="1" thickBot="1" x14ac:dyDescent="0.35">
      <c r="A134" s="2"/>
      <c r="B134" s="97"/>
      <c r="C134" s="70"/>
      <c r="D134" s="696"/>
      <c r="E134" s="686" t="s">
        <v>536</v>
      </c>
      <c r="F134" s="661" t="s">
        <v>537</v>
      </c>
      <c r="G134" s="71">
        <f>IFERROR(VLOOKUP(E134:E134,[1]Sheet4!$O:$P,2,0),0)</f>
        <v>0</v>
      </c>
      <c r="H134" s="230">
        <f t="shared" si="22"/>
        <v>0</v>
      </c>
      <c r="I134" s="232">
        <v>0</v>
      </c>
      <c r="J134" s="214">
        <f t="shared" si="23"/>
        <v>0</v>
      </c>
      <c r="K134" s="76">
        <f t="shared" si="23"/>
        <v>0</v>
      </c>
      <c r="L134" s="155">
        <f t="shared" si="24"/>
        <v>0</v>
      </c>
      <c r="M134" s="77">
        <f t="shared" si="25"/>
        <v>0</v>
      </c>
      <c r="N134" s="30">
        <f>SUMIF('3 D P'!$D:$D,Cockpit!$E$5:$E$146,'3 D P'!L:L)</f>
        <v>0</v>
      </c>
      <c r="O134" s="30">
        <f>SUMIF('3 D P'!$D:$D,Cockpit!$E$5:$E$146,'3 D P'!M:M)</f>
        <v>0</v>
      </c>
      <c r="P134" s="30">
        <f>SUMIF('3 D P'!$D:$D,Cockpit!$E$5:$E$146,'3 D P'!N:N)</f>
        <v>0</v>
      </c>
      <c r="Q134" s="132">
        <f>IFERROR(VLOOKUP($D134,'Aptiv Dispatch'!$A:$B,2,FALSE),0)</f>
        <v>0</v>
      </c>
      <c r="R134" s="34">
        <f>SUMIF('Consumption MTD'!B:B,Cockpit!$E$5:$E$146,'Consumption MTD'!C:C)</f>
        <v>0</v>
      </c>
      <c r="S134" s="34">
        <f>SUMIF('BIW Lifting A Shift'!$B:$B,Cockpit!$E$5:$E$146,'BIW Lifting A Shift'!C:C)</f>
        <v>0</v>
      </c>
      <c r="T134" s="34">
        <f>SUMIF('BIW Lifting B Shift'!$B:$B,Cockpit!$E$5:$E$146,'BIW Lifting B Shift'!C:C)</f>
        <v>0</v>
      </c>
      <c r="U134" s="74">
        <f t="shared" si="26"/>
        <v>0</v>
      </c>
      <c r="V134" s="74">
        <f t="shared" si="27"/>
        <v>0</v>
      </c>
      <c r="W134" s="457">
        <f t="shared" si="28"/>
        <v>0</v>
      </c>
      <c r="X134" s="555">
        <f>SUMIF(FLOAT!$D:$D,Cockpit!$E$5:$E$146,FLOAT!F:F)</f>
        <v>0</v>
      </c>
      <c r="Y134" s="15">
        <v>0</v>
      </c>
      <c r="Z134" s="455">
        <v>0</v>
      </c>
      <c r="AA134" s="49"/>
      <c r="AB134" s="15"/>
      <c r="AC134" s="15"/>
      <c r="AD134" s="54"/>
      <c r="AE134" s="147"/>
      <c r="AF134" s="50"/>
      <c r="AG134" s="281"/>
      <c r="AH134" s="62">
        <f>SUMIF(FLOAT!$D:$D,Cockpit!$E134:$E271,FLOAT!G:G)</f>
        <v>0</v>
      </c>
      <c r="AI134" s="62">
        <f>SUMIF(FLOAT!$D:$D,Cockpit!$E134:$E271,FLOAT!H:H)</f>
        <v>0</v>
      </c>
      <c r="AJ134" s="62">
        <f>SUMIF(FLOAT!$D:$D,Cockpit!$E134:$E271,FLOAT!I:I)</f>
        <v>0</v>
      </c>
      <c r="AK134" s="62">
        <f>SUMIF(FLOAT!$D:$D,Cockpit!$E134:$E271,FLOAT!J:J)</f>
        <v>0</v>
      </c>
      <c r="AL134" s="62">
        <f>SUMIF(FLOAT!$D:$D,Cockpit!$E134:$E271,FLOAT!K:K)</f>
        <v>0</v>
      </c>
      <c r="AM134" s="62">
        <f>SUMIF(FLOAT!$D:$D,Cockpit!$E134:$E271,FLOAT!L:L)</f>
        <v>0</v>
      </c>
      <c r="AN134" s="62">
        <f>SUMIF(FLOAT!$D:$D,Cockpit!$E134:$E271,FLOAT!M:M)</f>
        <v>0</v>
      </c>
      <c r="AO134" s="62">
        <f>SUMIF(FLOAT!$D:$D,Cockpit!$E134:$E271,FLOAT!N:N)</f>
        <v>0</v>
      </c>
      <c r="AP134" s="62">
        <f>SUMIF(FLOAT!$D:$D,Cockpit!$E134:$E271,FLOAT!O:O)</f>
        <v>0</v>
      </c>
      <c r="AQ134" s="62">
        <f>SUMIF(FLOAT!$D:$D,Cockpit!$E134:$E271,FLOAT!P:P)</f>
        <v>0</v>
      </c>
      <c r="AR134" s="60">
        <f>AH134+AI134+AJ134+AK134+AL134+AM134+AO134+AP134+AQ134</f>
        <v>0</v>
      </c>
      <c r="AS134" s="238"/>
    </row>
    <row r="135" spans="1:45" s="17" customFormat="1" ht="21.75" hidden="1" thickBot="1" x14ac:dyDescent="0.35">
      <c r="A135" s="2"/>
      <c r="B135" s="97"/>
      <c r="C135" s="70"/>
      <c r="D135" s="696"/>
      <c r="E135" s="686" t="s">
        <v>538</v>
      </c>
      <c r="F135" s="661" t="s">
        <v>539</v>
      </c>
      <c r="G135" s="71">
        <f>IFERROR(VLOOKUP(E135:E135,[1]Sheet4!$O:$P,2,0),0)</f>
        <v>0</v>
      </c>
      <c r="H135" s="230">
        <f t="shared" si="22"/>
        <v>0</v>
      </c>
      <c r="I135" s="232">
        <v>0</v>
      </c>
      <c r="J135" s="214">
        <f t="shared" si="23"/>
        <v>0</v>
      </c>
      <c r="K135" s="76">
        <f t="shared" si="23"/>
        <v>0</v>
      </c>
      <c r="L135" s="155">
        <f t="shared" si="24"/>
        <v>0</v>
      </c>
      <c r="M135" s="77">
        <f t="shared" si="25"/>
        <v>0</v>
      </c>
      <c r="N135" s="30">
        <f>SUMIF('3 D P'!$D:$D,Cockpit!$E$5:$E$146,'3 D P'!L:L)</f>
        <v>0</v>
      </c>
      <c r="O135" s="30">
        <f>SUMIF('3 D P'!$D:$D,Cockpit!$E$5:$E$146,'3 D P'!M:M)</f>
        <v>0</v>
      </c>
      <c r="P135" s="30">
        <f>SUMIF('3 D P'!$D:$D,Cockpit!$E$5:$E$146,'3 D P'!N:N)</f>
        <v>0</v>
      </c>
      <c r="Q135" s="132">
        <f>IFERROR(VLOOKUP($D135,'Aptiv Dispatch'!$A:$B,2,FALSE),0)</f>
        <v>0</v>
      </c>
      <c r="R135" s="34">
        <f>SUMIF('Consumption MTD'!B:B,Cockpit!$E$5:$E$146,'Consumption MTD'!C:C)</f>
        <v>0</v>
      </c>
      <c r="S135" s="34">
        <f>SUMIF('BIW Lifting A Shift'!$B:$B,Cockpit!$E$5:$E$146,'BIW Lifting A Shift'!C:C)</f>
        <v>0</v>
      </c>
      <c r="T135" s="34">
        <f>SUMIF('BIW Lifting B Shift'!$B:$B,Cockpit!$E$5:$E$146,'BIW Lifting B Shift'!C:C)</f>
        <v>0</v>
      </c>
      <c r="U135" s="74">
        <f t="shared" si="26"/>
        <v>0</v>
      </c>
      <c r="V135" s="74">
        <f t="shared" si="27"/>
        <v>0</v>
      </c>
      <c r="W135" s="457">
        <f t="shared" si="28"/>
        <v>0</v>
      </c>
      <c r="X135" s="555">
        <f>SUMIF(FLOAT!$D:$D,Cockpit!$E$5:$E$146,FLOAT!F:F)</f>
        <v>0</v>
      </c>
      <c r="Y135" s="15">
        <v>0</v>
      </c>
      <c r="Z135" s="455">
        <v>0</v>
      </c>
      <c r="AA135" s="49"/>
      <c r="AB135" s="15"/>
      <c r="AC135" s="15"/>
      <c r="AD135" s="54"/>
      <c r="AE135" s="147"/>
      <c r="AF135" s="50"/>
      <c r="AG135" s="281"/>
      <c r="AH135" s="62">
        <f>SUMIF(FLOAT!$D:$D,Cockpit!$E135:$E272,FLOAT!G:G)</f>
        <v>0</v>
      </c>
      <c r="AI135" s="62">
        <f>SUMIF(FLOAT!$D:$D,Cockpit!$E135:$E272,FLOAT!H:H)</f>
        <v>0</v>
      </c>
      <c r="AJ135" s="62">
        <f>SUMIF(FLOAT!$D:$D,Cockpit!$E135:$E272,FLOAT!I:I)</f>
        <v>0</v>
      </c>
      <c r="AK135" s="62">
        <f>SUMIF(FLOAT!$D:$D,Cockpit!$E135:$E272,FLOAT!J:J)</f>
        <v>0</v>
      </c>
      <c r="AL135" s="62">
        <f>SUMIF(FLOAT!$D:$D,Cockpit!$E135:$E272,FLOAT!K:K)</f>
        <v>0</v>
      </c>
      <c r="AM135" s="62">
        <f>SUMIF(FLOAT!$D:$D,Cockpit!$E135:$E272,FLOAT!L:L)</f>
        <v>0</v>
      </c>
      <c r="AN135" s="62">
        <f>SUMIF(FLOAT!$D:$D,Cockpit!$E135:$E272,FLOAT!M:M)</f>
        <v>0</v>
      </c>
      <c r="AO135" s="62">
        <f>SUMIF(FLOAT!$D:$D,Cockpit!$E135:$E272,FLOAT!N:N)</f>
        <v>0</v>
      </c>
      <c r="AP135" s="62">
        <f>SUMIF(FLOAT!$D:$D,Cockpit!$E135:$E272,FLOAT!O:O)</f>
        <v>0</v>
      </c>
      <c r="AQ135" s="62">
        <f>SUMIF(FLOAT!$D:$D,Cockpit!$E135:$E272,FLOAT!P:P)</f>
        <v>0</v>
      </c>
      <c r="AR135" s="60">
        <f>AH135+AI135+AJ135+AK135+AL135+AM135+AO135+AP135+AQ135</f>
        <v>0</v>
      </c>
      <c r="AS135" s="238"/>
    </row>
    <row r="136" spans="1:45" s="17" customFormat="1" ht="21.75" hidden="1" thickBot="1" x14ac:dyDescent="0.35">
      <c r="A136" s="2"/>
      <c r="B136" s="97"/>
      <c r="C136" s="70"/>
      <c r="D136" s="696">
        <v>544254640241</v>
      </c>
      <c r="E136" s="686" t="s">
        <v>557</v>
      </c>
      <c r="F136" s="663" t="s">
        <v>558</v>
      </c>
      <c r="G136" s="71">
        <f>IFERROR(VLOOKUP(E136:E136,[1]Sheet4!$O:$P,2,0),0)</f>
        <v>0</v>
      </c>
      <c r="H136" s="230">
        <f>G136</f>
        <v>0</v>
      </c>
      <c r="I136" s="232">
        <v>0</v>
      </c>
      <c r="J136" s="214">
        <f t="shared" ref="J136:K138" si="29">Q136</f>
        <v>0</v>
      </c>
      <c r="K136" s="76">
        <f t="shared" si="29"/>
        <v>0</v>
      </c>
      <c r="L136" s="155">
        <f>H136-K136</f>
        <v>0</v>
      </c>
      <c r="M136" s="77">
        <f>I136+J136-K136</f>
        <v>0</v>
      </c>
      <c r="N136" s="30">
        <f>SUMIF('3 D P'!$D:$D,Cockpit!$E$5:$E$146,'3 D P'!L:L)</f>
        <v>0</v>
      </c>
      <c r="O136" s="30">
        <f>SUMIF('3 D P'!$D:$D,Cockpit!$E$5:$E$146,'3 D P'!M:M)</f>
        <v>0</v>
      </c>
      <c r="P136" s="30">
        <f>SUMIF('3 D P'!$D:$D,Cockpit!$E$5:$E$146,'3 D P'!N:N)</f>
        <v>0</v>
      </c>
      <c r="Q136" s="132">
        <f>IFERROR(VLOOKUP($D136,'Aptiv Dispatch'!$A:$B,2,FALSE),0)</f>
        <v>0</v>
      </c>
      <c r="R136" s="34">
        <f>SUMIF('Consumption MTD'!B:B,Cockpit!$E$5:$E$146,'Consumption MTD'!C:C)</f>
        <v>0</v>
      </c>
      <c r="S136" s="34">
        <f>SUMIF('BIW Lifting A Shift'!$B:$B,Cockpit!$E$5:$E$146,'BIW Lifting A Shift'!C:C)</f>
        <v>0</v>
      </c>
      <c r="T136" s="34">
        <f>SUMIF('BIW Lifting B Shift'!$B:$B,Cockpit!$E$5:$E$146,'BIW Lifting B Shift'!C:C)</f>
        <v>0</v>
      </c>
      <c r="U136" s="74">
        <f>M136-X136</f>
        <v>0</v>
      </c>
      <c r="V136" s="74">
        <f>M136-S136-X136</f>
        <v>0</v>
      </c>
      <c r="W136" s="457">
        <f>V136-T136</f>
        <v>0</v>
      </c>
      <c r="X136" s="555">
        <f>SUMIF(FLOAT!$D:$D,Cockpit!$E$5:$E$146,FLOAT!F:F)</f>
        <v>0</v>
      </c>
      <c r="Y136" s="15">
        <v>0</v>
      </c>
      <c r="Z136" s="455">
        <v>0</v>
      </c>
      <c r="AA136" s="49"/>
      <c r="AB136" s="15"/>
      <c r="AC136" s="15"/>
      <c r="AD136" s="54"/>
      <c r="AE136" s="147"/>
      <c r="AF136" s="50"/>
      <c r="AG136" s="281"/>
      <c r="AH136" s="62">
        <f>SUMIF(FLOAT!$D:$D,Cockpit!$E136:$E273,FLOAT!G:G)</f>
        <v>0</v>
      </c>
      <c r="AI136" s="62">
        <f>SUMIF(FLOAT!$D:$D,Cockpit!$E136:$E273,FLOAT!H:H)</f>
        <v>0</v>
      </c>
      <c r="AJ136" s="62">
        <f>SUMIF(FLOAT!$D:$D,Cockpit!$E136:$E273,FLOAT!I:I)</f>
        <v>0</v>
      </c>
      <c r="AK136" s="62">
        <f>SUMIF(FLOAT!$D:$D,Cockpit!$E136:$E273,FLOAT!J:J)</f>
        <v>0</v>
      </c>
      <c r="AL136" s="62">
        <f>SUMIF(FLOAT!$D:$D,Cockpit!$E136:$E273,FLOAT!K:K)</f>
        <v>0</v>
      </c>
      <c r="AM136" s="62">
        <f>SUMIF(FLOAT!$D:$D,Cockpit!$E136:$E273,FLOAT!L:L)</f>
        <v>0</v>
      </c>
      <c r="AN136" s="62">
        <f>SUMIF(FLOAT!$D:$D,Cockpit!$E136:$E273,FLOAT!M:M)</f>
        <v>0</v>
      </c>
      <c r="AO136" s="283">
        <f>SUMIF(FLOAT!$D:$D,Cockpit!$E136:$E273,FLOAT!N:N)</f>
        <v>0</v>
      </c>
      <c r="AP136" s="283">
        <f>SUMIF(FLOAT!$D:$D,Cockpit!$E136:$E273,FLOAT!O:O)</f>
        <v>0</v>
      </c>
      <c r="AQ136" s="62">
        <f>SUMIF(FLOAT!$D:$D,Cockpit!$E136:$E273,FLOAT!P:P)</f>
        <v>0</v>
      </c>
      <c r="AR136" s="60">
        <f>AH136+AI136+AJ136+AK136+AL136+AM136+AO136+AP136+AQ136</f>
        <v>0</v>
      </c>
      <c r="AS136" s="238"/>
    </row>
    <row r="137" spans="1:45" s="17" customFormat="1" ht="21.75" hidden="1" thickBot="1" x14ac:dyDescent="0.35">
      <c r="A137" s="2"/>
      <c r="B137" s="97"/>
      <c r="C137" s="70"/>
      <c r="D137" s="696">
        <v>544254640215</v>
      </c>
      <c r="E137" s="669" t="s">
        <v>566</v>
      </c>
      <c r="F137" s="661" t="s">
        <v>567</v>
      </c>
      <c r="G137" s="71">
        <f>IFERROR(VLOOKUP(E137:E137,[1]Sheet4!$O:$P,2,0),0)</f>
        <v>60</v>
      </c>
      <c r="H137" s="230">
        <f>G137</f>
        <v>60</v>
      </c>
      <c r="I137" s="232">
        <v>0</v>
      </c>
      <c r="J137" s="214">
        <f t="shared" si="29"/>
        <v>0</v>
      </c>
      <c r="K137" s="76">
        <f t="shared" si="29"/>
        <v>0</v>
      </c>
      <c r="L137" s="155">
        <f>H137-K137</f>
        <v>60</v>
      </c>
      <c r="M137" s="77">
        <f>I137+J137-K137</f>
        <v>0</v>
      </c>
      <c r="N137" s="30">
        <f>SUMIF('3 D P'!$D:$D,Cockpit!$E$5:$E$146,'3 D P'!L:L)</f>
        <v>0</v>
      </c>
      <c r="O137" s="30">
        <f>SUMIF('3 D P'!$D:$D,Cockpit!$E$5:$E$146,'3 D P'!M:M)</f>
        <v>0</v>
      </c>
      <c r="P137" s="30">
        <f>SUMIF('3 D P'!$D:$D,Cockpit!$E$5:$E$146,'3 D P'!N:N)</f>
        <v>0</v>
      </c>
      <c r="Q137" s="132">
        <f>IFERROR(VLOOKUP($D137,'Aptiv Dispatch'!$A:$B,2,FALSE),0)</f>
        <v>0</v>
      </c>
      <c r="R137" s="34">
        <f>SUMIF('Consumption MTD'!B:B,Cockpit!$E$5:$E$146,'Consumption MTD'!C:C)</f>
        <v>0</v>
      </c>
      <c r="S137" s="34">
        <f>SUMIF('BIW Lifting A Shift'!$B:$B,Cockpit!$E$5:$E$146,'BIW Lifting A Shift'!C:C)</f>
        <v>0</v>
      </c>
      <c r="T137" s="34">
        <f>SUMIF('BIW Lifting B Shift'!$B:$B,Cockpit!$E$5:$E$146,'BIW Lifting B Shift'!C:C)</f>
        <v>0</v>
      </c>
      <c r="U137" s="74">
        <f>M137-X137</f>
        <v>0</v>
      </c>
      <c r="V137" s="74">
        <f>M137-S137-X137</f>
        <v>0</v>
      </c>
      <c r="W137" s="457">
        <f>V137-T137</f>
        <v>0</v>
      </c>
      <c r="X137" s="555">
        <f>SUMIF(FLOAT!$D:$D,Cockpit!$E$5:$E$146,FLOAT!F:F)</f>
        <v>0</v>
      </c>
      <c r="Y137" s="15">
        <v>0</v>
      </c>
      <c r="Z137" s="455">
        <v>21</v>
      </c>
      <c r="AA137" s="49"/>
      <c r="AB137" s="15"/>
      <c r="AC137" s="15"/>
      <c r="AD137" s="54"/>
      <c r="AE137" s="147"/>
      <c r="AF137" s="50"/>
      <c r="AG137" s="281"/>
      <c r="AH137" s="282">
        <f>SUMIF(FLOAT!$D:$D,Cockpit!$E137:$E274,FLOAT!G:G)</f>
        <v>0</v>
      </c>
      <c r="AI137" s="282">
        <f>SUMIF(FLOAT!$D:$D,Cockpit!$E137:$E274,FLOAT!H:H)</f>
        <v>0</v>
      </c>
      <c r="AJ137" s="282">
        <f>SUMIF(FLOAT!$D:$D,Cockpit!$E137:$E274,FLOAT!I:I)</f>
        <v>0</v>
      </c>
      <c r="AK137" s="62">
        <f>SUMIF(FLOAT!$D:$D,Cockpit!$E137:$E274,FLOAT!J:J)</f>
        <v>0</v>
      </c>
      <c r="AL137" s="62">
        <f>SUMIF(FLOAT!$D:$D,Cockpit!$E137:$E274,FLOAT!K:K)</f>
        <v>0</v>
      </c>
      <c r="AM137" s="62">
        <f>SUMIF(FLOAT!$D:$D,Cockpit!$E137:$E274,FLOAT!L:L)</f>
        <v>0</v>
      </c>
      <c r="AN137" s="62">
        <f>SUMIF(FLOAT!$D:$D,Cockpit!$E137:$E274,FLOAT!M:M)</f>
        <v>0</v>
      </c>
      <c r="AO137" s="283">
        <f>SUMIF(FLOAT!$D:$D,Cockpit!$E137:$E274,FLOAT!N:N)</f>
        <v>0</v>
      </c>
      <c r="AP137" s="283">
        <f>SUMIF(FLOAT!$D:$D,Cockpit!$E137:$E274,FLOAT!O:O)</f>
        <v>0</v>
      </c>
      <c r="AQ137" s="62">
        <f>SUMIF(FLOAT!$D:$D,Cockpit!$E137:$E274,FLOAT!P:P)</f>
        <v>0</v>
      </c>
      <c r="AR137" s="60">
        <f>AH137+AI137+AJ137+AK137+AL137+AM137+AO137+AP137+AQ137</f>
        <v>0</v>
      </c>
      <c r="AS137" s="238"/>
    </row>
    <row r="138" spans="1:45" s="17" customFormat="1" ht="21.75" hidden="1" thickBot="1" x14ac:dyDescent="0.35">
      <c r="A138" s="2"/>
      <c r="B138" s="97"/>
      <c r="C138" s="70"/>
      <c r="D138" s="696">
        <v>544254640253</v>
      </c>
      <c r="E138" s="688" t="s">
        <v>568</v>
      </c>
      <c r="F138" s="661" t="s">
        <v>569</v>
      </c>
      <c r="G138" s="71">
        <f>IFERROR(VLOOKUP(E138:E138,[1]Sheet4!$O:$P,2,0),0)</f>
        <v>0</v>
      </c>
      <c r="H138" s="230">
        <f>G138</f>
        <v>0</v>
      </c>
      <c r="I138" s="267">
        <v>0</v>
      </c>
      <c r="J138" s="214">
        <f t="shared" si="29"/>
        <v>0</v>
      </c>
      <c r="K138" s="76">
        <f t="shared" si="29"/>
        <v>0</v>
      </c>
      <c r="L138" s="155">
        <f>H138-K138</f>
        <v>0</v>
      </c>
      <c r="M138" s="77">
        <f>I138+J138-K138</f>
        <v>0</v>
      </c>
      <c r="N138" s="30">
        <f>SUMIF('3 D P'!$D:$D,Cockpit!$E$5:$E$146,'3 D P'!L:L)</f>
        <v>0</v>
      </c>
      <c r="O138" s="30">
        <f>SUMIF('3 D P'!$D:$D,Cockpit!$E$5:$E$146,'3 D P'!M:M)</f>
        <v>0</v>
      </c>
      <c r="P138" s="30">
        <f>SUMIF('3 D P'!$D:$D,Cockpit!$E$5:$E$146,'3 D P'!N:N)</f>
        <v>0</v>
      </c>
      <c r="Q138" s="132">
        <f>IFERROR(VLOOKUP($D138,'Aptiv Dispatch'!$A:$B,2,FALSE),0)</f>
        <v>0</v>
      </c>
      <c r="R138" s="34">
        <f>SUMIF('Consumption MTD'!B:B,Cockpit!$E$5:$E$146,'Consumption MTD'!C:C)</f>
        <v>0</v>
      </c>
      <c r="S138" s="34">
        <f>SUMIF('BIW Lifting A Shift'!$B:$B,Cockpit!$E$5:$E$146,'BIW Lifting A Shift'!C:C)</f>
        <v>0</v>
      </c>
      <c r="T138" s="34">
        <f>SUMIF('BIW Lifting B Shift'!$B:$B,Cockpit!$E$5:$E$146,'BIW Lifting B Shift'!C:C)</f>
        <v>0</v>
      </c>
      <c r="U138" s="74">
        <f>M138-X138</f>
        <v>0</v>
      </c>
      <c r="V138" s="74">
        <f>M138-S138-X138</f>
        <v>0</v>
      </c>
      <c r="W138" s="457">
        <f>V138-T138</f>
        <v>0</v>
      </c>
      <c r="X138" s="571">
        <f>SUMIF(FLOAT!$D:$D,Cockpit!$E$5:$E$146,FLOAT!F:F)</f>
        <v>0</v>
      </c>
      <c r="Y138" s="15">
        <v>0</v>
      </c>
      <c r="Z138" s="455">
        <v>0</v>
      </c>
      <c r="AA138" s="49"/>
      <c r="AB138" s="15"/>
      <c r="AC138" s="15"/>
      <c r="AD138" s="54"/>
      <c r="AE138" s="147"/>
      <c r="AF138" s="50"/>
      <c r="AG138" s="281"/>
      <c r="AH138" s="62">
        <f>SUMIF(FLOAT!$D:$D,Cockpit!$E138:$E275,FLOAT!G:G)</f>
        <v>0</v>
      </c>
      <c r="AI138" s="62">
        <f>SUMIF(FLOAT!$D:$D,Cockpit!$E138:$E275,FLOAT!H:H)</f>
        <v>0</v>
      </c>
      <c r="AJ138" s="62">
        <f>SUMIF(FLOAT!$D:$D,Cockpit!$E138:$E275,FLOAT!I:I)</f>
        <v>0</v>
      </c>
      <c r="AK138" s="62">
        <f>SUMIF(FLOAT!$D:$D,Cockpit!$E138:$E275,FLOAT!J:J)</f>
        <v>0</v>
      </c>
      <c r="AL138" s="62">
        <f>SUMIF(FLOAT!$D:$D,Cockpit!$E138:$E275,FLOAT!K:K)</f>
        <v>0</v>
      </c>
      <c r="AM138" s="62">
        <f>SUMIF(FLOAT!$D:$D,Cockpit!$E138:$E275,FLOAT!L:L)</f>
        <v>0</v>
      </c>
      <c r="AN138" s="62">
        <f>SUMIF(FLOAT!$D:$D,Cockpit!$E138:$E275,FLOAT!M:M)</f>
        <v>0</v>
      </c>
      <c r="AO138" s="283">
        <f>SUMIF(FLOAT!$D:$D,Cockpit!$E138:$E275,FLOAT!N:N)</f>
        <v>0</v>
      </c>
      <c r="AP138" s="283">
        <f>SUMIF(FLOAT!$D:$D,Cockpit!$E138:$E275,FLOAT!O:O)</f>
        <v>0</v>
      </c>
      <c r="AQ138" s="62">
        <f>SUMIF(FLOAT!$D:$D,Cockpit!$E138:$E275,FLOAT!P:P)</f>
        <v>0</v>
      </c>
      <c r="AR138" s="60">
        <f>AH138+AI138+AJ138+AK138+AL138+AM138+AO138+AP138+AQ138</f>
        <v>0</v>
      </c>
      <c r="AS138" s="238"/>
    </row>
    <row r="139" spans="1:45" s="17" customFormat="1" ht="19.5" hidden="1" thickBot="1" x14ac:dyDescent="0.35">
      <c r="A139" s="26"/>
      <c r="B139" s="27"/>
      <c r="C139" s="55"/>
      <c r="D139" s="709" t="s">
        <v>29</v>
      </c>
      <c r="E139" s="689"/>
      <c r="F139" s="664"/>
      <c r="G139" s="561">
        <f t="shared" ref="G139:T139" si="30">SUM(G5:G138)</f>
        <v>200</v>
      </c>
      <c r="H139" s="561">
        <f t="shared" si="30"/>
        <v>200</v>
      </c>
      <c r="I139" s="561">
        <f t="shared" si="30"/>
        <v>249</v>
      </c>
      <c r="J139" s="561">
        <f t="shared" si="30"/>
        <v>0</v>
      </c>
      <c r="K139" s="561">
        <f t="shared" si="30"/>
        <v>0</v>
      </c>
      <c r="L139" s="561">
        <f t="shared" si="30"/>
        <v>200</v>
      </c>
      <c r="M139" s="719">
        <f t="shared" si="30"/>
        <v>249</v>
      </c>
      <c r="N139" s="561">
        <f t="shared" si="30"/>
        <v>0</v>
      </c>
      <c r="O139" s="561">
        <f t="shared" si="30"/>
        <v>0</v>
      </c>
      <c r="P139" s="561">
        <f t="shared" si="30"/>
        <v>0</v>
      </c>
      <c r="Q139" s="561">
        <f t="shared" si="30"/>
        <v>0</v>
      </c>
      <c r="R139" s="561">
        <f t="shared" si="30"/>
        <v>0</v>
      </c>
      <c r="S139" s="561">
        <f t="shared" si="30"/>
        <v>0</v>
      </c>
      <c r="T139" s="561">
        <f t="shared" si="30"/>
        <v>0</v>
      </c>
      <c r="U139" s="562"/>
      <c r="V139" s="562"/>
      <c r="W139" s="568"/>
      <c r="X139" s="572">
        <f>SUM(X5:X138)</f>
        <v>0</v>
      </c>
      <c r="Y139" s="15"/>
      <c r="Z139" s="455"/>
      <c r="AA139" s="49"/>
      <c r="AB139" s="15"/>
      <c r="AC139" s="15"/>
      <c r="AD139" s="54"/>
      <c r="AE139" s="148"/>
      <c r="AF139" s="221"/>
      <c r="AH139" s="223">
        <f t="shared" ref="AH139:AR139" si="31">SUM(AH5:AH138)</f>
        <v>0</v>
      </c>
      <c r="AI139" s="223">
        <f t="shared" si="31"/>
        <v>0</v>
      </c>
      <c r="AJ139" s="223">
        <f t="shared" si="31"/>
        <v>0</v>
      </c>
      <c r="AK139" s="223">
        <f t="shared" si="31"/>
        <v>0</v>
      </c>
      <c r="AL139" s="223">
        <f t="shared" si="31"/>
        <v>0</v>
      </c>
      <c r="AM139" s="223">
        <f t="shared" si="31"/>
        <v>0</v>
      </c>
      <c r="AN139" s="223">
        <f t="shared" si="31"/>
        <v>0</v>
      </c>
      <c r="AO139" s="223">
        <f t="shared" si="31"/>
        <v>0</v>
      </c>
      <c r="AP139" s="223">
        <f t="shared" si="31"/>
        <v>0</v>
      </c>
      <c r="AQ139" s="223">
        <f t="shared" si="31"/>
        <v>0</v>
      </c>
      <c r="AR139" s="89">
        <f t="shared" si="31"/>
        <v>0</v>
      </c>
    </row>
    <row r="140" spans="1:45" s="17" customFormat="1" ht="21.75" hidden="1" thickBot="1" x14ac:dyDescent="0.35">
      <c r="A140" s="26"/>
      <c r="B140" s="26"/>
      <c r="C140" s="420"/>
      <c r="D140" s="710"/>
      <c r="E140" s="38"/>
      <c r="F140" s="665"/>
      <c r="G140" s="556"/>
      <c r="H140" s="557"/>
      <c r="I140" s="557"/>
      <c r="J140" s="722"/>
      <c r="K140" s="722"/>
      <c r="L140" s="722"/>
      <c r="M140" s="557"/>
      <c r="N140" s="557"/>
      <c r="O140" s="38"/>
      <c r="P140" s="38"/>
      <c r="S140" s="15"/>
      <c r="T140" s="15"/>
      <c r="U140" s="558"/>
      <c r="V140" s="558"/>
      <c r="W140" s="558"/>
      <c r="X140" s="38"/>
      <c r="Y140" s="15"/>
      <c r="Z140" s="455"/>
      <c r="AA140" s="49"/>
      <c r="AB140" s="15"/>
      <c r="AC140" s="15"/>
      <c r="AD140" s="54"/>
      <c r="AE140" s="149"/>
      <c r="AF140" s="49"/>
      <c r="AH140" s="57"/>
      <c r="AI140" s="26"/>
      <c r="AJ140" s="26"/>
      <c r="AK140" s="26"/>
      <c r="AL140" s="26"/>
      <c r="AM140" s="26"/>
      <c r="AN140" s="26"/>
      <c r="AO140" s="26"/>
      <c r="AP140" s="26"/>
      <c r="AQ140" s="26"/>
      <c r="AR140" s="61"/>
    </row>
    <row r="141" spans="1:45" s="17" customFormat="1" ht="21.75" hidden="1" thickBot="1" x14ac:dyDescent="0.4">
      <c r="A141" s="35"/>
      <c r="B141" s="35"/>
      <c r="C141" s="266"/>
      <c r="D141" s="710"/>
      <c r="E141" s="38"/>
      <c r="F141" s="665"/>
      <c r="G141" s="556"/>
      <c r="N141" s="15"/>
      <c r="O141" s="15"/>
      <c r="P141" s="15"/>
      <c r="R141" s="38"/>
      <c r="S141" s="15"/>
      <c r="T141" s="15"/>
      <c r="U141" s="558"/>
      <c r="V141" s="559"/>
      <c r="W141" s="559"/>
      <c r="X141" s="38"/>
      <c r="Y141" s="15"/>
      <c r="Z141" s="455"/>
      <c r="AA141" s="49"/>
      <c r="AB141" s="15"/>
      <c r="AC141" s="15"/>
      <c r="AD141" s="54"/>
      <c r="AE141" s="150"/>
      <c r="AF141" s="49"/>
      <c r="AH141" s="57"/>
      <c r="AI141" s="26"/>
      <c r="AJ141" s="26"/>
      <c r="AK141" s="26"/>
      <c r="AL141" s="26"/>
      <c r="AM141" s="26"/>
      <c r="AN141" s="26"/>
      <c r="AO141" s="26"/>
      <c r="AP141" s="26"/>
      <c r="AQ141" s="26"/>
      <c r="AR141" s="61"/>
    </row>
    <row r="142" spans="1:45" s="17" customFormat="1" ht="79.5" hidden="1" thickBot="1" x14ac:dyDescent="0.35">
      <c r="A142" s="103" t="s">
        <v>1</v>
      </c>
      <c r="B142" s="102" t="s">
        <v>27</v>
      </c>
      <c r="C142" s="421" t="s">
        <v>28</v>
      </c>
      <c r="D142" s="691" t="s">
        <v>28</v>
      </c>
      <c r="E142" s="670" t="s">
        <v>3</v>
      </c>
      <c r="F142" s="666" t="s">
        <v>4</v>
      </c>
      <c r="G142" s="564" t="s">
        <v>5</v>
      </c>
      <c r="H142" s="563" t="s">
        <v>117</v>
      </c>
      <c r="I142" s="423" t="s">
        <v>6</v>
      </c>
      <c r="J142" s="423" t="s">
        <v>7</v>
      </c>
      <c r="K142" s="423" t="s">
        <v>8</v>
      </c>
      <c r="L142" s="423" t="s">
        <v>136</v>
      </c>
      <c r="M142" s="423" t="s">
        <v>9</v>
      </c>
      <c r="N142" s="549">
        <f ca="1">N4</f>
        <v>46221</v>
      </c>
      <c r="O142" s="549">
        <f ca="1">O4</f>
        <v>46222</v>
      </c>
      <c r="P142" s="549">
        <f ca="1">P4</f>
        <v>46223</v>
      </c>
      <c r="Q142" s="550" t="s">
        <v>69</v>
      </c>
      <c r="R142" s="423" t="s">
        <v>8</v>
      </c>
      <c r="S142" s="551" t="s">
        <v>121</v>
      </c>
      <c r="T142" s="551" t="s">
        <v>122</v>
      </c>
      <c r="U142" s="552" t="s">
        <v>142</v>
      </c>
      <c r="V142" s="552" t="s">
        <v>120</v>
      </c>
      <c r="W142" s="552" t="s">
        <v>143</v>
      </c>
      <c r="X142" s="553" t="s">
        <v>144</v>
      </c>
      <c r="Y142" s="441" t="s">
        <v>601</v>
      </c>
      <c r="Z142" s="456"/>
      <c r="AA142" s="49" t="e">
        <v>#VALUE!</v>
      </c>
      <c r="AB142" s="15"/>
      <c r="AC142" s="15"/>
      <c r="AD142" s="54"/>
      <c r="AE142" s="117"/>
      <c r="AF142" s="151" t="s">
        <v>274</v>
      </c>
      <c r="AH142" s="58" t="s">
        <v>171</v>
      </c>
      <c r="AI142" s="56" t="s">
        <v>172</v>
      </c>
      <c r="AJ142" s="56" t="s">
        <v>173</v>
      </c>
      <c r="AK142" s="56" t="s">
        <v>174</v>
      </c>
      <c r="AL142" s="56" t="s">
        <v>175</v>
      </c>
      <c r="AM142" s="56" t="s">
        <v>176</v>
      </c>
      <c r="AN142" s="56" t="s">
        <v>177</v>
      </c>
      <c r="AO142" s="56" t="s">
        <v>178</v>
      </c>
      <c r="AP142" s="56" t="s">
        <v>179</v>
      </c>
      <c r="AQ142" s="56" t="s">
        <v>180</v>
      </c>
      <c r="AR142" s="59" t="s">
        <v>162</v>
      </c>
    </row>
    <row r="143" spans="1:45" s="17" customFormat="1" ht="21.75" hidden="1" thickBot="1" x14ac:dyDescent="0.35">
      <c r="A143" s="119"/>
      <c r="B143" s="40"/>
      <c r="C143" s="96"/>
      <c r="D143" s="899">
        <v>544554640104</v>
      </c>
      <c r="E143" s="88" t="s">
        <v>262</v>
      </c>
      <c r="F143" s="88" t="s">
        <v>358</v>
      </c>
      <c r="G143" s="184"/>
      <c r="H143" s="901">
        <f>SUM(G143:G144)</f>
        <v>152</v>
      </c>
      <c r="I143" s="903">
        <f>20</f>
        <v>20</v>
      </c>
      <c r="J143" s="905">
        <f>Q143</f>
        <v>132</v>
      </c>
      <c r="K143" s="905">
        <f>SUM(R143:R144)</f>
        <v>0</v>
      </c>
      <c r="L143" s="905">
        <f>H143-K143</f>
        <v>152</v>
      </c>
      <c r="M143" s="894">
        <f>I143+J143-K143</f>
        <v>152</v>
      </c>
      <c r="N143" s="30">
        <f>SUMIF('3 D P'!$D:$D,Cockpit!$E$5:$E$146,'3 D P'!L:L)</f>
        <v>0</v>
      </c>
      <c r="O143" s="30">
        <f>SUMIF('3 D P'!$D:$D,Cockpit!$E$5:$E$146,'3 D P'!M:M)</f>
        <v>0</v>
      </c>
      <c r="P143" s="30">
        <f>SUMIF('3 D P'!$D:$D,Cockpit!$E$5:$E$146,'3 D P'!N:N)</f>
        <v>0</v>
      </c>
      <c r="Q143" s="132">
        <f>IFERROR(VLOOKUP($D143,'Aptiv Dispatch'!$A:$B,2,FALSE),0)</f>
        <v>132</v>
      </c>
      <c r="R143" s="30">
        <f>SUMIF('Consumption MTD'!B:B,Cockpit!$E$5:$E$146,'Consumption MTD'!C:C)</f>
        <v>0</v>
      </c>
      <c r="S143" s="30">
        <f>SUMIF('BIW Lifting A Shift'!$B:$B,Cockpit!$E$5:$E$146,'BIW Lifting A Shift'!C:C)</f>
        <v>0</v>
      </c>
      <c r="T143" s="30">
        <f>SUMIF('BIW Lifting B Shift'!$B:$B,Cockpit!$E$5:$E$146,'BIW Lifting B Shift'!C:C)</f>
        <v>0</v>
      </c>
      <c r="U143" s="817">
        <f>M143-X143-X144</f>
        <v>152</v>
      </c>
      <c r="V143" s="817">
        <f>M143-X143-X144-S143-S144</f>
        <v>152</v>
      </c>
      <c r="W143" s="817">
        <f>V143-T143-T144</f>
        <v>152</v>
      </c>
      <c r="X143" s="420">
        <f>SUMIF(FLOAT!$D:$D,Cockpit!$E$5:$E$146,FLOAT!F:F)</f>
        <v>0</v>
      </c>
      <c r="Y143" s="897">
        <f>H143-(I143+J143)</f>
        <v>0</v>
      </c>
      <c r="Z143" s="455"/>
      <c r="AD143" s="54"/>
      <c r="AE143" s="120"/>
      <c r="AF143" s="49"/>
      <c r="AH143" s="62">
        <f>SUMIF(FLOAT!$D:$D,Cockpit!$E143:$E345,FLOAT!G:G)</f>
        <v>0</v>
      </c>
      <c r="AI143" s="62">
        <f>SUMIF(FLOAT!$D:$D,Cockpit!$E143:$E345,FLOAT!H:H)</f>
        <v>0</v>
      </c>
      <c r="AJ143" s="62">
        <f>SUMIF(FLOAT!$D:$D,Cockpit!$E143:$E345,FLOAT!I:I)</f>
        <v>0</v>
      </c>
      <c r="AK143" s="62">
        <f>SUMIF(FLOAT!$D:$D,Cockpit!$E143:$E345,FLOAT!J:J)</f>
        <v>0</v>
      </c>
      <c r="AL143" s="62">
        <f>SUMIF(FLOAT!$D:$D,Cockpit!$E143:$E345,FLOAT!K:K)</f>
        <v>0</v>
      </c>
      <c r="AM143" s="62">
        <f>SUMIF(FLOAT!$D:$D,Cockpit!$E143:$E345,FLOAT!L:L)</f>
        <v>0</v>
      </c>
      <c r="AN143" s="62">
        <f>SUMIF(FLOAT!$D:$D,Cockpit!$E143:$E345,FLOAT!M:M)</f>
        <v>0</v>
      </c>
      <c r="AO143" s="62">
        <f>SUMIF(FLOAT!$D:$D,Cockpit!$E143:$E345,FLOAT!N:N)</f>
        <v>0</v>
      </c>
      <c r="AP143" s="62">
        <f>SUMIF(FLOAT!$D:$D,Cockpit!$E143:$E345,FLOAT!O:O)</f>
        <v>0</v>
      </c>
      <c r="AQ143" s="62">
        <f>SUMIF(FLOAT!$D:$D,Cockpit!$E143:$E345,FLOAT!P:P)</f>
        <v>0</v>
      </c>
      <c r="AR143" s="60">
        <f>AH143+AI143+AJ143+AK143+AL143+AM143+AO143+AP143+AQ143</f>
        <v>0</v>
      </c>
    </row>
    <row r="144" spans="1:45" s="17" customFormat="1" ht="21.75" hidden="1" thickBot="1" x14ac:dyDescent="0.35">
      <c r="A144" s="119"/>
      <c r="B144" s="40"/>
      <c r="C144" s="96"/>
      <c r="D144" s="900"/>
      <c r="E144" s="671" t="s">
        <v>561</v>
      </c>
      <c r="F144" s="667" t="s">
        <v>564</v>
      </c>
      <c r="G144" s="184">
        <v>152</v>
      </c>
      <c r="H144" s="902"/>
      <c r="I144" s="904"/>
      <c r="J144" s="906"/>
      <c r="K144" s="906"/>
      <c r="L144" s="906"/>
      <c r="M144" s="894"/>
      <c r="N144" s="30">
        <f>SUMIF('3 D P'!$D:$D,Cockpit!$E$5:$E$146,'3 D P'!L:L)</f>
        <v>0</v>
      </c>
      <c r="O144" s="30">
        <f>SUMIF('3 D P'!$D:$D,Cockpit!$E$5:$E$146,'3 D P'!M:M)</f>
        <v>0</v>
      </c>
      <c r="P144" s="30">
        <f>SUMIF('3 D P'!$D:$D,Cockpit!$E$5:$E$146,'3 D P'!N:N)</f>
        <v>0</v>
      </c>
      <c r="Q144" s="132">
        <f>IFERROR(VLOOKUP($D144,'Aptiv Dispatch'!$A:$B,2,FALSE),0)</f>
        <v>0</v>
      </c>
      <c r="R144" s="30">
        <f>SUMIF('Consumption MTD'!B:B,Cockpit!$E$5:$E$146,'Consumption MTD'!C:C)</f>
        <v>0</v>
      </c>
      <c r="S144" s="30">
        <f>SUMIF('BIW Lifting A Shift'!$B:$B,Cockpit!$E$5:$E$146,'BIW Lifting A Shift'!C:C)</f>
        <v>0</v>
      </c>
      <c r="T144" s="30">
        <f>SUMIF('BIW Lifting B Shift'!$B:$B,Cockpit!$E$5:$E$146,'BIW Lifting B Shift'!C:C)</f>
        <v>0</v>
      </c>
      <c r="U144" s="817"/>
      <c r="V144" s="817"/>
      <c r="W144" s="817"/>
      <c r="X144" s="420">
        <f>SUMIF(FLOAT!$D:$D,Cockpit!$E$5:$E$146,FLOAT!F:F)</f>
        <v>0</v>
      </c>
      <c r="Y144" s="898"/>
      <c r="Z144" s="455"/>
      <c r="AD144" s="54"/>
      <c r="AE144" s="120"/>
      <c r="AF144" s="49"/>
      <c r="AH144" s="62">
        <f>SUMIF(FLOAT!$D:$D,Cockpit!$E144:$E346,FLOAT!G:G)</f>
        <v>0</v>
      </c>
      <c r="AI144" s="62">
        <f>SUMIF(FLOAT!$D:$D,Cockpit!$E144:$E346,FLOAT!H:H)</f>
        <v>0</v>
      </c>
      <c r="AJ144" s="62">
        <f>SUMIF(FLOAT!$D:$D,Cockpit!$E144:$E346,FLOAT!I:I)</f>
        <v>0</v>
      </c>
      <c r="AK144" s="62">
        <f>SUMIF(FLOAT!$D:$D,Cockpit!$E144:$E346,FLOAT!J:J)</f>
        <v>0</v>
      </c>
      <c r="AL144" s="62">
        <f>SUMIF(FLOAT!$D:$D,Cockpit!$E144:$E346,FLOAT!K:K)</f>
        <v>0</v>
      </c>
      <c r="AM144" s="62">
        <f>SUMIF(FLOAT!$D:$D,Cockpit!$E144:$E346,FLOAT!L:L)</f>
        <v>0</v>
      </c>
      <c r="AN144" s="62">
        <f>SUMIF(FLOAT!$D:$D,Cockpit!$E144:$E346,FLOAT!M:M)</f>
        <v>0</v>
      </c>
      <c r="AO144" s="62">
        <f>SUMIF(FLOAT!$D:$D,Cockpit!$E144:$E346,FLOAT!N:N)</f>
        <v>0</v>
      </c>
      <c r="AP144" s="62">
        <f>SUMIF(FLOAT!$D:$D,Cockpit!$E144:$E346,FLOAT!O:O)</f>
        <v>0</v>
      </c>
      <c r="AQ144" s="62">
        <f>SUMIF(FLOAT!$D:$D,Cockpit!$E144:$E346,FLOAT!P:P)</f>
        <v>0</v>
      </c>
      <c r="AR144" s="60">
        <f>AH144+AI144+AJ144+AK144+AL144+AM144+AO144+AP144+AQ144</f>
        <v>0</v>
      </c>
    </row>
    <row r="145" spans="1:49" s="17" customFormat="1" ht="19.5" hidden="1" thickBot="1" x14ac:dyDescent="0.35">
      <c r="A145" s="109">
        <v>544554630373</v>
      </c>
      <c r="B145" s="109">
        <v>544554630373</v>
      </c>
      <c r="C145" s="109">
        <v>544554630373</v>
      </c>
      <c r="D145" s="711" t="s">
        <v>29</v>
      </c>
      <c r="E145" s="690"/>
      <c r="F145" s="478"/>
      <c r="G145" s="368">
        <f t="shared" ref="G145:Y145" si="32">SUM(G143:G144)</f>
        <v>152</v>
      </c>
      <c r="H145" s="368">
        <f t="shared" si="32"/>
        <v>152</v>
      </c>
      <c r="I145" s="368">
        <f t="shared" si="32"/>
        <v>20</v>
      </c>
      <c r="J145" s="369">
        <f t="shared" si="32"/>
        <v>132</v>
      </c>
      <c r="K145" s="369">
        <f t="shared" si="32"/>
        <v>0</v>
      </c>
      <c r="L145" s="369">
        <f t="shared" si="32"/>
        <v>152</v>
      </c>
      <c r="M145" s="720">
        <f t="shared" si="32"/>
        <v>152</v>
      </c>
      <c r="N145" s="369">
        <f t="shared" si="32"/>
        <v>0</v>
      </c>
      <c r="O145" s="369">
        <f t="shared" si="32"/>
        <v>0</v>
      </c>
      <c r="P145" s="369">
        <f t="shared" si="32"/>
        <v>0</v>
      </c>
      <c r="Q145" s="369">
        <f t="shared" si="32"/>
        <v>132</v>
      </c>
      <c r="R145" s="369">
        <f t="shared" si="32"/>
        <v>0</v>
      </c>
      <c r="S145" s="369">
        <f t="shared" si="32"/>
        <v>0</v>
      </c>
      <c r="T145" s="369">
        <f t="shared" si="32"/>
        <v>0</v>
      </c>
      <c r="U145" s="369">
        <f t="shared" si="32"/>
        <v>152</v>
      </c>
      <c r="V145" s="369">
        <f t="shared" si="32"/>
        <v>152</v>
      </c>
      <c r="W145" s="369">
        <f t="shared" si="32"/>
        <v>152</v>
      </c>
      <c r="X145" s="429">
        <f t="shared" si="32"/>
        <v>0</v>
      </c>
      <c r="Y145" s="428">
        <f t="shared" si="32"/>
        <v>0</v>
      </c>
      <c r="Z145" s="428"/>
      <c r="AA145" s="87">
        <f>SUM(AA143:AA144)</f>
        <v>0</v>
      </c>
      <c r="AB145" s="616"/>
      <c r="AC145" s="616"/>
      <c r="AE145" s="87">
        <f>SUM(AE143:AE144)</f>
        <v>0</v>
      </c>
      <c r="AF145" s="50"/>
      <c r="AG145" s="54"/>
      <c r="AH145" s="87">
        <f t="shared" ref="AH145:AR145" si="33">SUM(AH143:AH144)</f>
        <v>0</v>
      </c>
      <c r="AI145" s="87">
        <f t="shared" si="33"/>
        <v>0</v>
      </c>
      <c r="AJ145" s="87">
        <f t="shared" si="33"/>
        <v>0</v>
      </c>
      <c r="AK145" s="87">
        <f t="shared" si="33"/>
        <v>0</v>
      </c>
      <c r="AL145" s="87">
        <f t="shared" si="33"/>
        <v>0</v>
      </c>
      <c r="AM145" s="87">
        <f t="shared" si="33"/>
        <v>0</v>
      </c>
      <c r="AN145" s="87">
        <f t="shared" si="33"/>
        <v>0</v>
      </c>
      <c r="AO145" s="87">
        <f t="shared" si="33"/>
        <v>0</v>
      </c>
      <c r="AP145" s="87">
        <f t="shared" si="33"/>
        <v>0</v>
      </c>
      <c r="AQ145" s="87">
        <f t="shared" si="33"/>
        <v>0</v>
      </c>
      <c r="AR145" s="87">
        <f t="shared" si="33"/>
        <v>0</v>
      </c>
    </row>
    <row r="146" spans="1:49" ht="19.5" hidden="1" thickBot="1" x14ac:dyDescent="0.35">
      <c r="M146" s="721"/>
    </row>
    <row r="147" spans="1:49" ht="19.5" hidden="1" thickBot="1" x14ac:dyDescent="0.35">
      <c r="M147" s="721"/>
    </row>
    <row r="148" spans="1:49" ht="19.5" hidden="1" thickBot="1" x14ac:dyDescent="0.35">
      <c r="M148" s="721"/>
    </row>
    <row r="149" spans="1:49" ht="19.5" hidden="1" thickBot="1" x14ac:dyDescent="0.35">
      <c r="M149" s="721"/>
    </row>
    <row r="150" spans="1:49" ht="78.75" thickBot="1" x14ac:dyDescent="0.35">
      <c r="D150" s="692" t="s">
        <v>28</v>
      </c>
      <c r="E150" s="796" t="s">
        <v>3</v>
      </c>
      <c r="F150" s="668" t="s">
        <v>4</v>
      </c>
      <c r="G150" s="485" t="s">
        <v>5</v>
      </c>
      <c r="H150" s="485" t="s">
        <v>117</v>
      </c>
      <c r="I150" s="485" t="s">
        <v>6</v>
      </c>
      <c r="J150" s="485" t="s">
        <v>7</v>
      </c>
      <c r="K150" s="485" t="s">
        <v>8</v>
      </c>
      <c r="L150" s="485" t="s">
        <v>136</v>
      </c>
      <c r="M150" s="423" t="s">
        <v>9</v>
      </c>
      <c r="N150" s="486">
        <f ca="1">TODAY()</f>
        <v>46221</v>
      </c>
      <c r="O150" s="486">
        <f ca="1">TODAY()+1</f>
        <v>46222</v>
      </c>
      <c r="P150" s="486">
        <f ca="1">TODAY()+2</f>
        <v>46223</v>
      </c>
      <c r="Q150" s="487" t="s">
        <v>69</v>
      </c>
      <c r="R150" s="485" t="s">
        <v>8</v>
      </c>
      <c r="S150" s="488" t="s">
        <v>121</v>
      </c>
      <c r="T150" s="488" t="s">
        <v>122</v>
      </c>
      <c r="U150" s="489" t="s">
        <v>142</v>
      </c>
      <c r="V150" s="489" t="s">
        <v>120</v>
      </c>
      <c r="W150" s="489" t="s">
        <v>143</v>
      </c>
      <c r="X150" s="797" t="s">
        <v>144</v>
      </c>
      <c r="Y150" s="441" t="s">
        <v>689</v>
      </c>
      <c r="Z150" s="464" t="s">
        <v>702</v>
      </c>
      <c r="AA150" s="724" t="s">
        <v>755</v>
      </c>
      <c r="AB150" s="617" t="s">
        <v>751</v>
      </c>
      <c r="AC150" s="617"/>
      <c r="AE150" s="117"/>
      <c r="AF150" s="151" t="s">
        <v>274</v>
      </c>
      <c r="AG150" s="17"/>
      <c r="AH150" s="793" t="s">
        <v>171</v>
      </c>
      <c r="AI150" s="794" t="s">
        <v>172</v>
      </c>
      <c r="AJ150" s="794" t="s">
        <v>173</v>
      </c>
      <c r="AK150" s="794" t="s">
        <v>174</v>
      </c>
      <c r="AL150" s="794" t="s">
        <v>175</v>
      </c>
      <c r="AM150" s="794" t="s">
        <v>176</v>
      </c>
      <c r="AN150" s="794" t="s">
        <v>177</v>
      </c>
      <c r="AO150" s="794" t="s">
        <v>178</v>
      </c>
      <c r="AP150" s="794" t="s">
        <v>179</v>
      </c>
      <c r="AQ150" s="794" t="s">
        <v>180</v>
      </c>
      <c r="AR150" s="795" t="s">
        <v>162</v>
      </c>
    </row>
    <row r="151" spans="1:49" ht="19.5" thickBot="1" x14ac:dyDescent="0.35">
      <c r="D151" s="896">
        <v>549754600119</v>
      </c>
      <c r="E151" s="444" t="s">
        <v>592</v>
      </c>
      <c r="F151" s="661" t="s">
        <v>661</v>
      </c>
      <c r="G151" s="584">
        <v>241</v>
      </c>
      <c r="H151" s="913">
        <f>G151+G152</f>
        <v>241</v>
      </c>
      <c r="I151" s="907">
        <v>37</v>
      </c>
      <c r="J151" s="915">
        <f>Q151</f>
        <v>67</v>
      </c>
      <c r="K151" s="822">
        <f>SUM(R151:R152)</f>
        <v>93</v>
      </c>
      <c r="L151" s="838">
        <f>H151-K151</f>
        <v>148</v>
      </c>
      <c r="M151" s="816">
        <f>I151+J151-K151</f>
        <v>11</v>
      </c>
      <c r="N151" s="30">
        <f>SUMIF('3 D P'!$D:$D,Cockpit!$E$5:$E$189,'3 D P'!L:L)</f>
        <v>5</v>
      </c>
      <c r="O151" s="30">
        <f>SUMIF('3 D P'!$D:$D,Cockpit!$E$5:$E$189,'3 D P'!M:M)</f>
        <v>0</v>
      </c>
      <c r="P151" s="30">
        <f>SUMIF('3 D P'!$D:$D,Cockpit!$E$5:$E$189,'3 D P'!N:N)</f>
        <v>1</v>
      </c>
      <c r="Q151" s="132">
        <f>IFERROR(VLOOKUP($D151,'Yazaki Dispatch'!$A:$B,2,FALSE),0)</f>
        <v>67</v>
      </c>
      <c r="R151" s="34">
        <f>SUMIF('Consumption MTD'!B:B,Cockpit!$E$5:$E$178,'Consumption MTD'!C:C)</f>
        <v>93</v>
      </c>
      <c r="S151" s="34">
        <f>SUMIF('BIW Lifting A Shift'!$B:$B,Cockpit!$E$5:$E$178,'BIW Lifting A Shift'!C:C)</f>
        <v>0</v>
      </c>
      <c r="T151" s="34">
        <f>SUMIF('BIW Lifting B Shift'!$B:$B,Cockpit!$E$5:$E$186,'BIW Lifting B Shift'!C:C)</f>
        <v>0</v>
      </c>
      <c r="U151" s="818">
        <f>M151-X151-X152</f>
        <v>9</v>
      </c>
      <c r="V151" s="818">
        <f>M151-X151-X152-S151-S152</f>
        <v>9</v>
      </c>
      <c r="W151" s="818">
        <f>V151-T151-T152</f>
        <v>9</v>
      </c>
      <c r="X151" s="135">
        <f>SUMIF(FLOAT!$D:$D,Cockpit!$E$5:$E$178,FLOAT!F:F)</f>
        <v>2</v>
      </c>
      <c r="Y151" s="517">
        <f>G151-R151</f>
        <v>148</v>
      </c>
      <c r="Z151" s="455">
        <f>IFERROR(VLOOKUP(D151,[2]Sheet1!$B:$E,4,0),0)</f>
        <v>0</v>
      </c>
      <c r="AA151" s="897">
        <v>38</v>
      </c>
      <c r="AB151" s="15">
        <v>18</v>
      </c>
      <c r="AC151" s="15" t="b">
        <f t="shared" ref="AC151:AC179" si="34">COUNTIF(AB:AB,I151)&gt;0</f>
        <v>0</v>
      </c>
      <c r="AD151" s="54" t="b">
        <f t="shared" ref="AD151:AD178" si="35">AA151=I151</f>
        <v>0</v>
      </c>
      <c r="AE151" s="907">
        <v>37</v>
      </c>
      <c r="AF151" s="49"/>
      <c r="AG151" s="17">
        <v>20</v>
      </c>
      <c r="AH151" s="543">
        <f>SUMIF(FLOAT!$D:$D,Cockpit!$E151:$E357,FLOAT!G:G)</f>
        <v>0</v>
      </c>
      <c r="AI151" s="543">
        <f>SUMIF(FLOAT!$D:$D,Cockpit!$E151:$E357,FLOAT!H:H)</f>
        <v>0</v>
      </c>
      <c r="AJ151" s="543">
        <f>SUMIF(FLOAT!$D:$D,Cockpit!$E151:$E357,FLOAT!I:I)</f>
        <v>0</v>
      </c>
      <c r="AK151" s="543">
        <f>SUMIF(FLOAT!$D:$D,Cockpit!$E151:$E357,FLOAT!J:J)</f>
        <v>0</v>
      </c>
      <c r="AL151" s="543">
        <f>SUMIF(FLOAT!$D:$D,Cockpit!$E151:$E357,FLOAT!K:K)</f>
        <v>0</v>
      </c>
      <c r="AM151" s="543">
        <f>SUMIF(FLOAT!$D:$D,Cockpit!$E151:$E357,FLOAT!L:L)</f>
        <v>0</v>
      </c>
      <c r="AN151" s="543">
        <f>SUMIF(FLOAT!$D:$D,Cockpit!$E151:$E357,FLOAT!M:M)</f>
        <v>0</v>
      </c>
      <c r="AO151" s="543">
        <f>SUMIF(FLOAT!$D:$D,Cockpit!$E151:$E357,FLOAT!N:N)</f>
        <v>0</v>
      </c>
      <c r="AP151" s="792">
        <f>SUMIF(FLOAT!$D:$D,Cockpit!$E151:$E357,FLOAT!O:O)</f>
        <v>2</v>
      </c>
      <c r="AQ151" s="543">
        <f>SUMIF(FLOAT!$D:$D,Cockpit!$E151:$E357,FLOAT!P:P)</f>
        <v>0</v>
      </c>
      <c r="AR151" s="222">
        <f t="shared" ref="AR151:AR160" si="36">AH151+AI151+AJ151+AK151+AL151+AM151+AO151+AP151+AQ151</f>
        <v>2</v>
      </c>
    </row>
    <row r="152" spans="1:49" ht="19.5" thickBot="1" x14ac:dyDescent="0.35">
      <c r="D152" s="896"/>
      <c r="E152" s="444" t="s">
        <v>593</v>
      </c>
      <c r="F152" s="661" t="s">
        <v>667</v>
      </c>
      <c r="G152" s="584">
        <v>0</v>
      </c>
      <c r="H152" s="914"/>
      <c r="I152" s="908"/>
      <c r="J152" s="916"/>
      <c r="K152" s="823"/>
      <c r="L152" s="823"/>
      <c r="M152" s="816"/>
      <c r="N152" s="30">
        <f>SUMIF('3 D P'!$D:$D,Cockpit!$E$5:$E$189,'3 D P'!L:L)</f>
        <v>0</v>
      </c>
      <c r="O152" s="30">
        <f>SUMIF('3 D P'!$D:$D,Cockpit!$E$5:$E$189,'3 D P'!M:M)</f>
        <v>0</v>
      </c>
      <c r="P152" s="30">
        <f>SUMIF('3 D P'!$D:$D,Cockpit!$E$5:$E$189,'3 D P'!N:N)</f>
        <v>0</v>
      </c>
      <c r="Q152" s="132">
        <f>IFERROR(VLOOKUP($D152,'Yazaki Dispatch'!$A:$B,2,FALSE),0)</f>
        <v>0</v>
      </c>
      <c r="R152" s="34">
        <f>SUMIF('Consumption MTD'!B:B,Cockpit!$E$5:$E$178,'Consumption MTD'!C:C)</f>
        <v>0</v>
      </c>
      <c r="S152" s="34">
        <f>SUMIF('BIW Lifting A Shift'!$B:$B,Cockpit!$E$5:$E$178,'BIW Lifting A Shift'!C:C)</f>
        <v>0</v>
      </c>
      <c r="T152" s="34">
        <f>SUMIF('BIW Lifting B Shift'!$B:$B,Cockpit!$E$5:$E$186,'BIW Lifting B Shift'!C:C)</f>
        <v>0</v>
      </c>
      <c r="U152" s="818"/>
      <c r="V152" s="818"/>
      <c r="W152" s="818"/>
      <c r="X152" s="135">
        <f>SUMIF(FLOAT!$D:$D,Cockpit!$E$5:$E$178,FLOAT!F:F)</f>
        <v>0</v>
      </c>
      <c r="Y152" s="517">
        <f t="shared" ref="Y152:Y178" si="37">G152-R152</f>
        <v>0</v>
      </c>
      <c r="Z152" s="455">
        <f>IFERROR(VLOOKUP(D152,[2]Sheet1!$B:$E,4,0),0)</f>
        <v>0</v>
      </c>
      <c r="AA152" s="898"/>
      <c r="AB152" s="15">
        <v>0</v>
      </c>
      <c r="AC152" s="15" t="b">
        <f t="shared" si="34"/>
        <v>1</v>
      </c>
      <c r="AD152" s="54" t="b">
        <f t="shared" si="35"/>
        <v>1</v>
      </c>
      <c r="AE152" s="908"/>
      <c r="AF152" s="49"/>
      <c r="AG152" s="17"/>
      <c r="AH152" s="62">
        <f>SUMIF(FLOAT!$D:$D,Cockpit!$E152:$E358,FLOAT!G:G)</f>
        <v>0</v>
      </c>
      <c r="AI152" s="62">
        <f>SUMIF(FLOAT!$D:$D,Cockpit!$E152:$E358,FLOAT!H:H)</f>
        <v>0</v>
      </c>
      <c r="AJ152" s="62">
        <f>SUMIF(FLOAT!$D:$D,Cockpit!$E152:$E358,FLOAT!I:I)</f>
        <v>0</v>
      </c>
      <c r="AK152" s="62">
        <f>SUMIF(FLOAT!$D:$D,Cockpit!$E152:$E358,FLOAT!J:J)</f>
        <v>0</v>
      </c>
      <c r="AL152" s="62">
        <f>SUMIF(FLOAT!$D:$D,Cockpit!$E152:$E358,FLOAT!K:K)</f>
        <v>0</v>
      </c>
      <c r="AM152" s="62">
        <f>SUMIF(FLOAT!$D:$D,Cockpit!$E152:$E358,FLOAT!L:L)</f>
        <v>0</v>
      </c>
      <c r="AN152" s="62">
        <f>SUMIF(FLOAT!$D:$D,Cockpit!$E152:$E358,FLOAT!M:M)</f>
        <v>0</v>
      </c>
      <c r="AO152" s="62">
        <f>SUMIF(FLOAT!$D:$D,Cockpit!$E152:$E358,FLOAT!N:N)</f>
        <v>0</v>
      </c>
      <c r="AP152" s="62">
        <f>SUMIF(FLOAT!$D:$D,Cockpit!$E152:$E358,FLOAT!O:O)</f>
        <v>0</v>
      </c>
      <c r="AQ152" s="62">
        <f>SUMIF(FLOAT!$D:$D,Cockpit!$E152:$E358,FLOAT!P:P)</f>
        <v>0</v>
      </c>
      <c r="AR152" s="60">
        <f t="shared" si="36"/>
        <v>0</v>
      </c>
    </row>
    <row r="153" spans="1:49" ht="21.75" thickBot="1" x14ac:dyDescent="0.35">
      <c r="D153" s="693">
        <v>549754600102</v>
      </c>
      <c r="E153" s="444" t="s">
        <v>578</v>
      </c>
      <c r="F153" s="661" t="s">
        <v>668</v>
      </c>
      <c r="G153" s="584">
        <v>579</v>
      </c>
      <c r="H153" s="608">
        <f>G153</f>
        <v>579</v>
      </c>
      <c r="I153" s="147">
        <f>26-5</f>
        <v>21</v>
      </c>
      <c r="J153" s="214">
        <f t="shared" ref="J153:J160" si="38">Q153</f>
        <v>1052</v>
      </c>
      <c r="K153" s="76">
        <f t="shared" ref="K153:K160" si="39">R153</f>
        <v>1002</v>
      </c>
      <c r="L153" s="155">
        <f t="shared" ref="L153:L160" si="40">H153-K153</f>
        <v>-423</v>
      </c>
      <c r="M153" s="77">
        <f t="shared" ref="M153:M160" si="41">I153+J153-K153</f>
        <v>71</v>
      </c>
      <c r="N153" s="30">
        <f>SUMIF('3 D P'!$D:$D,Cockpit!$E$5:$E$189,'3 D P'!L:L)</f>
        <v>178</v>
      </c>
      <c r="O153" s="30">
        <f>SUMIF('3 D P'!$D:$D,Cockpit!$E$5:$E$189,'3 D P'!M:M)</f>
        <v>144</v>
      </c>
      <c r="P153" s="30">
        <f>SUMIF('3 D P'!$D:$D,Cockpit!$E$5:$E$189,'3 D P'!N:N)</f>
        <v>0</v>
      </c>
      <c r="Q153" s="132">
        <f>IFERROR(VLOOKUP($D153,'Yazaki Dispatch'!$A:$B,2,FALSE),0)</f>
        <v>1052</v>
      </c>
      <c r="R153" s="34">
        <f>SUMIF('Consumption MTD'!B:B,Cockpit!$E$5:$E$178,'Consumption MTD'!C:C)</f>
        <v>1002</v>
      </c>
      <c r="S153" s="34">
        <f>SUMIF('BIW Lifting A Shift'!$B:$B,Cockpit!$E$5:$E$178,'BIW Lifting A Shift'!C:C)</f>
        <v>0</v>
      </c>
      <c r="T153" s="34">
        <f>SUMIF('BIW Lifting B Shift'!$B:$B,Cockpit!$E$5:$E$186,'BIW Lifting B Shift'!C:C)</f>
        <v>0</v>
      </c>
      <c r="U153" s="74">
        <f t="shared" ref="U153:U160" si="42">M153-X153</f>
        <v>-7</v>
      </c>
      <c r="V153" s="74">
        <f t="shared" ref="V153:V160" si="43">M153-S153-X153</f>
        <v>-7</v>
      </c>
      <c r="W153" s="74">
        <f t="shared" ref="W153:W160" si="44">V153-T153</f>
        <v>-7</v>
      </c>
      <c r="X153" s="135">
        <f>SUMIF(FLOAT!$D:$D,Cockpit!$E$5:$E$178,FLOAT!F:F)</f>
        <v>78</v>
      </c>
      <c r="Y153" s="517">
        <f t="shared" si="37"/>
        <v>-423</v>
      </c>
      <c r="Z153" s="455">
        <f>IFERROR(VLOOKUP(D153,[2]Sheet1!$B:$E,4,0),0)</f>
        <v>226</v>
      </c>
      <c r="AA153" s="49" t="e">
        <f>SUMIF('[3]JULY-26'!$B:$B,D153,'[3]JULY-26'!$E:$E)</f>
        <v>#VALUE!</v>
      </c>
      <c r="AB153" s="15">
        <v>80</v>
      </c>
      <c r="AC153" s="15" t="b">
        <f t="shared" si="34"/>
        <v>0</v>
      </c>
      <c r="AD153" s="54" t="e">
        <f t="shared" si="35"/>
        <v>#VALUE!</v>
      </c>
      <c r="AE153" s="147">
        <v>24</v>
      </c>
      <c r="AF153" s="50"/>
      <c r="AG153" s="281">
        <v>182</v>
      </c>
      <c r="AH153" s="283">
        <f>SUMIF(FLOAT!$D:$D,Cockpit!$E153:$E359,FLOAT!G:G)</f>
        <v>1</v>
      </c>
      <c r="AI153" s="283">
        <f>SUMIF(FLOAT!$D:$D,Cockpit!$E153:$E359,FLOAT!H:H)</f>
        <v>4</v>
      </c>
      <c r="AJ153" s="283">
        <f>SUMIF(FLOAT!$D:$D,Cockpit!$E153:$E359,FLOAT!I:I)</f>
        <v>9</v>
      </c>
      <c r="AK153" s="283">
        <f>SUMIF(FLOAT!$D:$D,Cockpit!$E153:$E359,FLOAT!J:J)</f>
        <v>0</v>
      </c>
      <c r="AL153" s="283">
        <f>SUMIF(FLOAT!$D:$D,Cockpit!$E153:$E359,FLOAT!K:K)</f>
        <v>6</v>
      </c>
      <c r="AM153" s="283">
        <f>SUMIF(FLOAT!$D:$D,Cockpit!$E153:$E359,FLOAT!L:L)</f>
        <v>8</v>
      </c>
      <c r="AN153" s="62">
        <f>SUMIF(FLOAT!$D:$D,Cockpit!$E153:$E359,FLOAT!M:M)</f>
        <v>28</v>
      </c>
      <c r="AO153" s="283">
        <f>SUMIF(FLOAT!$D:$D,Cockpit!$E153:$E359,FLOAT!N:N)</f>
        <v>13</v>
      </c>
      <c r="AP153" s="283">
        <f>SUMIF(FLOAT!$D:$D,Cockpit!$E153:$E359,FLOAT!O:O)</f>
        <v>37</v>
      </c>
      <c r="AQ153" s="283">
        <f>SUMIF(FLOAT!$D:$D,Cockpit!$E153:$E359,FLOAT!P:P)</f>
        <v>0</v>
      </c>
      <c r="AR153" s="60">
        <f t="shared" si="36"/>
        <v>78</v>
      </c>
    </row>
    <row r="154" spans="1:49" ht="21.75" thickBot="1" x14ac:dyDescent="0.35">
      <c r="D154" s="693">
        <v>549754600124</v>
      </c>
      <c r="E154" s="444" t="s">
        <v>580</v>
      </c>
      <c r="F154" s="661" t="s">
        <v>669</v>
      </c>
      <c r="G154" s="584">
        <v>403</v>
      </c>
      <c r="H154" s="230">
        <f t="shared" ref="H154:H176" si="45">G154</f>
        <v>403</v>
      </c>
      <c r="I154" s="147">
        <v>26</v>
      </c>
      <c r="J154" s="214">
        <f t="shared" si="38"/>
        <v>567</v>
      </c>
      <c r="K154" s="76">
        <f t="shared" si="39"/>
        <v>572</v>
      </c>
      <c r="L154" s="155">
        <f t="shared" si="40"/>
        <v>-169</v>
      </c>
      <c r="M154" s="77">
        <f t="shared" si="41"/>
        <v>21</v>
      </c>
      <c r="N154" s="30">
        <f>SUMIF('3 D P'!$D:$D,Cockpit!$E$5:$E$189,'3 D P'!L:L)</f>
        <v>1</v>
      </c>
      <c r="O154" s="30">
        <f>SUMIF('3 D P'!$D:$D,Cockpit!$E$5:$E$189,'3 D P'!M:M)</f>
        <v>0</v>
      </c>
      <c r="P154" s="30">
        <f>SUMIF('3 D P'!$D:$D,Cockpit!$E$5:$E$189,'3 D P'!N:N)</f>
        <v>0</v>
      </c>
      <c r="Q154" s="132">
        <f>IFERROR(VLOOKUP($D154,'Yazaki Dispatch'!$A:$B,2,FALSE),0)</f>
        <v>567</v>
      </c>
      <c r="R154" s="34">
        <f>SUMIF('Consumption MTD'!B:B,Cockpit!$E$5:$E$178,'Consumption MTD'!C:C)</f>
        <v>572</v>
      </c>
      <c r="S154" s="34">
        <f>SUMIF('BIW Lifting A Shift'!$B:$B,Cockpit!$E$5:$E$178,'BIW Lifting A Shift'!C:C)</f>
        <v>0</v>
      </c>
      <c r="T154" s="34">
        <f>SUMIF('BIW Lifting B Shift'!$B:$B,Cockpit!$E$5:$E$186,'BIW Lifting B Shift'!C:C)</f>
        <v>0</v>
      </c>
      <c r="U154" s="74">
        <f t="shared" si="42"/>
        <v>-38</v>
      </c>
      <c r="V154" s="74">
        <f t="shared" si="43"/>
        <v>-38</v>
      </c>
      <c r="W154" s="74">
        <f t="shared" si="44"/>
        <v>-38</v>
      </c>
      <c r="X154" s="135">
        <f>SUMIF(FLOAT!$D:$D,Cockpit!$E$5:$E$178,FLOAT!F:F)</f>
        <v>59</v>
      </c>
      <c r="Y154" s="517">
        <f t="shared" si="37"/>
        <v>-169</v>
      </c>
      <c r="Z154" s="455">
        <f>IFERROR(VLOOKUP(D154,[2]Sheet1!$B:$E,4,0),0)</f>
        <v>1</v>
      </c>
      <c r="AA154" s="49" t="e">
        <f>SUMIF('[3]JULY-26'!$B:$B,D154,'[3]JULY-26'!$E:$E)</f>
        <v>#VALUE!</v>
      </c>
      <c r="AB154" s="15">
        <v>61</v>
      </c>
      <c r="AC154" s="15" t="b">
        <f t="shared" si="34"/>
        <v>1</v>
      </c>
      <c r="AD154" s="54" t="e">
        <f t="shared" si="35"/>
        <v>#VALUE!</v>
      </c>
      <c r="AE154" s="147">
        <v>22</v>
      </c>
      <c r="AF154" s="50"/>
      <c r="AG154" s="281">
        <v>46</v>
      </c>
      <c r="AH154" s="62">
        <f>SUMIF(FLOAT!$D:$D,Cockpit!$E154:$E360,FLOAT!G:G)</f>
        <v>1</v>
      </c>
      <c r="AI154" s="62">
        <f>SUMIF(FLOAT!$D:$D,Cockpit!$E154:$E360,FLOAT!H:H)</f>
        <v>0</v>
      </c>
      <c r="AJ154" s="62">
        <f>SUMIF(FLOAT!$D:$D,Cockpit!$E154:$E360,FLOAT!I:I)</f>
        <v>3</v>
      </c>
      <c r="AK154" s="62">
        <f>SUMIF(FLOAT!$D:$D,Cockpit!$E154:$E360,FLOAT!J:J)</f>
        <v>0</v>
      </c>
      <c r="AL154" s="62">
        <f>SUMIF(FLOAT!$D:$D,Cockpit!$E154:$E360,FLOAT!K:K)</f>
        <v>4</v>
      </c>
      <c r="AM154" s="62">
        <f>SUMIF(FLOAT!$D:$D,Cockpit!$E154:$E360,FLOAT!L:L)</f>
        <v>12</v>
      </c>
      <c r="AN154" s="62">
        <f>SUMIF(FLOAT!$D:$D,Cockpit!$E154:$E360,FLOAT!M:M)</f>
        <v>20</v>
      </c>
      <c r="AO154" s="62">
        <f>SUMIF(FLOAT!$D:$D,Cockpit!$E154:$E360,FLOAT!N:N)</f>
        <v>15</v>
      </c>
      <c r="AP154" s="62">
        <f>SUMIF(FLOAT!$D:$D,Cockpit!$E154:$E360,FLOAT!O:O)</f>
        <v>24</v>
      </c>
      <c r="AQ154" s="62">
        <f>SUMIF(FLOAT!$D:$D,Cockpit!$E154:$E360,FLOAT!P:P)</f>
        <v>0</v>
      </c>
      <c r="AR154" s="60">
        <f t="shared" si="36"/>
        <v>59</v>
      </c>
    </row>
    <row r="155" spans="1:49" ht="21.75" thickBot="1" x14ac:dyDescent="0.35">
      <c r="D155" s="693">
        <v>549754600104</v>
      </c>
      <c r="E155" s="444" t="s">
        <v>579</v>
      </c>
      <c r="F155" s="661" t="s">
        <v>670</v>
      </c>
      <c r="G155" s="584">
        <v>253</v>
      </c>
      <c r="H155" s="608">
        <f t="shared" si="45"/>
        <v>253</v>
      </c>
      <c r="I155" s="147">
        <f>19-1</f>
        <v>18</v>
      </c>
      <c r="J155" s="214">
        <f t="shared" si="38"/>
        <v>189</v>
      </c>
      <c r="K155" s="76">
        <f t="shared" si="39"/>
        <v>188</v>
      </c>
      <c r="L155" s="155">
        <f t="shared" si="40"/>
        <v>65</v>
      </c>
      <c r="M155" s="77">
        <f t="shared" si="41"/>
        <v>19</v>
      </c>
      <c r="N155" s="30">
        <f>SUMIF('3 D P'!$D:$D,Cockpit!$E$5:$E$189,'3 D P'!L:L)</f>
        <v>3</v>
      </c>
      <c r="O155" s="30">
        <f>SUMIF('3 D P'!$D:$D,Cockpit!$E$5:$E$189,'3 D P'!M:M)</f>
        <v>0</v>
      </c>
      <c r="P155" s="30">
        <f>SUMIF('3 D P'!$D:$D,Cockpit!$E$5:$E$189,'3 D P'!N:N)</f>
        <v>0</v>
      </c>
      <c r="Q155" s="132">
        <f>IFERROR(VLOOKUP($D155,'Yazaki Dispatch'!$A:$B,2,FALSE),0)</f>
        <v>189</v>
      </c>
      <c r="R155" s="34">
        <f>SUMIF('Consumption MTD'!B:B,Cockpit!$E$5:$E$178,'Consumption MTD'!C:C)</f>
        <v>188</v>
      </c>
      <c r="S155" s="34">
        <f>SUMIF('BIW Lifting A Shift'!$B:$B,Cockpit!$E$5:$E$178,'BIW Lifting A Shift'!C:C)</f>
        <v>0</v>
      </c>
      <c r="T155" s="34">
        <f>SUMIF('BIW Lifting B Shift'!$B:$B,Cockpit!$E$5:$E$186,'BIW Lifting B Shift'!C:C)</f>
        <v>0</v>
      </c>
      <c r="U155" s="74">
        <f t="shared" si="42"/>
        <v>6</v>
      </c>
      <c r="V155" s="74">
        <f t="shared" si="43"/>
        <v>6</v>
      </c>
      <c r="W155" s="74">
        <f t="shared" si="44"/>
        <v>6</v>
      </c>
      <c r="X155" s="135">
        <f>SUMIF(FLOAT!$D:$D,Cockpit!$E$5:$E$178,FLOAT!F:F)</f>
        <v>13</v>
      </c>
      <c r="Y155" s="517">
        <f t="shared" si="37"/>
        <v>65</v>
      </c>
      <c r="Z155" s="455">
        <f>IFERROR(VLOOKUP(D155,[2]Sheet1!$B:$E,4,0),0)</f>
        <v>42</v>
      </c>
      <c r="AA155" s="49" t="e">
        <f>SUMIF('[3]JULY-26'!$B:$B,D155,'[3]JULY-26'!$E:$E)</f>
        <v>#VALUE!</v>
      </c>
      <c r="AB155" s="15">
        <v>41</v>
      </c>
      <c r="AC155" s="15" t="b">
        <f t="shared" si="34"/>
        <v>1</v>
      </c>
      <c r="AD155" s="54" t="e">
        <f t="shared" si="35"/>
        <v>#VALUE!</v>
      </c>
      <c r="AE155" s="147">
        <v>15</v>
      </c>
      <c r="AF155" s="50"/>
      <c r="AG155" s="281">
        <v>19</v>
      </c>
      <c r="AH155" s="62">
        <f>SUMIF(FLOAT!$D:$D,Cockpit!$E155:$E361,FLOAT!G:G)</f>
        <v>0</v>
      </c>
      <c r="AI155" s="62">
        <f>SUMIF(FLOAT!$D:$D,Cockpit!$E155:$E361,FLOAT!H:H)</f>
        <v>0</v>
      </c>
      <c r="AJ155" s="62">
        <f>SUMIF(FLOAT!$D:$D,Cockpit!$E155:$E361,FLOAT!I:I)</f>
        <v>0</v>
      </c>
      <c r="AK155" s="62">
        <f>SUMIF(FLOAT!$D:$D,Cockpit!$E155:$E361,FLOAT!J:J)</f>
        <v>0</v>
      </c>
      <c r="AL155" s="62">
        <f>SUMIF(FLOAT!$D:$D,Cockpit!$E155:$E361,FLOAT!K:K)</f>
        <v>0</v>
      </c>
      <c r="AM155" s="62">
        <f>SUMIF(FLOAT!$D:$D,Cockpit!$E155:$E361,FLOAT!L:L)</f>
        <v>3</v>
      </c>
      <c r="AN155" s="62">
        <f>SUMIF(FLOAT!$D:$D,Cockpit!$E155:$E361,FLOAT!M:M)</f>
        <v>3</v>
      </c>
      <c r="AO155" s="62">
        <f>SUMIF(FLOAT!$D:$D,Cockpit!$E155:$E361,FLOAT!N:N)</f>
        <v>0</v>
      </c>
      <c r="AP155" s="62">
        <f>SUMIF(FLOAT!$D:$D,Cockpit!$E155:$E361,FLOAT!O:O)</f>
        <v>10</v>
      </c>
      <c r="AQ155" s="62">
        <f>SUMIF(FLOAT!$D:$D,Cockpit!$E155:$E361,FLOAT!P:P)</f>
        <v>0</v>
      </c>
      <c r="AR155" s="60">
        <f t="shared" si="36"/>
        <v>13</v>
      </c>
    </row>
    <row r="156" spans="1:49" ht="21.75" thickBot="1" x14ac:dyDescent="0.35">
      <c r="D156" s="776">
        <v>549754600126</v>
      </c>
      <c r="E156" s="444" t="s">
        <v>581</v>
      </c>
      <c r="F156" s="661" t="s">
        <v>664</v>
      </c>
      <c r="G156" s="584">
        <v>218</v>
      </c>
      <c r="H156" s="230">
        <f t="shared" si="45"/>
        <v>218</v>
      </c>
      <c r="I156" s="147">
        <v>13</v>
      </c>
      <c r="J156" s="214">
        <f t="shared" si="38"/>
        <v>246</v>
      </c>
      <c r="K156" s="76">
        <f t="shared" si="39"/>
        <v>219</v>
      </c>
      <c r="L156" s="155">
        <f t="shared" si="40"/>
        <v>-1</v>
      </c>
      <c r="M156" s="77">
        <f t="shared" si="41"/>
        <v>40</v>
      </c>
      <c r="N156" s="30">
        <f>SUMIF('3 D P'!$D:$D,Cockpit!$E$5:$E$189,'3 D P'!L:L)</f>
        <v>1</v>
      </c>
      <c r="O156" s="30">
        <f>SUMIF('3 D P'!$D:$D,Cockpit!$E$5:$E$189,'3 D P'!M:M)</f>
        <v>0</v>
      </c>
      <c r="P156" s="30">
        <f>SUMIF('3 D P'!$D:$D,Cockpit!$E$5:$E$189,'3 D P'!N:N)</f>
        <v>0</v>
      </c>
      <c r="Q156" s="132">
        <f>IFERROR(VLOOKUP($D156,'Yazaki Dispatch'!$A:$B,2,FALSE),0)</f>
        <v>246</v>
      </c>
      <c r="R156" s="34">
        <f>SUMIF('Consumption MTD'!B:B,Cockpit!$E$5:$E$178,'Consumption MTD'!C:C)</f>
        <v>219</v>
      </c>
      <c r="S156" s="34">
        <f>SUMIF('BIW Lifting A Shift'!$B:$B,Cockpit!$E$5:$E$178,'BIW Lifting A Shift'!C:C)</f>
        <v>0</v>
      </c>
      <c r="T156" s="34">
        <f>SUMIF('BIW Lifting B Shift'!$B:$B,Cockpit!$E$5:$E$186,'BIW Lifting B Shift'!C:C)</f>
        <v>0</v>
      </c>
      <c r="U156" s="74">
        <f t="shared" si="42"/>
        <v>17</v>
      </c>
      <c r="V156" s="74">
        <f t="shared" si="43"/>
        <v>17</v>
      </c>
      <c r="W156" s="74">
        <f t="shared" si="44"/>
        <v>17</v>
      </c>
      <c r="X156" s="135">
        <f>SUMIF(FLOAT!$D:$D,Cockpit!$E$5:$E$178,FLOAT!F:F)</f>
        <v>23</v>
      </c>
      <c r="Y156" s="517">
        <f t="shared" si="37"/>
        <v>-1</v>
      </c>
      <c r="Z156" s="455">
        <f>IFERROR(VLOOKUP(D156,[2]Sheet1!$B:$E,4,0),0)</f>
        <v>66</v>
      </c>
      <c r="AA156" s="49" t="e">
        <f>SUMIF('[3]JULY-26'!$B:$B,D156,'[3]JULY-26'!$E:$E)</f>
        <v>#VALUE!</v>
      </c>
      <c r="AB156" s="15">
        <v>26</v>
      </c>
      <c r="AC156" s="15" t="b">
        <f t="shared" si="34"/>
        <v>0</v>
      </c>
      <c r="AD156" s="54" t="e">
        <f t="shared" si="35"/>
        <v>#VALUE!</v>
      </c>
      <c r="AE156" s="147">
        <v>11</v>
      </c>
      <c r="AF156" s="50"/>
      <c r="AG156" s="281">
        <v>12</v>
      </c>
      <c r="AH156" s="283">
        <f>SUMIF(FLOAT!$D:$D,Cockpit!$E156:$E362,FLOAT!G:G)</f>
        <v>3</v>
      </c>
      <c r="AI156" s="283">
        <f>SUMIF(FLOAT!$D:$D,Cockpit!$E156:$E362,FLOAT!H:H)</f>
        <v>0</v>
      </c>
      <c r="AJ156" s="283">
        <f>SUMIF(FLOAT!$D:$D,Cockpit!$E156:$E362,FLOAT!I:I)</f>
        <v>6</v>
      </c>
      <c r="AK156" s="283">
        <f>SUMIF(FLOAT!$D:$D,Cockpit!$E156:$E362,FLOAT!J:J)</f>
        <v>0</v>
      </c>
      <c r="AL156" s="283">
        <f>SUMIF(FLOAT!$D:$D,Cockpit!$E156:$E362,FLOAT!K:K)</f>
        <v>1</v>
      </c>
      <c r="AM156" s="283">
        <f>SUMIF(FLOAT!$D:$D,Cockpit!$E156:$E362,FLOAT!L:L)</f>
        <v>1</v>
      </c>
      <c r="AN156" s="62">
        <f>SUMIF(FLOAT!$D:$D,Cockpit!$E156:$E362,FLOAT!M:M)</f>
        <v>11</v>
      </c>
      <c r="AO156" s="283">
        <f>SUMIF(FLOAT!$D:$D,Cockpit!$E156:$E362,FLOAT!N:N)</f>
        <v>1</v>
      </c>
      <c r="AP156" s="283">
        <f>SUMIF(FLOAT!$D:$D,Cockpit!$E156:$E362,FLOAT!O:O)</f>
        <v>11</v>
      </c>
      <c r="AQ156" s="283">
        <f>SUMIF(FLOAT!$D:$D,Cockpit!$E156:$E362,FLOAT!P:P)</f>
        <v>0</v>
      </c>
      <c r="AR156" s="60">
        <f t="shared" si="36"/>
        <v>23</v>
      </c>
    </row>
    <row r="157" spans="1:49" ht="21.75" thickBot="1" x14ac:dyDescent="0.35">
      <c r="D157" s="693">
        <v>549754600106</v>
      </c>
      <c r="E157" s="444" t="s">
        <v>582</v>
      </c>
      <c r="F157" s="661" t="s">
        <v>671</v>
      </c>
      <c r="G157" s="584">
        <v>2938</v>
      </c>
      <c r="H157" s="608">
        <f t="shared" si="45"/>
        <v>2938</v>
      </c>
      <c r="I157" s="147">
        <f>73-1</f>
        <v>72</v>
      </c>
      <c r="J157" s="214">
        <f t="shared" si="38"/>
        <v>1411</v>
      </c>
      <c r="K157" s="76">
        <f t="shared" si="39"/>
        <v>1414</v>
      </c>
      <c r="L157" s="155">
        <f t="shared" si="40"/>
        <v>1524</v>
      </c>
      <c r="M157" s="77">
        <f t="shared" si="41"/>
        <v>69</v>
      </c>
      <c r="N157" s="30">
        <f>SUMIF('3 D P'!$D:$D,Cockpit!$E$5:$E$189,'3 D P'!L:L)</f>
        <v>97</v>
      </c>
      <c r="O157" s="30">
        <f>SUMIF('3 D P'!$D:$D,Cockpit!$E$5:$E$189,'3 D P'!M:M)</f>
        <v>112</v>
      </c>
      <c r="P157" s="30">
        <f>SUMIF('3 D P'!$D:$D,Cockpit!$E$5:$E$189,'3 D P'!N:N)</f>
        <v>225</v>
      </c>
      <c r="Q157" s="132">
        <f>IFERROR(VLOOKUP($D157,'Yazaki Dispatch'!$A:$B,2,FALSE),0)</f>
        <v>1411</v>
      </c>
      <c r="R157" s="34">
        <f>SUMIF('Consumption MTD'!B:B,Cockpit!$E$5:$E$178,'Consumption MTD'!C:C)</f>
        <v>1414</v>
      </c>
      <c r="S157" s="34">
        <f>SUMIF('BIW Lifting A Shift'!$B:$B,Cockpit!$E$5:$E$178,'BIW Lifting A Shift'!C:C)</f>
        <v>0</v>
      </c>
      <c r="T157" s="34">
        <f>SUMIF('BIW Lifting B Shift'!$B:$B,Cockpit!$E$5:$E$186,'BIW Lifting B Shift'!C:C)</f>
        <v>0</v>
      </c>
      <c r="U157" s="74">
        <f t="shared" si="42"/>
        <v>3</v>
      </c>
      <c r="V157" s="74">
        <f t="shared" si="43"/>
        <v>3</v>
      </c>
      <c r="W157" s="74">
        <f t="shared" si="44"/>
        <v>3</v>
      </c>
      <c r="X157" s="135">
        <f>SUMIF(FLOAT!$D:$D,Cockpit!$E$5:$E$178,FLOAT!F:F)</f>
        <v>66</v>
      </c>
      <c r="Y157" s="517">
        <f t="shared" si="37"/>
        <v>1524</v>
      </c>
      <c r="Z157" s="455">
        <f>IFERROR(VLOOKUP(D157,[2]Sheet1!$B:$E,4,0),0)</f>
        <v>38</v>
      </c>
      <c r="AA157" s="49" t="e">
        <f>SUMIF('[3]JULY-26'!$B:$B,D157,'[3]JULY-26'!$E:$E)</f>
        <v>#VALUE!</v>
      </c>
      <c r="AB157" s="15">
        <v>131</v>
      </c>
      <c r="AC157" s="15" t="b">
        <f t="shared" si="34"/>
        <v>0</v>
      </c>
      <c r="AD157" s="54" t="e">
        <f t="shared" si="35"/>
        <v>#VALUE!</v>
      </c>
      <c r="AE157" s="147">
        <v>71</v>
      </c>
      <c r="AF157" s="50"/>
      <c r="AG157" s="281">
        <v>166</v>
      </c>
      <c r="AH157" s="790">
        <f>SUMIF(FLOAT!$D:$D,Cockpit!$E157:$E363,FLOAT!G:G)</f>
        <v>5</v>
      </c>
      <c r="AI157" s="790">
        <f>SUMIF(FLOAT!$D:$D,Cockpit!$E157:$E363,FLOAT!H:H)</f>
        <v>1</v>
      </c>
      <c r="AJ157" s="790">
        <f>SUMIF(FLOAT!$D:$D,Cockpit!$E157:$E363,FLOAT!I:I)</f>
        <v>5</v>
      </c>
      <c r="AK157" s="790">
        <f>SUMIF(FLOAT!$D:$D,Cockpit!$E157:$E363,FLOAT!J:J)</f>
        <v>0</v>
      </c>
      <c r="AL157" s="790">
        <f>SUMIF(FLOAT!$D:$D,Cockpit!$E157:$E363,FLOAT!K:K)</f>
        <v>7</v>
      </c>
      <c r="AM157" s="790">
        <f>SUMIF(FLOAT!$D:$D,Cockpit!$E157:$E363,FLOAT!L:L)</f>
        <v>4</v>
      </c>
      <c r="AN157" s="62">
        <f>SUMIF(FLOAT!$D:$D,Cockpit!$E157:$E363,FLOAT!M:M)</f>
        <v>22</v>
      </c>
      <c r="AO157" s="283">
        <f>SUMIF(FLOAT!$D:$D,Cockpit!$E157:$E363,FLOAT!N:N)</f>
        <v>24</v>
      </c>
      <c r="AP157" s="798">
        <f>SUMIF(FLOAT!$D:$D,Cockpit!$E157:$E363,FLOAT!O:O)</f>
        <v>20</v>
      </c>
      <c r="AQ157" s="283">
        <f>SUMIF(FLOAT!$D:$D,Cockpit!$E157:$E363,FLOAT!P:P)</f>
        <v>0</v>
      </c>
      <c r="AR157" s="60">
        <f t="shared" si="36"/>
        <v>66</v>
      </c>
    </row>
    <row r="158" spans="1:49" ht="21.75" thickBot="1" x14ac:dyDescent="0.35">
      <c r="D158" s="693">
        <v>549754600108</v>
      </c>
      <c r="E158" s="444" t="s">
        <v>602</v>
      </c>
      <c r="F158" s="661" t="s">
        <v>663</v>
      </c>
      <c r="G158" s="584">
        <v>657</v>
      </c>
      <c r="H158" s="230">
        <f t="shared" si="45"/>
        <v>657</v>
      </c>
      <c r="I158" s="147">
        <v>14</v>
      </c>
      <c r="J158" s="214">
        <f t="shared" si="38"/>
        <v>288</v>
      </c>
      <c r="K158" s="76">
        <f t="shared" si="39"/>
        <v>271</v>
      </c>
      <c r="L158" s="155">
        <f t="shared" si="40"/>
        <v>386</v>
      </c>
      <c r="M158" s="77">
        <f t="shared" si="41"/>
        <v>31</v>
      </c>
      <c r="N158" s="30">
        <f>SUMIF('3 D P'!$D:$D,Cockpit!$E$5:$E$189,'3 D P'!L:L)</f>
        <v>13</v>
      </c>
      <c r="O158" s="30">
        <f>SUMIF('3 D P'!$D:$D,Cockpit!$E$5:$E$189,'3 D P'!M:M)</f>
        <v>40</v>
      </c>
      <c r="P158" s="30">
        <f>SUMIF('3 D P'!$D:$D,Cockpit!$E$5:$E$189,'3 D P'!N:N)</f>
        <v>11</v>
      </c>
      <c r="Q158" s="132">
        <f>IFERROR(VLOOKUP($D158,'Yazaki Dispatch'!$A:$B,2,FALSE),0)</f>
        <v>288</v>
      </c>
      <c r="R158" s="34">
        <f>SUMIF('Consumption MTD'!B:B,Cockpit!$E$5:$E$178,'Consumption MTD'!C:C)</f>
        <v>271</v>
      </c>
      <c r="S158" s="34">
        <f>SUMIF('BIW Lifting A Shift'!$B:$B,Cockpit!$E$5:$E$178,'BIW Lifting A Shift'!C:C)</f>
        <v>0</v>
      </c>
      <c r="T158" s="34">
        <f>SUMIF('BIW Lifting B Shift'!$B:$B,Cockpit!$E$5:$E$186,'BIW Lifting B Shift'!C:C)</f>
        <v>0</v>
      </c>
      <c r="U158" s="74">
        <f t="shared" si="42"/>
        <v>8</v>
      </c>
      <c r="V158" s="74">
        <f t="shared" si="43"/>
        <v>8</v>
      </c>
      <c r="W158" s="74">
        <f t="shared" si="44"/>
        <v>8</v>
      </c>
      <c r="X158" s="135">
        <f>SUMIF(FLOAT!$D:$D,Cockpit!$E$5:$E$178,FLOAT!F:F)</f>
        <v>23</v>
      </c>
      <c r="Y158" s="517">
        <f t="shared" si="37"/>
        <v>386</v>
      </c>
      <c r="Z158" s="455">
        <f>IFERROR(VLOOKUP(D158,[2]Sheet1!$B:$E,4,0),0)</f>
        <v>0</v>
      </c>
      <c r="AA158" s="49" t="e">
        <f>SUMIF('[3]JULY-26'!$B:$B,D158,'[3]JULY-26'!$E:$E)</f>
        <v>#VALUE!</v>
      </c>
      <c r="AB158" s="15">
        <v>31</v>
      </c>
      <c r="AC158" s="15" t="b">
        <f t="shared" si="34"/>
        <v>1</v>
      </c>
      <c r="AD158" s="54" t="e">
        <f t="shared" si="35"/>
        <v>#VALUE!</v>
      </c>
      <c r="AE158" s="147">
        <v>13</v>
      </c>
      <c r="AF158" s="50"/>
      <c r="AG158" s="281">
        <v>58</v>
      </c>
      <c r="AH158" s="62">
        <f>SUMIF(FLOAT!$D:$D,Cockpit!$E158:$E364,FLOAT!G:G)</f>
        <v>2</v>
      </c>
      <c r="AI158" s="62">
        <f>SUMIF(FLOAT!$D:$D,Cockpit!$E158:$E364,FLOAT!H:H)</f>
        <v>0</v>
      </c>
      <c r="AJ158" s="62">
        <f>SUMIF(FLOAT!$D:$D,Cockpit!$E158:$E364,FLOAT!I:I)</f>
        <v>4</v>
      </c>
      <c r="AK158" s="62">
        <f>SUMIF(FLOAT!$D:$D,Cockpit!$E158:$E364,FLOAT!J:J)</f>
        <v>0</v>
      </c>
      <c r="AL158" s="62">
        <f>SUMIF(FLOAT!$D:$D,Cockpit!$E158:$E364,FLOAT!K:K)</f>
        <v>2</v>
      </c>
      <c r="AM158" s="62">
        <f>SUMIF(FLOAT!$D:$D,Cockpit!$E158:$E364,FLOAT!L:L)</f>
        <v>4</v>
      </c>
      <c r="AN158" s="62">
        <f>SUMIF(FLOAT!$D:$D,Cockpit!$E158:$E364,FLOAT!M:M)</f>
        <v>12</v>
      </c>
      <c r="AO158" s="62">
        <f>SUMIF(FLOAT!$D:$D,Cockpit!$E158:$E364,FLOAT!N:N)</f>
        <v>3</v>
      </c>
      <c r="AP158" s="283">
        <f>SUMIF(FLOAT!$D:$D,Cockpit!$E158:$E364,FLOAT!O:O)</f>
        <v>8</v>
      </c>
      <c r="AQ158" s="62">
        <f>SUMIF(FLOAT!$D:$D,Cockpit!$E158:$E364,FLOAT!P:P)</f>
        <v>0</v>
      </c>
      <c r="AR158" s="60">
        <f t="shared" si="36"/>
        <v>23</v>
      </c>
    </row>
    <row r="159" spans="1:49" ht="21.75" thickBot="1" x14ac:dyDescent="0.35">
      <c r="D159" s="775">
        <v>549754600173</v>
      </c>
      <c r="E159" s="444" t="s">
        <v>603</v>
      </c>
      <c r="F159" s="661" t="s">
        <v>672</v>
      </c>
      <c r="G159" s="584">
        <v>2576</v>
      </c>
      <c r="H159" s="230">
        <f t="shared" si="45"/>
        <v>2576</v>
      </c>
      <c r="I159" s="147">
        <f>107-3</f>
        <v>104</v>
      </c>
      <c r="J159" s="214">
        <f t="shared" si="38"/>
        <v>1384</v>
      </c>
      <c r="K159" s="76">
        <f t="shared" si="39"/>
        <v>1393</v>
      </c>
      <c r="L159" s="155">
        <f t="shared" si="40"/>
        <v>1183</v>
      </c>
      <c r="M159" s="77">
        <f t="shared" si="41"/>
        <v>95</v>
      </c>
      <c r="N159" s="30">
        <f>SUMIF('3 D P'!$D:$D,Cockpit!$E$5:$E$189,'3 D P'!L:L)</f>
        <v>132</v>
      </c>
      <c r="O159" s="30">
        <f>SUMIF('3 D P'!$D:$D,Cockpit!$E$5:$E$189,'3 D P'!M:M)</f>
        <v>234</v>
      </c>
      <c r="P159" s="30">
        <f>SUMIF('3 D P'!$D:$D,Cockpit!$E$5:$E$189,'3 D P'!N:N)</f>
        <v>277</v>
      </c>
      <c r="Q159" s="132">
        <f>IFERROR(VLOOKUP($D159,'Yazaki Dispatch'!$A:$B,2,FALSE),0)</f>
        <v>1384</v>
      </c>
      <c r="R159" s="34">
        <f>SUMIF('Consumption MTD'!B:B,Cockpit!$E$5:$E$178,'Consumption MTD'!C:C)</f>
        <v>1393</v>
      </c>
      <c r="S159" s="34">
        <f>SUMIF('BIW Lifting A Shift'!$B:$B,Cockpit!$E$5:$E$178,'BIW Lifting A Shift'!C:C)</f>
        <v>0</v>
      </c>
      <c r="T159" s="34">
        <f>SUMIF('BIW Lifting B Shift'!$B:$B,Cockpit!$E$5:$E$186,'BIW Lifting B Shift'!C:C)</f>
        <v>0</v>
      </c>
      <c r="U159" s="74">
        <f t="shared" si="42"/>
        <v>-2</v>
      </c>
      <c r="V159" s="74">
        <f t="shared" si="43"/>
        <v>-2</v>
      </c>
      <c r="W159" s="74">
        <f t="shared" si="44"/>
        <v>-2</v>
      </c>
      <c r="X159" s="135">
        <f>SUMIF(FLOAT!$D:$D,Cockpit!$E$5:$E$178,FLOAT!F:F)</f>
        <v>97</v>
      </c>
      <c r="Y159" s="517">
        <f t="shared" si="37"/>
        <v>1183</v>
      </c>
      <c r="Z159" s="455">
        <f>IFERROR(VLOOKUP(D159,[2]Sheet1!$B:$E,4,0),0)</f>
        <v>24</v>
      </c>
      <c r="AA159" s="49" t="e">
        <f>SUMIF('[3]JULY-26'!$B:$B,D159,'[3]JULY-26'!$E:$E)</f>
        <v>#VALUE!</v>
      </c>
      <c r="AB159" s="15">
        <v>103</v>
      </c>
      <c r="AC159" s="15" t="b">
        <f t="shared" si="34"/>
        <v>0</v>
      </c>
      <c r="AD159" s="54" t="e">
        <f t="shared" si="35"/>
        <v>#VALUE!</v>
      </c>
      <c r="AE159" s="147">
        <v>103</v>
      </c>
      <c r="AF159" s="50"/>
      <c r="AG159" s="281">
        <v>260</v>
      </c>
      <c r="AH159" s="62">
        <f>SUMIF(FLOAT!$D:$D,Cockpit!$E159:$E365,FLOAT!G:G)</f>
        <v>3</v>
      </c>
      <c r="AI159" s="62">
        <f>SUMIF(FLOAT!$D:$D,Cockpit!$E159:$E365,FLOAT!H:H)</f>
        <v>4</v>
      </c>
      <c r="AJ159" s="62">
        <f>SUMIF(FLOAT!$D:$D,Cockpit!$E159:$E365,FLOAT!I:I)</f>
        <v>10</v>
      </c>
      <c r="AK159" s="62">
        <f>SUMIF(FLOAT!$D:$D,Cockpit!$E159:$E365,FLOAT!J:J)</f>
        <v>0</v>
      </c>
      <c r="AL159" s="62">
        <f>SUMIF(FLOAT!$D:$D,Cockpit!$E159:$E365,FLOAT!K:K)</f>
        <v>4</v>
      </c>
      <c r="AM159" s="62">
        <f>SUMIF(FLOAT!$D:$D,Cockpit!$E159:$E365,FLOAT!L:L)</f>
        <v>6</v>
      </c>
      <c r="AN159" s="62">
        <f>SUMIF(FLOAT!$D:$D,Cockpit!$E159:$E365,FLOAT!M:M)</f>
        <v>27</v>
      </c>
      <c r="AO159" s="62">
        <f>SUMIF(FLOAT!$D:$D,Cockpit!$E159:$E365,FLOAT!N:N)</f>
        <v>19</v>
      </c>
      <c r="AP159" s="62">
        <f>SUMIF(FLOAT!$D:$D,Cockpit!$E159:$E365,FLOAT!O:O)</f>
        <v>51</v>
      </c>
      <c r="AQ159" s="62">
        <f>SUMIF(FLOAT!$D:$D,Cockpit!$E159:$E365,FLOAT!P:P)</f>
        <v>0</v>
      </c>
      <c r="AR159" s="60">
        <f t="shared" si="36"/>
        <v>97</v>
      </c>
    </row>
    <row r="160" spans="1:49" ht="21.75" thickBot="1" x14ac:dyDescent="0.35">
      <c r="D160" s="694">
        <v>549754600227</v>
      </c>
      <c r="E160" s="444" t="s">
        <v>576</v>
      </c>
      <c r="F160" s="661" t="s">
        <v>673</v>
      </c>
      <c r="G160" s="584">
        <v>539</v>
      </c>
      <c r="H160" s="608">
        <f t="shared" si="45"/>
        <v>539</v>
      </c>
      <c r="I160" s="147">
        <v>23</v>
      </c>
      <c r="J160" s="214">
        <f t="shared" si="38"/>
        <v>305</v>
      </c>
      <c r="K160" s="76">
        <f t="shared" si="39"/>
        <v>312</v>
      </c>
      <c r="L160" s="155">
        <f t="shared" si="40"/>
        <v>227</v>
      </c>
      <c r="M160" s="77">
        <f t="shared" si="41"/>
        <v>16</v>
      </c>
      <c r="N160" s="30">
        <f>SUMIF('3 D P'!$D:$D,Cockpit!$E$5:$E$189,'3 D P'!L:L)</f>
        <v>28</v>
      </c>
      <c r="O160" s="30">
        <f>SUMIF('3 D P'!$D:$D,Cockpit!$E$5:$E$189,'3 D P'!M:M)</f>
        <v>0</v>
      </c>
      <c r="P160" s="30">
        <f>SUMIF('3 D P'!$D:$D,Cockpit!$E$5:$E$189,'3 D P'!N:N)</f>
        <v>0</v>
      </c>
      <c r="Q160" s="132">
        <f>IFERROR(VLOOKUP($D160,'Yazaki Dispatch'!$A:$B,2,FALSE),0)</f>
        <v>305</v>
      </c>
      <c r="R160" s="34">
        <f>SUMIF('Consumption MTD'!B:B,Cockpit!$E$5:$E$178,'Consumption MTD'!C:C)</f>
        <v>312</v>
      </c>
      <c r="S160" s="34">
        <f>SUMIF('BIW Lifting A Shift'!$B:$B,Cockpit!$E$5:$E$178,'BIW Lifting A Shift'!C:C)</f>
        <v>0</v>
      </c>
      <c r="T160" s="34">
        <f>SUMIF('BIW Lifting B Shift'!$B:$B,Cockpit!$E$5:$E$186,'BIW Lifting B Shift'!C:C)</f>
        <v>0</v>
      </c>
      <c r="U160" s="74">
        <f t="shared" si="42"/>
        <v>5</v>
      </c>
      <c r="V160" s="74">
        <f t="shared" si="43"/>
        <v>5</v>
      </c>
      <c r="W160" s="74">
        <f t="shared" si="44"/>
        <v>5</v>
      </c>
      <c r="X160" s="135">
        <f>SUMIF(FLOAT!$D:$D,Cockpit!$E$5:$E$178,FLOAT!F:F)</f>
        <v>11</v>
      </c>
      <c r="Y160" s="540">
        <f t="shared" si="37"/>
        <v>227</v>
      </c>
      <c r="Z160" s="455">
        <f>IFERROR(VLOOKUP(D160,[2]Sheet1!$B:$E,4,0),0)</f>
        <v>19</v>
      </c>
      <c r="AA160" s="49" t="e">
        <f>SUMIF('[3]JULY-26'!$B:$B,D160,'[3]JULY-26'!$E:$E)</f>
        <v>#VALUE!</v>
      </c>
      <c r="AB160" s="15">
        <v>0</v>
      </c>
      <c r="AC160" s="15" t="b">
        <f t="shared" si="34"/>
        <v>1</v>
      </c>
      <c r="AD160" s="54" t="e">
        <f t="shared" si="35"/>
        <v>#VALUE!</v>
      </c>
      <c r="AE160" s="147">
        <v>21</v>
      </c>
      <c r="AF160" s="50"/>
      <c r="AG160" s="278">
        <v>21</v>
      </c>
      <c r="AH160" s="542">
        <f>SUMIF(FLOAT!$D:$D,Cockpit!$E160:$E366,FLOAT!G:G)</f>
        <v>1</v>
      </c>
      <c r="AI160" s="62">
        <f>SUMIF(FLOAT!$D:$D,Cockpit!$E160:$E366,FLOAT!H:H)</f>
        <v>0</v>
      </c>
      <c r="AJ160" s="62">
        <f>SUMIF(FLOAT!$D:$D,Cockpit!$E160:$E366,FLOAT!I:I)</f>
        <v>0</v>
      </c>
      <c r="AK160" s="62">
        <f>SUMIF(FLOAT!$D:$D,Cockpit!$E160:$E366,FLOAT!J:J)</f>
        <v>0</v>
      </c>
      <c r="AL160" s="62">
        <f>SUMIF(FLOAT!$D:$D,Cockpit!$E160:$E366,FLOAT!K:K)</f>
        <v>1</v>
      </c>
      <c r="AM160" s="62">
        <f>SUMIF(FLOAT!$D:$D,Cockpit!$E160:$E366,FLOAT!L:L)</f>
        <v>5</v>
      </c>
      <c r="AN160" s="62">
        <f>SUMIF(FLOAT!$D:$D,Cockpit!$E160:$E366,FLOAT!M:M)</f>
        <v>7</v>
      </c>
      <c r="AO160" s="62">
        <f>SUMIF(FLOAT!$D:$D,Cockpit!$E160:$E366,FLOAT!N:N)</f>
        <v>1</v>
      </c>
      <c r="AP160" s="62">
        <f>SUMIF(FLOAT!$D:$D,Cockpit!$E160:$E366,FLOAT!O:O)</f>
        <v>3</v>
      </c>
      <c r="AQ160" s="62">
        <f>SUMIF(FLOAT!$D:$D,Cockpit!$E160:$E366,FLOAT!P:P)</f>
        <v>0</v>
      </c>
      <c r="AR160" s="60">
        <f t="shared" si="36"/>
        <v>11</v>
      </c>
      <c r="AW160" s="769"/>
    </row>
    <row r="161" spans="4:44" ht="21.75" thickBot="1" x14ac:dyDescent="0.35">
      <c r="D161" s="693">
        <v>549754600109</v>
      </c>
      <c r="E161" s="444" t="s">
        <v>604</v>
      </c>
      <c r="F161" s="661" t="s">
        <v>674</v>
      </c>
      <c r="G161" s="584">
        <v>779</v>
      </c>
      <c r="H161" s="608">
        <f t="shared" si="45"/>
        <v>779</v>
      </c>
      <c r="I161" s="147">
        <v>32</v>
      </c>
      <c r="J161" s="214">
        <f>Q161</f>
        <v>441</v>
      </c>
      <c r="K161" s="76">
        <f>R161</f>
        <v>439</v>
      </c>
      <c r="L161" s="155">
        <f>H161-K161</f>
        <v>340</v>
      </c>
      <c r="M161" s="77">
        <f>I161+J161-K161</f>
        <v>34</v>
      </c>
      <c r="N161" s="30">
        <f>SUMIF('3 D P'!$D:$D,Cockpit!$E$5:$E$189,'3 D P'!L:L)</f>
        <v>29</v>
      </c>
      <c r="O161" s="30">
        <f>SUMIF('3 D P'!$D:$D,Cockpit!$E$5:$E$189,'3 D P'!M:M)</f>
        <v>10</v>
      </c>
      <c r="P161" s="30">
        <f>SUMIF('3 D P'!$D:$D,Cockpit!$E$5:$E$189,'3 D P'!N:N)</f>
        <v>21</v>
      </c>
      <c r="Q161" s="132">
        <f>IFERROR(VLOOKUP($D161,'Yazaki Dispatch'!$A:$B,2,FALSE),0)</f>
        <v>441</v>
      </c>
      <c r="R161" s="34">
        <f>SUMIF('Consumption MTD'!B:B,Cockpit!$E$5:$E$178,'Consumption MTD'!C:C)</f>
        <v>439</v>
      </c>
      <c r="S161" s="34">
        <f>SUMIF('BIW Lifting A Shift'!$B:$B,Cockpit!$E$5:$E$178,'BIW Lifting A Shift'!C:C)</f>
        <v>0</v>
      </c>
      <c r="T161" s="34">
        <f>SUMIF('BIW Lifting B Shift'!$B:$B,Cockpit!$E$5:$E$186,'BIW Lifting B Shift'!C:C)</f>
        <v>0</v>
      </c>
      <c r="U161" s="74">
        <f>M161-X161</f>
        <v>7</v>
      </c>
      <c r="V161" s="74">
        <f>M161-S161-X161</f>
        <v>7</v>
      </c>
      <c r="W161" s="74">
        <f>V161-T161</f>
        <v>7</v>
      </c>
      <c r="X161" s="430">
        <f>SUMIF(FLOAT!$D:$D,Cockpit!$E$5:$E$178,FLOAT!F:F)</f>
        <v>27</v>
      </c>
      <c r="Y161" s="547">
        <f t="shared" si="37"/>
        <v>340</v>
      </c>
      <c r="Z161" s="455">
        <f>IFERROR(VLOOKUP(D161,[2]Sheet1!$B:$E,4,0),0)</f>
        <v>0</v>
      </c>
      <c r="AA161" s="49" t="e">
        <f>SUMIF('[3]JULY-26'!$B:$B,D161,'[3]JULY-26'!$E:$E)</f>
        <v>#VALUE!</v>
      </c>
      <c r="AB161" s="15">
        <v>35</v>
      </c>
      <c r="AC161" s="15" t="b">
        <f t="shared" si="34"/>
        <v>0</v>
      </c>
      <c r="AD161" s="54" t="e">
        <f t="shared" si="35"/>
        <v>#VALUE!</v>
      </c>
      <c r="AE161" s="147">
        <v>17</v>
      </c>
      <c r="AF161" s="514"/>
      <c r="AG161" s="278">
        <v>28</v>
      </c>
      <c r="AH161" s="791">
        <f>SUMIF(FLOAT!$D:$D,Cockpit!$E161:$E368,FLOAT!G:G)</f>
        <v>2</v>
      </c>
      <c r="AI161" s="283">
        <f>SUMIF(FLOAT!$D:$D,Cockpit!$E161:$E368,FLOAT!H:H)</f>
        <v>8</v>
      </c>
      <c r="AJ161" s="283">
        <f>SUMIF(FLOAT!$D:$D,Cockpit!$E161:$E368,FLOAT!I:I)</f>
        <v>6</v>
      </c>
      <c r="AK161" s="283">
        <f>SUMIF(FLOAT!$D:$D,Cockpit!$E161:$E368,FLOAT!J:J)</f>
        <v>0</v>
      </c>
      <c r="AL161" s="283">
        <f>SUMIF(FLOAT!$D:$D,Cockpit!$E161:$E368,FLOAT!K:K)</f>
        <v>0</v>
      </c>
      <c r="AM161" s="283">
        <f>SUMIF(FLOAT!$D:$D,Cockpit!$E161:$E368,FLOAT!L:L)</f>
        <v>0</v>
      </c>
      <c r="AN161" s="283">
        <f>SUMIF(FLOAT!$D:$D,Cockpit!$E161:$E368,FLOAT!M:M)</f>
        <v>16</v>
      </c>
      <c r="AO161" s="283">
        <f>SUMIF(FLOAT!$D:$D,Cockpit!$E161:$E368,FLOAT!N:N)</f>
        <v>3</v>
      </c>
      <c r="AP161" s="283">
        <f>SUMIF(FLOAT!$D:$D,Cockpit!$E161:$E368,FLOAT!O:O)</f>
        <v>8</v>
      </c>
      <c r="AQ161" s="62">
        <f>SUMIF(FLOAT!$D:$D,Cockpit!$E161:$E368,FLOAT!P:P)</f>
        <v>0</v>
      </c>
      <c r="AR161" s="60">
        <f>AH161+AI161+AJ161+AK161+AL161+AM161+AO161+AP161+AQ161</f>
        <v>27</v>
      </c>
    </row>
    <row r="162" spans="4:44" ht="21.75" thickBot="1" x14ac:dyDescent="0.35">
      <c r="D162" s="776">
        <v>549754600110</v>
      </c>
      <c r="E162" s="444" t="s">
        <v>583</v>
      </c>
      <c r="F162" s="661" t="s">
        <v>606</v>
      </c>
      <c r="G162" s="584">
        <v>203</v>
      </c>
      <c r="H162" s="608">
        <f t="shared" si="45"/>
        <v>203</v>
      </c>
      <c r="I162" s="147">
        <v>10</v>
      </c>
      <c r="J162" s="214">
        <f>Q162</f>
        <v>127</v>
      </c>
      <c r="K162" s="76">
        <f>R162</f>
        <v>115</v>
      </c>
      <c r="L162" s="155">
        <f>H162-K162</f>
        <v>88</v>
      </c>
      <c r="M162" s="77">
        <f>I162+J162-K162</f>
        <v>22</v>
      </c>
      <c r="N162" s="30">
        <f>SUMIF('3 D P'!$D:$D,Cockpit!$E$5:$E$189,'3 D P'!L:L)</f>
        <v>1</v>
      </c>
      <c r="O162" s="30">
        <f>SUMIF('3 D P'!$D:$D,Cockpit!$E$5:$E$189,'3 D P'!M:M)</f>
        <v>0</v>
      </c>
      <c r="P162" s="30">
        <f>SUMIF('3 D P'!$D:$D,Cockpit!$E$5:$E$189,'3 D P'!N:N)</f>
        <v>0</v>
      </c>
      <c r="Q162" s="132">
        <f>IFERROR(VLOOKUP($D162,'Yazaki Dispatch'!$A:$B,2,FALSE),0)</f>
        <v>127</v>
      </c>
      <c r="R162" s="34">
        <f>SUMIF('Consumption MTD'!B:B,Cockpit!$E$5:$E$178,'Consumption MTD'!C:C)</f>
        <v>115</v>
      </c>
      <c r="S162" s="34">
        <f>SUMIF('BIW Lifting A Shift'!$B:$B,Cockpit!$E$5:$E$178,'BIW Lifting A Shift'!C:C)</f>
        <v>0</v>
      </c>
      <c r="T162" s="34">
        <f>SUMIF('BIW Lifting B Shift'!$B:$B,Cockpit!$E$5:$E$186,'BIW Lifting B Shift'!C:C)</f>
        <v>0</v>
      </c>
      <c r="U162" s="74">
        <f>M162-X162</f>
        <v>15</v>
      </c>
      <c r="V162" s="74">
        <f>M162-S162-X162</f>
        <v>15</v>
      </c>
      <c r="W162" s="74">
        <f>V162-T162</f>
        <v>15</v>
      </c>
      <c r="X162" s="135">
        <f>SUMIF(FLOAT!$D:$D,Cockpit!$E$5:$E$178,FLOAT!F:F)</f>
        <v>7</v>
      </c>
      <c r="Y162" s="517">
        <f t="shared" si="37"/>
        <v>88</v>
      </c>
      <c r="Z162" s="455">
        <f>IFERROR(VLOOKUP(D162,[2]Sheet1!$B:$E,4,0),0)</f>
        <v>0</v>
      </c>
      <c r="AA162" s="49" t="e">
        <f>SUMIF('[3]JULY-26'!$B:$B,D162,'[3]JULY-26'!$E:$E)</f>
        <v>#VALUE!</v>
      </c>
      <c r="AB162" s="15">
        <v>20</v>
      </c>
      <c r="AC162" s="15" t="b">
        <f t="shared" si="34"/>
        <v>0</v>
      </c>
      <c r="AD162" s="54" t="e">
        <f t="shared" si="35"/>
        <v>#VALUE!</v>
      </c>
      <c r="AE162" s="147">
        <v>11</v>
      </c>
      <c r="AF162" s="50"/>
      <c r="AG162" s="281">
        <v>19</v>
      </c>
      <c r="AH162" s="543">
        <f>SUMIF(FLOAT!$D:$D,Cockpit!$E162:$E369,FLOAT!G:G)</f>
        <v>0</v>
      </c>
      <c r="AI162" s="62">
        <f>SUMIF(FLOAT!$D:$D,Cockpit!$E162:$E369,FLOAT!H:H)</f>
        <v>0</v>
      </c>
      <c r="AJ162" s="62">
        <f>SUMIF(FLOAT!$D:$D,Cockpit!$E162:$E369,FLOAT!I:I)</f>
        <v>0</v>
      </c>
      <c r="AK162" s="62">
        <f>SUMIF(FLOAT!$D:$D,Cockpit!$E162:$E369,FLOAT!J:J)</f>
        <v>0</v>
      </c>
      <c r="AL162" s="62">
        <f>SUMIF(FLOAT!$D:$D,Cockpit!$E162:$E369,FLOAT!K:K)</f>
        <v>0</v>
      </c>
      <c r="AM162" s="62">
        <f>SUMIF(FLOAT!$D:$D,Cockpit!$E162:$E369,FLOAT!L:L)</f>
        <v>0</v>
      </c>
      <c r="AN162" s="62">
        <f>SUMIF(FLOAT!$D:$D,Cockpit!$E162:$E369,FLOAT!M:M)</f>
        <v>0</v>
      </c>
      <c r="AO162" s="62">
        <f>SUMIF(FLOAT!$D:$D,Cockpit!$E162:$E369,FLOAT!N:N)</f>
        <v>3</v>
      </c>
      <c r="AP162" s="62">
        <f>SUMIF(FLOAT!$D:$D,Cockpit!$E162:$E369,FLOAT!O:O)</f>
        <v>4</v>
      </c>
      <c r="AQ162" s="62">
        <f>SUMIF(FLOAT!$D:$D,Cockpit!$E162:$E369,FLOAT!P:P)</f>
        <v>0</v>
      </c>
      <c r="AR162" s="60">
        <f>AH162+AI162+AJ162+AK162+AL162+AM162+AO162+AP162+AQ162</f>
        <v>7</v>
      </c>
    </row>
    <row r="163" spans="4:44" ht="21.75" thickBot="1" x14ac:dyDescent="0.35">
      <c r="D163" s="776">
        <v>549754600127</v>
      </c>
      <c r="E163" s="444" t="s">
        <v>584</v>
      </c>
      <c r="F163" s="661" t="s">
        <v>605</v>
      </c>
      <c r="G163" s="584">
        <v>679</v>
      </c>
      <c r="H163" s="230">
        <f t="shared" si="45"/>
        <v>679</v>
      </c>
      <c r="I163" s="147">
        <v>16</v>
      </c>
      <c r="J163" s="214">
        <f t="shared" ref="J163:J176" si="46">Q163</f>
        <v>350</v>
      </c>
      <c r="K163" s="76">
        <f t="shared" ref="K163:K176" si="47">R163</f>
        <v>335</v>
      </c>
      <c r="L163" s="155">
        <f t="shared" ref="L163:L176" si="48">H163-K163</f>
        <v>344</v>
      </c>
      <c r="M163" s="77">
        <f t="shared" ref="M163:M176" si="49">I163+J163-K163</f>
        <v>31</v>
      </c>
      <c r="N163" s="30">
        <f>SUMIF('3 D P'!$D:$D,Cockpit!$E$5:$E$189,'3 D P'!L:L)</f>
        <v>28</v>
      </c>
      <c r="O163" s="30">
        <f>SUMIF('3 D P'!$D:$D,Cockpit!$E$5:$E$189,'3 D P'!M:M)</f>
        <v>5</v>
      </c>
      <c r="P163" s="30">
        <f>SUMIF('3 D P'!$D:$D,Cockpit!$E$5:$E$189,'3 D P'!N:N)</f>
        <v>36</v>
      </c>
      <c r="Q163" s="132">
        <f>IFERROR(VLOOKUP($D163,'Yazaki Dispatch'!$A:$B,2,FALSE),0)</f>
        <v>350</v>
      </c>
      <c r="R163" s="34">
        <f>SUMIF('Consumption MTD'!B:B,Cockpit!$E$5:$E$178,'Consumption MTD'!C:C)</f>
        <v>335</v>
      </c>
      <c r="S163" s="34">
        <f>SUMIF('BIW Lifting A Shift'!$B:$B,Cockpit!$E$5:$E$178,'BIW Lifting A Shift'!C:C)</f>
        <v>0</v>
      </c>
      <c r="T163" s="34">
        <f>SUMIF('BIW Lifting B Shift'!$B:$B,Cockpit!$E$5:$E$186,'BIW Lifting B Shift'!C:C)</f>
        <v>0</v>
      </c>
      <c r="U163" s="74">
        <f t="shared" ref="U163:U176" si="50">M163-X163</f>
        <v>19</v>
      </c>
      <c r="V163" s="74">
        <f t="shared" ref="V163:V176" si="51">M163-S163-X163</f>
        <v>19</v>
      </c>
      <c r="W163" s="74">
        <f t="shared" ref="W163:W176" si="52">V163-T163</f>
        <v>19</v>
      </c>
      <c r="X163" s="135">
        <f>SUMIF(FLOAT!$D:$D,Cockpit!$E$5:$E$178,FLOAT!F:F)</f>
        <v>12</v>
      </c>
      <c r="Y163" s="517">
        <f t="shared" si="37"/>
        <v>344</v>
      </c>
      <c r="Z163" s="455">
        <f>IFERROR(VLOOKUP(D163,[2]Sheet1!$B:$E,4,0),0)</f>
        <v>1</v>
      </c>
      <c r="AA163" s="49" t="e">
        <f>SUMIF('[3]JULY-26'!$B:$B,D163,'[3]JULY-26'!$E:$E)</f>
        <v>#VALUE!</v>
      </c>
      <c r="AB163" s="15">
        <v>23</v>
      </c>
      <c r="AC163" s="15" t="b">
        <f t="shared" si="34"/>
        <v>1</v>
      </c>
      <c r="AD163" s="54" t="e">
        <f t="shared" si="35"/>
        <v>#VALUE!</v>
      </c>
      <c r="AE163" s="147">
        <v>15</v>
      </c>
      <c r="AF163" s="50"/>
      <c r="AG163" s="281">
        <v>14</v>
      </c>
      <c r="AH163" s="62">
        <f>SUMIF(FLOAT!$D:$D,Cockpit!$E163:$E371,FLOAT!G:G)</f>
        <v>0</v>
      </c>
      <c r="AI163" s="62">
        <f>SUMIF(FLOAT!$D:$D,Cockpit!$E163:$E371,FLOAT!H:H)</f>
        <v>2</v>
      </c>
      <c r="AJ163" s="62">
        <f>SUMIF(FLOAT!$D:$D,Cockpit!$E163:$E371,FLOAT!I:I)</f>
        <v>3</v>
      </c>
      <c r="AK163" s="62">
        <f>SUMIF(FLOAT!$D:$D,Cockpit!$E163:$E371,FLOAT!J:J)</f>
        <v>0</v>
      </c>
      <c r="AL163" s="62">
        <f>SUMIF(FLOAT!$D:$D,Cockpit!$E163:$E371,FLOAT!K:K)</f>
        <v>0</v>
      </c>
      <c r="AM163" s="62">
        <f>SUMIF(FLOAT!$D:$D,Cockpit!$E163:$E371,FLOAT!L:L)</f>
        <v>2</v>
      </c>
      <c r="AN163" s="62">
        <f>SUMIF(FLOAT!$D:$D,Cockpit!$E163:$E371,FLOAT!M:M)</f>
        <v>7</v>
      </c>
      <c r="AO163" s="62">
        <f>SUMIF(FLOAT!$D:$D,Cockpit!$E163:$E371,FLOAT!N:N)</f>
        <v>1</v>
      </c>
      <c r="AP163" s="62">
        <f>SUMIF(FLOAT!$D:$D,Cockpit!$E163:$E371,FLOAT!O:O)</f>
        <v>4</v>
      </c>
      <c r="AQ163" s="62">
        <f>SUMIF(FLOAT!$D:$D,Cockpit!$E163:$E371,FLOAT!P:P)</f>
        <v>0</v>
      </c>
      <c r="AR163" s="60">
        <f t="shared" ref="AR163:AR178" si="53">AH163+AI163+AJ163+AK163+AL163+AM163+AO163+AP163+AQ163</f>
        <v>12</v>
      </c>
    </row>
    <row r="164" spans="4:44" ht="21.75" thickBot="1" x14ac:dyDescent="0.35">
      <c r="D164" s="693">
        <v>549754600111</v>
      </c>
      <c r="E164" s="444" t="s">
        <v>585</v>
      </c>
      <c r="F164" s="661" t="s">
        <v>662</v>
      </c>
      <c r="G164" s="584">
        <v>817</v>
      </c>
      <c r="H164" s="230">
        <f t="shared" si="45"/>
        <v>817</v>
      </c>
      <c r="I164" s="147">
        <v>44</v>
      </c>
      <c r="J164" s="214">
        <f t="shared" si="46"/>
        <v>409</v>
      </c>
      <c r="K164" s="76">
        <f t="shared" si="47"/>
        <v>430</v>
      </c>
      <c r="L164" s="155">
        <f t="shared" si="48"/>
        <v>387</v>
      </c>
      <c r="M164" s="77">
        <f t="shared" si="49"/>
        <v>23</v>
      </c>
      <c r="N164" s="30">
        <f>SUMIF('3 D P'!$D:$D,Cockpit!$E$5:$E$189,'3 D P'!L:L)</f>
        <v>14</v>
      </c>
      <c r="O164" s="30">
        <f>SUMIF('3 D P'!$D:$D,Cockpit!$E$5:$E$189,'3 D P'!M:M)</f>
        <v>34</v>
      </c>
      <c r="P164" s="30">
        <f>SUMIF('3 D P'!$D:$D,Cockpit!$E$5:$E$189,'3 D P'!N:N)</f>
        <v>46</v>
      </c>
      <c r="Q164" s="132">
        <f>IFERROR(VLOOKUP($D164,'Yazaki Dispatch'!$A:$B,2,FALSE),0)</f>
        <v>409</v>
      </c>
      <c r="R164" s="34">
        <f>SUMIF('Consumption MTD'!B:B,Cockpit!$E$5:$E$178,'Consumption MTD'!C:C)</f>
        <v>430</v>
      </c>
      <c r="S164" s="34">
        <f>SUMIF('BIW Lifting A Shift'!$B:$B,Cockpit!$E$5:$E$178,'BIW Lifting A Shift'!C:C)</f>
        <v>0</v>
      </c>
      <c r="T164" s="34">
        <f>SUMIF('BIW Lifting B Shift'!$B:$B,Cockpit!$E$5:$E$186,'BIW Lifting B Shift'!C:C)</f>
        <v>0</v>
      </c>
      <c r="U164" s="74">
        <f t="shared" si="50"/>
        <v>6</v>
      </c>
      <c r="V164" s="74">
        <f t="shared" si="51"/>
        <v>6</v>
      </c>
      <c r="W164" s="74">
        <f t="shared" si="52"/>
        <v>6</v>
      </c>
      <c r="X164" s="135">
        <f>SUMIF(FLOAT!$D:$D,Cockpit!$E$5:$E$178,FLOAT!F:F)</f>
        <v>17</v>
      </c>
      <c r="Y164" s="517">
        <f t="shared" si="37"/>
        <v>387</v>
      </c>
      <c r="Z164" s="455">
        <f>IFERROR(VLOOKUP(D164,[2]Sheet1!$B:$E,4,0),0)</f>
        <v>61</v>
      </c>
      <c r="AA164" s="49" t="e">
        <f>SUMIF('[3]JULY-26'!$B:$B,D164,'[3]JULY-26'!$E:$E)</f>
        <v>#VALUE!</v>
      </c>
      <c r="AB164" s="15">
        <v>93</v>
      </c>
      <c r="AC164" s="15" t="b">
        <f t="shared" si="34"/>
        <v>0</v>
      </c>
      <c r="AD164" s="54" t="e">
        <f t="shared" si="35"/>
        <v>#VALUE!</v>
      </c>
      <c r="AE164" s="147">
        <v>43</v>
      </c>
      <c r="AF164" s="50"/>
      <c r="AG164" s="281">
        <v>20</v>
      </c>
      <c r="AH164" s="790">
        <f>SUMIF(FLOAT!$D:$D,Cockpit!$E164:$E372,FLOAT!G:G)</f>
        <v>1</v>
      </c>
      <c r="AI164" s="790">
        <f>SUMIF(FLOAT!$D:$D,Cockpit!$E164:$E372,FLOAT!H:H)</f>
        <v>1</v>
      </c>
      <c r="AJ164" s="790">
        <f>SUMIF(FLOAT!$D:$D,Cockpit!$E164:$E372,FLOAT!I:I)</f>
        <v>3</v>
      </c>
      <c r="AK164" s="790">
        <f>SUMIF(FLOAT!$D:$D,Cockpit!$E164:$E372,FLOAT!J:J)</f>
        <v>0</v>
      </c>
      <c r="AL164" s="790">
        <f>SUMIF(FLOAT!$D:$D,Cockpit!$E164:$E372,FLOAT!K:K)</f>
        <v>2</v>
      </c>
      <c r="AM164" s="790">
        <f>SUMIF(FLOAT!$D:$D,Cockpit!$E164:$E372,FLOAT!L:L)</f>
        <v>3</v>
      </c>
      <c r="AN164" s="62">
        <f>SUMIF(FLOAT!$D:$D,Cockpit!$E164:$E372,FLOAT!M:M)</f>
        <v>10</v>
      </c>
      <c r="AO164" s="283">
        <f>SUMIF(FLOAT!$D:$D,Cockpit!$E164:$E372,FLOAT!N:N)</f>
        <v>1</v>
      </c>
      <c r="AP164" s="283">
        <f>SUMIF(FLOAT!$D:$D,Cockpit!$E164:$E372,FLOAT!O:O)</f>
        <v>6</v>
      </c>
      <c r="AQ164" s="283">
        <f>SUMIF(FLOAT!$D:$D,Cockpit!$E164:$E372,FLOAT!P:P)</f>
        <v>0</v>
      </c>
      <c r="AR164" s="60">
        <f t="shared" si="53"/>
        <v>17</v>
      </c>
    </row>
    <row r="165" spans="4:44" ht="21.75" thickBot="1" x14ac:dyDescent="0.35">
      <c r="D165" s="693">
        <v>549754600112</v>
      </c>
      <c r="E165" s="444" t="s">
        <v>586</v>
      </c>
      <c r="F165" s="661" t="s">
        <v>675</v>
      </c>
      <c r="G165" s="584">
        <v>599</v>
      </c>
      <c r="H165" s="230">
        <f t="shared" si="45"/>
        <v>599</v>
      </c>
      <c r="I165" s="147">
        <f>21-1</f>
        <v>20</v>
      </c>
      <c r="J165" s="214">
        <f t="shared" si="46"/>
        <v>281</v>
      </c>
      <c r="K165" s="76">
        <f t="shared" si="47"/>
        <v>272</v>
      </c>
      <c r="L165" s="155">
        <f t="shared" si="48"/>
        <v>327</v>
      </c>
      <c r="M165" s="77">
        <f t="shared" si="49"/>
        <v>29</v>
      </c>
      <c r="N165" s="30">
        <f>SUMIF('3 D P'!$D:$D,Cockpit!$E$5:$E$189,'3 D P'!L:L)</f>
        <v>15</v>
      </c>
      <c r="O165" s="30">
        <f>SUMIF('3 D P'!$D:$D,Cockpit!$E$5:$E$189,'3 D P'!M:M)</f>
        <v>30</v>
      </c>
      <c r="P165" s="30">
        <f>SUMIF('3 D P'!$D:$D,Cockpit!$E$5:$E$189,'3 D P'!N:N)</f>
        <v>67</v>
      </c>
      <c r="Q165" s="132">
        <f>IFERROR(VLOOKUP($D165,'Yazaki Dispatch'!$A:$B,2,FALSE),0)</f>
        <v>281</v>
      </c>
      <c r="R165" s="34">
        <f>SUMIF('Consumption MTD'!B:B,Cockpit!$E$5:$E$178,'Consumption MTD'!C:C)</f>
        <v>272</v>
      </c>
      <c r="S165" s="34">
        <f>SUMIF('BIW Lifting A Shift'!$B:$B,Cockpit!$E$5:$E$178,'BIW Lifting A Shift'!C:C)</f>
        <v>0</v>
      </c>
      <c r="T165" s="34">
        <f>SUMIF('BIW Lifting B Shift'!$B:$B,Cockpit!$E$5:$E$186,'BIW Lifting B Shift'!C:C)</f>
        <v>0</v>
      </c>
      <c r="U165" s="74">
        <f t="shared" si="50"/>
        <v>13</v>
      </c>
      <c r="V165" s="74">
        <f t="shared" si="51"/>
        <v>13</v>
      </c>
      <c r="W165" s="74">
        <f t="shared" si="52"/>
        <v>13</v>
      </c>
      <c r="X165" s="135">
        <f>SUMIF(FLOAT!$D:$D,Cockpit!$E$5:$E$178,FLOAT!F:F)</f>
        <v>16</v>
      </c>
      <c r="Y165" s="517">
        <f t="shared" si="37"/>
        <v>327</v>
      </c>
      <c r="Z165" s="455">
        <f>IFERROR(VLOOKUP(D165,[2]Sheet1!$B:$E,4,0),0)</f>
        <v>0</v>
      </c>
      <c r="AA165" s="49" t="e">
        <f>SUMIF('[3]JULY-26'!$B:$B,D165,'[3]JULY-26'!$E:$E)</f>
        <v>#VALUE!</v>
      </c>
      <c r="AB165" s="15">
        <v>19</v>
      </c>
      <c r="AC165" s="15" t="b">
        <f t="shared" si="34"/>
        <v>1</v>
      </c>
      <c r="AD165" s="54" t="e">
        <f t="shared" si="35"/>
        <v>#VALUE!</v>
      </c>
      <c r="AE165" s="147">
        <v>20</v>
      </c>
      <c r="AF165" s="50"/>
      <c r="AG165" s="281">
        <v>34</v>
      </c>
      <c r="AH165" s="62">
        <f>SUMIF(FLOAT!$D:$D,Cockpit!$E165:$E373,FLOAT!G:G)</f>
        <v>0</v>
      </c>
      <c r="AI165" s="62">
        <f>SUMIF(FLOAT!$D:$D,Cockpit!$E165:$E373,FLOAT!H:H)</f>
        <v>0</v>
      </c>
      <c r="AJ165" s="62">
        <f>SUMIF(FLOAT!$D:$D,Cockpit!$E165:$E373,FLOAT!I:I)</f>
        <v>0</v>
      </c>
      <c r="AK165" s="62">
        <f>SUMIF(FLOAT!$D:$D,Cockpit!$E165:$E373,FLOAT!J:J)</f>
        <v>0</v>
      </c>
      <c r="AL165" s="62">
        <f>SUMIF(FLOAT!$D:$D,Cockpit!$E165:$E373,FLOAT!K:K)</f>
        <v>0</v>
      </c>
      <c r="AM165" s="62">
        <f>SUMIF(FLOAT!$D:$D,Cockpit!$E165:$E373,FLOAT!L:L)</f>
        <v>0</v>
      </c>
      <c r="AN165" s="62">
        <f>SUMIF(FLOAT!$D:$D,Cockpit!$E165:$E373,FLOAT!M:M)</f>
        <v>0</v>
      </c>
      <c r="AO165" s="62">
        <f>SUMIF(FLOAT!$D:$D,Cockpit!$E165:$E373,FLOAT!N:N)</f>
        <v>8</v>
      </c>
      <c r="AP165" s="283">
        <f>SUMIF(FLOAT!$D:$D,Cockpit!$E165:$E373,FLOAT!O:O)</f>
        <v>8</v>
      </c>
      <c r="AQ165" s="62">
        <f>SUMIF(FLOAT!$D:$D,Cockpit!$E165:$E373,FLOAT!P:P)</f>
        <v>0</v>
      </c>
      <c r="AR165" s="60">
        <f t="shared" si="53"/>
        <v>16</v>
      </c>
    </row>
    <row r="166" spans="4:44" ht="21.75" thickBot="1" x14ac:dyDescent="0.35">
      <c r="D166" s="718">
        <v>549754600180</v>
      </c>
      <c r="E166" s="444" t="s">
        <v>587</v>
      </c>
      <c r="F166" s="661" t="s">
        <v>676</v>
      </c>
      <c r="G166" s="584">
        <v>810</v>
      </c>
      <c r="H166" s="230">
        <f t="shared" si="45"/>
        <v>810</v>
      </c>
      <c r="I166" s="147">
        <f>26-1</f>
        <v>25</v>
      </c>
      <c r="J166" s="214">
        <f t="shared" si="46"/>
        <v>331</v>
      </c>
      <c r="K166" s="76">
        <f t="shared" si="47"/>
        <v>336</v>
      </c>
      <c r="L166" s="155">
        <f t="shared" si="48"/>
        <v>474</v>
      </c>
      <c r="M166" s="77">
        <f t="shared" si="49"/>
        <v>20</v>
      </c>
      <c r="N166" s="30">
        <f>SUMIF('3 D P'!$D:$D,Cockpit!$E$5:$E$189,'3 D P'!L:L)</f>
        <v>32</v>
      </c>
      <c r="O166" s="30">
        <f>SUMIF('3 D P'!$D:$D,Cockpit!$E$5:$E$189,'3 D P'!M:M)</f>
        <v>19</v>
      </c>
      <c r="P166" s="30">
        <f>SUMIF('3 D P'!$D:$D,Cockpit!$E$5:$E$189,'3 D P'!N:N)</f>
        <v>6</v>
      </c>
      <c r="Q166" s="132">
        <f>IFERROR(VLOOKUP($D166,'Yazaki Dispatch'!$A:$B,2,FALSE),0)</f>
        <v>331</v>
      </c>
      <c r="R166" s="34">
        <f>SUMIF('Consumption MTD'!B:B,Cockpit!$E$5:$E$178,'Consumption MTD'!C:C)</f>
        <v>336</v>
      </c>
      <c r="S166" s="34">
        <f>SUMIF('BIW Lifting A Shift'!$B:$B,Cockpit!$E$5:$E$178,'BIW Lifting A Shift'!C:C)</f>
        <v>0</v>
      </c>
      <c r="T166" s="34">
        <f>SUMIF('BIW Lifting B Shift'!$B:$B,Cockpit!$E$5:$E$186,'BIW Lifting B Shift'!C:C)</f>
        <v>0</v>
      </c>
      <c r="U166" s="74">
        <f t="shared" si="50"/>
        <v>16</v>
      </c>
      <c r="V166" s="74">
        <f t="shared" si="51"/>
        <v>16</v>
      </c>
      <c r="W166" s="74">
        <f t="shared" si="52"/>
        <v>16</v>
      </c>
      <c r="X166" s="135">
        <f>SUMIF(FLOAT!$D:$D,Cockpit!$E$5:$E$178,FLOAT!F:F)</f>
        <v>4</v>
      </c>
      <c r="Y166" s="517">
        <f t="shared" si="37"/>
        <v>474</v>
      </c>
      <c r="Z166" s="455">
        <f>IFERROR(VLOOKUP(D166,[2]Sheet1!$B:$E,4,0),0)</f>
        <v>0</v>
      </c>
      <c r="AA166" s="49" t="e">
        <f>SUMIF('[3]JULY-26'!$B:$B,D166,'[3]JULY-26'!$E:$E)</f>
        <v>#VALUE!</v>
      </c>
      <c r="AB166" s="15">
        <v>26</v>
      </c>
      <c r="AC166" s="15" t="b">
        <f t="shared" si="34"/>
        <v>1</v>
      </c>
      <c r="AD166" s="54" t="e">
        <f t="shared" si="35"/>
        <v>#VALUE!</v>
      </c>
      <c r="AE166" s="147">
        <v>21</v>
      </c>
      <c r="AF166" s="50"/>
      <c r="AG166" s="281">
        <v>21</v>
      </c>
      <c r="AH166" s="283">
        <f>SUMIF(FLOAT!$D:$D,Cockpit!$E166:$E374,FLOAT!G:G)</f>
        <v>0</v>
      </c>
      <c r="AI166" s="283">
        <f>SUMIF(FLOAT!$D:$D,Cockpit!$E166:$E374,FLOAT!H:H)</f>
        <v>1</v>
      </c>
      <c r="AJ166" s="283">
        <f>SUMIF(FLOAT!$D:$D,Cockpit!$E166:$E374,FLOAT!I:I)</f>
        <v>0</v>
      </c>
      <c r="AK166" s="283">
        <f>SUMIF(FLOAT!$D:$D,Cockpit!$E166:$E374,FLOAT!J:J)</f>
        <v>0</v>
      </c>
      <c r="AL166" s="283">
        <f>SUMIF(FLOAT!$D:$D,Cockpit!$E166:$E374,FLOAT!K:K)</f>
        <v>0</v>
      </c>
      <c r="AM166" s="283">
        <f>SUMIF(FLOAT!$D:$D,Cockpit!$E166:$E374,FLOAT!L:L)</f>
        <v>0</v>
      </c>
      <c r="AN166" s="62">
        <f>SUMIF(FLOAT!$D:$D,Cockpit!$E166:$E374,FLOAT!M:M)</f>
        <v>1</v>
      </c>
      <c r="AO166" s="283">
        <f>SUMIF(FLOAT!$D:$D,Cockpit!$E166:$E374,FLOAT!N:N)</f>
        <v>0</v>
      </c>
      <c r="AP166" s="283">
        <f>SUMIF(FLOAT!$D:$D,Cockpit!$E166:$E374,FLOAT!O:O)</f>
        <v>3</v>
      </c>
      <c r="AQ166" s="283">
        <f>SUMIF(FLOAT!$D:$D,Cockpit!$E166:$E374,FLOAT!P:P)</f>
        <v>0</v>
      </c>
      <c r="AR166" s="60">
        <f t="shared" si="53"/>
        <v>4</v>
      </c>
    </row>
    <row r="167" spans="4:44" ht="21.75" thickBot="1" x14ac:dyDescent="0.35">
      <c r="D167" s="718">
        <v>549754600231</v>
      </c>
      <c r="E167" s="444" t="s">
        <v>589</v>
      </c>
      <c r="F167" s="661" t="s">
        <v>677</v>
      </c>
      <c r="G167" s="584">
        <v>636</v>
      </c>
      <c r="H167" s="230">
        <f t="shared" si="45"/>
        <v>636</v>
      </c>
      <c r="I167" s="147">
        <v>21</v>
      </c>
      <c r="J167" s="214">
        <f t="shared" si="46"/>
        <v>287</v>
      </c>
      <c r="K167" s="76">
        <f t="shared" si="47"/>
        <v>275</v>
      </c>
      <c r="L167" s="155">
        <f t="shared" si="48"/>
        <v>361</v>
      </c>
      <c r="M167" s="77">
        <f t="shared" si="49"/>
        <v>33</v>
      </c>
      <c r="N167" s="30">
        <f>SUMIF('3 D P'!$D:$D,Cockpit!$E$5:$E$189,'3 D P'!L:L)</f>
        <v>42</v>
      </c>
      <c r="O167" s="30">
        <f>SUMIF('3 D P'!$D:$D,Cockpit!$E$5:$E$189,'3 D P'!M:M)</f>
        <v>0</v>
      </c>
      <c r="P167" s="30">
        <f>SUMIF('3 D P'!$D:$D,Cockpit!$E$5:$E$189,'3 D P'!N:N)</f>
        <v>0</v>
      </c>
      <c r="Q167" s="132">
        <f>IFERROR(VLOOKUP($D167,'Yazaki Dispatch'!$A:$B,2,FALSE),0)</f>
        <v>287</v>
      </c>
      <c r="R167" s="34">
        <f>SUMIF('Consumption MTD'!B:B,Cockpit!$E$5:$E$178,'Consumption MTD'!C:C)</f>
        <v>275</v>
      </c>
      <c r="S167" s="34">
        <f>SUMIF('BIW Lifting A Shift'!$B:$B,Cockpit!$E$5:$E$178,'BIW Lifting A Shift'!C:C)</f>
        <v>0</v>
      </c>
      <c r="T167" s="34">
        <f>SUMIF('BIW Lifting B Shift'!$B:$B,Cockpit!$E$5:$E$186,'BIW Lifting B Shift'!C:C)</f>
        <v>0</v>
      </c>
      <c r="U167" s="74">
        <f t="shared" si="50"/>
        <v>13</v>
      </c>
      <c r="V167" s="74">
        <f t="shared" si="51"/>
        <v>13</v>
      </c>
      <c r="W167" s="74">
        <f t="shared" si="52"/>
        <v>13</v>
      </c>
      <c r="X167" s="135">
        <f>SUMIF(FLOAT!$D:$D,Cockpit!$E$5:$E$178,FLOAT!F:F)</f>
        <v>20</v>
      </c>
      <c r="Y167" s="517">
        <f t="shared" si="37"/>
        <v>361</v>
      </c>
      <c r="Z167" s="455">
        <f>IFERROR(VLOOKUP(D167,[2]Sheet1!$B:$E,4,0),0)</f>
        <v>27</v>
      </c>
      <c r="AA167" s="49" t="e">
        <f>SUMIF('[3]JULY-26'!$B:$B,D167,'[3]JULY-26'!$E:$E)</f>
        <v>#VALUE!</v>
      </c>
      <c r="AB167" s="15">
        <v>17</v>
      </c>
      <c r="AC167" s="15" t="b">
        <f t="shared" si="34"/>
        <v>0</v>
      </c>
      <c r="AD167" s="54" t="e">
        <f t="shared" si="35"/>
        <v>#VALUE!</v>
      </c>
      <c r="AE167" s="147">
        <v>17</v>
      </c>
      <c r="AF167" s="50"/>
      <c r="AG167" s="281">
        <v>72</v>
      </c>
      <c r="AH167" s="62">
        <f>SUMIF(FLOAT!$D:$D,Cockpit!$E167:$E375,FLOAT!G:G)</f>
        <v>1</v>
      </c>
      <c r="AI167" s="62">
        <f>SUMIF(FLOAT!$D:$D,Cockpit!$E167:$E375,FLOAT!H:H)</f>
        <v>1</v>
      </c>
      <c r="AJ167" s="62">
        <f>SUMIF(FLOAT!$D:$D,Cockpit!$E167:$E375,FLOAT!I:I)</f>
        <v>0</v>
      </c>
      <c r="AK167" s="62">
        <f>SUMIF(FLOAT!$D:$D,Cockpit!$E167:$E375,FLOAT!J:J)</f>
        <v>0</v>
      </c>
      <c r="AL167" s="62">
        <f>SUMIF(FLOAT!$D:$D,Cockpit!$E167:$E375,FLOAT!K:K)</f>
        <v>0</v>
      </c>
      <c r="AM167" s="62">
        <f>SUMIF(FLOAT!$D:$D,Cockpit!$E167:$E375,FLOAT!L:L)</f>
        <v>1</v>
      </c>
      <c r="AN167" s="62">
        <f>SUMIF(FLOAT!$D:$D,Cockpit!$E167:$E375,FLOAT!M:M)</f>
        <v>3</v>
      </c>
      <c r="AO167" s="62">
        <f>SUMIF(FLOAT!$D:$D,Cockpit!$E167:$E375,FLOAT!N:N)</f>
        <v>3</v>
      </c>
      <c r="AP167" s="62">
        <f>SUMIF(FLOAT!$D:$D,Cockpit!$E167:$E375,FLOAT!O:O)</f>
        <v>14</v>
      </c>
      <c r="AQ167" s="283">
        <f>SUMIF(FLOAT!$D:$D,Cockpit!$E167:$E375,FLOAT!P:P)</f>
        <v>0</v>
      </c>
      <c r="AR167" s="60">
        <f t="shared" si="53"/>
        <v>20</v>
      </c>
    </row>
    <row r="168" spans="4:44" ht="21.75" thickBot="1" x14ac:dyDescent="0.35">
      <c r="D168" s="695">
        <v>549754610185</v>
      </c>
      <c r="E168" s="444" t="s">
        <v>591</v>
      </c>
      <c r="F168" s="661" t="s">
        <v>678</v>
      </c>
      <c r="G168" s="584">
        <v>76</v>
      </c>
      <c r="H168" s="230">
        <f t="shared" si="45"/>
        <v>76</v>
      </c>
      <c r="I168" s="147">
        <v>24</v>
      </c>
      <c r="J168" s="214">
        <f t="shared" si="46"/>
        <v>10</v>
      </c>
      <c r="K168" s="76">
        <f t="shared" si="47"/>
        <v>16</v>
      </c>
      <c r="L168" s="155">
        <f t="shared" si="48"/>
        <v>60</v>
      </c>
      <c r="M168" s="77">
        <f t="shared" si="49"/>
        <v>18</v>
      </c>
      <c r="N168" s="30">
        <f>SUMIF('3 D P'!$D:$D,Cockpit!$E$5:$E$189,'3 D P'!L:L)</f>
        <v>1</v>
      </c>
      <c r="O168" s="30">
        <f>SUMIF('3 D P'!$D:$D,Cockpit!$E$5:$E$189,'3 D P'!M:M)</f>
        <v>0</v>
      </c>
      <c r="P168" s="30">
        <f>SUMIF('3 D P'!$D:$D,Cockpit!$E$5:$E$189,'3 D P'!N:N)</f>
        <v>1</v>
      </c>
      <c r="Q168" s="132">
        <f>IFERROR(VLOOKUP($D168,'Yazaki Dispatch'!$A:$B,2,FALSE),0)</f>
        <v>10</v>
      </c>
      <c r="R168" s="34">
        <f>SUMIF('Consumption MTD'!B:B,Cockpit!$E$5:$E$178,'Consumption MTD'!C:C)</f>
        <v>16</v>
      </c>
      <c r="S168" s="34">
        <f>SUMIF('BIW Lifting A Shift'!$B:$B,Cockpit!$E$5:$E$178,'BIW Lifting A Shift'!C:C)</f>
        <v>0</v>
      </c>
      <c r="T168" s="34">
        <f>SUMIF('BIW Lifting B Shift'!$B:$B,Cockpit!$E$5:$E$186,'BIW Lifting B Shift'!C:C)</f>
        <v>0</v>
      </c>
      <c r="U168" s="74">
        <f t="shared" si="50"/>
        <v>17</v>
      </c>
      <c r="V168" s="74">
        <f t="shared" si="51"/>
        <v>17</v>
      </c>
      <c r="W168" s="74">
        <f t="shared" si="52"/>
        <v>17</v>
      </c>
      <c r="X168" s="135">
        <f>SUMIF(FLOAT!$D:$D,Cockpit!$E$5:$E$178,FLOAT!F:F)</f>
        <v>1</v>
      </c>
      <c r="Y168" s="517">
        <f t="shared" si="37"/>
        <v>60</v>
      </c>
      <c r="Z168" s="455">
        <f>IFERROR(VLOOKUP(D168,[2]Sheet1!$B:$E,4,0),0)</f>
        <v>3</v>
      </c>
      <c r="AA168" s="49" t="e">
        <f>SUMIF('[3]JULY-26'!$B:$B,D168,'[3]JULY-26'!$E:$E)</f>
        <v>#VALUE!</v>
      </c>
      <c r="AB168" s="15">
        <v>25</v>
      </c>
      <c r="AC168" s="15" t="b">
        <f t="shared" si="34"/>
        <v>0</v>
      </c>
      <c r="AD168" s="54" t="e">
        <f t="shared" si="35"/>
        <v>#VALUE!</v>
      </c>
      <c r="AE168" s="147">
        <v>26</v>
      </c>
      <c r="AF168" s="50"/>
      <c r="AG168" s="281">
        <v>33</v>
      </c>
      <c r="AH168" s="62">
        <f>SUMIF(FLOAT!$D:$D,Cockpit!$E168:$E376,FLOAT!G:G)</f>
        <v>0</v>
      </c>
      <c r="AI168" s="62">
        <f>SUMIF(FLOAT!$D:$D,Cockpit!$E168:$E376,FLOAT!H:H)</f>
        <v>0</v>
      </c>
      <c r="AJ168" s="62">
        <f>SUMIF(FLOAT!$D:$D,Cockpit!$E168:$E376,FLOAT!I:I)</f>
        <v>0</v>
      </c>
      <c r="AK168" s="62">
        <f>SUMIF(FLOAT!$D:$D,Cockpit!$E168:$E376,FLOAT!J:J)</f>
        <v>0</v>
      </c>
      <c r="AL168" s="62">
        <f>SUMIF(FLOAT!$D:$D,Cockpit!$E168:$E376,FLOAT!K:K)</f>
        <v>0</v>
      </c>
      <c r="AM168" s="62">
        <f>SUMIF(FLOAT!$D:$D,Cockpit!$E168:$E376,FLOAT!L:L)</f>
        <v>0</v>
      </c>
      <c r="AN168" s="62">
        <f>SUMIF(FLOAT!$D:$D,Cockpit!$E168:$E376,FLOAT!M:M)</f>
        <v>0</v>
      </c>
      <c r="AO168" s="62">
        <f>SUMIF(FLOAT!$D:$D,Cockpit!$E168:$E376,FLOAT!N:N)</f>
        <v>0</v>
      </c>
      <c r="AP168" s="62">
        <f>SUMIF(FLOAT!$D:$D,Cockpit!$E168:$E376,FLOAT!O:O)</f>
        <v>1</v>
      </c>
      <c r="AQ168" s="62">
        <f>SUMIF(FLOAT!$D:$D,Cockpit!$E168:$E376,FLOAT!P:P)</f>
        <v>0</v>
      </c>
      <c r="AR168" s="60">
        <f t="shared" si="53"/>
        <v>1</v>
      </c>
    </row>
    <row r="169" spans="4:44" ht="21.75" thickBot="1" x14ac:dyDescent="0.35">
      <c r="D169" s="693">
        <v>549754600113</v>
      </c>
      <c r="E169" s="444" t="s">
        <v>573</v>
      </c>
      <c r="F169" s="661" t="s">
        <v>679</v>
      </c>
      <c r="G169" s="584">
        <v>356</v>
      </c>
      <c r="H169" s="230">
        <f t="shared" si="45"/>
        <v>356</v>
      </c>
      <c r="I169" s="147">
        <v>11</v>
      </c>
      <c r="J169" s="214">
        <f t="shared" si="46"/>
        <v>243</v>
      </c>
      <c r="K169" s="76">
        <f t="shared" si="47"/>
        <v>224</v>
      </c>
      <c r="L169" s="155">
        <f t="shared" si="48"/>
        <v>132</v>
      </c>
      <c r="M169" s="77">
        <f t="shared" si="49"/>
        <v>30</v>
      </c>
      <c r="N169" s="30">
        <f>SUMIF('3 D P'!$D:$D,Cockpit!$E$5:$E$189,'3 D P'!L:L)</f>
        <v>2</v>
      </c>
      <c r="O169" s="30">
        <f>SUMIF('3 D P'!$D:$D,Cockpit!$E$5:$E$189,'3 D P'!M:M)</f>
        <v>0</v>
      </c>
      <c r="P169" s="30">
        <f>SUMIF('3 D P'!$D:$D,Cockpit!$E$5:$E$189,'3 D P'!N:N)</f>
        <v>0</v>
      </c>
      <c r="Q169" s="132">
        <f>IFERROR(VLOOKUP($D169,'Yazaki Dispatch'!$A:$B,2,FALSE),0)</f>
        <v>243</v>
      </c>
      <c r="R169" s="34">
        <f>SUMIF('Consumption MTD'!B:B,Cockpit!$E$5:$E$178,'Consumption MTD'!C:C)</f>
        <v>224</v>
      </c>
      <c r="S169" s="34">
        <f>SUMIF('BIW Lifting A Shift'!$B:$B,Cockpit!$E$5:$E$178,'BIW Lifting A Shift'!C:C)</f>
        <v>0</v>
      </c>
      <c r="T169" s="34">
        <f>SUMIF('BIW Lifting B Shift'!$B:$B,Cockpit!$E$5:$E$186,'BIW Lifting B Shift'!C:C)</f>
        <v>0</v>
      </c>
      <c r="U169" s="74">
        <f t="shared" si="50"/>
        <v>17</v>
      </c>
      <c r="V169" s="74">
        <f t="shared" si="51"/>
        <v>17</v>
      </c>
      <c r="W169" s="74">
        <f t="shared" si="52"/>
        <v>17</v>
      </c>
      <c r="X169" s="135">
        <f>SUMIF(FLOAT!$D:$D,Cockpit!$E$5:$E$178,FLOAT!F:F)</f>
        <v>13</v>
      </c>
      <c r="Y169" s="517">
        <f t="shared" si="37"/>
        <v>132</v>
      </c>
      <c r="Z169" s="455">
        <f>IFERROR(VLOOKUP(D169,[2]Sheet1!$B:$E,4,0),0)</f>
        <v>11</v>
      </c>
      <c r="AA169" s="49" t="e">
        <f>SUMIF('[3]JULY-26'!$B:$B,D169,'[3]JULY-26'!$E:$E)</f>
        <v>#VALUE!</v>
      </c>
      <c r="AB169" s="15">
        <v>45</v>
      </c>
      <c r="AC169" s="15" t="b">
        <f t="shared" si="34"/>
        <v>0</v>
      </c>
      <c r="AD169" s="54" t="e">
        <f t="shared" si="35"/>
        <v>#VALUE!</v>
      </c>
      <c r="AE169" s="147">
        <v>12</v>
      </c>
      <c r="AF169" s="50"/>
      <c r="AG169" s="281">
        <v>22</v>
      </c>
      <c r="AH169" s="62">
        <f>SUMIF(FLOAT!$D:$D,Cockpit!$E169:$E377,FLOAT!G:G)</f>
        <v>3</v>
      </c>
      <c r="AI169" s="62">
        <f>SUMIF(FLOAT!$D:$D,Cockpit!$E169:$E377,FLOAT!H:H)</f>
        <v>2</v>
      </c>
      <c r="AJ169" s="62">
        <f>SUMIF(FLOAT!$D:$D,Cockpit!$E169:$E377,FLOAT!I:I)</f>
        <v>1</v>
      </c>
      <c r="AK169" s="62">
        <f>SUMIF(FLOAT!$D:$D,Cockpit!$E169:$E377,FLOAT!J:J)</f>
        <v>0</v>
      </c>
      <c r="AL169" s="62">
        <f>SUMIF(FLOAT!$D:$D,Cockpit!$E169:$E377,FLOAT!K:K)</f>
        <v>3</v>
      </c>
      <c r="AM169" s="62">
        <f>SUMIF(FLOAT!$D:$D,Cockpit!$E169:$E377,FLOAT!L:L)</f>
        <v>0</v>
      </c>
      <c r="AN169" s="62">
        <f>SUMIF(FLOAT!$D:$D,Cockpit!$E169:$E377,FLOAT!M:M)</f>
        <v>9</v>
      </c>
      <c r="AO169" s="62">
        <f>SUMIF(FLOAT!$D:$D,Cockpit!$E169:$E377,FLOAT!N:N)</f>
        <v>0</v>
      </c>
      <c r="AP169" s="62">
        <f>SUMIF(FLOAT!$D:$D,Cockpit!$E169:$E377,FLOAT!O:O)</f>
        <v>4</v>
      </c>
      <c r="AQ169" s="62">
        <f>SUMIF(FLOAT!$D:$D,Cockpit!$E169:$E377,FLOAT!P:P)</f>
        <v>0</v>
      </c>
      <c r="AR169" s="60">
        <f t="shared" si="53"/>
        <v>13</v>
      </c>
    </row>
    <row r="170" spans="4:44" ht="21.75" thickBot="1" x14ac:dyDescent="0.35">
      <c r="D170" s="693">
        <v>549754600128</v>
      </c>
      <c r="E170" s="444" t="s">
        <v>588</v>
      </c>
      <c r="F170" s="661" t="s">
        <v>658</v>
      </c>
      <c r="G170" s="584">
        <v>388</v>
      </c>
      <c r="H170" s="230">
        <f t="shared" si="45"/>
        <v>388</v>
      </c>
      <c r="I170" s="147">
        <v>13</v>
      </c>
      <c r="J170" s="214">
        <f t="shared" si="46"/>
        <v>216</v>
      </c>
      <c r="K170" s="76">
        <f t="shared" si="47"/>
        <v>191</v>
      </c>
      <c r="L170" s="155">
        <f t="shared" si="48"/>
        <v>197</v>
      </c>
      <c r="M170" s="77">
        <f t="shared" si="49"/>
        <v>38</v>
      </c>
      <c r="N170" s="30">
        <f>SUMIF('3 D P'!$D:$D,Cockpit!$E$5:$E$189,'3 D P'!L:L)</f>
        <v>27</v>
      </c>
      <c r="O170" s="30">
        <f>SUMIF('3 D P'!$D:$D,Cockpit!$E$5:$E$189,'3 D P'!M:M)</f>
        <v>17</v>
      </c>
      <c r="P170" s="30">
        <f>SUMIF('3 D P'!$D:$D,Cockpit!$E$5:$E$189,'3 D P'!N:N)</f>
        <v>1</v>
      </c>
      <c r="Q170" s="132">
        <f>IFERROR(VLOOKUP($D170,'Yazaki Dispatch'!$A:$B,2,FALSE),0)</f>
        <v>216</v>
      </c>
      <c r="R170" s="34">
        <f>SUMIF('Consumption MTD'!B:B,Cockpit!$E$5:$E$178,'Consumption MTD'!C:C)</f>
        <v>191</v>
      </c>
      <c r="S170" s="34">
        <f>SUMIF('BIW Lifting A Shift'!$B:$B,Cockpit!$E$5:$E$178,'BIW Lifting A Shift'!C:C)</f>
        <v>0</v>
      </c>
      <c r="T170" s="34">
        <f>SUMIF('BIW Lifting B Shift'!$B:$B,Cockpit!$E$5:$E$186,'BIW Lifting B Shift'!C:C)</f>
        <v>0</v>
      </c>
      <c r="U170" s="74">
        <f t="shared" si="50"/>
        <v>4</v>
      </c>
      <c r="V170" s="74">
        <f t="shared" si="51"/>
        <v>4</v>
      </c>
      <c r="W170" s="74">
        <f t="shared" si="52"/>
        <v>4</v>
      </c>
      <c r="X170" s="135">
        <f>SUMIF(FLOAT!$D:$D,Cockpit!$E$5:$E$178,FLOAT!F:F)</f>
        <v>34</v>
      </c>
      <c r="Y170" s="517">
        <f t="shared" si="37"/>
        <v>197</v>
      </c>
      <c r="Z170" s="455">
        <f>IFERROR(VLOOKUP(D170,[2]Sheet1!$B:$E,4,0),0)</f>
        <v>22</v>
      </c>
      <c r="AA170" s="49" t="e">
        <f>SUMIF('[3]JULY-26'!$B:$B,D170,'[3]JULY-26'!$E:$E)</f>
        <v>#VALUE!</v>
      </c>
      <c r="AB170" s="15">
        <v>19</v>
      </c>
      <c r="AC170" s="15" t="b">
        <f t="shared" si="34"/>
        <v>0</v>
      </c>
      <c r="AD170" s="54" t="e">
        <f t="shared" si="35"/>
        <v>#VALUE!</v>
      </c>
      <c r="AE170" s="147">
        <v>6</v>
      </c>
      <c r="AF170" s="50"/>
      <c r="AG170" s="281">
        <v>24</v>
      </c>
      <c r="AH170" s="62">
        <f>SUMIF(FLOAT!$D:$D,Cockpit!$E170:$E378,FLOAT!G:G)</f>
        <v>1</v>
      </c>
      <c r="AI170" s="62">
        <f>SUMIF(FLOAT!$D:$D,Cockpit!$E170:$E378,FLOAT!H:H)</f>
        <v>3</v>
      </c>
      <c r="AJ170" s="62">
        <f>SUMIF(FLOAT!$D:$D,Cockpit!$E170:$E378,FLOAT!I:I)</f>
        <v>0</v>
      </c>
      <c r="AK170" s="62">
        <f>SUMIF(FLOAT!$D:$D,Cockpit!$E170:$E378,FLOAT!J:J)</f>
        <v>0</v>
      </c>
      <c r="AL170" s="62">
        <f>SUMIF(FLOAT!$D:$D,Cockpit!$E170:$E378,FLOAT!K:K)</f>
        <v>0</v>
      </c>
      <c r="AM170" s="62">
        <f>SUMIF(FLOAT!$D:$D,Cockpit!$E170:$E378,FLOAT!L:L)</f>
        <v>10</v>
      </c>
      <c r="AN170" s="62">
        <f>SUMIF(FLOAT!$D:$D,Cockpit!$E170:$E378,FLOAT!M:M)</f>
        <v>14</v>
      </c>
      <c r="AO170" s="62">
        <f>SUMIF(FLOAT!$D:$D,Cockpit!$E170:$E378,FLOAT!N:N)</f>
        <v>1</v>
      </c>
      <c r="AP170" s="62">
        <f>SUMIF(FLOAT!$D:$D,Cockpit!$E170:$E378,FLOAT!O:O)</f>
        <v>19</v>
      </c>
      <c r="AQ170" s="62">
        <f>SUMIF(FLOAT!$D:$D,Cockpit!$E170:$E378,FLOAT!P:P)</f>
        <v>0</v>
      </c>
      <c r="AR170" s="60">
        <f t="shared" si="53"/>
        <v>34</v>
      </c>
    </row>
    <row r="171" spans="4:44" ht="21.75" thickBot="1" x14ac:dyDescent="0.35">
      <c r="D171" s="693">
        <v>549754600233</v>
      </c>
      <c r="E171" s="444" t="s">
        <v>590</v>
      </c>
      <c r="F171" s="661" t="s">
        <v>660</v>
      </c>
      <c r="G171" s="584">
        <v>338</v>
      </c>
      <c r="H171" s="230">
        <f t="shared" si="45"/>
        <v>338</v>
      </c>
      <c r="I171" s="147">
        <f>12-1</f>
        <v>11</v>
      </c>
      <c r="J171" s="214">
        <f t="shared" si="46"/>
        <v>174</v>
      </c>
      <c r="K171" s="76">
        <f t="shared" si="47"/>
        <v>163</v>
      </c>
      <c r="L171" s="155">
        <f t="shared" si="48"/>
        <v>175</v>
      </c>
      <c r="M171" s="77">
        <f t="shared" si="49"/>
        <v>22</v>
      </c>
      <c r="N171" s="30">
        <f>SUMIF('3 D P'!$D:$D,Cockpit!$E$5:$E$189,'3 D P'!L:L)</f>
        <v>3</v>
      </c>
      <c r="O171" s="30">
        <f>SUMIF('3 D P'!$D:$D,Cockpit!$E$5:$E$189,'3 D P'!M:M)</f>
        <v>0</v>
      </c>
      <c r="P171" s="30">
        <f>SUMIF('3 D P'!$D:$D,Cockpit!$E$5:$E$189,'3 D P'!N:N)</f>
        <v>0</v>
      </c>
      <c r="Q171" s="132">
        <f>IFERROR(VLOOKUP($D171,'Yazaki Dispatch'!$A:$B,2,FALSE),0)</f>
        <v>174</v>
      </c>
      <c r="R171" s="34">
        <f>SUMIF('Consumption MTD'!B:B,Cockpit!$E$5:$E$178,'Consumption MTD'!C:C)</f>
        <v>163</v>
      </c>
      <c r="S171" s="34">
        <f>SUMIF('BIW Lifting A Shift'!$B:$B,Cockpit!$E$5:$E$178,'BIW Lifting A Shift'!C:C)</f>
        <v>0</v>
      </c>
      <c r="T171" s="34">
        <f>SUMIF('BIW Lifting B Shift'!$B:$B,Cockpit!$E$5:$E$186,'BIW Lifting B Shift'!C:C)</f>
        <v>0</v>
      </c>
      <c r="U171" s="74">
        <f t="shared" si="50"/>
        <v>9</v>
      </c>
      <c r="V171" s="74">
        <f t="shared" si="51"/>
        <v>9</v>
      </c>
      <c r="W171" s="74">
        <f t="shared" si="52"/>
        <v>9</v>
      </c>
      <c r="X171" s="135">
        <f>SUMIF(FLOAT!$D:$D,Cockpit!$E$5:$E$178,FLOAT!F:F)</f>
        <v>13</v>
      </c>
      <c r="Y171" s="517">
        <f t="shared" si="37"/>
        <v>175</v>
      </c>
      <c r="Z171" s="455">
        <f>IFERROR(VLOOKUP(D171,[2]Sheet1!$B:$E,4,0),0)</f>
        <v>4</v>
      </c>
      <c r="AA171" s="49" t="e">
        <f>SUMIF('[3]JULY-26'!$B:$B,D171,'[3]JULY-26'!$E:$E)</f>
        <v>#VALUE!</v>
      </c>
      <c r="AB171" s="15">
        <v>29</v>
      </c>
      <c r="AC171" s="15" t="b">
        <f t="shared" si="34"/>
        <v>0</v>
      </c>
      <c r="AD171" s="54" t="e">
        <f t="shared" si="35"/>
        <v>#VALUE!</v>
      </c>
      <c r="AE171" s="147">
        <v>10</v>
      </c>
      <c r="AF171" s="50"/>
      <c r="AG171" s="281">
        <v>46</v>
      </c>
      <c r="AH171" s="283">
        <f>SUMIF(FLOAT!$D:$D,Cockpit!$E171:$E379,FLOAT!G:G)</f>
        <v>1</v>
      </c>
      <c r="AI171" s="283">
        <f>SUMIF(FLOAT!$D:$D,Cockpit!$E171:$E379,FLOAT!H:H)</f>
        <v>1</v>
      </c>
      <c r="AJ171" s="283">
        <f>SUMIF(FLOAT!$D:$D,Cockpit!$E171:$E379,FLOAT!I:I)</f>
        <v>0</v>
      </c>
      <c r="AK171" s="283">
        <f>SUMIF(FLOAT!$D:$D,Cockpit!$E171:$E379,FLOAT!J:J)</f>
        <v>0</v>
      </c>
      <c r="AL171" s="283">
        <f>SUMIF(FLOAT!$D:$D,Cockpit!$E171:$E379,FLOAT!K:K)</f>
        <v>1</v>
      </c>
      <c r="AM171" s="283">
        <f>SUMIF(FLOAT!$D:$D,Cockpit!$E171:$E379,FLOAT!L:L)</f>
        <v>2</v>
      </c>
      <c r="AN171" s="62">
        <f>SUMIF(FLOAT!$D:$D,Cockpit!$E171:$E379,FLOAT!M:M)</f>
        <v>5</v>
      </c>
      <c r="AO171" s="283">
        <f>SUMIF(FLOAT!$D:$D,Cockpit!$E171:$E379,FLOAT!N:N)</f>
        <v>2</v>
      </c>
      <c r="AP171" s="283">
        <f>SUMIF(FLOAT!$D:$D,Cockpit!$E171:$E379,FLOAT!O:O)</f>
        <v>6</v>
      </c>
      <c r="AQ171" s="283">
        <f>SUMIF(FLOAT!$D:$D,Cockpit!$E171:$E379,FLOAT!P:P)</f>
        <v>0</v>
      </c>
      <c r="AR171" s="60">
        <f t="shared" si="53"/>
        <v>13</v>
      </c>
    </row>
    <row r="172" spans="4:44" ht="21.75" thickBot="1" x14ac:dyDescent="0.35">
      <c r="D172" s="718">
        <v>549754600120</v>
      </c>
      <c r="E172" s="444" t="s">
        <v>594</v>
      </c>
      <c r="F172" s="661" t="s">
        <v>655</v>
      </c>
      <c r="G172" s="584">
        <v>336</v>
      </c>
      <c r="H172" s="230">
        <f t="shared" si="45"/>
        <v>336</v>
      </c>
      <c r="I172" s="147">
        <v>12</v>
      </c>
      <c r="J172" s="214">
        <f t="shared" si="46"/>
        <v>101</v>
      </c>
      <c r="K172" s="76">
        <f t="shared" si="47"/>
        <v>100</v>
      </c>
      <c r="L172" s="155">
        <f t="shared" si="48"/>
        <v>236</v>
      </c>
      <c r="M172" s="77">
        <f t="shared" si="49"/>
        <v>13</v>
      </c>
      <c r="N172" s="30">
        <f>SUMIF('3 D P'!$D:$D,Cockpit!$E$5:$E$189,'3 D P'!L:L)</f>
        <v>18</v>
      </c>
      <c r="O172" s="30">
        <f>SUMIF('3 D P'!$D:$D,Cockpit!$E$5:$E$189,'3 D P'!M:M)</f>
        <v>30</v>
      </c>
      <c r="P172" s="30">
        <f>SUMIF('3 D P'!$D:$D,Cockpit!$E$5:$E$189,'3 D P'!N:N)</f>
        <v>5</v>
      </c>
      <c r="Q172" s="132">
        <f>IFERROR(VLOOKUP($D172,'Yazaki Dispatch'!$A:$B,2,FALSE),0)</f>
        <v>101</v>
      </c>
      <c r="R172" s="34">
        <f>SUMIF('Consumption MTD'!B:B,Cockpit!$E$5:$E$178,'Consumption MTD'!C:C)</f>
        <v>100</v>
      </c>
      <c r="S172" s="34">
        <f>SUMIF('BIW Lifting A Shift'!$B:$B,Cockpit!$E$5:$E$178,'BIW Lifting A Shift'!C:C)</f>
        <v>0</v>
      </c>
      <c r="T172" s="34">
        <f>SUMIF('BIW Lifting B Shift'!$B:$B,Cockpit!$E$5:$E$186,'BIW Lifting B Shift'!C:C)</f>
        <v>0</v>
      </c>
      <c r="U172" s="74">
        <f t="shared" si="50"/>
        <v>9</v>
      </c>
      <c r="V172" s="74">
        <f t="shared" si="51"/>
        <v>9</v>
      </c>
      <c r="W172" s="74">
        <f t="shared" si="52"/>
        <v>9</v>
      </c>
      <c r="X172" s="135">
        <f>SUMIF(FLOAT!$D:$D,Cockpit!$E$5:$E$178,FLOAT!F:F)</f>
        <v>4</v>
      </c>
      <c r="Y172" s="517">
        <f t="shared" si="37"/>
        <v>236</v>
      </c>
      <c r="Z172" s="455">
        <f>IFERROR(VLOOKUP(D172,[2]Sheet1!$B:$E,4,0),0)</f>
        <v>10</v>
      </c>
      <c r="AA172" s="49" t="e">
        <f>SUMIF('[3]JULY-26'!$B:$B,D172,'[3]JULY-26'!$E:$E)</f>
        <v>#VALUE!</v>
      </c>
      <c r="AB172" s="15">
        <v>20</v>
      </c>
      <c r="AC172" s="15" t="b">
        <f t="shared" si="34"/>
        <v>0</v>
      </c>
      <c r="AD172" s="54" t="e">
        <f t="shared" si="35"/>
        <v>#VALUE!</v>
      </c>
      <c r="AE172" s="147">
        <v>12</v>
      </c>
      <c r="AF172" s="50"/>
      <c r="AG172" s="281">
        <v>23</v>
      </c>
      <c r="AH172" s="62">
        <f>SUMIF(FLOAT!$D:$D,Cockpit!$E172:$E380,FLOAT!G:G)</f>
        <v>1</v>
      </c>
      <c r="AI172" s="62">
        <f>SUMIF(FLOAT!$D:$D,Cockpit!$E172:$E380,FLOAT!H:H)</f>
        <v>0</v>
      </c>
      <c r="AJ172" s="62">
        <f>SUMIF(FLOAT!$D:$D,Cockpit!$E172:$E380,FLOAT!I:I)</f>
        <v>0</v>
      </c>
      <c r="AK172" s="62">
        <f>SUMIF(FLOAT!$D:$D,Cockpit!$E172:$E380,FLOAT!J:J)</f>
        <v>0</v>
      </c>
      <c r="AL172" s="62">
        <f>SUMIF(FLOAT!$D:$D,Cockpit!$E172:$E380,FLOAT!K:K)</f>
        <v>0</v>
      </c>
      <c r="AM172" s="62">
        <f>SUMIF(FLOAT!$D:$D,Cockpit!$E172:$E380,FLOAT!L:L)</f>
        <v>0</v>
      </c>
      <c r="AN172" s="62">
        <f>SUMIF(FLOAT!$D:$D,Cockpit!$E172:$E380,FLOAT!M:M)</f>
        <v>1</v>
      </c>
      <c r="AO172" s="62">
        <f>SUMIF(FLOAT!$D:$D,Cockpit!$E172:$E380,FLOAT!N:N)</f>
        <v>0</v>
      </c>
      <c r="AP172" s="62">
        <f>SUMIF(FLOAT!$D:$D,Cockpit!$E172:$E380,FLOAT!O:O)</f>
        <v>3</v>
      </c>
      <c r="AQ172" s="62">
        <f>SUMIF(FLOAT!$D:$D,Cockpit!$E172:$E380,FLOAT!P:P)</f>
        <v>0</v>
      </c>
      <c r="AR172" s="60">
        <f t="shared" si="53"/>
        <v>4</v>
      </c>
    </row>
    <row r="173" spans="4:44" ht="21.75" thickBot="1" x14ac:dyDescent="0.35">
      <c r="D173" s="718">
        <v>549754600186</v>
      </c>
      <c r="E173" s="444" t="s">
        <v>575</v>
      </c>
      <c r="F173" s="661" t="s">
        <v>659</v>
      </c>
      <c r="G173" s="584">
        <v>362</v>
      </c>
      <c r="H173" s="230">
        <f t="shared" si="45"/>
        <v>362</v>
      </c>
      <c r="I173" s="147">
        <v>14</v>
      </c>
      <c r="J173" s="214">
        <f t="shared" si="46"/>
        <v>116</v>
      </c>
      <c r="K173" s="76">
        <f t="shared" si="47"/>
        <v>111</v>
      </c>
      <c r="L173" s="155">
        <f t="shared" si="48"/>
        <v>251</v>
      </c>
      <c r="M173" s="77">
        <f t="shared" si="49"/>
        <v>19</v>
      </c>
      <c r="N173" s="30">
        <f>SUMIF('3 D P'!$D:$D,Cockpit!$E$5:$E$189,'3 D P'!L:L)</f>
        <v>10</v>
      </c>
      <c r="O173" s="30">
        <f>SUMIF('3 D P'!$D:$D,Cockpit!$E$5:$E$189,'3 D P'!M:M)</f>
        <v>24</v>
      </c>
      <c r="P173" s="30">
        <f>SUMIF('3 D P'!$D:$D,Cockpit!$E$5:$E$189,'3 D P'!N:N)</f>
        <v>1</v>
      </c>
      <c r="Q173" s="132">
        <f>IFERROR(VLOOKUP($D173,'Yazaki Dispatch'!$A:$B,2,FALSE),0)</f>
        <v>116</v>
      </c>
      <c r="R173" s="34">
        <f>SUMIF('Consumption MTD'!B:B,Cockpit!$E$5:$E$178,'Consumption MTD'!C:C)</f>
        <v>111</v>
      </c>
      <c r="S173" s="34">
        <f>SUMIF('BIW Lifting A Shift'!$B:$B,Cockpit!$E$5:$E$178,'BIW Lifting A Shift'!C:C)</f>
        <v>0</v>
      </c>
      <c r="T173" s="34">
        <f>SUMIF('BIW Lifting B Shift'!$B:$B,Cockpit!$E$5:$E$186,'BIW Lifting B Shift'!C:C)</f>
        <v>0</v>
      </c>
      <c r="U173" s="74">
        <f t="shared" si="50"/>
        <v>17</v>
      </c>
      <c r="V173" s="74">
        <f t="shared" si="51"/>
        <v>17</v>
      </c>
      <c r="W173" s="74">
        <f t="shared" si="52"/>
        <v>17</v>
      </c>
      <c r="X173" s="135">
        <f>SUMIF(FLOAT!$D:$D,Cockpit!$E$5:$E$178,FLOAT!F:F)</f>
        <v>2</v>
      </c>
      <c r="Y173" s="517">
        <f t="shared" si="37"/>
        <v>251</v>
      </c>
      <c r="Z173" s="455">
        <f>IFERROR(VLOOKUP(D173,[2]Sheet1!$B:$E,4,0),0)</f>
        <v>79</v>
      </c>
      <c r="AA173" s="49" t="e">
        <f>SUMIF('[3]JULY-26'!$B:$B,D173,'[3]JULY-26'!$E:$E)</f>
        <v>#VALUE!</v>
      </c>
      <c r="AB173" s="15">
        <v>14</v>
      </c>
      <c r="AC173" s="15" t="b">
        <f t="shared" si="34"/>
        <v>1</v>
      </c>
      <c r="AD173" s="54" t="e">
        <f t="shared" si="35"/>
        <v>#VALUE!</v>
      </c>
      <c r="AE173" s="147">
        <v>14</v>
      </c>
      <c r="AF173" s="50"/>
      <c r="AG173" s="281">
        <v>9</v>
      </c>
      <c r="AH173" s="62">
        <f>SUMIF(FLOAT!$D:$D,Cockpit!$E173:$E381,FLOAT!G:G)</f>
        <v>0</v>
      </c>
      <c r="AI173" s="62">
        <f>SUMIF(FLOAT!$D:$D,Cockpit!$E173:$E381,FLOAT!H:H)</f>
        <v>1</v>
      </c>
      <c r="AJ173" s="62">
        <f>SUMIF(FLOAT!$D:$D,Cockpit!$E173:$E381,FLOAT!I:I)</f>
        <v>0</v>
      </c>
      <c r="AK173" s="62">
        <f>SUMIF(FLOAT!$D:$D,Cockpit!$E173:$E381,FLOAT!J:J)</f>
        <v>0</v>
      </c>
      <c r="AL173" s="62">
        <f>SUMIF(FLOAT!$D:$D,Cockpit!$E173:$E381,FLOAT!K:K)</f>
        <v>0</v>
      </c>
      <c r="AM173" s="62">
        <f>SUMIF(FLOAT!$D:$D,Cockpit!$E173:$E381,FLOAT!L:L)</f>
        <v>1</v>
      </c>
      <c r="AN173" s="62">
        <f>SUMIF(FLOAT!$D:$D,Cockpit!$E173:$E381,FLOAT!M:M)</f>
        <v>2</v>
      </c>
      <c r="AO173" s="62">
        <f>SUMIF(FLOAT!$D:$D,Cockpit!$E173:$E381,FLOAT!N:N)</f>
        <v>0</v>
      </c>
      <c r="AP173" s="62">
        <f>SUMIF(FLOAT!$D:$D,Cockpit!$E173:$E381,FLOAT!O:O)</f>
        <v>0</v>
      </c>
      <c r="AQ173" s="62">
        <f>SUMIF(FLOAT!$D:$D,Cockpit!$E173:$E381,FLOAT!P:P)</f>
        <v>0</v>
      </c>
      <c r="AR173" s="60">
        <f t="shared" si="53"/>
        <v>2</v>
      </c>
    </row>
    <row r="174" spans="4:44" ht="21.75" thickBot="1" x14ac:dyDescent="0.35">
      <c r="D174" s="718">
        <v>549754600189</v>
      </c>
      <c r="E174" s="444" t="s">
        <v>596</v>
      </c>
      <c r="F174" s="661" t="s">
        <v>599</v>
      </c>
      <c r="G174" s="584">
        <v>508</v>
      </c>
      <c r="H174" s="230">
        <f t="shared" si="45"/>
        <v>508</v>
      </c>
      <c r="I174" s="147">
        <v>2</v>
      </c>
      <c r="J174" s="214">
        <f t="shared" si="46"/>
        <v>171</v>
      </c>
      <c r="K174" s="76">
        <f t="shared" si="47"/>
        <v>160</v>
      </c>
      <c r="L174" s="155">
        <f t="shared" si="48"/>
        <v>348</v>
      </c>
      <c r="M174" s="77">
        <f t="shared" si="49"/>
        <v>13</v>
      </c>
      <c r="N174" s="30">
        <f>SUMIF('3 D P'!$D:$D,Cockpit!$E$5:$E$189,'3 D P'!L:L)</f>
        <v>36</v>
      </c>
      <c r="O174" s="30">
        <f>SUMIF('3 D P'!$D:$D,Cockpit!$E$5:$E$189,'3 D P'!M:M)</f>
        <v>15</v>
      </c>
      <c r="P174" s="30">
        <f>SUMIF('3 D P'!$D:$D,Cockpit!$E$5:$E$189,'3 D P'!N:N)</f>
        <v>21</v>
      </c>
      <c r="Q174" s="132">
        <f>IFERROR(VLOOKUP($D174,'Yazaki Dispatch'!$A:$B,2,FALSE),0)</f>
        <v>171</v>
      </c>
      <c r="R174" s="34">
        <f>SUMIF('Consumption MTD'!B:B,Cockpit!$E$5:$E$178,'Consumption MTD'!C:C)</f>
        <v>160</v>
      </c>
      <c r="S174" s="34">
        <f>SUMIF('BIW Lifting A Shift'!$B:$B,Cockpit!$E$5:$E$178,'BIW Lifting A Shift'!C:C)</f>
        <v>0</v>
      </c>
      <c r="T174" s="34">
        <f>SUMIF('BIW Lifting B Shift'!$B:$B,Cockpit!$E$5:$E$186,'BIW Lifting B Shift'!C:C)</f>
        <v>0</v>
      </c>
      <c r="U174" s="74">
        <f t="shared" si="50"/>
        <v>0</v>
      </c>
      <c r="V174" s="74">
        <f t="shared" si="51"/>
        <v>0</v>
      </c>
      <c r="W174" s="74">
        <f t="shared" si="52"/>
        <v>0</v>
      </c>
      <c r="X174" s="135">
        <f>SUMIF(FLOAT!$D:$D,Cockpit!$E$5:$E$178,FLOAT!F:F)</f>
        <v>13</v>
      </c>
      <c r="Y174" s="517">
        <f t="shared" si="37"/>
        <v>348</v>
      </c>
      <c r="Z174" s="455">
        <f>IFERROR(VLOOKUP(D174,[2]Sheet1!$B:$E,4,0),0)</f>
        <v>43</v>
      </c>
      <c r="AA174" s="49" t="e">
        <f>SUMIF('[3]JULY-26'!$B:$B,D174,'[3]JULY-26'!$E:$E)</f>
        <v>#VALUE!</v>
      </c>
      <c r="AB174" s="15">
        <v>35</v>
      </c>
      <c r="AC174" s="15" t="b">
        <f t="shared" si="34"/>
        <v>0</v>
      </c>
      <c r="AD174" s="54" t="e">
        <f t="shared" si="35"/>
        <v>#VALUE!</v>
      </c>
      <c r="AE174" s="147">
        <v>2</v>
      </c>
      <c r="AF174" s="50"/>
      <c r="AG174" s="281">
        <v>48</v>
      </c>
      <c r="AH174" s="62">
        <f>SUMIF(FLOAT!$D:$D,Cockpit!$E174:$E382,FLOAT!G:G)</f>
        <v>1</v>
      </c>
      <c r="AI174" s="62">
        <f>SUMIF(FLOAT!$D:$D,Cockpit!$E174:$E382,FLOAT!H:H)</f>
        <v>0</v>
      </c>
      <c r="AJ174" s="62">
        <f>SUMIF(FLOAT!$D:$D,Cockpit!$E174:$E382,FLOAT!I:I)</f>
        <v>0</v>
      </c>
      <c r="AK174" s="62">
        <f>SUMIF(FLOAT!$D:$D,Cockpit!$E174:$E382,FLOAT!J:J)</f>
        <v>0</v>
      </c>
      <c r="AL174" s="62">
        <f>SUMIF(FLOAT!$D:$D,Cockpit!$E174:$E382,FLOAT!K:K)</f>
        <v>0</v>
      </c>
      <c r="AM174" s="62">
        <f>SUMIF(FLOAT!$D:$D,Cockpit!$E174:$E382,FLOAT!L:L)</f>
        <v>6</v>
      </c>
      <c r="AN174" s="62">
        <f>SUMIF(FLOAT!$D:$D,Cockpit!$E174:$E382,FLOAT!M:M)</f>
        <v>7</v>
      </c>
      <c r="AO174" s="62">
        <f>SUMIF(FLOAT!$D:$D,Cockpit!$E174:$E382,FLOAT!N:N)</f>
        <v>2</v>
      </c>
      <c r="AP174" s="62">
        <f>SUMIF(FLOAT!$D:$D,Cockpit!$E174:$E382,FLOAT!O:O)</f>
        <v>4</v>
      </c>
      <c r="AQ174" s="62">
        <f>SUMIF(FLOAT!$D:$D,Cockpit!$E174:$E382,FLOAT!P:P)</f>
        <v>0</v>
      </c>
      <c r="AR174" s="60">
        <f t="shared" si="53"/>
        <v>13</v>
      </c>
    </row>
    <row r="175" spans="4:44" ht="21.75" thickBot="1" x14ac:dyDescent="0.35">
      <c r="D175" s="774">
        <v>549754610173</v>
      </c>
      <c r="E175" s="444" t="s">
        <v>570</v>
      </c>
      <c r="F175" s="661" t="s">
        <v>656</v>
      </c>
      <c r="G175" s="584">
        <v>124</v>
      </c>
      <c r="H175" s="230">
        <f t="shared" si="45"/>
        <v>124</v>
      </c>
      <c r="I175" s="147">
        <v>26</v>
      </c>
      <c r="J175" s="214">
        <f t="shared" si="46"/>
        <v>10</v>
      </c>
      <c r="K175" s="76">
        <f t="shared" si="47"/>
        <v>8</v>
      </c>
      <c r="L175" s="155">
        <f t="shared" si="48"/>
        <v>116</v>
      </c>
      <c r="M175" s="77">
        <f t="shared" si="49"/>
        <v>28</v>
      </c>
      <c r="N175" s="30">
        <f>SUMIF('3 D P'!$D:$D,Cockpit!$E$5:$E$189,'3 D P'!L:L)</f>
        <v>1</v>
      </c>
      <c r="O175" s="30">
        <f>SUMIF('3 D P'!$D:$D,Cockpit!$E$5:$E$189,'3 D P'!M:M)</f>
        <v>0</v>
      </c>
      <c r="P175" s="30">
        <f>SUMIF('3 D P'!$D:$D,Cockpit!$E$5:$E$189,'3 D P'!N:N)</f>
        <v>0</v>
      </c>
      <c r="Q175" s="132">
        <f>IFERROR(VLOOKUP($D175,'Yazaki Dispatch'!$A:$B,2,FALSE),0)</f>
        <v>10</v>
      </c>
      <c r="R175" s="34">
        <f>SUMIF('Consumption MTD'!B:B,Cockpit!$E$5:$E$178,'Consumption MTD'!C:C)</f>
        <v>8</v>
      </c>
      <c r="S175" s="34">
        <f>SUMIF('BIW Lifting A Shift'!$B:$B,Cockpit!$E$5:$E$178,'BIW Lifting A Shift'!C:C)</f>
        <v>0</v>
      </c>
      <c r="T175" s="34">
        <f>SUMIF('BIW Lifting B Shift'!$B:$B,Cockpit!$E$5:$E$186,'BIW Lifting B Shift'!C:C)</f>
        <v>0</v>
      </c>
      <c r="U175" s="74">
        <f t="shared" si="50"/>
        <v>26</v>
      </c>
      <c r="V175" s="74">
        <f t="shared" si="51"/>
        <v>26</v>
      </c>
      <c r="W175" s="74">
        <f t="shared" si="52"/>
        <v>26</v>
      </c>
      <c r="X175" s="135">
        <f>SUMIF(FLOAT!$D:$D,Cockpit!$E$5:$E$178,FLOAT!F:F)</f>
        <v>2</v>
      </c>
      <c r="Y175" s="517">
        <f t="shared" si="37"/>
        <v>116</v>
      </c>
      <c r="Z175" s="455">
        <f>IFERROR(VLOOKUP(D175,[2]Sheet1!$B:$E,4,0),0)</f>
        <v>44</v>
      </c>
      <c r="AA175" s="49" t="e">
        <f>SUMIF('[3]JULY-26'!$B:$B,D175,'[3]JULY-26'!$E:$E)</f>
        <v>#VALUE!</v>
      </c>
      <c r="AB175" s="15">
        <v>17</v>
      </c>
      <c r="AC175" s="15" t="b">
        <f t="shared" si="34"/>
        <v>1</v>
      </c>
      <c r="AD175" s="54" t="e">
        <f t="shared" si="35"/>
        <v>#VALUE!</v>
      </c>
      <c r="AE175" s="147">
        <v>22</v>
      </c>
      <c r="AF175" s="50"/>
      <c r="AG175" s="281">
        <v>39</v>
      </c>
      <c r="AH175" s="62">
        <f>SUMIF(FLOAT!$D:$D,Cockpit!$E175:$E383,FLOAT!G:G)</f>
        <v>0</v>
      </c>
      <c r="AI175" s="62">
        <f>SUMIF(FLOAT!$D:$D,Cockpit!$E175:$E383,FLOAT!H:H)</f>
        <v>0</v>
      </c>
      <c r="AJ175" s="62">
        <f>SUMIF(FLOAT!$D:$D,Cockpit!$E175:$E383,FLOAT!I:I)</f>
        <v>0</v>
      </c>
      <c r="AK175" s="62">
        <f>SUMIF(FLOAT!$D:$D,Cockpit!$E175:$E383,FLOAT!J:J)</f>
        <v>0</v>
      </c>
      <c r="AL175" s="62">
        <f>SUMIF(FLOAT!$D:$D,Cockpit!$E175:$E383,FLOAT!K:K)</f>
        <v>0</v>
      </c>
      <c r="AM175" s="62">
        <f>SUMIF(FLOAT!$D:$D,Cockpit!$E175:$E383,FLOAT!L:L)</f>
        <v>0</v>
      </c>
      <c r="AN175" s="62">
        <f>SUMIF(FLOAT!$D:$D,Cockpit!$E175:$E383,FLOAT!M:M)</f>
        <v>0</v>
      </c>
      <c r="AO175" s="62">
        <f>SUMIF(FLOAT!$D:$D,Cockpit!$E175:$E383,FLOAT!N:N)</f>
        <v>0</v>
      </c>
      <c r="AP175" s="62">
        <f>SUMIF(FLOAT!$D:$D,Cockpit!$E175:$E383,FLOAT!O:O)</f>
        <v>2</v>
      </c>
      <c r="AQ175" s="62">
        <f>SUMIF(FLOAT!$D:$D,Cockpit!$E175:$E383,FLOAT!P:P)</f>
        <v>0</v>
      </c>
      <c r="AR175" s="60">
        <f t="shared" si="53"/>
        <v>2</v>
      </c>
    </row>
    <row r="176" spans="4:44" ht="21.75" thickBot="1" x14ac:dyDescent="0.35">
      <c r="D176" s="695">
        <v>549754610188</v>
      </c>
      <c r="E176" s="444" t="s">
        <v>574</v>
      </c>
      <c r="F176" s="661" t="s">
        <v>598</v>
      </c>
      <c r="G176" s="584">
        <v>480</v>
      </c>
      <c r="H176" s="230">
        <f t="shared" si="45"/>
        <v>480</v>
      </c>
      <c r="I176" s="147">
        <f>38-1</f>
        <v>37</v>
      </c>
      <c r="J176" s="214">
        <f t="shared" si="46"/>
        <v>156</v>
      </c>
      <c r="K176" s="76">
        <f t="shared" si="47"/>
        <v>178</v>
      </c>
      <c r="L176" s="155">
        <f t="shared" si="48"/>
        <v>302</v>
      </c>
      <c r="M176" s="77">
        <f t="shared" si="49"/>
        <v>15</v>
      </c>
      <c r="N176" s="30">
        <f>SUMIF('3 D P'!$D:$D,Cockpit!$E$5:$E$189,'3 D P'!L:L)</f>
        <v>10</v>
      </c>
      <c r="O176" s="30">
        <f>SUMIF('3 D P'!$D:$D,Cockpit!$E$5:$E$189,'3 D P'!M:M)</f>
        <v>21</v>
      </c>
      <c r="P176" s="30">
        <f>SUMIF('3 D P'!$D:$D,Cockpit!$E$5:$E$189,'3 D P'!N:N)</f>
        <v>0</v>
      </c>
      <c r="Q176" s="132">
        <f>IFERROR(VLOOKUP($D176,'Yazaki Dispatch'!$A:$B,2,FALSE),0)</f>
        <v>156</v>
      </c>
      <c r="R176" s="34">
        <f>SUMIF('Consumption MTD'!B:B,Cockpit!$E$5:$E$178,'Consumption MTD'!C:C)</f>
        <v>178</v>
      </c>
      <c r="S176" s="34">
        <f>SUMIF('BIW Lifting A Shift'!$B:$B,Cockpit!$E$5:$E$178,'BIW Lifting A Shift'!C:C)</f>
        <v>0</v>
      </c>
      <c r="T176" s="34">
        <f>SUMIF('BIW Lifting B Shift'!$B:$B,Cockpit!$E$5:$E$186,'BIW Lifting B Shift'!C:C)</f>
        <v>0</v>
      </c>
      <c r="U176" s="74">
        <f t="shared" si="50"/>
        <v>12</v>
      </c>
      <c r="V176" s="74">
        <f t="shared" si="51"/>
        <v>12</v>
      </c>
      <c r="W176" s="74">
        <f t="shared" si="52"/>
        <v>12</v>
      </c>
      <c r="X176" s="135">
        <f>SUMIF(FLOAT!$D:$D,Cockpit!$E$5:$E$178,FLOAT!F:F)</f>
        <v>3</v>
      </c>
      <c r="Y176" s="517">
        <f t="shared" si="37"/>
        <v>302</v>
      </c>
      <c r="Z176" s="455">
        <f>IFERROR(VLOOKUP(D176,[2]Sheet1!$B:$E,4,0),0)</f>
        <v>83</v>
      </c>
      <c r="AA176" s="49" t="e">
        <f>SUMIF('[3]JULY-26'!$B:$B,D176,'[3]JULY-26'!$E:$E)</f>
        <v>#VALUE!</v>
      </c>
      <c r="AB176" s="15">
        <v>16</v>
      </c>
      <c r="AC176" s="15" t="b">
        <f t="shared" si="34"/>
        <v>0</v>
      </c>
      <c r="AD176" s="54" t="e">
        <f t="shared" si="35"/>
        <v>#VALUE!</v>
      </c>
      <c r="AE176" s="147">
        <v>38</v>
      </c>
      <c r="AF176" s="50"/>
      <c r="AG176" s="281">
        <v>13</v>
      </c>
      <c r="AH176" s="283">
        <f>SUMIF(FLOAT!$D:$D,Cockpit!$E176:$E384,FLOAT!G:G)</f>
        <v>1</v>
      </c>
      <c r="AI176" s="62">
        <f>SUMIF(FLOAT!$D:$D,Cockpit!$E176:$E384,FLOAT!H:H)</f>
        <v>1</v>
      </c>
      <c r="AJ176" s="62">
        <f>SUMIF(FLOAT!$D:$D,Cockpit!$E176:$E384,FLOAT!I:I)</f>
        <v>1</v>
      </c>
      <c r="AK176" s="62">
        <f>SUMIF(FLOAT!$D:$D,Cockpit!$E176:$E384,FLOAT!J:J)</f>
        <v>0</v>
      </c>
      <c r="AL176" s="283">
        <f>SUMIF(FLOAT!$D:$D,Cockpit!$E176:$E384,FLOAT!K:K)</f>
        <v>0</v>
      </c>
      <c r="AM176" s="283">
        <f>SUMIF(FLOAT!$D:$D,Cockpit!$E176:$E384,FLOAT!L:L)</f>
        <v>0</v>
      </c>
      <c r="AN176" s="62">
        <f>SUMIF(FLOAT!$D:$D,Cockpit!$E176:$E384,FLOAT!M:M)</f>
        <v>3</v>
      </c>
      <c r="AO176" s="283">
        <f>SUMIF(FLOAT!$D:$D,Cockpit!$E176:$E384,FLOAT!N:N)</f>
        <v>0</v>
      </c>
      <c r="AP176" s="283">
        <f>SUMIF(FLOAT!$D:$D,Cockpit!$E176:$E384,FLOAT!O:O)</f>
        <v>0</v>
      </c>
      <c r="AQ176" s="283">
        <f>SUMIF(FLOAT!$D:$D,Cockpit!$E176:$E384,FLOAT!P:P)</f>
        <v>0</v>
      </c>
      <c r="AR176" s="60">
        <f t="shared" si="53"/>
        <v>3</v>
      </c>
    </row>
    <row r="177" spans="4:44" ht="19.5" thickBot="1" x14ac:dyDescent="0.35">
      <c r="D177" s="911">
        <v>549754600188</v>
      </c>
      <c r="E177" s="444" t="s">
        <v>595</v>
      </c>
      <c r="F177" s="661" t="s">
        <v>680</v>
      </c>
      <c r="G177" s="584">
        <v>305</v>
      </c>
      <c r="H177" s="917">
        <f>G177+G178</f>
        <v>305</v>
      </c>
      <c r="I177" s="907">
        <v>9</v>
      </c>
      <c r="J177" s="836">
        <f>Q177</f>
        <v>97</v>
      </c>
      <c r="K177" s="822">
        <f>SUM(R177:R178)</f>
        <v>87</v>
      </c>
      <c r="L177" s="838">
        <f>H177-K177</f>
        <v>218</v>
      </c>
      <c r="M177" s="816">
        <f>I177+J177-K177</f>
        <v>19</v>
      </c>
      <c r="N177" s="30">
        <f>SUMIF('3 D P'!$D:$D,Cockpit!$E$5:$E$189,'3 D P'!L:L)</f>
        <v>13</v>
      </c>
      <c r="O177" s="30">
        <f>SUMIF('3 D P'!$D:$D,Cockpit!$E$5:$E$189,'3 D P'!M:M)</f>
        <v>0</v>
      </c>
      <c r="P177" s="30">
        <f>SUMIF('3 D P'!$D:$D,Cockpit!$E$5:$E$189,'3 D P'!N:N)</f>
        <v>16</v>
      </c>
      <c r="Q177" s="132">
        <f>IFERROR(VLOOKUP($D177,'Yazaki Dispatch'!$A:$B,2,FALSE),0)</f>
        <v>97</v>
      </c>
      <c r="R177" s="34">
        <f>SUMIF('Consumption MTD'!B:B,Cockpit!$E$5:$E$178,'Consumption MTD'!C:C)</f>
        <v>87</v>
      </c>
      <c r="S177" s="34">
        <f>SUMIF('BIW Lifting A Shift'!$B:$B,Cockpit!$E$5:$E$178,'BIW Lifting A Shift'!C:C)</f>
        <v>0</v>
      </c>
      <c r="T177" s="34">
        <f>SUMIF('BIW Lifting B Shift'!$B:$B,Cockpit!$E$5:$E$186,'BIW Lifting B Shift'!C:C)</f>
        <v>0</v>
      </c>
      <c r="U177" s="818">
        <f>M177-X177-X178</f>
        <v>14</v>
      </c>
      <c r="V177" s="818">
        <f>M177-X177-X178-S177-S178</f>
        <v>14</v>
      </c>
      <c r="W177" s="818">
        <f>V177-T177-T178</f>
        <v>14</v>
      </c>
      <c r="X177" s="135">
        <f>SUMIF(FLOAT!$D:$D,Cockpit!$E$5:$E$178,FLOAT!F:F)</f>
        <v>5</v>
      </c>
      <c r="Y177" s="517">
        <f t="shared" si="37"/>
        <v>218</v>
      </c>
      <c r="Z177" s="455">
        <f>IFERROR(VLOOKUP(D177,[2]Sheet1!$B:$E,4,0),0)</f>
        <v>96</v>
      </c>
      <c r="AA177" s="909">
        <v>9</v>
      </c>
      <c r="AB177" s="15">
        <v>28</v>
      </c>
      <c r="AC177" s="15" t="b">
        <f t="shared" si="34"/>
        <v>0</v>
      </c>
      <c r="AD177" s="54" t="b">
        <f t="shared" si="35"/>
        <v>1</v>
      </c>
      <c r="AE177" s="907">
        <v>7</v>
      </c>
      <c r="AF177" s="49"/>
      <c r="AG177" s="17">
        <v>22</v>
      </c>
      <c r="AH177" s="283">
        <f>SUMIF(FLOAT!$D:$D,Cockpit!$E177:$E383,FLOAT!G:G)</f>
        <v>0</v>
      </c>
      <c r="AI177" s="283">
        <f>SUMIF(FLOAT!$D:$D,Cockpit!$E177:$E383,FLOAT!H:H)</f>
        <v>0</v>
      </c>
      <c r="AJ177" s="283">
        <f>SUMIF(FLOAT!$D:$D,Cockpit!$E177:$E383,FLOAT!I:I)</f>
        <v>0</v>
      </c>
      <c r="AK177" s="283">
        <f>SUMIF(FLOAT!$D:$D,Cockpit!$E177:$E383,FLOAT!J:J)</f>
        <v>0</v>
      </c>
      <c r="AL177" s="283">
        <f>SUMIF(FLOAT!$D:$D,Cockpit!$E177:$E383,FLOAT!K:K)</f>
        <v>0</v>
      </c>
      <c r="AM177" s="283">
        <f>SUMIF(FLOAT!$D:$D,Cockpit!$E177:$E383,FLOAT!L:L)</f>
        <v>2</v>
      </c>
      <c r="AN177" s="62">
        <f>SUMIF(FLOAT!$D:$D,Cockpit!$E177:$E383,FLOAT!M:M)</f>
        <v>2</v>
      </c>
      <c r="AO177" s="283">
        <f>SUMIF(FLOAT!$D:$D,Cockpit!$E177:$E383,FLOAT!N:N)</f>
        <v>1</v>
      </c>
      <c r="AP177" s="283">
        <f>SUMIF(FLOAT!$D:$D,Cockpit!$E177:$E383,FLOAT!O:O)</f>
        <v>2</v>
      </c>
      <c r="AQ177" s="283">
        <f>SUMIF(FLOAT!$D:$D,Cockpit!$E177:$E383,FLOAT!P:P)</f>
        <v>0</v>
      </c>
      <c r="AR177" s="60">
        <f t="shared" si="53"/>
        <v>5</v>
      </c>
    </row>
    <row r="178" spans="4:44" ht="19.5" thickBot="1" x14ac:dyDescent="0.35">
      <c r="D178" s="912"/>
      <c r="E178" s="444" t="s">
        <v>597</v>
      </c>
      <c r="F178" s="661" t="s">
        <v>681</v>
      </c>
      <c r="G178" s="584">
        <v>0</v>
      </c>
      <c r="H178" s="918"/>
      <c r="I178" s="908"/>
      <c r="J178" s="837"/>
      <c r="K178" s="823"/>
      <c r="L178" s="823"/>
      <c r="M178" s="816"/>
      <c r="N178" s="30">
        <f>SUMIF('3 D P'!$D:$D,Cockpit!$E$5:$E$189,'3 D P'!L:L)</f>
        <v>0</v>
      </c>
      <c r="O178" s="30">
        <f>SUMIF('3 D P'!$D:$D,Cockpit!$E$5:$E$189,'3 D P'!M:M)</f>
        <v>0</v>
      </c>
      <c r="P178" s="30">
        <f>SUMIF('3 D P'!$D:$D,Cockpit!$E$5:$E$189,'3 D P'!N:N)</f>
        <v>0</v>
      </c>
      <c r="Q178" s="132">
        <f>IFERROR(VLOOKUP($D178,'Yazaki Dispatch'!$A:$B,2,FALSE),0)</f>
        <v>0</v>
      </c>
      <c r="R178" s="34">
        <f>SUMIF('Consumption MTD'!B:B,Cockpit!$E$5:$E$178,'Consumption MTD'!C:C)</f>
        <v>0</v>
      </c>
      <c r="S178" s="34">
        <f>SUMIF('BIW Lifting A Shift'!$B:$B,Cockpit!$E$5:$E$178,'BIW Lifting A Shift'!C:C)</f>
        <v>0</v>
      </c>
      <c r="T178" s="34">
        <f>SUMIF('BIW Lifting B Shift'!$B:$B,Cockpit!$E$5:$E$186,'BIW Lifting B Shift'!C:C)</f>
        <v>0</v>
      </c>
      <c r="U178" s="818"/>
      <c r="V178" s="818"/>
      <c r="W178" s="818"/>
      <c r="X178" s="135">
        <f>SUMIF(FLOAT!$D:$D,Cockpit!$E$5:$E$178,FLOAT!F:F)</f>
        <v>0</v>
      </c>
      <c r="Y178" s="517">
        <f t="shared" si="37"/>
        <v>0</v>
      </c>
      <c r="Z178" s="455">
        <f>IFERROR(VLOOKUP(D178,[2]Sheet1!$B:$E,4,0),0)</f>
        <v>0</v>
      </c>
      <c r="AA178" s="910"/>
      <c r="AB178" s="15">
        <v>0</v>
      </c>
      <c r="AC178" s="15" t="b">
        <f t="shared" si="34"/>
        <v>1</v>
      </c>
      <c r="AD178" s="54" t="b">
        <f t="shared" si="35"/>
        <v>1</v>
      </c>
      <c r="AE178" s="908"/>
      <c r="AF178" s="49"/>
      <c r="AG178" s="17"/>
      <c r="AH178" s="62">
        <f>SUMIF(FLOAT!$D:$D,Cockpit!$E178:$E384,FLOAT!G:G)</f>
        <v>0</v>
      </c>
      <c r="AI178" s="62">
        <f>SUMIF(FLOAT!$D:$D,Cockpit!$E178:$E384,FLOAT!H:H)</f>
        <v>0</v>
      </c>
      <c r="AJ178" s="62">
        <f>SUMIF(FLOAT!$D:$D,Cockpit!$E178:$E384,FLOAT!I:I)</f>
        <v>0</v>
      </c>
      <c r="AK178" s="62">
        <f>SUMIF(FLOAT!$D:$D,Cockpit!$E178:$E384,FLOAT!J:J)</f>
        <v>0</v>
      </c>
      <c r="AL178" s="62">
        <f>SUMIF(FLOAT!$D:$D,Cockpit!$E178:$E384,FLOAT!K:K)</f>
        <v>0</v>
      </c>
      <c r="AM178" s="62">
        <f>SUMIF(FLOAT!$D:$D,Cockpit!$E178:$E384,FLOAT!L:L)</f>
        <v>0</v>
      </c>
      <c r="AN178" s="62">
        <f>SUMIF(FLOAT!$D:$D,Cockpit!$E178:$E384,FLOAT!M:M)</f>
        <v>0</v>
      </c>
      <c r="AO178" s="62">
        <f>SUMIF(FLOAT!$D:$D,Cockpit!$E178:$E384,FLOAT!N:N)</f>
        <v>0</v>
      </c>
      <c r="AP178" s="62">
        <f>SUMIF(FLOAT!$D:$D,Cockpit!$E178:$E384,FLOAT!O:O)</f>
        <v>0</v>
      </c>
      <c r="AQ178" s="62">
        <f>SUMIF(FLOAT!$D:$D,Cockpit!$E178:$E384,FLOAT!P:P)</f>
        <v>0</v>
      </c>
      <c r="AR178" s="60">
        <f t="shared" si="53"/>
        <v>0</v>
      </c>
    </row>
    <row r="179" spans="4:44" ht="19.5" thickBot="1" x14ac:dyDescent="0.35">
      <c r="D179" s="711" t="s">
        <v>29</v>
      </c>
      <c r="E179" s="690"/>
      <c r="F179" s="478"/>
      <c r="G179" s="368">
        <f t="shared" ref="G179:AA179" si="54">SUM(G151:G178)</f>
        <v>16200</v>
      </c>
      <c r="H179" s="368">
        <f t="shared" si="54"/>
        <v>16200</v>
      </c>
      <c r="I179" s="368">
        <f t="shared" si="54"/>
        <v>655</v>
      </c>
      <c r="J179" s="368">
        <f t="shared" si="54"/>
        <v>9029</v>
      </c>
      <c r="K179" s="368">
        <f t="shared" si="54"/>
        <v>8904</v>
      </c>
      <c r="L179" s="368">
        <f t="shared" si="54"/>
        <v>7296</v>
      </c>
      <c r="M179" s="368">
        <f t="shared" si="54"/>
        <v>780</v>
      </c>
      <c r="N179" s="368">
        <f t="shared" si="54"/>
        <v>740</v>
      </c>
      <c r="O179" s="368">
        <f t="shared" si="54"/>
        <v>735</v>
      </c>
      <c r="P179" s="368">
        <f t="shared" si="54"/>
        <v>735</v>
      </c>
      <c r="Q179" s="368">
        <f t="shared" si="54"/>
        <v>9029</v>
      </c>
      <c r="R179" s="368">
        <f t="shared" si="54"/>
        <v>8904</v>
      </c>
      <c r="S179" s="368">
        <f t="shared" si="54"/>
        <v>0</v>
      </c>
      <c r="T179" s="368">
        <f t="shared" si="54"/>
        <v>0</v>
      </c>
      <c r="U179" s="368">
        <f t="shared" si="54"/>
        <v>215</v>
      </c>
      <c r="V179" s="368">
        <f t="shared" si="54"/>
        <v>215</v>
      </c>
      <c r="W179" s="368">
        <f t="shared" si="54"/>
        <v>215</v>
      </c>
      <c r="X179" s="368">
        <f t="shared" si="54"/>
        <v>565</v>
      </c>
      <c r="Y179" s="368">
        <f t="shared" si="54"/>
        <v>7296</v>
      </c>
      <c r="Z179" s="368">
        <f t="shared" si="54"/>
        <v>900</v>
      </c>
      <c r="AA179" s="368" t="e">
        <f t="shared" si="54"/>
        <v>#VALUE!</v>
      </c>
      <c r="AB179" s="15">
        <v>0</v>
      </c>
      <c r="AC179" s="15" t="b">
        <f t="shared" si="34"/>
        <v>0</v>
      </c>
      <c r="AD179" s="368" t="e">
        <f>SUM(AD151:AD178)</f>
        <v>#VALUE!</v>
      </c>
      <c r="AE179" s="368">
        <f>SUM(AE151:AE178)</f>
        <v>610</v>
      </c>
      <c r="AF179" s="368">
        <f>SUM(AF151:AF178)</f>
        <v>0</v>
      </c>
      <c r="AG179" s="368"/>
      <c r="AH179" s="368">
        <f t="shared" ref="AH179:AR179" si="55">SUM(AH151:AH178)</f>
        <v>28</v>
      </c>
      <c r="AI179" s="368">
        <f t="shared" si="55"/>
        <v>30</v>
      </c>
      <c r="AJ179" s="368">
        <f t="shared" si="55"/>
        <v>51</v>
      </c>
      <c r="AK179" s="368">
        <f t="shared" si="55"/>
        <v>0</v>
      </c>
      <c r="AL179" s="368">
        <f t="shared" si="55"/>
        <v>31</v>
      </c>
      <c r="AM179" s="368">
        <f t="shared" si="55"/>
        <v>70</v>
      </c>
      <c r="AN179" s="368">
        <f t="shared" si="55"/>
        <v>210</v>
      </c>
      <c r="AO179" s="368">
        <f t="shared" si="55"/>
        <v>101</v>
      </c>
      <c r="AP179" s="368">
        <f t="shared" si="55"/>
        <v>254</v>
      </c>
      <c r="AQ179" s="368">
        <f t="shared" si="55"/>
        <v>0</v>
      </c>
      <c r="AR179" s="368">
        <f t="shared" si="55"/>
        <v>565</v>
      </c>
    </row>
    <row r="180" spans="4:44" x14ac:dyDescent="0.3">
      <c r="AH180" s="181"/>
      <c r="AI180" s="181"/>
      <c r="AJ180" s="181"/>
      <c r="AK180" s="181"/>
      <c r="AL180" s="181"/>
      <c r="AM180" s="181"/>
      <c r="AO180" s="181"/>
      <c r="AP180" s="181"/>
      <c r="AQ180" s="181"/>
    </row>
  </sheetData>
  <autoFilter ref="D150:AR179" xr:uid="{00000000-0009-0000-0000-000005000000}"/>
  <mergeCells count="303">
    <mergeCell ref="AE151:AE152"/>
    <mergeCell ref="AE177:AE178"/>
    <mergeCell ref="AA177:AA178"/>
    <mergeCell ref="AA151:AA152"/>
    <mergeCell ref="W151:W152"/>
    <mergeCell ref="D177:D178"/>
    <mergeCell ref="I177:I178"/>
    <mergeCell ref="J177:J178"/>
    <mergeCell ref="K177:K178"/>
    <mergeCell ref="L177:L178"/>
    <mergeCell ref="M177:M178"/>
    <mergeCell ref="U177:U178"/>
    <mergeCell ref="V177:V178"/>
    <mergeCell ref="W177:W178"/>
    <mergeCell ref="D151:D152"/>
    <mergeCell ref="H151:H152"/>
    <mergeCell ref="I151:I152"/>
    <mergeCell ref="J151:J152"/>
    <mergeCell ref="K151:K152"/>
    <mergeCell ref="L151:L152"/>
    <mergeCell ref="M151:M152"/>
    <mergeCell ref="U151:U152"/>
    <mergeCell ref="V151:V152"/>
    <mergeCell ref="H177:H178"/>
    <mergeCell ref="Y143:Y144"/>
    <mergeCell ref="D143:D144"/>
    <mergeCell ref="H143:H144"/>
    <mergeCell ref="I143:I144"/>
    <mergeCell ref="J143:J144"/>
    <mergeCell ref="K143:K144"/>
    <mergeCell ref="L143:L144"/>
    <mergeCell ref="M143:M144"/>
    <mergeCell ref="U143:U144"/>
    <mergeCell ref="V143:V144"/>
    <mergeCell ref="W143:W144"/>
    <mergeCell ref="D104:D105"/>
    <mergeCell ref="D74:D75"/>
    <mergeCell ref="D77:D78"/>
    <mergeCell ref="D79:D80"/>
    <mergeCell ref="D81:D82"/>
    <mergeCell ref="D87:D88"/>
    <mergeCell ref="D89:D90"/>
    <mergeCell ref="D91:D92"/>
    <mergeCell ref="D96:D97"/>
    <mergeCell ref="D100:D101"/>
    <mergeCell ref="M74:M75"/>
    <mergeCell ref="U74:U75"/>
    <mergeCell ref="V74:V75"/>
    <mergeCell ref="W74:W75"/>
    <mergeCell ref="H91:H92"/>
    <mergeCell ref="I91:I92"/>
    <mergeCell ref="J91:J92"/>
    <mergeCell ref="K91:K92"/>
    <mergeCell ref="L91:L92"/>
    <mergeCell ref="M91:M92"/>
    <mergeCell ref="U91:U92"/>
    <mergeCell ref="V91:V92"/>
    <mergeCell ref="W91:W92"/>
    <mergeCell ref="M89:M90"/>
    <mergeCell ref="U89:U90"/>
    <mergeCell ref="V89:V90"/>
    <mergeCell ref="W89:W90"/>
    <mergeCell ref="M81:M82"/>
    <mergeCell ref="U81:U82"/>
    <mergeCell ref="V81:V82"/>
    <mergeCell ref="W81:W82"/>
    <mergeCell ref="H87:H88"/>
    <mergeCell ref="I87:I88"/>
    <mergeCell ref="J87:J88"/>
    <mergeCell ref="W77:W78"/>
    <mergeCell ref="H96:H97"/>
    <mergeCell ref="I96:I97"/>
    <mergeCell ref="J96:J97"/>
    <mergeCell ref="K96:K97"/>
    <mergeCell ref="L96:L97"/>
    <mergeCell ref="M96:M97"/>
    <mergeCell ref="U96:U97"/>
    <mergeCell ref="H104:H105"/>
    <mergeCell ref="I104:I105"/>
    <mergeCell ref="J104:J105"/>
    <mergeCell ref="K104:K105"/>
    <mergeCell ref="L104:L105"/>
    <mergeCell ref="M104:M105"/>
    <mergeCell ref="U104:U105"/>
    <mergeCell ref="V104:V105"/>
    <mergeCell ref="W104:W105"/>
    <mergeCell ref="M100:M101"/>
    <mergeCell ref="U100:U101"/>
    <mergeCell ref="V100:V101"/>
    <mergeCell ref="W100:W101"/>
    <mergeCell ref="H81:H82"/>
    <mergeCell ref="I81:I82"/>
    <mergeCell ref="J81:J82"/>
    <mergeCell ref="K81:K82"/>
    <mergeCell ref="L81:L82"/>
    <mergeCell ref="V96:V97"/>
    <mergeCell ref="W96:W97"/>
    <mergeCell ref="L79:L80"/>
    <mergeCell ref="M79:M80"/>
    <mergeCell ref="U79:U80"/>
    <mergeCell ref="V79:V80"/>
    <mergeCell ref="W79:W80"/>
    <mergeCell ref="K87:K88"/>
    <mergeCell ref="L87:L88"/>
    <mergeCell ref="M87:M88"/>
    <mergeCell ref="U87:U88"/>
    <mergeCell ref="V87:V88"/>
    <mergeCell ref="W87:W88"/>
    <mergeCell ref="H89:H90"/>
    <mergeCell ref="I89:I90"/>
    <mergeCell ref="J89:J90"/>
    <mergeCell ref="K89:K90"/>
    <mergeCell ref="L89:L90"/>
    <mergeCell ref="H100:H101"/>
    <mergeCell ref="I100:I101"/>
    <mergeCell ref="J100:J101"/>
    <mergeCell ref="L59:L60"/>
    <mergeCell ref="L61:L64"/>
    <mergeCell ref="L69:L70"/>
    <mergeCell ref="K100:K101"/>
    <mergeCell ref="L100:L101"/>
    <mergeCell ref="H74:H75"/>
    <mergeCell ref="I74:I75"/>
    <mergeCell ref="J74:J75"/>
    <mergeCell ref="K74:K75"/>
    <mergeCell ref="L74:L75"/>
    <mergeCell ref="H79:H80"/>
    <mergeCell ref="I79:I80"/>
    <mergeCell ref="J79:J80"/>
    <mergeCell ref="K79:K80"/>
    <mergeCell ref="I77:I78"/>
    <mergeCell ref="J77:J78"/>
    <mergeCell ref="M30:M36"/>
    <mergeCell ref="M7:M8"/>
    <mergeCell ref="M11:M12"/>
    <mergeCell ref="M19:M22"/>
    <mergeCell ref="M24:M25"/>
    <mergeCell ref="M26:M28"/>
    <mergeCell ref="M43:M44"/>
    <mergeCell ref="M45:M46"/>
    <mergeCell ref="M47:M48"/>
    <mergeCell ref="M15:M16"/>
    <mergeCell ref="AE7:AE8"/>
    <mergeCell ref="C11:C12"/>
    <mergeCell ref="D11:D12"/>
    <mergeCell ref="H11:H12"/>
    <mergeCell ref="I11:I12"/>
    <mergeCell ref="J11:J12"/>
    <mergeCell ref="K11:K12"/>
    <mergeCell ref="L11:L12"/>
    <mergeCell ref="U11:U12"/>
    <mergeCell ref="L7:L8"/>
    <mergeCell ref="U7:U8"/>
    <mergeCell ref="V7:V8"/>
    <mergeCell ref="W7:W8"/>
    <mergeCell ref="C7:C8"/>
    <mergeCell ref="D7:D8"/>
    <mergeCell ref="H7:H8"/>
    <mergeCell ref="I7:I8"/>
    <mergeCell ref="J7:J8"/>
    <mergeCell ref="K7:K8"/>
    <mergeCell ref="V11:V12"/>
    <mergeCell ref="W11:W12"/>
    <mergeCell ref="AE11:AE12"/>
    <mergeCell ref="W15:W16"/>
    <mergeCell ref="AE15:AE16"/>
    <mergeCell ref="C19:C22"/>
    <mergeCell ref="D19:D22"/>
    <mergeCell ref="F19:F22"/>
    <mergeCell ref="H19:H22"/>
    <mergeCell ref="I19:I22"/>
    <mergeCell ref="V19:V22"/>
    <mergeCell ref="W19:W22"/>
    <mergeCell ref="AE19:AE22"/>
    <mergeCell ref="L19:L22"/>
    <mergeCell ref="U19:U22"/>
    <mergeCell ref="C15:C16"/>
    <mergeCell ref="D15:D16"/>
    <mergeCell ref="H15:H16"/>
    <mergeCell ref="I15:I16"/>
    <mergeCell ref="J15:J16"/>
    <mergeCell ref="K15:K16"/>
    <mergeCell ref="L15:L16"/>
    <mergeCell ref="U15:U16"/>
    <mergeCell ref="V15:V16"/>
    <mergeCell ref="B24:B25"/>
    <mergeCell ref="C24:C25"/>
    <mergeCell ref="D24:D25"/>
    <mergeCell ref="F24:F25"/>
    <mergeCell ref="H24:H25"/>
    <mergeCell ref="I24:I25"/>
    <mergeCell ref="J24:J25"/>
    <mergeCell ref="J19:J22"/>
    <mergeCell ref="K19:K22"/>
    <mergeCell ref="U26:U28"/>
    <mergeCell ref="V26:V28"/>
    <mergeCell ref="W26:W28"/>
    <mergeCell ref="AE26:AE28"/>
    <mergeCell ref="W24:W25"/>
    <mergeCell ref="AE24:AE25"/>
    <mergeCell ref="C26:C28"/>
    <mergeCell ref="D26:D28"/>
    <mergeCell ref="F26:F28"/>
    <mergeCell ref="H26:H28"/>
    <mergeCell ref="I26:I28"/>
    <mergeCell ref="J26:J28"/>
    <mergeCell ref="K26:K28"/>
    <mergeCell ref="L26:L28"/>
    <mergeCell ref="K24:K25"/>
    <mergeCell ref="L24:L25"/>
    <mergeCell ref="U24:U25"/>
    <mergeCell ref="V24:V25"/>
    <mergeCell ref="W30:W36"/>
    <mergeCell ref="AE30:AE36"/>
    <mergeCell ref="C37:C42"/>
    <mergeCell ref="D37:D42"/>
    <mergeCell ref="H37:H42"/>
    <mergeCell ref="I37:I42"/>
    <mergeCell ref="J37:J42"/>
    <mergeCell ref="K37:K42"/>
    <mergeCell ref="L37:L42"/>
    <mergeCell ref="K30:K36"/>
    <mergeCell ref="L30:L36"/>
    <mergeCell ref="U30:U36"/>
    <mergeCell ref="V30:V36"/>
    <mergeCell ref="C30:C36"/>
    <mergeCell ref="D30:D36"/>
    <mergeCell ref="F30:F36"/>
    <mergeCell ref="H30:H36"/>
    <mergeCell ref="I30:I36"/>
    <mergeCell ref="J30:J36"/>
    <mergeCell ref="U37:U42"/>
    <mergeCell ref="V37:V42"/>
    <mergeCell ref="W37:W42"/>
    <mergeCell ref="AE37:AE42"/>
    <mergeCell ref="M37:M42"/>
    <mergeCell ref="AE43:AE44"/>
    <mergeCell ref="C45:C46"/>
    <mergeCell ref="D45:D46"/>
    <mergeCell ref="H45:H46"/>
    <mergeCell ref="I45:I46"/>
    <mergeCell ref="J45:J46"/>
    <mergeCell ref="K45:K46"/>
    <mergeCell ref="L45:L46"/>
    <mergeCell ref="K43:K44"/>
    <mergeCell ref="L43:L44"/>
    <mergeCell ref="U43:U44"/>
    <mergeCell ref="V43:V44"/>
    <mergeCell ref="U45:U46"/>
    <mergeCell ref="J43:J44"/>
    <mergeCell ref="I43:I44"/>
    <mergeCell ref="H43:H44"/>
    <mergeCell ref="C43:C44"/>
    <mergeCell ref="D43:D44"/>
    <mergeCell ref="F43:F44"/>
    <mergeCell ref="C47:C48"/>
    <mergeCell ref="D47:D48"/>
    <mergeCell ref="K47:K48"/>
    <mergeCell ref="W43:W44"/>
    <mergeCell ref="L47:L48"/>
    <mergeCell ref="U47:U48"/>
    <mergeCell ref="V47:V48"/>
    <mergeCell ref="U69:U70"/>
    <mergeCell ref="V69:V70"/>
    <mergeCell ref="W69:W70"/>
    <mergeCell ref="D69:D70"/>
    <mergeCell ref="I69:I70"/>
    <mergeCell ref="V59:V60"/>
    <mergeCell ref="W59:W60"/>
    <mergeCell ref="D61:D64"/>
    <mergeCell ref="I61:I64"/>
    <mergeCell ref="J61:J64"/>
    <mergeCell ref="K61:K64"/>
    <mergeCell ref="U61:U64"/>
    <mergeCell ref="V61:V64"/>
    <mergeCell ref="W61:W64"/>
    <mergeCell ref="D59:D60"/>
    <mergeCell ref="I59:I60"/>
    <mergeCell ref="J59:J60"/>
    <mergeCell ref="M77:M78"/>
    <mergeCell ref="V45:V46"/>
    <mergeCell ref="W45:W46"/>
    <mergeCell ref="AE45:AE46"/>
    <mergeCell ref="W47:W48"/>
    <mergeCell ref="AE47:AE48"/>
    <mergeCell ref="I47:I48"/>
    <mergeCell ref="H47:H48"/>
    <mergeCell ref="M69:M70"/>
    <mergeCell ref="M59:M60"/>
    <mergeCell ref="M61:M64"/>
    <mergeCell ref="H69:H70"/>
    <mergeCell ref="J69:J70"/>
    <mergeCell ref="K69:K70"/>
    <mergeCell ref="H59:H60"/>
    <mergeCell ref="H61:H64"/>
    <mergeCell ref="J47:J48"/>
    <mergeCell ref="K77:K78"/>
    <mergeCell ref="L77:L78"/>
    <mergeCell ref="K59:K60"/>
    <mergeCell ref="U59:U60"/>
    <mergeCell ref="H77:H78"/>
    <mergeCell ref="U77:U78"/>
    <mergeCell ref="V77:V78"/>
  </mergeCells>
  <conditionalFormatting sqref="A145:C145">
    <cfRule type="duplicateValues" dxfId="366" priority="4245"/>
  </conditionalFormatting>
  <conditionalFormatting sqref="D18">
    <cfRule type="duplicateValues" dxfId="365" priority="183"/>
  </conditionalFormatting>
  <conditionalFormatting sqref="D19">
    <cfRule type="duplicateValues" dxfId="364" priority="181"/>
  </conditionalFormatting>
  <conditionalFormatting sqref="D23">
    <cfRule type="duplicateValues" dxfId="363" priority="182"/>
  </conditionalFormatting>
  <conditionalFormatting sqref="D24">
    <cfRule type="duplicateValues" dxfId="362" priority="178"/>
  </conditionalFormatting>
  <conditionalFormatting sqref="D26">
    <cfRule type="duplicateValues" dxfId="361" priority="180"/>
  </conditionalFormatting>
  <conditionalFormatting sqref="D29">
    <cfRule type="duplicateValues" dxfId="360" priority="177"/>
  </conditionalFormatting>
  <conditionalFormatting sqref="D37">
    <cfRule type="duplicateValues" dxfId="359" priority="179"/>
  </conditionalFormatting>
  <conditionalFormatting sqref="D45">
    <cfRule type="duplicateValues" dxfId="358" priority="176"/>
  </conditionalFormatting>
  <conditionalFormatting sqref="D56">
    <cfRule type="duplicateValues" dxfId="357" priority="295"/>
    <cfRule type="duplicateValues" dxfId="356" priority="296"/>
  </conditionalFormatting>
  <conditionalFormatting sqref="D57">
    <cfRule type="duplicateValues" dxfId="355" priority="294"/>
  </conditionalFormatting>
  <conditionalFormatting sqref="D58">
    <cfRule type="duplicateValues" dxfId="354" priority="292"/>
    <cfRule type="duplicateValues" dxfId="353" priority="293"/>
  </conditionalFormatting>
  <conditionalFormatting sqref="D59">
    <cfRule type="duplicateValues" dxfId="352" priority="290"/>
    <cfRule type="duplicateValues" dxfId="351" priority="291"/>
  </conditionalFormatting>
  <conditionalFormatting sqref="D61">
    <cfRule type="duplicateValues" dxfId="350" priority="288"/>
    <cfRule type="duplicateValues" dxfId="349" priority="289"/>
  </conditionalFormatting>
  <conditionalFormatting sqref="D66">
    <cfRule type="duplicateValues" dxfId="348" priority="286"/>
    <cfRule type="duplicateValues" dxfId="347" priority="287"/>
  </conditionalFormatting>
  <conditionalFormatting sqref="D68">
    <cfRule type="duplicateValues" dxfId="346" priority="284"/>
    <cfRule type="duplicateValues" dxfId="345" priority="285"/>
  </conditionalFormatting>
  <conditionalFormatting sqref="D69 D71:D72">
    <cfRule type="duplicateValues" dxfId="344" priority="276"/>
  </conditionalFormatting>
  <conditionalFormatting sqref="D69">
    <cfRule type="duplicateValues" dxfId="343" priority="277"/>
  </conditionalFormatting>
  <conditionalFormatting sqref="D71:D72">
    <cfRule type="duplicateValues" dxfId="342" priority="100"/>
  </conditionalFormatting>
  <conditionalFormatting sqref="D73:D74 D76:D77 D93:D96 D106:D113 D102:D104 D98:D100 D89 D91 D79 D81 D83:D87">
    <cfRule type="duplicateValues" dxfId="341" priority="90"/>
  </conditionalFormatting>
  <conditionalFormatting sqref="D73:D74 D106:D116 D102:D104 D98:D100 D89 D91 D93:D96 D79 D81 D83:D87 D76:D77">
    <cfRule type="duplicateValues" dxfId="340" priority="88"/>
  </conditionalFormatting>
  <conditionalFormatting sqref="D114:D115">
    <cfRule type="duplicateValues" dxfId="339" priority="89"/>
  </conditionalFormatting>
  <conditionalFormatting sqref="D116">
    <cfRule type="duplicateValues" dxfId="338" priority="91"/>
  </conditionalFormatting>
  <conditionalFormatting sqref="D117:D136 D138">
    <cfRule type="duplicateValues" dxfId="337" priority="4285"/>
  </conditionalFormatting>
  <conditionalFormatting sqref="D137">
    <cfRule type="duplicateValues" dxfId="336" priority="46"/>
  </conditionalFormatting>
  <conditionalFormatting sqref="D143">
    <cfRule type="duplicateValues" dxfId="335" priority="4261"/>
  </conditionalFormatting>
  <conditionalFormatting sqref="D151">
    <cfRule type="duplicateValues" dxfId="334" priority="30"/>
    <cfRule type="duplicateValues" dxfId="333" priority="32"/>
  </conditionalFormatting>
  <conditionalFormatting sqref="E19">
    <cfRule type="duplicateValues" dxfId="332" priority="535"/>
    <cfRule type="duplicateValues" dxfId="331" priority="536"/>
    <cfRule type="duplicateValues" dxfId="330" priority="537"/>
    <cfRule type="duplicateValues" dxfId="329" priority="538"/>
    <cfRule type="duplicateValues" dxfId="328" priority="539"/>
    <cfRule type="duplicateValues" dxfId="327" priority="540"/>
  </conditionalFormatting>
  <conditionalFormatting sqref="E20">
    <cfRule type="duplicateValues" dxfId="326" priority="529"/>
    <cfRule type="duplicateValues" dxfId="325" priority="530"/>
    <cfRule type="duplicateValues" dxfId="324" priority="531"/>
    <cfRule type="duplicateValues" dxfId="323" priority="532"/>
    <cfRule type="duplicateValues" dxfId="322" priority="533"/>
    <cfRule type="duplicateValues" dxfId="321" priority="534"/>
  </conditionalFormatting>
  <conditionalFormatting sqref="E21">
    <cfRule type="duplicateValues" dxfId="320" priority="504"/>
    <cfRule type="duplicateValues" dxfId="319" priority="505"/>
    <cfRule type="duplicateValues" dxfId="318" priority="506"/>
    <cfRule type="duplicateValues" dxfId="317" priority="507"/>
    <cfRule type="duplicateValues" dxfId="316" priority="508"/>
    <cfRule type="duplicateValues" dxfId="315" priority="509"/>
    <cfRule type="duplicateValues" dxfId="314" priority="510"/>
    <cfRule type="duplicateValues" dxfId="313" priority="511"/>
    <cfRule type="duplicateValues" dxfId="312" priority="512"/>
    <cfRule type="duplicateValues" dxfId="311" priority="513"/>
    <cfRule type="duplicateValues" dxfId="310" priority="514"/>
    <cfRule type="duplicateValues" dxfId="309" priority="515"/>
  </conditionalFormatting>
  <conditionalFormatting sqref="E22:E23">
    <cfRule type="duplicateValues" dxfId="308" priority="516"/>
    <cfRule type="duplicateValues" dxfId="307" priority="517"/>
    <cfRule type="duplicateValues" dxfId="306" priority="518"/>
    <cfRule type="duplicateValues" dxfId="305" priority="519"/>
    <cfRule type="duplicateValues" dxfId="304" priority="520"/>
    <cfRule type="duplicateValues" dxfId="303" priority="521"/>
    <cfRule type="duplicateValues" dxfId="302" priority="522"/>
    <cfRule type="duplicateValues" dxfId="301" priority="523"/>
    <cfRule type="duplicateValues" dxfId="300" priority="524"/>
    <cfRule type="duplicateValues" dxfId="299" priority="525"/>
    <cfRule type="duplicateValues" dxfId="298" priority="526"/>
    <cfRule type="duplicateValues" dxfId="297" priority="527"/>
    <cfRule type="duplicateValues" dxfId="296" priority="528"/>
  </conditionalFormatting>
  <conditionalFormatting sqref="E24">
    <cfRule type="duplicateValues" dxfId="295" priority="493"/>
    <cfRule type="duplicateValues" dxfId="294" priority="494"/>
    <cfRule type="duplicateValues" dxfId="293" priority="495"/>
    <cfRule type="duplicateValues" dxfId="292" priority="496"/>
    <cfRule type="duplicateValues" dxfId="291" priority="497"/>
    <cfRule type="duplicateValues" dxfId="290" priority="498"/>
    <cfRule type="duplicateValues" dxfId="289" priority="499"/>
    <cfRule type="duplicateValues" dxfId="288" priority="500"/>
    <cfRule type="duplicateValues" dxfId="287" priority="501"/>
    <cfRule type="duplicateValues" dxfId="286" priority="502"/>
    <cfRule type="duplicateValues" dxfId="285" priority="503"/>
  </conditionalFormatting>
  <conditionalFormatting sqref="E25">
    <cfRule type="duplicateValues" dxfId="284" priority="482"/>
    <cfRule type="duplicateValues" dxfId="283" priority="483"/>
    <cfRule type="duplicateValues" dxfId="282" priority="484"/>
    <cfRule type="duplicateValues" dxfId="281" priority="485"/>
    <cfRule type="duplicateValues" dxfId="280" priority="486"/>
    <cfRule type="duplicateValues" dxfId="279" priority="487"/>
    <cfRule type="duplicateValues" dxfId="278" priority="488"/>
    <cfRule type="duplicateValues" dxfId="277" priority="489"/>
    <cfRule type="duplicateValues" dxfId="276" priority="490"/>
    <cfRule type="duplicateValues" dxfId="275" priority="491"/>
    <cfRule type="duplicateValues" dxfId="274" priority="492"/>
  </conditionalFormatting>
  <conditionalFormatting sqref="E26">
    <cfRule type="duplicateValues" dxfId="273" priority="472"/>
    <cfRule type="duplicateValues" dxfId="272" priority="473"/>
    <cfRule type="duplicateValues" dxfId="271" priority="474"/>
    <cfRule type="duplicateValues" dxfId="270" priority="475"/>
    <cfRule type="duplicateValues" dxfId="269" priority="476"/>
    <cfRule type="duplicateValues" dxfId="268" priority="477"/>
    <cfRule type="duplicateValues" dxfId="267" priority="478"/>
    <cfRule type="duplicateValues" dxfId="266" priority="479"/>
    <cfRule type="duplicateValues" dxfId="265" priority="480"/>
    <cfRule type="duplicateValues" dxfId="264" priority="481"/>
  </conditionalFormatting>
  <conditionalFormatting sqref="E27">
    <cfRule type="duplicateValues" dxfId="263" priority="459"/>
    <cfRule type="duplicateValues" dxfId="262" priority="460"/>
    <cfRule type="duplicateValues" dxfId="261" priority="461"/>
    <cfRule type="duplicateValues" dxfId="260" priority="462"/>
    <cfRule type="duplicateValues" dxfId="259" priority="463"/>
    <cfRule type="duplicateValues" dxfId="258" priority="464"/>
    <cfRule type="duplicateValues" dxfId="257" priority="465"/>
    <cfRule type="duplicateValues" dxfId="256" priority="466"/>
    <cfRule type="duplicateValues" dxfId="255" priority="467"/>
    <cfRule type="duplicateValues" dxfId="254" priority="468"/>
    <cfRule type="duplicateValues" dxfId="253" priority="469"/>
    <cfRule type="duplicateValues" dxfId="252" priority="470"/>
    <cfRule type="duplicateValues" dxfId="251" priority="471"/>
  </conditionalFormatting>
  <conditionalFormatting sqref="E28">
    <cfRule type="duplicateValues" dxfId="250" priority="448"/>
    <cfRule type="duplicateValues" dxfId="249" priority="449"/>
    <cfRule type="duplicateValues" dxfId="248" priority="450"/>
    <cfRule type="duplicateValues" dxfId="247" priority="451"/>
    <cfRule type="duplicateValues" dxfId="246" priority="452"/>
    <cfRule type="duplicateValues" dxfId="245" priority="453"/>
    <cfRule type="duplicateValues" dxfId="244" priority="454"/>
    <cfRule type="duplicateValues" dxfId="243" priority="455"/>
    <cfRule type="duplicateValues" dxfId="242" priority="456"/>
    <cfRule type="duplicateValues" dxfId="241" priority="457"/>
    <cfRule type="duplicateValues" dxfId="240" priority="458"/>
  </conditionalFormatting>
  <conditionalFormatting sqref="E29">
    <cfRule type="duplicateValues" dxfId="239" priority="437"/>
    <cfRule type="duplicateValues" dxfId="238" priority="438"/>
    <cfRule type="duplicateValues" dxfId="237" priority="439"/>
    <cfRule type="duplicateValues" dxfId="236" priority="440"/>
    <cfRule type="duplicateValues" dxfId="235" priority="441"/>
    <cfRule type="duplicateValues" dxfId="234" priority="442"/>
    <cfRule type="duplicateValues" dxfId="233" priority="443"/>
    <cfRule type="duplicateValues" dxfId="232" priority="444"/>
    <cfRule type="duplicateValues" dxfId="231" priority="445"/>
    <cfRule type="duplicateValues" dxfId="230" priority="446"/>
    <cfRule type="duplicateValues" dxfId="229" priority="447"/>
  </conditionalFormatting>
  <conditionalFormatting sqref="E30">
    <cfRule type="duplicateValues" dxfId="228" priority="405"/>
    <cfRule type="duplicateValues" dxfId="227" priority="406"/>
    <cfRule type="duplicateValues" dxfId="226" priority="407"/>
    <cfRule type="duplicateValues" dxfId="225" priority="408"/>
    <cfRule type="duplicateValues" dxfId="224" priority="409"/>
    <cfRule type="duplicateValues" dxfId="223" priority="410"/>
    <cfRule type="duplicateValues" dxfId="222" priority="411"/>
    <cfRule type="duplicateValues" dxfId="221" priority="412"/>
    <cfRule type="duplicateValues" dxfId="220" priority="413"/>
    <cfRule type="duplicateValues" dxfId="219" priority="414"/>
  </conditionalFormatting>
  <conditionalFormatting sqref="E31">
    <cfRule type="duplicateValues" dxfId="218" priority="395"/>
    <cfRule type="duplicateValues" dxfId="217" priority="396"/>
    <cfRule type="duplicateValues" dxfId="216" priority="397"/>
    <cfRule type="duplicateValues" dxfId="215" priority="398"/>
    <cfRule type="duplicateValues" dxfId="214" priority="399"/>
    <cfRule type="duplicateValues" dxfId="213" priority="400"/>
    <cfRule type="duplicateValues" dxfId="212" priority="401"/>
    <cfRule type="duplicateValues" dxfId="211" priority="402"/>
    <cfRule type="duplicateValues" dxfId="210" priority="403"/>
    <cfRule type="duplicateValues" dxfId="209" priority="404"/>
  </conditionalFormatting>
  <conditionalFormatting sqref="E32">
    <cfRule type="duplicateValues" dxfId="208" priority="384"/>
    <cfRule type="duplicateValues" dxfId="207" priority="385"/>
    <cfRule type="duplicateValues" dxfId="206" priority="386"/>
    <cfRule type="duplicateValues" dxfId="205" priority="387"/>
    <cfRule type="duplicateValues" dxfId="204" priority="388"/>
    <cfRule type="duplicateValues" dxfId="203" priority="389"/>
    <cfRule type="duplicateValues" dxfId="202" priority="390"/>
    <cfRule type="duplicateValues" dxfId="201" priority="391"/>
    <cfRule type="duplicateValues" dxfId="200" priority="392"/>
    <cfRule type="duplicateValues" dxfId="199" priority="393"/>
    <cfRule type="duplicateValues" dxfId="198" priority="394"/>
  </conditionalFormatting>
  <conditionalFormatting sqref="E33">
    <cfRule type="duplicateValues" dxfId="197" priority="373"/>
    <cfRule type="duplicateValues" dxfId="196" priority="374"/>
    <cfRule type="duplicateValues" dxfId="195" priority="375"/>
    <cfRule type="duplicateValues" dxfId="194" priority="376"/>
    <cfRule type="duplicateValues" dxfId="193" priority="377"/>
    <cfRule type="duplicateValues" dxfId="192" priority="378"/>
    <cfRule type="duplicateValues" dxfId="191" priority="379"/>
    <cfRule type="duplicateValues" dxfId="190" priority="380"/>
    <cfRule type="duplicateValues" dxfId="189" priority="381"/>
    <cfRule type="duplicateValues" dxfId="188" priority="382"/>
    <cfRule type="duplicateValues" dxfId="187" priority="383"/>
  </conditionalFormatting>
  <conditionalFormatting sqref="E34">
    <cfRule type="duplicateValues" dxfId="186" priority="362"/>
    <cfRule type="duplicateValues" dxfId="185" priority="363"/>
    <cfRule type="duplicateValues" dxfId="184" priority="364"/>
    <cfRule type="duplicateValues" dxfId="183" priority="365"/>
    <cfRule type="duplicateValues" dxfId="182" priority="366"/>
    <cfRule type="duplicateValues" dxfId="181" priority="367"/>
    <cfRule type="duplicateValues" dxfId="180" priority="368"/>
    <cfRule type="duplicateValues" dxfId="179" priority="369"/>
    <cfRule type="duplicateValues" dxfId="178" priority="370"/>
    <cfRule type="duplicateValues" dxfId="177" priority="371"/>
    <cfRule type="duplicateValues" dxfId="176" priority="372"/>
  </conditionalFormatting>
  <conditionalFormatting sqref="E35">
    <cfRule type="duplicateValues" dxfId="175" priority="351"/>
    <cfRule type="duplicateValues" dxfId="174" priority="352"/>
    <cfRule type="duplicateValues" dxfId="173" priority="353"/>
    <cfRule type="duplicateValues" dxfId="172" priority="354"/>
    <cfRule type="duplicateValues" dxfId="171" priority="355"/>
    <cfRule type="duplicateValues" dxfId="170" priority="356"/>
    <cfRule type="duplicateValues" dxfId="169" priority="357"/>
    <cfRule type="duplicateValues" dxfId="168" priority="358"/>
    <cfRule type="duplicateValues" dxfId="167" priority="359"/>
    <cfRule type="duplicateValues" dxfId="166" priority="360"/>
    <cfRule type="duplicateValues" dxfId="165" priority="361"/>
  </conditionalFormatting>
  <conditionalFormatting sqref="E36:E42">
    <cfRule type="duplicateValues" dxfId="164" priority="340"/>
    <cfRule type="duplicateValues" dxfId="163" priority="341"/>
    <cfRule type="duplicateValues" dxfId="162" priority="342"/>
    <cfRule type="duplicateValues" dxfId="161" priority="343"/>
    <cfRule type="duplicateValues" dxfId="160" priority="344"/>
    <cfRule type="duplicateValues" dxfId="159" priority="345"/>
    <cfRule type="duplicateValues" dxfId="158" priority="346"/>
    <cfRule type="duplicateValues" dxfId="157" priority="347"/>
    <cfRule type="duplicateValues" dxfId="156" priority="348"/>
    <cfRule type="duplicateValues" dxfId="155" priority="349"/>
    <cfRule type="duplicateValues" dxfId="154" priority="350"/>
  </conditionalFormatting>
  <conditionalFormatting sqref="E43">
    <cfRule type="duplicateValues" dxfId="153" priority="426"/>
    <cfRule type="duplicateValues" dxfId="152" priority="427"/>
    <cfRule type="duplicateValues" dxfId="151" priority="428"/>
    <cfRule type="duplicateValues" dxfId="150" priority="429"/>
    <cfRule type="duplicateValues" dxfId="149" priority="430"/>
    <cfRule type="duplicateValues" dxfId="148" priority="431"/>
    <cfRule type="duplicateValues" dxfId="147" priority="432"/>
    <cfRule type="duplicateValues" dxfId="146" priority="433"/>
    <cfRule type="duplicateValues" dxfId="145" priority="434"/>
    <cfRule type="duplicateValues" dxfId="144" priority="435"/>
    <cfRule type="duplicateValues" dxfId="143" priority="436"/>
  </conditionalFormatting>
  <conditionalFormatting sqref="E44:E46">
    <cfRule type="duplicateValues" dxfId="142" priority="415"/>
    <cfRule type="duplicateValues" dxfId="141" priority="416"/>
    <cfRule type="duplicateValues" dxfId="140" priority="417"/>
    <cfRule type="duplicateValues" dxfId="139" priority="418"/>
    <cfRule type="duplicateValues" dxfId="138" priority="419"/>
    <cfRule type="duplicateValues" dxfId="137" priority="420"/>
    <cfRule type="duplicateValues" dxfId="136" priority="421"/>
    <cfRule type="duplicateValues" dxfId="135" priority="422"/>
    <cfRule type="duplicateValues" dxfId="134" priority="423"/>
    <cfRule type="duplicateValues" dxfId="133" priority="424"/>
    <cfRule type="duplicateValues" dxfId="132" priority="425"/>
  </conditionalFormatting>
  <conditionalFormatting sqref="E64">
    <cfRule type="duplicateValues" dxfId="131" priority="297"/>
  </conditionalFormatting>
  <conditionalFormatting sqref="E65">
    <cfRule type="duplicateValues" dxfId="130" priority="282"/>
  </conditionalFormatting>
  <conditionalFormatting sqref="E66:E68 E56:E63">
    <cfRule type="duplicateValues" dxfId="129" priority="298"/>
  </conditionalFormatting>
  <conditionalFormatting sqref="E69 E72">
    <cfRule type="duplicateValues" dxfId="128" priority="280"/>
  </conditionalFormatting>
  <conditionalFormatting sqref="E70">
    <cfRule type="duplicateValues" dxfId="127" priority="278"/>
  </conditionalFormatting>
  <conditionalFormatting sqref="E71">
    <cfRule type="duplicateValues" dxfId="126" priority="279"/>
  </conditionalFormatting>
  <conditionalFormatting sqref="E73:E135">
    <cfRule type="duplicateValues" dxfId="125" priority="168"/>
  </conditionalFormatting>
  <conditionalFormatting sqref="E75 E81">
    <cfRule type="duplicateValues" dxfId="124" priority="170"/>
  </conditionalFormatting>
  <conditionalFormatting sqref="E79">
    <cfRule type="duplicateValues" dxfId="123" priority="169"/>
  </conditionalFormatting>
  <conditionalFormatting sqref="E112:E113 E80">
    <cfRule type="duplicateValues" dxfId="122" priority="167"/>
  </conditionalFormatting>
  <conditionalFormatting sqref="E114">
    <cfRule type="duplicateValues" dxfId="121" priority="161"/>
  </conditionalFormatting>
  <conditionalFormatting sqref="E115:E135 E78 E82:E91 E93:E111">
    <cfRule type="duplicateValues" dxfId="120" priority="175"/>
  </conditionalFormatting>
  <conditionalFormatting sqref="E136">
    <cfRule type="duplicateValues" dxfId="119" priority="82"/>
    <cfRule type="duplicateValues" dxfId="118" priority="83"/>
  </conditionalFormatting>
  <conditionalFormatting sqref="E138">
    <cfRule type="duplicateValues" dxfId="117" priority="4288"/>
  </conditionalFormatting>
  <conditionalFormatting sqref="E143:E144">
    <cfRule type="duplicateValues" dxfId="116" priority="4270"/>
    <cfRule type="duplicateValues" dxfId="115" priority="4271"/>
    <cfRule type="duplicateValues" dxfId="114" priority="4272"/>
    <cfRule type="duplicateValues" dxfId="113" priority="4273"/>
    <cfRule type="duplicateValues" dxfId="112" priority="4274"/>
    <cfRule type="duplicateValues" dxfId="111" priority="4275"/>
    <cfRule type="duplicateValues" dxfId="110" priority="4276"/>
  </conditionalFormatting>
  <conditionalFormatting sqref="G1:G178 L1:L1048576 U146:W1048576">
    <cfRule type="cellIs" dxfId="109" priority="1" operator="lessThan">
      <formula>0</formula>
    </cfRule>
  </conditionalFormatting>
  <conditionalFormatting sqref="G179:AA179 AD179:AR179">
    <cfRule type="cellIs" dxfId="108" priority="11" operator="lessThan">
      <formula>0</formula>
    </cfRule>
  </conditionalFormatting>
  <conditionalFormatting sqref="Q5:Q138">
    <cfRule type="cellIs" dxfId="107" priority="43" operator="lessThan">
      <formula>0</formula>
    </cfRule>
  </conditionalFormatting>
  <conditionalFormatting sqref="Q143:Q144">
    <cfRule type="cellIs" dxfId="106" priority="7" operator="lessThan">
      <formula>0</formula>
    </cfRule>
  </conditionalFormatting>
  <conditionalFormatting sqref="Q151:Q178">
    <cfRule type="cellIs" dxfId="105" priority="9" operator="lessThan">
      <formula>0</formula>
    </cfRule>
  </conditionalFormatting>
  <conditionalFormatting sqref="U1:W144 Y1:Y178 G180:G1048576">
    <cfRule type="cellIs" dxfId="104" priority="40" operator="lessThan">
      <formula>0</formula>
    </cfRule>
  </conditionalFormatting>
  <conditionalFormatting sqref="Z145 Y180:Y1048576">
    <cfRule type="cellIs" dxfId="103" priority="41" operator="lessThan">
      <formula>0</formula>
    </cfRule>
  </conditionalFormatting>
  <pageMargins left="0.7" right="0.7" top="0.75" bottom="0.75" header="0.3" footer="0.3"/>
  <pageSetup orientation="portrait" r:id="rId1"/>
  <ignoredErrors>
    <ignoredError sqref="H143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/>
  <dimension ref="A1:AI120"/>
  <sheetViews>
    <sheetView topLeftCell="A51" zoomScale="75" zoomScaleNormal="75" zoomScaleSheetLayoutView="69" workbookViewId="0">
      <selection activeCell="T73" sqref="T73:T74"/>
    </sheetView>
  </sheetViews>
  <sheetFormatPr defaultColWidth="9.140625" defaultRowHeight="15" x14ac:dyDescent="0.25"/>
  <cols>
    <col min="1" max="1" width="19.5703125" style="786" bestFit="1" customWidth="1"/>
    <col min="2" max="2" width="15" bestFit="1" customWidth="1"/>
    <col min="3" max="3" width="30.28515625" customWidth="1"/>
    <col min="4" max="4" width="12.42578125" customWidth="1"/>
    <col min="5" max="5" width="10.28515625" hidden="1" customWidth="1"/>
    <col min="6" max="7" width="8" customWidth="1"/>
    <col min="8" max="8" width="9.85546875" customWidth="1"/>
    <col min="9" max="9" width="9.140625" customWidth="1"/>
    <col min="10" max="10" width="8" customWidth="1"/>
    <col min="11" max="13" width="9.42578125" hidden="1" customWidth="1"/>
    <col min="14" max="14" width="11.140625" hidden="1" customWidth="1"/>
    <col min="15" max="15" width="10" hidden="1" customWidth="1"/>
    <col min="16" max="17" width="9.85546875" customWidth="1"/>
    <col min="18" max="18" width="12.42578125" customWidth="1"/>
    <col min="19" max="19" width="12.5703125" customWidth="1"/>
    <col min="20" max="20" width="13.85546875" customWidth="1"/>
    <col min="21" max="21" width="12.42578125" customWidth="1"/>
    <col min="22" max="23" width="14.5703125" customWidth="1"/>
    <col min="24" max="29" width="9.140625" customWidth="1"/>
    <col min="30" max="30" width="9.140625" hidden="1" customWidth="1"/>
    <col min="31" max="34" width="9.140625" customWidth="1"/>
  </cols>
  <sheetData>
    <row r="1" spans="1:34" ht="19.5" thickBot="1" x14ac:dyDescent="0.35">
      <c r="A1" s="782"/>
      <c r="B1" s="377"/>
      <c r="C1" s="726" t="s">
        <v>742</v>
      </c>
      <c r="D1" s="377"/>
      <c r="E1" s="377"/>
      <c r="F1" s="411"/>
      <c r="G1" s="377"/>
      <c r="H1" s="377"/>
      <c r="I1" s="397"/>
      <c r="J1" s="409">
        <f>J50</f>
        <v>7</v>
      </c>
      <c r="K1" s="400"/>
      <c r="L1" s="378"/>
      <c r="M1" s="378"/>
      <c r="N1" s="377"/>
      <c r="O1" s="377"/>
      <c r="P1" s="412">
        <f>SUM(P3:P49)</f>
        <v>0</v>
      </c>
      <c r="Q1" s="413">
        <f>SUM(Q3:Q49)</f>
        <v>0</v>
      </c>
      <c r="R1" s="405"/>
      <c r="S1" s="405"/>
      <c r="T1" s="405"/>
      <c r="U1" s="465"/>
      <c r="V1" s="475">
        <f>857+20</f>
        <v>877</v>
      </c>
      <c r="W1" s="146"/>
    </row>
    <row r="2" spans="1:34" ht="66.75" customHeight="1" thickBot="1" x14ac:dyDescent="0.3">
      <c r="A2" s="783" t="s">
        <v>1</v>
      </c>
      <c r="B2" s="493" t="s">
        <v>665</v>
      </c>
      <c r="C2" s="727" t="s">
        <v>4</v>
      </c>
      <c r="D2" s="493" t="s">
        <v>5</v>
      </c>
      <c r="E2" s="493" t="s">
        <v>117</v>
      </c>
      <c r="F2" s="493" t="s">
        <v>67</v>
      </c>
      <c r="G2" s="493" t="s">
        <v>7</v>
      </c>
      <c r="H2" s="493" t="s">
        <v>8</v>
      </c>
      <c r="I2" s="493" t="s">
        <v>135</v>
      </c>
      <c r="J2" s="493" t="s">
        <v>9</v>
      </c>
      <c r="K2" s="493" t="s">
        <v>64</v>
      </c>
      <c r="L2" s="493" t="s">
        <v>65</v>
      </c>
      <c r="M2" s="493" t="s">
        <v>66</v>
      </c>
      <c r="N2" s="493" t="s">
        <v>69</v>
      </c>
      <c r="O2" s="493" t="s">
        <v>8</v>
      </c>
      <c r="P2" s="493" t="s">
        <v>121</v>
      </c>
      <c r="Q2" s="494" t="s">
        <v>122</v>
      </c>
      <c r="R2" s="495" t="s">
        <v>146</v>
      </c>
      <c r="S2" s="495" t="s">
        <v>148</v>
      </c>
      <c r="T2" s="495" t="s">
        <v>147</v>
      </c>
      <c r="U2" s="496" t="s">
        <v>144</v>
      </c>
      <c r="V2" s="476" t="s">
        <v>657</v>
      </c>
      <c r="W2" s="610"/>
      <c r="X2" s="470" t="s">
        <v>171</v>
      </c>
      <c r="Y2" s="56" t="s">
        <v>172</v>
      </c>
      <c r="Z2" s="56" t="s">
        <v>173</v>
      </c>
      <c r="AA2" s="56" t="s">
        <v>174</v>
      </c>
      <c r="AB2" s="56" t="s">
        <v>175</v>
      </c>
      <c r="AC2" s="56" t="s">
        <v>176</v>
      </c>
      <c r="AD2" s="56" t="s">
        <v>177</v>
      </c>
      <c r="AE2" s="56" t="s">
        <v>178</v>
      </c>
      <c r="AF2" s="56" t="s">
        <v>179</v>
      </c>
      <c r="AG2" s="56" t="s">
        <v>180</v>
      </c>
      <c r="AH2" s="59" t="s">
        <v>162</v>
      </c>
    </row>
    <row r="3" spans="1:34" ht="19.5" hidden="1" customHeight="1" x14ac:dyDescent="0.25">
      <c r="A3" s="1001">
        <v>544554610501</v>
      </c>
      <c r="B3" s="408" t="s">
        <v>240</v>
      </c>
      <c r="C3" s="728" t="s">
        <v>571</v>
      </c>
      <c r="D3" s="379"/>
      <c r="E3" s="961">
        <f>D3+D4</f>
        <v>0</v>
      </c>
      <c r="F3" s="1002">
        <v>0</v>
      </c>
      <c r="G3" s="977">
        <f>N3</f>
        <v>0</v>
      </c>
      <c r="H3" s="371">
        <f>O3</f>
        <v>0</v>
      </c>
      <c r="I3" s="398">
        <f t="shared" ref="I3:I21" si="0">E3-H3</f>
        <v>0</v>
      </c>
      <c r="J3" s="969">
        <f>F3+G3-H3-H4</f>
        <v>0</v>
      </c>
      <c r="K3" s="401">
        <f>SUMIF('3 D P'!$D:$D,Cockpit!$E$5:$E$146,'3 D P'!I:I)</f>
        <v>0</v>
      </c>
      <c r="L3" s="372">
        <f>SUMIF('3 D P'!$D:$D,Cockpit!$E$5:$E$146,'3 D P'!J:J)</f>
        <v>0</v>
      </c>
      <c r="M3" s="372">
        <f>SUMIF('3 D P'!$D:$D,Cockpit!$E$5:$E$146,'3 D P'!K:K)</f>
        <v>0</v>
      </c>
      <c r="N3" s="373">
        <f>IFERROR(VLOOKUP($A3,'Front Dispatch'!$A:$B,2,FALSE),0)</f>
        <v>0</v>
      </c>
      <c r="O3" s="372">
        <f>SUMIF('Consumption MTD'!B:B,FRONT!$B$3:$B$49,'Consumption MTD'!C:C)</f>
        <v>0</v>
      </c>
      <c r="P3" s="372">
        <f>SUMIF('BIW Lifting A Shift'!$B:$B,FRONT!$B$3:$B$49,'BIW Lifting A Shift'!C:C)</f>
        <v>0</v>
      </c>
      <c r="Q3" s="407">
        <f>SUMIF('BIW Lifting B Shift'!$B:$B,FRONT!$B$3:$B$49,'BIW Lifting B Shift'!C:C)</f>
        <v>0</v>
      </c>
      <c r="R3" s="975">
        <f>J3-U3-U4</f>
        <v>0</v>
      </c>
      <c r="S3" s="975">
        <f>J3-P3-U3-U4-P4</f>
        <v>0</v>
      </c>
      <c r="T3" s="975">
        <f>S3-Q4-Q3</f>
        <v>0</v>
      </c>
      <c r="U3" s="466">
        <f>SUMIF(FLOAT!$D:$D,FRONT!$B$3:$B$49,FLOAT!F:F)</f>
        <v>0</v>
      </c>
      <c r="V3" s="989">
        <f>E3-(F3+G3)</f>
        <v>0</v>
      </c>
      <c r="W3" s="611"/>
      <c r="X3" s="471">
        <f>SUMIF(FLOAT!$D:$D,FRONT!$B$3:$B$49,FLOAT!G:G)</f>
        <v>0</v>
      </c>
      <c r="Y3" s="62">
        <f>SUMIF(FLOAT!$D:$D,FRONT!$B$3:$B$49,FLOAT!H:H)</f>
        <v>0</v>
      </c>
      <c r="Z3" s="62">
        <f>SUMIF(FLOAT!$D:$D,FRONT!$B$3:$B$49,FLOAT!I:I)</f>
        <v>0</v>
      </c>
      <c r="AA3" s="62">
        <f>SUMIF(FLOAT!$D:$D,FRONT!$B$3:$B$49,FLOAT!J:J)</f>
        <v>0</v>
      </c>
      <c r="AB3" s="62">
        <f>SUMIF(FLOAT!$D:$D,FRONT!$B$3:$B$49,FLOAT!K:K)</f>
        <v>0</v>
      </c>
      <c r="AC3" s="62">
        <f>SUMIF(FLOAT!$D:$D,FRONT!$B$3:$B$49,FLOAT!L:L)</f>
        <v>0</v>
      </c>
      <c r="AD3" s="62">
        <f>SUMIF(FLOAT!$D:$D,FRONT!$B$3:$B$49,FLOAT!M:M)</f>
        <v>0</v>
      </c>
      <c r="AE3" s="62">
        <f>SUMIF(FLOAT!$D:$D,FRONT!$B$3:$B$49,FLOAT!N:N)</f>
        <v>0</v>
      </c>
      <c r="AF3" s="62">
        <f>SUMIF(FLOAT!$D:$D,FRONT!$B$3:$B$49,FLOAT!O:O)</f>
        <v>0</v>
      </c>
      <c r="AG3" s="62">
        <f>SUMIF(FLOAT!$D:$D,FRONT!$B$3:$B$49,FLOAT!P:P)</f>
        <v>0</v>
      </c>
      <c r="AH3" s="62">
        <f>AF3+AG3+X3+Y3+Z3+AA3+AB3+AC3+AE3</f>
        <v>0</v>
      </c>
    </row>
    <row r="4" spans="1:34" ht="19.5" hidden="1" customHeight="1" x14ac:dyDescent="0.25">
      <c r="A4" s="960"/>
      <c r="B4" s="408" t="s">
        <v>241</v>
      </c>
      <c r="C4" s="729" t="s">
        <v>571</v>
      </c>
      <c r="D4" s="379"/>
      <c r="E4" s="962"/>
      <c r="F4" s="963"/>
      <c r="G4" s="964"/>
      <c r="H4" s="375">
        <f t="shared" ref="H4:H21" si="1">O4</f>
        <v>0</v>
      </c>
      <c r="I4" s="399">
        <f t="shared" si="0"/>
        <v>0</v>
      </c>
      <c r="J4" s="970"/>
      <c r="K4" s="402">
        <f>SUMIF('3 D P'!$D:$D,Cockpit!$E$5:$E$146,'3 D P'!I:I)</f>
        <v>0</v>
      </c>
      <c r="L4" s="380">
        <f>SUMIF('3 D P'!$D:$D,Cockpit!$E$5:$E$146,'3 D P'!J:J)</f>
        <v>0</v>
      </c>
      <c r="M4" s="380">
        <f>SUMIF('3 D P'!$D:$D,Cockpit!$E$5:$E$146,'3 D P'!K:K)</f>
        <v>0</v>
      </c>
      <c r="N4" s="373">
        <f>IFERROR(VLOOKUP($A4,'Front Dispatch'!$A:$B,2,FALSE),0)</f>
        <v>0</v>
      </c>
      <c r="O4" s="380">
        <f>SUMIF('Consumption MTD'!B:B,FRONT!$B$3:$B$49,'Consumption MTD'!C:C)</f>
        <v>0</v>
      </c>
      <c r="P4" s="372">
        <f>SUMIF('BIW Lifting A Shift'!$B:$B,FRONT!$B$3:$B$49,'BIW Lifting A Shift'!C:C)</f>
        <v>0</v>
      </c>
      <c r="Q4" s="407">
        <f>SUMIF('BIW Lifting B Shift'!$B:$B,FRONT!$B$3:$B$49,'BIW Lifting B Shift'!C:C)</f>
        <v>0</v>
      </c>
      <c r="R4" s="959"/>
      <c r="S4" s="959"/>
      <c r="T4" s="959"/>
      <c r="U4" s="467">
        <f>SUMIF(FLOAT!$D:$D,FRONT!$B$3:$B$49,FLOAT!F:F)</f>
        <v>0</v>
      </c>
      <c r="V4" s="990"/>
      <c r="W4" s="612"/>
      <c r="X4" s="471">
        <f>SUMIF(FLOAT!$D:$D,FRONT!$B$3:$B$49,FLOAT!G:G)</f>
        <v>0</v>
      </c>
      <c r="Y4" s="62">
        <f>SUMIF(FLOAT!$D:$D,FRONT!$B$3:$B$49,FLOAT!H:H)</f>
        <v>0</v>
      </c>
      <c r="Z4" s="62">
        <f>SUMIF(FLOAT!$D:$D,FRONT!$B$3:$B$49,FLOAT!I:I)</f>
        <v>0</v>
      </c>
      <c r="AA4" s="62">
        <f>SUMIF(FLOAT!$D:$D,FRONT!$B$3:$B$49,FLOAT!J:J)</f>
        <v>0</v>
      </c>
      <c r="AB4" s="62">
        <f>SUMIF(FLOAT!$D:$D,FRONT!$B$3:$B$49,FLOAT!K:K)</f>
        <v>0</v>
      </c>
      <c r="AC4" s="62">
        <f>SUMIF(FLOAT!$D:$D,FRONT!$B$3:$B$49,FLOAT!L:L)</f>
        <v>0</v>
      </c>
      <c r="AD4" s="62">
        <f>SUMIF(FLOAT!$D:$D,FRONT!$B$3:$B$49,FLOAT!M:M)</f>
        <v>0</v>
      </c>
      <c r="AE4" s="62">
        <f>SUMIF(FLOAT!$D:$D,FRONT!$B$3:$B$49,FLOAT!N:N)</f>
        <v>0</v>
      </c>
      <c r="AF4" s="62">
        <f>SUMIF(FLOAT!$D:$D,FRONT!$B$3:$B$49,FLOAT!O:O)</f>
        <v>0</v>
      </c>
      <c r="AG4" s="62">
        <f>SUMIF(FLOAT!$D:$D,FRONT!$B$3:$B$49,FLOAT!P:P)</f>
        <v>0</v>
      </c>
      <c r="AH4" s="62">
        <f t="shared" ref="AH4:AH38" si="2">AF4+AG4+X4+Y4+Z4+AA4+AB4+AC4+AE4</f>
        <v>0</v>
      </c>
    </row>
    <row r="5" spans="1:34" ht="19.5" hidden="1" customHeight="1" x14ac:dyDescent="0.25">
      <c r="A5" s="960">
        <v>544554620377</v>
      </c>
      <c r="B5" s="408" t="s">
        <v>242</v>
      </c>
      <c r="C5" s="729" t="s">
        <v>571</v>
      </c>
      <c r="D5" s="379"/>
      <c r="E5" s="374">
        <f>D5</f>
        <v>0</v>
      </c>
      <c r="F5" s="963">
        <v>0</v>
      </c>
      <c r="G5" s="964">
        <f>N5</f>
        <v>0</v>
      </c>
      <c r="H5" s="375">
        <f t="shared" si="1"/>
        <v>0</v>
      </c>
      <c r="I5" s="399">
        <f t="shared" si="0"/>
        <v>0</v>
      </c>
      <c r="J5" s="970">
        <f>F5+G5-H5-H6</f>
        <v>0</v>
      </c>
      <c r="K5" s="402">
        <f>SUMIF('3 D P'!$D:$D,Cockpit!$E$5:$E$146,'3 D P'!I:I)</f>
        <v>0</v>
      </c>
      <c r="L5" s="380">
        <f>SUMIF('3 D P'!$D:$D,Cockpit!$E$5:$E$146,'3 D P'!J:J)</f>
        <v>0</v>
      </c>
      <c r="M5" s="380">
        <f>SUMIF('3 D P'!$D:$D,Cockpit!$E$5:$E$146,'3 D P'!K:K)</f>
        <v>0</v>
      </c>
      <c r="N5" s="381">
        <f>IFERROR(VLOOKUP($A5,'Front Dispatch'!$A:$B,2,FALSE),0)</f>
        <v>0</v>
      </c>
      <c r="O5" s="380">
        <f>SUMIF('Consumption MTD'!B:B,FRONT!$B$3:$B$49,'Consumption MTD'!C:C)</f>
        <v>0</v>
      </c>
      <c r="P5" s="372">
        <f>SUMIF('BIW Lifting A Shift'!$B:$B,FRONT!$B$3:$B$49,'BIW Lifting A Shift'!C:C)</f>
        <v>0</v>
      </c>
      <c r="Q5" s="407">
        <f>SUMIF('BIW Lifting B Shift'!$B:$B,FRONT!$B$3:$B$49,'BIW Lifting B Shift'!C:C)</f>
        <v>0</v>
      </c>
      <c r="R5" s="958">
        <f>J5-U5-U6</f>
        <v>0</v>
      </c>
      <c r="S5" s="958">
        <f>J5-P5-P6-U6-U5</f>
        <v>0</v>
      </c>
      <c r="T5" s="958">
        <f>S5-Q5-Q6</f>
        <v>0</v>
      </c>
      <c r="U5" s="467">
        <f>SUMIF(FLOAT!$D:$D,FRONT!$B$3:$B$49,FLOAT!F:F)</f>
        <v>0</v>
      </c>
      <c r="V5" s="990">
        <f>E5-(F5+G5)</f>
        <v>0</v>
      </c>
      <c r="W5" s="612"/>
      <c r="X5" s="471">
        <f>SUMIF(FLOAT!$D:$D,FRONT!$B$3:$B$49,FLOAT!G:G)</f>
        <v>0</v>
      </c>
      <c r="Y5" s="62">
        <f>SUMIF(FLOAT!$D:$D,FRONT!$B$3:$B$49,FLOAT!H:H)</f>
        <v>0</v>
      </c>
      <c r="Z5" s="62">
        <f>SUMIF(FLOAT!$D:$D,FRONT!$B$3:$B$49,FLOAT!I:I)</f>
        <v>0</v>
      </c>
      <c r="AA5" s="62">
        <f>SUMIF(FLOAT!$D:$D,FRONT!$B$3:$B$49,FLOAT!J:J)</f>
        <v>0</v>
      </c>
      <c r="AB5" s="62">
        <f>SUMIF(FLOAT!$D:$D,FRONT!$B$3:$B$49,FLOAT!K:K)</f>
        <v>0</v>
      </c>
      <c r="AC5" s="62">
        <f>SUMIF(FLOAT!$D:$D,FRONT!$B$3:$B$49,FLOAT!L:L)</f>
        <v>0</v>
      </c>
      <c r="AD5" s="62">
        <f>SUMIF(FLOAT!$D:$D,FRONT!$B$3:$B$49,FLOAT!M:M)</f>
        <v>0</v>
      </c>
      <c r="AE5" s="62">
        <f>SUMIF(FLOAT!$D:$D,FRONT!$B$3:$B$49,FLOAT!N:N)</f>
        <v>0</v>
      </c>
      <c r="AF5" s="62">
        <f>SUMIF(FLOAT!$D:$D,FRONT!$B$3:$B$49,FLOAT!O:O)</f>
        <v>0</v>
      </c>
      <c r="AG5" s="62">
        <f>SUMIF(FLOAT!$D:$D,FRONT!$B$3:$B$49,FLOAT!P:P)</f>
        <v>0</v>
      </c>
      <c r="AH5" s="62">
        <f t="shared" si="2"/>
        <v>0</v>
      </c>
    </row>
    <row r="6" spans="1:34" ht="19.5" hidden="1" customHeight="1" x14ac:dyDescent="0.25">
      <c r="A6" s="960"/>
      <c r="B6" s="408" t="s">
        <v>559</v>
      </c>
      <c r="C6" s="729" t="s">
        <v>571</v>
      </c>
      <c r="D6" s="379"/>
      <c r="E6" s="374">
        <f>D6</f>
        <v>0</v>
      </c>
      <c r="F6" s="963"/>
      <c r="G6" s="964"/>
      <c r="H6" s="375">
        <f t="shared" si="1"/>
        <v>0</v>
      </c>
      <c r="I6" s="399">
        <f t="shared" si="0"/>
        <v>0</v>
      </c>
      <c r="J6" s="970"/>
      <c r="K6" s="402">
        <f>SUMIF('3 D P'!$D:$D,Cockpit!$E$5:$E$146,'3 D P'!I:I)</f>
        <v>0</v>
      </c>
      <c r="L6" s="380">
        <f>SUMIF('3 D P'!$D:$D,Cockpit!$E$5:$E$146,'3 D P'!J:J)</f>
        <v>0</v>
      </c>
      <c r="M6" s="380">
        <f>SUMIF('3 D P'!$D:$D,Cockpit!$E$5:$E$146,'3 D P'!K:K)</f>
        <v>0</v>
      </c>
      <c r="N6" s="381">
        <f>IFERROR(VLOOKUP($A6,'Front Dispatch'!$A:$B,2,FALSE),0)</f>
        <v>0</v>
      </c>
      <c r="O6" s="380"/>
      <c r="P6" s="372">
        <f>SUMIF('BIW Lifting A Shift'!$B:$B,FRONT!$B$3:$B$49,'BIW Lifting A Shift'!C:C)</f>
        <v>0</v>
      </c>
      <c r="Q6" s="407">
        <f>SUMIF('BIW Lifting B Shift'!$B:$B,FRONT!$B$3:$B$49,'BIW Lifting B Shift'!C:C)</f>
        <v>0</v>
      </c>
      <c r="R6" s="959"/>
      <c r="S6" s="959"/>
      <c r="T6" s="959"/>
      <c r="U6" s="467">
        <f>SUMIF(FLOAT!$D:$D,FRONT!$B$3:$B$49,FLOAT!F:F)</f>
        <v>0</v>
      </c>
      <c r="V6" s="990"/>
      <c r="W6" s="612"/>
      <c r="X6" s="471">
        <f>SUMIF(FLOAT!$D:$D,FRONT!$B$3:$B$49,FLOAT!G:G)</f>
        <v>0</v>
      </c>
      <c r="Y6" s="62">
        <f>SUMIF(FLOAT!$D:$D,FRONT!$B$3:$B$49,FLOAT!H:H)</f>
        <v>0</v>
      </c>
      <c r="Z6" s="62">
        <f>SUMIF(FLOAT!$D:$D,FRONT!$B$3:$B$49,FLOAT!I:I)</f>
        <v>0</v>
      </c>
      <c r="AA6" s="62">
        <f>SUMIF(FLOAT!$D:$D,FRONT!$B$3:$B$49,FLOAT!J:J)</f>
        <v>0</v>
      </c>
      <c r="AB6" s="62">
        <f>SUMIF(FLOAT!$D:$D,FRONT!$B$3:$B$49,FLOAT!K:K)</f>
        <v>0</v>
      </c>
      <c r="AC6" s="62">
        <f>SUMIF(FLOAT!$D:$D,FRONT!$B$3:$B$49,FLOAT!L:L)</f>
        <v>0</v>
      </c>
      <c r="AD6" s="62">
        <f>SUMIF(FLOAT!$D:$D,FRONT!$B$3:$B$49,FLOAT!M:M)</f>
        <v>0</v>
      </c>
      <c r="AE6" s="62">
        <f>SUMIF(FLOAT!$D:$D,FRONT!$B$3:$B$49,FLOAT!N:N)</f>
        <v>0</v>
      </c>
      <c r="AF6" s="62">
        <f>SUMIF(FLOAT!$D:$D,FRONT!$B$3:$B$49,FLOAT!O:O)</f>
        <v>0</v>
      </c>
      <c r="AG6" s="62">
        <f>SUMIF(FLOAT!$D:$D,FRONT!$B$3:$B$49,FLOAT!P:P)</f>
        <v>0</v>
      </c>
      <c r="AH6" s="62">
        <f t="shared" si="2"/>
        <v>0</v>
      </c>
    </row>
    <row r="7" spans="1:34" ht="19.5" hidden="1" customHeight="1" x14ac:dyDescent="0.25">
      <c r="A7" s="784">
        <v>544554630334</v>
      </c>
      <c r="B7" s="491" t="s">
        <v>243</v>
      </c>
      <c r="C7" s="729" t="s">
        <v>571</v>
      </c>
      <c r="D7" s="379"/>
      <c r="E7" s="374">
        <f>D7</f>
        <v>0</v>
      </c>
      <c r="F7" s="410">
        <v>0</v>
      </c>
      <c r="G7" s="376">
        <f>N7</f>
        <v>0</v>
      </c>
      <c r="H7" s="375">
        <f t="shared" si="1"/>
        <v>0</v>
      </c>
      <c r="I7" s="399">
        <f t="shared" si="0"/>
        <v>0</v>
      </c>
      <c r="J7" s="404">
        <f>F7+G7-H7</f>
        <v>0</v>
      </c>
      <c r="K7" s="402">
        <f>SUMIF('3 D P'!$D:$D,Cockpit!$E$5:$E$146,'3 D P'!I:I)</f>
        <v>0</v>
      </c>
      <c r="L7" s="380">
        <f>SUMIF('3 D P'!$D:$D,Cockpit!$E$5:$E$146,'3 D P'!J:J)</f>
        <v>0</v>
      </c>
      <c r="M7" s="380">
        <f>SUMIF('3 D P'!$D:$D,Cockpit!$E$5:$E$146,'3 D P'!K:K)</f>
        <v>0</v>
      </c>
      <c r="N7" s="381">
        <f>IFERROR(VLOOKUP($A7,'Front Dispatch'!$A:$B,2,FALSE),0)</f>
        <v>0</v>
      </c>
      <c r="O7" s="380">
        <f>SUMIF('Consumption MTD'!B:B,FRONT!$B$3:$B$49,'Consumption MTD'!C:C)</f>
        <v>0</v>
      </c>
      <c r="P7" s="372">
        <f>SUMIF('BIW Lifting A Shift'!$B:$B,FRONT!$B$3:$B$49,'BIW Lifting A Shift'!C:C)</f>
        <v>0</v>
      </c>
      <c r="Q7" s="407">
        <f>SUMIF('BIW Lifting B Shift'!$B:$B,FRONT!$B$3:$B$49,'BIW Lifting B Shift'!C:C)</f>
        <v>0</v>
      </c>
      <c r="R7" s="406">
        <f>J7-U7</f>
        <v>0</v>
      </c>
      <c r="S7" s="406">
        <f>J7-P7-U7</f>
        <v>0</v>
      </c>
      <c r="T7" s="406">
        <f>S7-Q7</f>
        <v>0</v>
      </c>
      <c r="U7" s="467">
        <f>SUMIF(FLOAT!$D:$D,FRONT!$B$3:$B$49,FLOAT!F:F)</f>
        <v>0</v>
      </c>
      <c r="V7" s="473">
        <f>E7-(F7+G7)</f>
        <v>0</v>
      </c>
      <c r="W7" s="612"/>
      <c r="X7" s="471">
        <f>SUMIF(FLOAT!$D:$D,FRONT!$B$3:$B$49,FLOAT!G:G)</f>
        <v>0</v>
      </c>
      <c r="Y7" s="62">
        <f>SUMIF(FLOAT!$D:$D,FRONT!$B$3:$B$49,FLOAT!H:H)</f>
        <v>0</v>
      </c>
      <c r="Z7" s="62">
        <f>SUMIF(FLOAT!$D:$D,FRONT!$B$3:$B$49,FLOAT!I:I)</f>
        <v>0</v>
      </c>
      <c r="AA7" s="62">
        <f>SUMIF(FLOAT!$D:$D,FRONT!$B$3:$B$49,FLOAT!J:J)</f>
        <v>0</v>
      </c>
      <c r="AB7" s="62">
        <f>SUMIF(FLOAT!$D:$D,FRONT!$B$3:$B$49,FLOAT!K:K)</f>
        <v>0</v>
      </c>
      <c r="AC7" s="62">
        <f>SUMIF(FLOAT!$D:$D,FRONT!$B$3:$B$49,FLOAT!L:L)</f>
        <v>0</v>
      </c>
      <c r="AD7" s="62">
        <f>SUMIF(FLOAT!$D:$D,FRONT!$B$3:$B$49,FLOAT!M:M)</f>
        <v>0</v>
      </c>
      <c r="AE7" s="62">
        <f>SUMIF(FLOAT!$D:$D,FRONT!$B$3:$B$49,FLOAT!N:N)</f>
        <v>0</v>
      </c>
      <c r="AF7" s="62">
        <f>SUMIF(FLOAT!$D:$D,FRONT!$B$3:$B$49,FLOAT!O:O)</f>
        <v>0</v>
      </c>
      <c r="AG7" s="62">
        <f>SUMIF(FLOAT!$D:$D,FRONT!$B$3:$B$49,FLOAT!P:P)</f>
        <v>0</v>
      </c>
      <c r="AH7" s="62">
        <f t="shared" si="2"/>
        <v>0</v>
      </c>
    </row>
    <row r="8" spans="1:34" ht="19.5" hidden="1" customHeight="1" x14ac:dyDescent="0.25">
      <c r="A8" s="1005">
        <v>544554630337</v>
      </c>
      <c r="B8" s="408" t="s">
        <v>245</v>
      </c>
      <c r="C8" s="729" t="s">
        <v>571</v>
      </c>
      <c r="D8" s="379"/>
      <c r="E8" s="1003">
        <f>SUM(D8:D13)</f>
        <v>0</v>
      </c>
      <c r="F8" s="963">
        <v>0</v>
      </c>
      <c r="G8" s="964">
        <f>N8</f>
        <v>0</v>
      </c>
      <c r="H8" s="375">
        <f t="shared" si="1"/>
        <v>0</v>
      </c>
      <c r="I8" s="399">
        <f t="shared" si="0"/>
        <v>0</v>
      </c>
      <c r="J8" s="970">
        <f>F8+G8-H8-H9-H10-H11-H12-H13</f>
        <v>0</v>
      </c>
      <c r="K8" s="402">
        <f>SUMIF('3 D P'!$D:$D,Cockpit!$E$5:$E$146,'3 D P'!I:I)</f>
        <v>0</v>
      </c>
      <c r="L8" s="380">
        <f>SUMIF('3 D P'!$D:$D,Cockpit!$E$5:$E$146,'3 D P'!J:J)</f>
        <v>0</v>
      </c>
      <c r="M8" s="380">
        <f>SUMIF('3 D P'!$D:$D,Cockpit!$E$5:$E$146,'3 D P'!K:K)</f>
        <v>0</v>
      </c>
      <c r="N8" s="381">
        <f>IFERROR(VLOOKUP($A8,'Front Dispatch'!$A:$B,2,FALSE),0)</f>
        <v>0</v>
      </c>
      <c r="O8" s="380">
        <f>SUMIF('Consumption MTD'!B:B,FRONT!$B$3:$B$49,'Consumption MTD'!C:C)</f>
        <v>0</v>
      </c>
      <c r="P8" s="372">
        <f>SUMIF('BIW Lifting A Shift'!$B:$B,FRONT!$B$3:$B$49,'BIW Lifting A Shift'!C:C)</f>
        <v>0</v>
      </c>
      <c r="Q8" s="407">
        <f>SUMIF('BIW Lifting B Shift'!$B:$B,FRONT!$B$3:$B$49,'BIW Lifting B Shift'!C:C)</f>
        <v>0</v>
      </c>
      <c r="R8" s="980">
        <f>J8-U8-U9-U10-U11-U12-U13</f>
        <v>0</v>
      </c>
      <c r="S8" s="980">
        <f>J8-P8-P9-P10-P11-P12-P13-U8-U9-U10-U11-U12-U13</f>
        <v>0</v>
      </c>
      <c r="T8" s="980">
        <f>S8-Q8-Q9-Q10-Q11-Q12-Q13</f>
        <v>0</v>
      </c>
      <c r="U8" s="467">
        <f>SUMIF(FLOAT!$D:$D,FRONT!$B$3:$B$49,FLOAT!F:F)</f>
        <v>0</v>
      </c>
      <c r="V8" s="990">
        <f>E8-(F8+G8)</f>
        <v>0</v>
      </c>
      <c r="W8" s="612"/>
      <c r="X8" s="471">
        <f>SUMIF(FLOAT!$D:$D,FRONT!$B$3:$B$49,FLOAT!G:G)</f>
        <v>0</v>
      </c>
      <c r="Y8" s="62">
        <f>SUMIF(FLOAT!$D:$D,FRONT!$B$3:$B$49,FLOAT!H:H)</f>
        <v>0</v>
      </c>
      <c r="Z8" s="62">
        <f>SUMIF(FLOAT!$D:$D,FRONT!$B$3:$B$49,FLOAT!I:I)</f>
        <v>0</v>
      </c>
      <c r="AA8" s="62">
        <f>SUMIF(FLOAT!$D:$D,FRONT!$B$3:$B$49,FLOAT!J:J)</f>
        <v>0</v>
      </c>
      <c r="AB8" s="62">
        <f>SUMIF(FLOAT!$D:$D,FRONT!$B$3:$B$49,FLOAT!K:K)</f>
        <v>0</v>
      </c>
      <c r="AC8" s="62">
        <f>SUMIF(FLOAT!$D:$D,FRONT!$B$3:$B$49,FLOAT!L:L)</f>
        <v>0</v>
      </c>
      <c r="AD8" s="62">
        <f>SUMIF(FLOAT!$D:$D,FRONT!$B$3:$B$49,FLOAT!M:M)</f>
        <v>0</v>
      </c>
      <c r="AE8" s="62">
        <f>SUMIF(FLOAT!$D:$D,FRONT!$B$3:$B$49,FLOAT!N:N)</f>
        <v>0</v>
      </c>
      <c r="AF8" s="62">
        <f>SUMIF(FLOAT!$D:$D,FRONT!$B$3:$B$49,FLOAT!O:O)</f>
        <v>0</v>
      </c>
      <c r="AG8" s="62">
        <f>SUMIF(FLOAT!$D:$D,FRONT!$B$3:$B$49,FLOAT!P:P)</f>
        <v>0</v>
      </c>
      <c r="AH8" s="62">
        <f t="shared" si="2"/>
        <v>0</v>
      </c>
    </row>
    <row r="9" spans="1:34" ht="19.5" hidden="1" customHeight="1" x14ac:dyDescent="0.25">
      <c r="A9" s="1005"/>
      <c r="B9" s="408" t="s">
        <v>118</v>
      </c>
      <c r="C9" s="729" t="s">
        <v>571</v>
      </c>
      <c r="D9" s="379"/>
      <c r="E9" s="1004"/>
      <c r="F9" s="963"/>
      <c r="G9" s="964"/>
      <c r="H9" s="375">
        <f t="shared" si="1"/>
        <v>0</v>
      </c>
      <c r="I9" s="399">
        <f t="shared" si="0"/>
        <v>0</v>
      </c>
      <c r="J9" s="970"/>
      <c r="K9" s="402">
        <f>SUMIF('3 D P'!$D:$D,Cockpit!$E$5:$E$146,'3 D P'!I:I)</f>
        <v>0</v>
      </c>
      <c r="L9" s="380">
        <f>SUMIF('3 D P'!$D:$D,Cockpit!$E$5:$E$146,'3 D P'!J:J)</f>
        <v>0</v>
      </c>
      <c r="M9" s="380">
        <f>SUMIF('3 D P'!$D:$D,Cockpit!$E$5:$E$146,'3 D P'!K:K)</f>
        <v>0</v>
      </c>
      <c r="N9" s="381">
        <f>IFERROR(VLOOKUP($A9,'Front Dispatch'!$A:$B,2,FALSE),0)</f>
        <v>0</v>
      </c>
      <c r="O9" s="380">
        <f>SUMIF('Consumption MTD'!B:B,FRONT!$B$3:$B$49,'Consumption MTD'!C:C)</f>
        <v>0</v>
      </c>
      <c r="P9" s="372">
        <f>SUMIF('BIW Lifting A Shift'!$B:$B,FRONT!$B$3:$B$49,'BIW Lifting A Shift'!C:C)</f>
        <v>0</v>
      </c>
      <c r="Q9" s="407">
        <f>SUMIF('BIW Lifting B Shift'!$B:$B,FRONT!$B$3:$B$49,'BIW Lifting B Shift'!C:C)</f>
        <v>0</v>
      </c>
      <c r="R9" s="980"/>
      <c r="S9" s="980"/>
      <c r="T9" s="980"/>
      <c r="U9" s="467">
        <f>SUMIF(FLOAT!$D:$D,FRONT!$B$3:$B$49,FLOAT!F:F)</f>
        <v>0</v>
      </c>
      <c r="V9" s="990"/>
      <c r="W9" s="612"/>
      <c r="X9" s="471">
        <f>SUMIF(FLOAT!$D:$D,FRONT!$B$3:$B$49,FLOAT!G:G)</f>
        <v>0</v>
      </c>
      <c r="Y9" s="62">
        <f>SUMIF(FLOAT!$D:$D,FRONT!$B$3:$B$49,FLOAT!H:H)</f>
        <v>0</v>
      </c>
      <c r="Z9" s="62">
        <f>SUMIF(FLOAT!$D:$D,FRONT!$B$3:$B$49,FLOAT!I:I)</f>
        <v>0</v>
      </c>
      <c r="AA9" s="62">
        <f>SUMIF(FLOAT!$D:$D,FRONT!$B$3:$B$49,FLOAT!J:J)</f>
        <v>0</v>
      </c>
      <c r="AB9" s="62">
        <f>SUMIF(FLOAT!$D:$D,FRONT!$B$3:$B$49,FLOAT!K:K)</f>
        <v>0</v>
      </c>
      <c r="AC9" s="62">
        <f>SUMIF(FLOAT!$D:$D,FRONT!$B$3:$B$49,FLOAT!L:L)</f>
        <v>0</v>
      </c>
      <c r="AD9" s="62">
        <f>SUMIF(FLOAT!$D:$D,FRONT!$B$3:$B$49,FLOAT!M:M)</f>
        <v>0</v>
      </c>
      <c r="AE9" s="62">
        <f>SUMIF(FLOAT!$D:$D,FRONT!$B$3:$B$49,FLOAT!N:N)</f>
        <v>0</v>
      </c>
      <c r="AF9" s="62">
        <f>SUMIF(FLOAT!$D:$D,FRONT!$B$3:$B$49,FLOAT!O:O)</f>
        <v>0</v>
      </c>
      <c r="AG9" s="62">
        <f>SUMIF(FLOAT!$D:$D,FRONT!$B$3:$B$49,FLOAT!P:P)</f>
        <v>0</v>
      </c>
      <c r="AH9" s="62">
        <f t="shared" si="2"/>
        <v>0</v>
      </c>
    </row>
    <row r="10" spans="1:34" ht="19.5" hidden="1" customHeight="1" x14ac:dyDescent="0.25">
      <c r="A10" s="1005"/>
      <c r="B10" s="408" t="s">
        <v>666</v>
      </c>
      <c r="C10" s="729" t="s">
        <v>571</v>
      </c>
      <c r="D10" s="379"/>
      <c r="E10" s="1004"/>
      <c r="F10" s="963"/>
      <c r="G10" s="964"/>
      <c r="H10" s="375">
        <f t="shared" si="1"/>
        <v>0</v>
      </c>
      <c r="I10" s="399">
        <f t="shared" si="0"/>
        <v>0</v>
      </c>
      <c r="J10" s="970"/>
      <c r="K10" s="402">
        <f>SUMIF('3 D P'!$D:$D,Cockpit!$E$5:$E$146,'3 D P'!I:I)</f>
        <v>0</v>
      </c>
      <c r="L10" s="380">
        <f>SUMIF('3 D P'!$D:$D,Cockpit!$E$5:$E$146,'3 D P'!J:J)</f>
        <v>0</v>
      </c>
      <c r="M10" s="380">
        <f>SUMIF('3 D P'!$D:$D,Cockpit!$E$5:$E$146,'3 D P'!K:K)</f>
        <v>0</v>
      </c>
      <c r="N10" s="381">
        <f>IFERROR(VLOOKUP($A10,'Front Dispatch'!$A:$B,2,FALSE),0)</f>
        <v>0</v>
      </c>
      <c r="O10" s="380">
        <f>SUMIF('Consumption MTD'!B:B,FRONT!$B$3:$B$49,'Consumption MTD'!C:C)</f>
        <v>0</v>
      </c>
      <c r="P10" s="372">
        <f>SUMIF('BIW Lifting A Shift'!$B:$B,FRONT!$B$3:$B$49,'BIW Lifting A Shift'!C:C)</f>
        <v>0</v>
      </c>
      <c r="Q10" s="407">
        <f>SUMIF('BIW Lifting B Shift'!$B:$B,FRONT!$B$3:$B$49,'BIW Lifting B Shift'!C:C)</f>
        <v>0</v>
      </c>
      <c r="R10" s="980"/>
      <c r="S10" s="980"/>
      <c r="T10" s="980"/>
      <c r="U10" s="467">
        <f>SUMIF(FLOAT!$D:$D,FRONT!$B$3:$B$49,FLOAT!F:F)</f>
        <v>0</v>
      </c>
      <c r="V10" s="990"/>
      <c r="W10" s="612"/>
      <c r="X10" s="471">
        <f>SUMIF(FLOAT!$D:$D,FRONT!$B$3:$B$49,FLOAT!G:G)</f>
        <v>0</v>
      </c>
      <c r="Y10" s="62">
        <f>SUMIF(FLOAT!$D:$D,FRONT!$B$3:$B$49,FLOAT!H:H)</f>
        <v>0</v>
      </c>
      <c r="Z10" s="62">
        <f>SUMIF(FLOAT!$D:$D,FRONT!$B$3:$B$49,FLOAT!I:I)</f>
        <v>0</v>
      </c>
      <c r="AA10" s="62">
        <f>SUMIF(FLOAT!$D:$D,FRONT!$B$3:$B$49,FLOAT!J:J)</f>
        <v>0</v>
      </c>
      <c r="AB10" s="62">
        <f>SUMIF(FLOAT!$D:$D,FRONT!$B$3:$B$49,FLOAT!K:K)</f>
        <v>0</v>
      </c>
      <c r="AC10" s="62">
        <f>SUMIF(FLOAT!$D:$D,FRONT!$B$3:$B$49,FLOAT!L:L)</f>
        <v>0</v>
      </c>
      <c r="AD10" s="62">
        <f>SUMIF(FLOAT!$D:$D,FRONT!$B$3:$B$49,FLOAT!M:M)</f>
        <v>0</v>
      </c>
      <c r="AE10" s="62">
        <f>SUMIF(FLOAT!$D:$D,FRONT!$B$3:$B$49,FLOAT!N:N)</f>
        <v>0</v>
      </c>
      <c r="AF10" s="62">
        <f>SUMIF(FLOAT!$D:$D,FRONT!$B$3:$B$49,FLOAT!O:O)</f>
        <v>0</v>
      </c>
      <c r="AG10" s="62">
        <f>SUMIF(FLOAT!$D:$D,FRONT!$B$3:$B$49,FLOAT!P:P)</f>
        <v>0</v>
      </c>
      <c r="AH10" s="62">
        <f t="shared" si="2"/>
        <v>0</v>
      </c>
    </row>
    <row r="11" spans="1:34" ht="19.5" hidden="1" customHeight="1" x14ac:dyDescent="0.25">
      <c r="A11" s="1005"/>
      <c r="B11" s="408" t="s">
        <v>119</v>
      </c>
      <c r="C11" s="729" t="s">
        <v>571</v>
      </c>
      <c r="D11" s="379"/>
      <c r="E11" s="1004"/>
      <c r="F11" s="963"/>
      <c r="G11" s="964"/>
      <c r="H11" s="375">
        <f t="shared" si="1"/>
        <v>0</v>
      </c>
      <c r="I11" s="399">
        <f t="shared" si="0"/>
        <v>0</v>
      </c>
      <c r="J11" s="970"/>
      <c r="K11" s="402">
        <f>SUMIF('3 D P'!$D:$D,Cockpit!$E$5:$E$146,'3 D P'!I:I)</f>
        <v>0</v>
      </c>
      <c r="L11" s="380">
        <f>SUMIF('3 D P'!$D:$D,Cockpit!$E$5:$E$146,'3 D P'!J:J)</f>
        <v>0</v>
      </c>
      <c r="M11" s="380">
        <f>SUMIF('3 D P'!$D:$D,Cockpit!$E$5:$E$146,'3 D P'!K:K)</f>
        <v>0</v>
      </c>
      <c r="N11" s="381">
        <f>IFERROR(VLOOKUP($A11,'Front Dispatch'!$A:$B,2,FALSE),0)</f>
        <v>0</v>
      </c>
      <c r="O11" s="380">
        <f>SUMIF('Consumption MTD'!B:B,FRONT!$B$3:$B$49,'Consumption MTD'!C:C)</f>
        <v>0</v>
      </c>
      <c r="P11" s="372">
        <f>SUMIF('BIW Lifting A Shift'!$B:$B,FRONT!$B$3:$B$49,'BIW Lifting A Shift'!C:C)</f>
        <v>0</v>
      </c>
      <c r="Q11" s="407">
        <f>SUMIF('BIW Lifting B Shift'!$B:$B,FRONT!$B$3:$B$49,'BIW Lifting B Shift'!C:C)</f>
        <v>0</v>
      </c>
      <c r="R11" s="980"/>
      <c r="S11" s="980"/>
      <c r="T11" s="980"/>
      <c r="U11" s="467">
        <f>SUMIF(FLOAT!$D:$D,FRONT!$B$3:$B$49,FLOAT!F:F)</f>
        <v>0</v>
      </c>
      <c r="V11" s="990"/>
      <c r="W11" s="612"/>
      <c r="X11" s="471">
        <f>SUMIF(FLOAT!$D:$D,FRONT!$B$3:$B$49,FLOAT!G:G)</f>
        <v>0</v>
      </c>
      <c r="Y11" s="62">
        <f>SUMIF(FLOAT!$D:$D,FRONT!$B$3:$B$49,FLOAT!H:H)</f>
        <v>0</v>
      </c>
      <c r="Z11" s="62">
        <f>SUMIF(FLOAT!$D:$D,FRONT!$B$3:$B$49,FLOAT!I:I)</f>
        <v>0</v>
      </c>
      <c r="AA11" s="62">
        <f>SUMIF(FLOAT!$D:$D,FRONT!$B$3:$B$49,FLOAT!J:J)</f>
        <v>0</v>
      </c>
      <c r="AB11" s="62">
        <f>SUMIF(FLOAT!$D:$D,FRONT!$B$3:$B$49,FLOAT!K:K)</f>
        <v>0</v>
      </c>
      <c r="AC11" s="62">
        <f>SUMIF(FLOAT!$D:$D,FRONT!$B$3:$B$49,FLOAT!L:L)</f>
        <v>0</v>
      </c>
      <c r="AD11" s="62">
        <f>SUMIF(FLOAT!$D:$D,FRONT!$B$3:$B$49,FLOAT!M:M)</f>
        <v>0</v>
      </c>
      <c r="AE11" s="62">
        <f>SUMIF(FLOAT!$D:$D,FRONT!$B$3:$B$49,FLOAT!N:N)</f>
        <v>0</v>
      </c>
      <c r="AF11" s="62">
        <f>SUMIF(FLOAT!$D:$D,FRONT!$B$3:$B$49,FLOAT!O:O)</f>
        <v>0</v>
      </c>
      <c r="AG11" s="62">
        <f>SUMIF(FLOAT!$D:$D,FRONT!$B$3:$B$49,FLOAT!P:P)</f>
        <v>0</v>
      </c>
      <c r="AH11" s="62">
        <f t="shared" si="2"/>
        <v>0</v>
      </c>
    </row>
    <row r="12" spans="1:34" ht="19.5" hidden="1" customHeight="1" x14ac:dyDescent="0.25">
      <c r="A12" s="1005"/>
      <c r="B12" s="361" t="s">
        <v>272</v>
      </c>
      <c r="C12" s="729" t="s">
        <v>571</v>
      </c>
      <c r="D12" s="379"/>
      <c r="E12" s="1004"/>
      <c r="F12" s="963"/>
      <c r="G12" s="964"/>
      <c r="H12" s="375">
        <f>O12</f>
        <v>0</v>
      </c>
      <c r="I12" s="399">
        <f>E12-H12</f>
        <v>0</v>
      </c>
      <c r="J12" s="970"/>
      <c r="K12" s="402">
        <f>SUMIF('3 D P'!$D:$D,Cockpit!$E$5:$E$146,'3 D P'!I:I)</f>
        <v>0</v>
      </c>
      <c r="L12" s="380">
        <f>SUMIF('3 D P'!$D:$D,Cockpit!$E$5:$E$146,'3 D P'!J:J)</f>
        <v>0</v>
      </c>
      <c r="M12" s="380">
        <f>SUMIF('3 D P'!$D:$D,Cockpit!$E$5:$E$146,'3 D P'!K:K)</f>
        <v>0</v>
      </c>
      <c r="N12" s="381">
        <f>IFERROR(VLOOKUP($A12,'Front Dispatch'!$A:$B,2,FALSE),0)</f>
        <v>0</v>
      </c>
      <c r="O12" s="380">
        <f>SUMIF('Consumption MTD'!B:B,FRONT!$B$3:$B$49,'Consumption MTD'!C:C)</f>
        <v>0</v>
      </c>
      <c r="P12" s="372">
        <f>SUMIF('BIW Lifting A Shift'!$B:$B,FRONT!$B$3:$B$49,'BIW Lifting A Shift'!C:C)</f>
        <v>0</v>
      </c>
      <c r="Q12" s="407">
        <f>SUMIF('BIW Lifting B Shift'!$B:$B,FRONT!$B$3:$B$49,'BIW Lifting B Shift'!C:C)</f>
        <v>0</v>
      </c>
      <c r="R12" s="980"/>
      <c r="S12" s="980"/>
      <c r="T12" s="980"/>
      <c r="U12" s="467">
        <f>SUMIF(FLOAT!$D:$D,FRONT!$B$3:$B$49,FLOAT!F:F)</f>
        <v>0</v>
      </c>
      <c r="V12" s="990"/>
      <c r="W12" s="612"/>
      <c r="X12" s="471">
        <f>SUMIF(FLOAT!$D:$D,FRONT!$B$3:$B$49,FLOAT!G:G)</f>
        <v>0</v>
      </c>
      <c r="Y12" s="62">
        <f>SUMIF(FLOAT!$D:$D,FRONT!$B$3:$B$49,FLOAT!H:H)</f>
        <v>0</v>
      </c>
      <c r="Z12" s="62">
        <f>SUMIF(FLOAT!$D:$D,FRONT!$B$3:$B$49,FLOAT!I:I)</f>
        <v>0</v>
      </c>
      <c r="AA12" s="62">
        <f>SUMIF(FLOAT!$D:$D,FRONT!$B$3:$B$49,FLOAT!J:J)</f>
        <v>0</v>
      </c>
      <c r="AB12" s="62">
        <f>SUMIF(FLOAT!$D:$D,FRONT!$B$3:$B$49,FLOAT!K:K)</f>
        <v>0</v>
      </c>
      <c r="AC12" s="62">
        <f>SUMIF(FLOAT!$D:$D,FRONT!$B$3:$B$49,FLOAT!L:L)</f>
        <v>0</v>
      </c>
      <c r="AD12" s="62">
        <f>SUMIF(FLOAT!$D:$D,FRONT!$B$3:$B$49,FLOAT!M:M)</f>
        <v>0</v>
      </c>
      <c r="AE12" s="62">
        <f>SUMIF(FLOAT!$D:$D,FRONT!$B$3:$B$49,FLOAT!N:N)</f>
        <v>0</v>
      </c>
      <c r="AF12" s="62">
        <f>SUMIF(FLOAT!$D:$D,FRONT!$B$3:$B$49,FLOAT!O:O)</f>
        <v>0</v>
      </c>
      <c r="AG12" s="62">
        <f>SUMIF(FLOAT!$D:$D,FRONT!$B$3:$B$49,FLOAT!P:P)</f>
        <v>0</v>
      </c>
      <c r="AH12" s="62">
        <f t="shared" si="2"/>
        <v>0</v>
      </c>
    </row>
    <row r="13" spans="1:34" ht="19.5" hidden="1" customHeight="1" x14ac:dyDescent="0.25">
      <c r="A13" s="1005"/>
      <c r="B13" s="408" t="s">
        <v>271</v>
      </c>
      <c r="C13" s="729" t="s">
        <v>571</v>
      </c>
      <c r="D13" s="379"/>
      <c r="E13" s="962"/>
      <c r="F13" s="963"/>
      <c r="G13" s="964"/>
      <c r="H13" s="375">
        <f t="shared" si="1"/>
        <v>0</v>
      </c>
      <c r="I13" s="399">
        <f t="shared" si="0"/>
        <v>0</v>
      </c>
      <c r="J13" s="970"/>
      <c r="K13" s="402">
        <f>SUMIF('3 D P'!$D:$D,Cockpit!$E$5:$E$146,'3 D P'!I:I)</f>
        <v>0</v>
      </c>
      <c r="L13" s="380">
        <f>SUMIF('3 D P'!$D:$D,Cockpit!$E$5:$E$146,'3 D P'!J:J)</f>
        <v>0</v>
      </c>
      <c r="M13" s="380">
        <f>SUMIF('3 D P'!$D:$D,Cockpit!$E$5:$E$146,'3 D P'!K:K)</f>
        <v>0</v>
      </c>
      <c r="N13" s="381">
        <f>IFERROR(VLOOKUP($A13,'Front Dispatch'!$A:$B,2,FALSE),0)</f>
        <v>0</v>
      </c>
      <c r="O13" s="380">
        <f>SUMIF('Consumption MTD'!B:B,FRONT!$B$3:$B$49,'Consumption MTD'!C:C)</f>
        <v>0</v>
      </c>
      <c r="P13" s="372">
        <f>SUMIF('BIW Lifting A Shift'!$B:$B,FRONT!$B$3:$B$49,'BIW Lifting A Shift'!C:C)</f>
        <v>0</v>
      </c>
      <c r="Q13" s="407">
        <f>SUMIF('BIW Lifting B Shift'!$B:$B,FRONT!$B$3:$B$49,'BIW Lifting B Shift'!C:C)</f>
        <v>0</v>
      </c>
      <c r="R13" s="980"/>
      <c r="S13" s="980"/>
      <c r="T13" s="980"/>
      <c r="U13" s="467">
        <f>SUMIF(FLOAT!$D:$D,FRONT!$B$3:$B$49,FLOAT!F:F)</f>
        <v>0</v>
      </c>
      <c r="V13" s="990"/>
      <c r="W13" s="612"/>
      <c r="X13" s="471">
        <f>SUMIF(FLOAT!$D:$D,FRONT!$B$3:$B$49,FLOAT!G:G)</f>
        <v>0</v>
      </c>
      <c r="Y13" s="62">
        <f>SUMIF(FLOAT!$D:$D,FRONT!$B$3:$B$49,FLOAT!H:H)</f>
        <v>0</v>
      </c>
      <c r="Z13" s="62">
        <f>SUMIF(FLOAT!$D:$D,FRONT!$B$3:$B$49,FLOAT!I:I)</f>
        <v>0</v>
      </c>
      <c r="AA13" s="62">
        <f>SUMIF(FLOAT!$D:$D,FRONT!$B$3:$B$49,FLOAT!J:J)</f>
        <v>0</v>
      </c>
      <c r="AB13" s="62">
        <f>SUMIF(FLOAT!$D:$D,FRONT!$B$3:$B$49,FLOAT!K:K)</f>
        <v>0</v>
      </c>
      <c r="AC13" s="62">
        <f>SUMIF(FLOAT!$D:$D,FRONT!$B$3:$B$49,FLOAT!L:L)</f>
        <v>0</v>
      </c>
      <c r="AD13" s="62">
        <f>SUMIF(FLOAT!$D:$D,FRONT!$B$3:$B$49,FLOAT!M:M)</f>
        <v>0</v>
      </c>
      <c r="AE13" s="62">
        <f>SUMIF(FLOAT!$D:$D,FRONT!$B$3:$B$49,FLOAT!N:N)</f>
        <v>0</v>
      </c>
      <c r="AF13" s="62">
        <f>SUMIF(FLOAT!$D:$D,FRONT!$B$3:$B$49,FLOAT!O:O)</f>
        <v>0</v>
      </c>
      <c r="AG13" s="62">
        <f>SUMIF(FLOAT!$D:$D,FRONT!$B$3:$B$49,FLOAT!P:P)</f>
        <v>0</v>
      </c>
      <c r="AH13" s="62">
        <f t="shared" si="2"/>
        <v>0</v>
      </c>
    </row>
    <row r="14" spans="1:34" ht="19.5" customHeight="1" x14ac:dyDescent="0.25">
      <c r="A14" s="974">
        <v>544554610502</v>
      </c>
      <c r="B14" s="408" t="s">
        <v>137</v>
      </c>
      <c r="C14" s="729" t="s">
        <v>571</v>
      </c>
      <c r="D14" s="379"/>
      <c r="E14" s="1003">
        <f>SUM(D14:D19)</f>
        <v>0</v>
      </c>
      <c r="F14" s="963">
        <v>5</v>
      </c>
      <c r="G14" s="964">
        <f>N14</f>
        <v>0</v>
      </c>
      <c r="H14" s="375">
        <f t="shared" si="1"/>
        <v>0</v>
      </c>
      <c r="I14" s="985">
        <f>E14-H19</f>
        <v>0</v>
      </c>
      <c r="J14" s="970">
        <f>F14+G14-H14-H15-H16-H17-H18-H19</f>
        <v>5</v>
      </c>
      <c r="K14" s="402">
        <f>SUMIF('3 D P'!$D:$D,Cockpit!$E$5:$E$146,'3 D P'!I:I)</f>
        <v>0</v>
      </c>
      <c r="L14" s="380">
        <f>SUMIF('3 D P'!$D:$D,Cockpit!$E$5:$E$146,'3 D P'!J:J)</f>
        <v>0</v>
      </c>
      <c r="M14" s="380">
        <f>SUMIF('3 D P'!$D:$D,Cockpit!$E$5:$E$146,'3 D P'!K:K)</f>
        <v>0</v>
      </c>
      <c r="N14" s="381">
        <f>IFERROR(VLOOKUP(A14,'Front Dispatch'!A:B,2,0),0)</f>
        <v>0</v>
      </c>
      <c r="O14" s="380">
        <f>SUMIF('Consumption MTD'!B:B,FRONT!$B$3:$B$49,'Consumption MTD'!C:C)</f>
        <v>0</v>
      </c>
      <c r="P14" s="372">
        <f>SUMIF('BIW Lifting A Shift'!$B:$B,FRONT!$B$3:$B$49,'BIW Lifting A Shift'!C:C)</f>
        <v>0</v>
      </c>
      <c r="Q14" s="407">
        <f>SUMIF('BIW Lifting B Shift'!$B:$B,FRONT!$B$3:$B$49,'BIW Lifting B Shift'!C:C)</f>
        <v>0</v>
      </c>
      <c r="R14" s="958">
        <f>J14-U14-U15-U16-U17-U18-U19</f>
        <v>5</v>
      </c>
      <c r="S14" s="980">
        <f>J14-P14-P15-P16-P17-P18-P19-U14-U15-U16-U17-U18-U19</f>
        <v>5</v>
      </c>
      <c r="T14" s="980">
        <f>S14-Q14-Q15-Q16-Q17-Q18-Q19</f>
        <v>5</v>
      </c>
      <c r="U14" s="467">
        <f>SUMIF(FLOAT!$D:$D,FRONT!$B$3:$B$49,FLOAT!F:F)</f>
        <v>0</v>
      </c>
      <c r="V14" s="990">
        <f>E14-(F14+G14)</f>
        <v>-5</v>
      </c>
      <c r="W14" s="1016">
        <v>5</v>
      </c>
      <c r="X14" s="471">
        <f>SUMIF(FLOAT!$D:$D,FRONT!$B$3:$B$49,FLOAT!G:G)</f>
        <v>0</v>
      </c>
      <c r="Y14" s="62">
        <f>SUMIF(FLOAT!$D:$D,FRONT!$B$3:$B$49,FLOAT!H:H)</f>
        <v>0</v>
      </c>
      <c r="Z14" s="62">
        <f>SUMIF(FLOAT!$D:$D,FRONT!$B$3:$B$49,FLOAT!I:I)</f>
        <v>0</v>
      </c>
      <c r="AA14" s="62">
        <f>SUMIF(FLOAT!$D:$D,FRONT!$B$3:$B$49,FLOAT!J:J)</f>
        <v>0</v>
      </c>
      <c r="AB14" s="62">
        <f>SUMIF(FLOAT!$D:$D,FRONT!$B$3:$B$49,FLOAT!K:K)</f>
        <v>0</v>
      </c>
      <c r="AC14" s="62">
        <f>SUMIF(FLOAT!$D:$D,FRONT!$B$3:$B$49,FLOAT!L:L)</f>
        <v>0</v>
      </c>
      <c r="AD14" s="62">
        <f>SUMIF(FLOAT!$D:$D,FRONT!$B$3:$B$49,FLOAT!M:M)</f>
        <v>0</v>
      </c>
      <c r="AE14" s="62">
        <f>SUMIF(FLOAT!$D:$D,FRONT!$B$3:$B$49,FLOAT!N:N)</f>
        <v>0</v>
      </c>
      <c r="AF14" s="62">
        <f>SUMIF(FLOAT!$D:$D,FRONT!$B$3:$B$49,FLOAT!O:O)</f>
        <v>0</v>
      </c>
      <c r="AG14" s="62">
        <f>SUMIF(FLOAT!$D:$D,FRONT!$B$3:$B$49,FLOAT!P:P)</f>
        <v>0</v>
      </c>
      <c r="AH14" s="62">
        <f t="shared" si="2"/>
        <v>0</v>
      </c>
    </row>
    <row r="15" spans="1:34" ht="19.5" customHeight="1" x14ac:dyDescent="0.25">
      <c r="A15" s="974"/>
      <c r="B15" s="408" t="s">
        <v>139</v>
      </c>
      <c r="C15" s="729" t="s">
        <v>571</v>
      </c>
      <c r="D15" s="379"/>
      <c r="E15" s="1004"/>
      <c r="F15" s="963"/>
      <c r="G15" s="964"/>
      <c r="H15" s="375">
        <f t="shared" si="1"/>
        <v>0</v>
      </c>
      <c r="I15" s="986"/>
      <c r="J15" s="970"/>
      <c r="K15" s="402">
        <f>SUMIF('3 D P'!$D:$D,Cockpit!$E$5:$E$146,'3 D P'!I:I)</f>
        <v>0</v>
      </c>
      <c r="L15" s="380">
        <f>SUMIF('3 D P'!$D:$D,Cockpit!$E$5:$E$146,'3 D P'!J:J)</f>
        <v>0</v>
      </c>
      <c r="M15" s="380">
        <f>SUMIF('3 D P'!$D:$D,Cockpit!$E$5:$E$146,'3 D P'!K:K)</f>
        <v>0</v>
      </c>
      <c r="N15" s="381">
        <f>IFERROR(VLOOKUP(A15,'Front Dispatch'!A:B,2,0),0)</f>
        <v>0</v>
      </c>
      <c r="O15" s="380">
        <f>SUMIF('Consumption MTD'!B:B,FRONT!$B$3:$B$49,'Consumption MTD'!C:C)</f>
        <v>0</v>
      </c>
      <c r="P15" s="372">
        <f>SUMIF('BIW Lifting A Shift'!$B:$B,FRONT!$B$3:$B$49,'BIW Lifting A Shift'!C:C)</f>
        <v>0</v>
      </c>
      <c r="Q15" s="407">
        <f>SUMIF('BIW Lifting B Shift'!$B:$B,FRONT!$B$3:$B$49,'BIW Lifting B Shift'!C:C)</f>
        <v>0</v>
      </c>
      <c r="R15" s="978"/>
      <c r="S15" s="980"/>
      <c r="T15" s="980"/>
      <c r="U15" s="467">
        <f>SUMIF(FLOAT!$D:$D,FRONT!$B$3:$B$49,FLOAT!F:F)</f>
        <v>0</v>
      </c>
      <c r="V15" s="990"/>
      <c r="W15" s="1017"/>
      <c r="X15" s="471">
        <f>SUMIF(FLOAT!$D:$D,FRONT!$B$3:$B$49,FLOAT!G:G)</f>
        <v>0</v>
      </c>
      <c r="Y15" s="62">
        <f>SUMIF(FLOAT!$D:$D,FRONT!$B$3:$B$49,FLOAT!H:H)</f>
        <v>0</v>
      </c>
      <c r="Z15" s="62">
        <f>SUMIF(FLOAT!$D:$D,FRONT!$B$3:$B$49,FLOAT!I:I)</f>
        <v>0</v>
      </c>
      <c r="AA15" s="62">
        <f>SUMIF(FLOAT!$D:$D,FRONT!$B$3:$B$49,FLOAT!J:J)</f>
        <v>0</v>
      </c>
      <c r="AB15" s="62">
        <f>SUMIF(FLOAT!$D:$D,FRONT!$B$3:$B$49,FLOAT!K:K)</f>
        <v>0</v>
      </c>
      <c r="AC15" s="62">
        <f>SUMIF(FLOAT!$D:$D,FRONT!$B$3:$B$49,FLOAT!L:L)</f>
        <v>0</v>
      </c>
      <c r="AD15" s="62">
        <f>SUMIF(FLOAT!$D:$D,FRONT!$B$3:$B$49,FLOAT!M:M)</f>
        <v>0</v>
      </c>
      <c r="AE15" s="62">
        <f>SUMIF(FLOAT!$D:$D,FRONT!$B$3:$B$49,FLOAT!N:N)</f>
        <v>0</v>
      </c>
      <c r="AF15" s="62">
        <f>SUMIF(FLOAT!$D:$D,FRONT!$B$3:$B$49,FLOAT!O:O)</f>
        <v>0</v>
      </c>
      <c r="AG15" s="62">
        <f>SUMIF(FLOAT!$D:$D,FRONT!$B$3:$B$49,FLOAT!P:P)</f>
        <v>0</v>
      </c>
      <c r="AH15" s="62">
        <f t="shared" si="2"/>
        <v>0</v>
      </c>
    </row>
    <row r="16" spans="1:34" ht="19.5" customHeight="1" x14ac:dyDescent="0.25">
      <c r="A16" s="974"/>
      <c r="B16" s="408" t="s">
        <v>262</v>
      </c>
      <c r="C16" s="729" t="s">
        <v>571</v>
      </c>
      <c r="D16" s="379"/>
      <c r="E16" s="1004"/>
      <c r="F16" s="963"/>
      <c r="G16" s="964"/>
      <c r="H16" s="375">
        <f t="shared" si="1"/>
        <v>0</v>
      </c>
      <c r="I16" s="986"/>
      <c r="J16" s="970"/>
      <c r="K16" s="402">
        <f>SUMIF('3 D P'!$D:$D,Cockpit!$E$5:$E$146,'3 D P'!I:I)</f>
        <v>0</v>
      </c>
      <c r="L16" s="380">
        <f>SUMIF('3 D P'!$D:$D,Cockpit!$E$5:$E$146,'3 D P'!J:J)</f>
        <v>0</v>
      </c>
      <c r="M16" s="380">
        <f>SUMIF('3 D P'!$D:$D,Cockpit!$E$5:$E$146,'3 D P'!K:K)</f>
        <v>0</v>
      </c>
      <c r="N16" s="381">
        <f>IFERROR(VLOOKUP(A16,'Front Dispatch'!A:B,2,0),0)</f>
        <v>0</v>
      </c>
      <c r="O16" s="380">
        <f>SUMIF('Consumption MTD'!B:B,FRONT!$B$3:$B$49,'Consumption MTD'!C:C)</f>
        <v>0</v>
      </c>
      <c r="P16" s="372">
        <f>SUMIF('BIW Lifting A Shift'!$B:$B,FRONT!$B$3:$B$49,'BIW Lifting A Shift'!C:C)</f>
        <v>0</v>
      </c>
      <c r="Q16" s="407">
        <f>SUMIF('BIW Lifting B Shift'!$B:$B,FRONT!$B$3:$B$49,'BIW Lifting B Shift'!C:C)</f>
        <v>0</v>
      </c>
      <c r="R16" s="978"/>
      <c r="S16" s="980"/>
      <c r="T16" s="980"/>
      <c r="U16" s="467">
        <f>SUMIF(FLOAT!$D:$D,FRONT!$B$3:$B$49,FLOAT!F:F)</f>
        <v>0</v>
      </c>
      <c r="V16" s="990"/>
      <c r="W16" s="1017"/>
      <c r="X16" s="471">
        <f>SUMIF(FLOAT!$D:$D,FRONT!$B$3:$B$49,FLOAT!G:G)</f>
        <v>0</v>
      </c>
      <c r="Y16" s="62">
        <f>SUMIF(FLOAT!$D:$D,FRONT!$B$3:$B$49,FLOAT!H:H)</f>
        <v>0</v>
      </c>
      <c r="Z16" s="62">
        <f>SUMIF(FLOAT!$D:$D,FRONT!$B$3:$B$49,FLOAT!I:I)</f>
        <v>0</v>
      </c>
      <c r="AA16" s="62">
        <f>SUMIF(FLOAT!$D:$D,FRONT!$B$3:$B$49,FLOAT!J:J)</f>
        <v>0</v>
      </c>
      <c r="AB16" s="62">
        <f>SUMIF(FLOAT!$D:$D,FRONT!$B$3:$B$49,FLOAT!K:K)</f>
        <v>0</v>
      </c>
      <c r="AC16" s="62">
        <f>SUMIF(FLOAT!$D:$D,FRONT!$B$3:$B$49,FLOAT!L:L)</f>
        <v>0</v>
      </c>
      <c r="AD16" s="62">
        <f>SUMIF(FLOAT!$D:$D,FRONT!$B$3:$B$49,FLOAT!M:M)</f>
        <v>0</v>
      </c>
      <c r="AE16" s="62">
        <f>SUMIF(FLOAT!$D:$D,FRONT!$B$3:$B$49,FLOAT!N:N)</f>
        <v>0</v>
      </c>
      <c r="AF16" s="62">
        <f>SUMIF(FLOAT!$D:$D,FRONT!$B$3:$B$49,FLOAT!O:O)</f>
        <v>0</v>
      </c>
      <c r="AG16" s="62">
        <f>SUMIF(FLOAT!$D:$D,FRONT!$B$3:$B$49,FLOAT!P:P)</f>
        <v>0</v>
      </c>
      <c r="AH16" s="62">
        <f t="shared" si="2"/>
        <v>0</v>
      </c>
    </row>
    <row r="17" spans="1:34" ht="19.5" customHeight="1" x14ac:dyDescent="0.25">
      <c r="A17" s="974"/>
      <c r="B17" s="408" t="s">
        <v>264</v>
      </c>
      <c r="C17" s="729" t="s">
        <v>571</v>
      </c>
      <c r="D17" s="379"/>
      <c r="E17" s="1004"/>
      <c r="F17" s="963"/>
      <c r="G17" s="964"/>
      <c r="H17" s="375">
        <f t="shared" si="1"/>
        <v>0</v>
      </c>
      <c r="I17" s="986"/>
      <c r="J17" s="970"/>
      <c r="K17" s="402">
        <f>SUMIF('3 D P'!$D:$D,Cockpit!$E$5:$E$146,'3 D P'!I:I)</f>
        <v>0</v>
      </c>
      <c r="L17" s="380">
        <f>SUMIF('3 D P'!$D:$D,Cockpit!$E$5:$E$146,'3 D P'!J:J)</f>
        <v>0</v>
      </c>
      <c r="M17" s="380">
        <f>SUMIF('3 D P'!$D:$D,Cockpit!$E$5:$E$146,'3 D P'!K:K)</f>
        <v>0</v>
      </c>
      <c r="N17" s="381">
        <f>IFERROR(VLOOKUP(A17,'Front Dispatch'!A:B,2,0),0)</f>
        <v>0</v>
      </c>
      <c r="O17" s="380">
        <f>SUMIF('Consumption MTD'!B:B,FRONT!$B$3:$B$49,'Consumption MTD'!C:C)</f>
        <v>0</v>
      </c>
      <c r="P17" s="372">
        <f>SUMIF('BIW Lifting A Shift'!$B:$B,FRONT!$B$3:$B$49,'BIW Lifting A Shift'!C:C)</f>
        <v>0</v>
      </c>
      <c r="Q17" s="407">
        <f>SUMIF('BIW Lifting B Shift'!$B:$B,FRONT!$B$3:$B$49,'BIW Lifting B Shift'!C:C)</f>
        <v>0</v>
      </c>
      <c r="R17" s="978"/>
      <c r="S17" s="980"/>
      <c r="T17" s="980"/>
      <c r="U17" s="467">
        <f>SUMIF(FLOAT!$D:$D,FRONT!$B$3:$B$49,FLOAT!F:F)</f>
        <v>0</v>
      </c>
      <c r="V17" s="990"/>
      <c r="W17" s="1017"/>
      <c r="X17" s="471">
        <f>SUMIF(FLOAT!$D:$D,FRONT!$B$3:$B$49,FLOAT!G:G)</f>
        <v>0</v>
      </c>
      <c r="Y17" s="62">
        <f>SUMIF(FLOAT!$D:$D,FRONT!$B$3:$B$49,FLOAT!H:H)</f>
        <v>0</v>
      </c>
      <c r="Z17" s="62">
        <f>SUMIF(FLOAT!$D:$D,FRONT!$B$3:$B$49,FLOAT!I:I)</f>
        <v>0</v>
      </c>
      <c r="AA17" s="62">
        <f>SUMIF(FLOAT!$D:$D,FRONT!$B$3:$B$49,FLOAT!J:J)</f>
        <v>0</v>
      </c>
      <c r="AB17" s="62">
        <f>SUMIF(FLOAT!$D:$D,FRONT!$B$3:$B$49,FLOAT!K:K)</f>
        <v>0</v>
      </c>
      <c r="AC17" s="62">
        <f>SUMIF(FLOAT!$D:$D,FRONT!$B$3:$B$49,FLOAT!L:L)</f>
        <v>0</v>
      </c>
      <c r="AD17" s="62">
        <f>SUMIF(FLOAT!$D:$D,FRONT!$B$3:$B$49,FLOAT!M:M)</f>
        <v>0</v>
      </c>
      <c r="AE17" s="62">
        <f>SUMIF(FLOAT!$D:$D,FRONT!$B$3:$B$49,FLOAT!N:N)</f>
        <v>0</v>
      </c>
      <c r="AF17" s="62">
        <f>SUMIF(FLOAT!$D:$D,FRONT!$B$3:$B$49,FLOAT!O:O)</f>
        <v>0</v>
      </c>
      <c r="AG17" s="62">
        <f>SUMIF(FLOAT!$D:$D,FRONT!$B$3:$B$49,FLOAT!P:P)</f>
        <v>0</v>
      </c>
      <c r="AH17" s="62">
        <f t="shared" si="2"/>
        <v>0</v>
      </c>
    </row>
    <row r="18" spans="1:34" ht="27.75" customHeight="1" x14ac:dyDescent="0.25">
      <c r="A18" s="974"/>
      <c r="B18" s="408" t="s">
        <v>268</v>
      </c>
      <c r="C18" s="729" t="s">
        <v>571</v>
      </c>
      <c r="D18" s="379">
        <f>IFERROR(VLOOKUP(B18,[6]Sheet2!$A:$B,2,0),0)</f>
        <v>0</v>
      </c>
      <c r="E18" s="1004"/>
      <c r="F18" s="963"/>
      <c r="G18" s="964"/>
      <c r="H18" s="375">
        <f t="shared" si="1"/>
        <v>0</v>
      </c>
      <c r="I18" s="986"/>
      <c r="J18" s="970"/>
      <c r="K18" s="402">
        <f>SUMIF('3 D P'!$D:$D,Cockpit!$E$5:$E$146,'3 D P'!I:I)</f>
        <v>0</v>
      </c>
      <c r="L18" s="380">
        <f>SUMIF('3 D P'!$D:$D,Cockpit!$E$5:$E$146,'3 D P'!J:J)</f>
        <v>0</v>
      </c>
      <c r="M18" s="380">
        <f>SUMIF('3 D P'!$D:$D,Cockpit!$E$5:$E$146,'3 D P'!K:K)</f>
        <v>0</v>
      </c>
      <c r="N18" s="381">
        <f>IFERROR(VLOOKUP(A18,'Front Dispatch'!A:B,2,0),0)</f>
        <v>0</v>
      </c>
      <c r="O18" s="380">
        <f>SUMIF('Consumption MTD'!B:B,FRONT!$B$3:$B$49,'Consumption MTD'!C:C)</f>
        <v>0</v>
      </c>
      <c r="P18" s="372">
        <f>SUMIF('BIW Lifting A Shift'!$B:$B,FRONT!$B$3:$B$49,'BIW Lifting A Shift'!C:C)</f>
        <v>0</v>
      </c>
      <c r="Q18" s="407">
        <f>SUMIF('BIW Lifting B Shift'!$B:$B,FRONT!$B$3:$B$49,'BIW Lifting B Shift'!C:C)</f>
        <v>0</v>
      </c>
      <c r="R18" s="978"/>
      <c r="S18" s="980"/>
      <c r="T18" s="980"/>
      <c r="U18" s="467">
        <f>SUMIF(FLOAT!$D:$D,FRONT!$B$3:$B$49,FLOAT!F:F)</f>
        <v>0</v>
      </c>
      <c r="V18" s="990"/>
      <c r="W18" s="1017"/>
      <c r="X18" s="471">
        <f>SUMIF(FLOAT!$D:$D,FRONT!$B$3:$B$49,FLOAT!G:G)</f>
        <v>0</v>
      </c>
      <c r="Y18" s="62">
        <f>SUMIF(FLOAT!$D:$D,FRONT!$B$3:$B$49,FLOAT!H:H)</f>
        <v>0</v>
      </c>
      <c r="Z18" s="62">
        <f>SUMIF(FLOAT!$D:$D,FRONT!$B$3:$B$49,FLOAT!I:I)</f>
        <v>0</v>
      </c>
      <c r="AA18" s="62">
        <f>SUMIF(FLOAT!$D:$D,FRONT!$B$3:$B$49,FLOAT!J:J)</f>
        <v>0</v>
      </c>
      <c r="AB18" s="62">
        <f>SUMIF(FLOAT!$D:$D,FRONT!$B$3:$B$49,FLOAT!K:K)</f>
        <v>0</v>
      </c>
      <c r="AC18" s="62">
        <f>SUMIF(FLOAT!$D:$D,FRONT!$B$3:$B$49,FLOAT!L:L)</f>
        <v>0</v>
      </c>
      <c r="AD18" s="62">
        <f>SUMIF(FLOAT!$D:$D,FRONT!$B$3:$B$49,FLOAT!M:M)</f>
        <v>0</v>
      </c>
      <c r="AE18" s="62">
        <f>SUMIF(FLOAT!$D:$D,FRONT!$B$3:$B$49,FLOAT!N:N)</f>
        <v>0</v>
      </c>
      <c r="AF18" s="62">
        <f>SUMIF(FLOAT!$D:$D,FRONT!$B$3:$B$49,FLOAT!O:O)</f>
        <v>0</v>
      </c>
      <c r="AG18" s="62">
        <f>SUMIF(FLOAT!$D:$D,FRONT!$B$3:$B$49,FLOAT!P:P)</f>
        <v>0</v>
      </c>
      <c r="AH18" s="62">
        <f t="shared" si="2"/>
        <v>0</v>
      </c>
    </row>
    <row r="19" spans="1:34" ht="19.5" customHeight="1" x14ac:dyDescent="0.25">
      <c r="A19" s="974"/>
      <c r="B19" s="577" t="s">
        <v>561</v>
      </c>
      <c r="C19" s="729" t="s">
        <v>571</v>
      </c>
      <c r="D19" s="379">
        <v>0</v>
      </c>
      <c r="E19" s="962"/>
      <c r="F19" s="963"/>
      <c r="G19" s="964"/>
      <c r="H19" s="375">
        <f t="shared" si="1"/>
        <v>0</v>
      </c>
      <c r="I19" s="968"/>
      <c r="J19" s="970"/>
      <c r="K19" s="402">
        <f>SUMIF('3 D P'!$D:$D,Cockpit!$E$5:$E$146,'3 D P'!I:I)</f>
        <v>0</v>
      </c>
      <c r="L19" s="380">
        <f>SUMIF('3 D P'!$D:$D,Cockpit!$E$5:$E$146,'3 D P'!J:J)</f>
        <v>0</v>
      </c>
      <c r="M19" s="380">
        <f>SUMIF('3 D P'!$D:$D,Cockpit!$E$5:$E$146,'3 D P'!K:K)</f>
        <v>0</v>
      </c>
      <c r="N19" s="381">
        <f>IFERROR(VLOOKUP(A19,'Front Dispatch'!A:B,2,0),0)</f>
        <v>0</v>
      </c>
      <c r="O19" s="380">
        <f>SUMIF('Consumption MTD'!B:B,FRONT!$B$3:$B$49,'Consumption MTD'!C:C)</f>
        <v>0</v>
      </c>
      <c r="P19" s="372">
        <f>SUMIF('BIW Lifting A Shift'!$B:$B,FRONT!$B$3:$B$49,'BIW Lifting A Shift'!C:C)</f>
        <v>0</v>
      </c>
      <c r="Q19" s="407">
        <f>SUMIF('BIW Lifting B Shift'!$B:$B,FRONT!$B$3:$B$49,'BIW Lifting B Shift'!C:C)</f>
        <v>0</v>
      </c>
      <c r="R19" s="959"/>
      <c r="S19" s="980"/>
      <c r="T19" s="980"/>
      <c r="U19" s="467">
        <f>SUMIF(FLOAT!$D:$D,FRONT!$B$3:$B$49,FLOAT!F:F)</f>
        <v>0</v>
      </c>
      <c r="V19" s="990"/>
      <c r="W19" s="1018"/>
      <c r="X19" s="471">
        <f>SUMIF(FLOAT!$D:$D,FRONT!$B$3:$B$49,FLOAT!G:G)</f>
        <v>0</v>
      </c>
      <c r="Y19" s="62">
        <f>SUMIF(FLOAT!$D:$D,FRONT!$B$3:$B$49,FLOAT!H:H)</f>
        <v>0</v>
      </c>
      <c r="Z19" s="62">
        <f>SUMIF(FLOAT!$D:$D,FRONT!$B$3:$B$49,FLOAT!I:I)</f>
        <v>0</v>
      </c>
      <c r="AA19" s="62">
        <f>SUMIF(FLOAT!$D:$D,FRONT!$B$3:$B$49,FLOAT!J:J)</f>
        <v>0</v>
      </c>
      <c r="AB19" s="62">
        <f>SUMIF(FLOAT!$D:$D,FRONT!$B$3:$B$49,FLOAT!K:K)</f>
        <v>0</v>
      </c>
      <c r="AC19" s="62">
        <f>SUMIF(FLOAT!$D:$D,FRONT!$B$3:$B$49,FLOAT!L:L)</f>
        <v>0</v>
      </c>
      <c r="AD19" s="62">
        <f>SUMIF(FLOAT!$D:$D,FRONT!$B$3:$B$49,FLOAT!M:M)</f>
        <v>0</v>
      </c>
      <c r="AE19" s="62">
        <f>SUMIF(FLOAT!$D:$D,FRONT!$B$3:$B$49,FLOAT!N:N)</f>
        <v>0</v>
      </c>
      <c r="AF19" s="62">
        <f>SUMIF(FLOAT!$D:$D,FRONT!$B$3:$B$49,FLOAT!O:O)</f>
        <v>0</v>
      </c>
      <c r="AG19" s="62">
        <f>SUMIF(FLOAT!$D:$D,FRONT!$B$3:$B$49,FLOAT!P:P)</f>
        <v>0</v>
      </c>
      <c r="AH19" s="62">
        <f t="shared" si="2"/>
        <v>0</v>
      </c>
    </row>
    <row r="20" spans="1:34" ht="19.5" hidden="1" customHeight="1" x14ac:dyDescent="0.25">
      <c r="A20" s="784">
        <v>544554620379</v>
      </c>
      <c r="B20" s="360" t="s">
        <v>244</v>
      </c>
      <c r="C20" s="729" t="s">
        <v>571</v>
      </c>
      <c r="D20" s="379"/>
      <c r="E20" s="374">
        <f>D20</f>
        <v>0</v>
      </c>
      <c r="F20" s="410">
        <v>0</v>
      </c>
      <c r="G20" s="376">
        <f>N20</f>
        <v>0</v>
      </c>
      <c r="H20" s="375">
        <f t="shared" si="1"/>
        <v>0</v>
      </c>
      <c r="I20" s="399">
        <f t="shared" si="0"/>
        <v>0</v>
      </c>
      <c r="J20" s="404">
        <f>F20+G20-H20</f>
        <v>0</v>
      </c>
      <c r="K20" s="402">
        <f>SUMIF('3 D P'!$D:$D,Cockpit!$E$5:$E$146,'3 D P'!I:I)</f>
        <v>0</v>
      </c>
      <c r="L20" s="380">
        <f>SUMIF('3 D P'!$D:$D,Cockpit!$E$5:$E$146,'3 D P'!J:J)</f>
        <v>0</v>
      </c>
      <c r="M20" s="380">
        <f>SUMIF('3 D P'!$D:$D,Cockpit!$E$5:$E$146,'3 D P'!K:K)</f>
        <v>0</v>
      </c>
      <c r="N20" s="381">
        <f>IFERROR(VLOOKUP($A20,'Front Dispatch'!$A:$B,2,FALSE),0)</f>
        <v>0</v>
      </c>
      <c r="O20" s="380">
        <f>SUMIF('Consumption MTD'!B:B,FRONT!$B$3:$B$49,'Consumption MTD'!C:C)</f>
        <v>0</v>
      </c>
      <c r="P20" s="372">
        <f>SUMIF('BIW Lifting A Shift'!$B:$B,FRONT!$B$3:$B$49,'BIW Lifting A Shift'!C:C)</f>
        <v>0</v>
      </c>
      <c r="Q20" s="407">
        <f>SUMIF('BIW Lifting B Shift'!$B:$B,FRONT!$B$3:$B$49,'BIW Lifting B Shift'!C:C)</f>
        <v>0</v>
      </c>
      <c r="R20" s="406">
        <f>J20-U20</f>
        <v>0</v>
      </c>
      <c r="S20" s="406">
        <f>J20-P20-U20</f>
        <v>0</v>
      </c>
      <c r="T20" s="406">
        <f>S20-Q20</f>
        <v>0</v>
      </c>
      <c r="U20" s="467">
        <f>SUMIF(FLOAT!$D:$D,FRONT!$B$3:$B$49,FLOAT!F:F)</f>
        <v>0</v>
      </c>
      <c r="V20" s="473">
        <f>E20-(F20+G20)</f>
        <v>0</v>
      </c>
      <c r="W20" s="612"/>
      <c r="X20" s="471">
        <f>SUMIF(FLOAT!$D:$D,FRONT!$B$3:$B$49,FLOAT!G:G)</f>
        <v>0</v>
      </c>
      <c r="Y20" s="62">
        <f>SUMIF(FLOAT!$D:$D,FRONT!$B$3:$B$49,FLOAT!H:H)</f>
        <v>0</v>
      </c>
      <c r="Z20" s="62">
        <f>SUMIF(FLOAT!$D:$D,FRONT!$B$3:$B$49,FLOAT!I:I)</f>
        <v>0</v>
      </c>
      <c r="AA20" s="62">
        <f>SUMIF(FLOAT!$D:$D,FRONT!$B$3:$B$49,FLOAT!J:J)</f>
        <v>0</v>
      </c>
      <c r="AB20" s="62">
        <f>SUMIF(FLOAT!$D:$D,FRONT!$B$3:$B$49,FLOAT!K:K)</f>
        <v>0</v>
      </c>
      <c r="AC20" s="62">
        <f>SUMIF(FLOAT!$D:$D,FRONT!$B$3:$B$49,FLOAT!L:L)</f>
        <v>0</v>
      </c>
      <c r="AD20" s="62">
        <f>SUMIF(FLOAT!$D:$D,FRONT!$B$3:$B$49,FLOAT!M:M)</f>
        <v>0</v>
      </c>
      <c r="AE20" s="62">
        <f>SUMIF(FLOAT!$D:$D,FRONT!$B$3:$B$49,FLOAT!N:N)</f>
        <v>0</v>
      </c>
      <c r="AF20" s="62">
        <f>SUMIF(FLOAT!$D:$D,FRONT!$B$3:$B$49,FLOAT!O:O)</f>
        <v>0</v>
      </c>
      <c r="AG20" s="62">
        <f>SUMIF(FLOAT!$D:$D,FRONT!$B$3:$B$49,FLOAT!P:P)</f>
        <v>0</v>
      </c>
      <c r="AH20" s="62">
        <f t="shared" si="2"/>
        <v>0</v>
      </c>
    </row>
    <row r="21" spans="1:34" ht="19.5" hidden="1" customHeight="1" x14ac:dyDescent="0.25">
      <c r="A21" s="960">
        <v>544554600585</v>
      </c>
      <c r="B21" s="408" t="s">
        <v>246</v>
      </c>
      <c r="C21" s="729" t="s">
        <v>571</v>
      </c>
      <c r="D21" s="379"/>
      <c r="E21" s="1003">
        <f>SUM(D21:D28)</f>
        <v>0</v>
      </c>
      <c r="F21" s="963">
        <v>0</v>
      </c>
      <c r="G21" s="964">
        <f>N21</f>
        <v>0</v>
      </c>
      <c r="H21" s="375">
        <f t="shared" si="1"/>
        <v>0</v>
      </c>
      <c r="I21" s="399">
        <f t="shared" si="0"/>
        <v>0</v>
      </c>
      <c r="J21" s="970">
        <f>F21+G21-H21-H22-H23-H24-H25-H26-H27-H28</f>
        <v>0</v>
      </c>
      <c r="K21" s="402">
        <f>SUMIF('3 D P'!$D:$D,Cockpit!$E$5:$E$146,'3 D P'!I:I)</f>
        <v>0</v>
      </c>
      <c r="L21" s="380">
        <f>SUMIF('3 D P'!$D:$D,Cockpit!$E$5:$E$146,'3 D P'!J:J)</f>
        <v>0</v>
      </c>
      <c r="M21" s="380">
        <f>SUMIF('3 D P'!$D:$D,Cockpit!$E$5:$E$146,'3 D P'!K:K)</f>
        <v>0</v>
      </c>
      <c r="N21" s="381">
        <f>IFERROR(VLOOKUP($A21,'Front Dispatch'!$A:$B,2,FALSE),0)</f>
        <v>0</v>
      </c>
      <c r="O21" s="380">
        <f>SUMIF('Consumption MTD'!B:B,FRONT!$B$3:$B$49,'Consumption MTD'!C:C)</f>
        <v>0</v>
      </c>
      <c r="P21" s="372">
        <f>SUMIF('BIW Lifting A Shift'!$B:$B,FRONT!$B$3:$B$49,'BIW Lifting A Shift'!C:C)</f>
        <v>0</v>
      </c>
      <c r="Q21" s="407">
        <f>SUMIF('BIW Lifting B Shift'!$B:$B,FRONT!$B$3:$B$49,'BIW Lifting B Shift'!C:C)</f>
        <v>0</v>
      </c>
      <c r="R21" s="980">
        <f>J21-U21-U22-U23-U24-U25-U26-U27-U28</f>
        <v>0</v>
      </c>
      <c r="S21" s="980">
        <f>J21-P21-P22-P23-P24-P25-P26-P27-P28-U21-U22-U23-U24-U25-U26-U27-U28</f>
        <v>0</v>
      </c>
      <c r="T21" s="980">
        <f>S21-Q21-Q22-Q23-Q24-Q25-Q27-Q26-Q28</f>
        <v>0</v>
      </c>
      <c r="U21" s="467">
        <f>SUMIF(FLOAT!$D:$D,FRONT!$B$3:$B$49,FLOAT!F:F)</f>
        <v>0</v>
      </c>
      <c r="V21" s="990">
        <f>E21-(F21+G21)</f>
        <v>0</v>
      </c>
      <c r="W21" s="612"/>
      <c r="X21" s="471">
        <f>SUMIF(FLOAT!$D:$D,FRONT!$B$3:$B$49,FLOAT!G:G)</f>
        <v>0</v>
      </c>
      <c r="Y21" s="62">
        <f>SUMIF(FLOAT!$D:$D,FRONT!$B$3:$B$49,FLOAT!H:H)</f>
        <v>0</v>
      </c>
      <c r="Z21" s="62">
        <f>SUMIF(FLOAT!$D:$D,FRONT!$B$3:$B$49,FLOAT!I:I)</f>
        <v>0</v>
      </c>
      <c r="AA21" s="62">
        <f>SUMIF(FLOAT!$D:$D,FRONT!$B$3:$B$49,FLOAT!J:J)</f>
        <v>0</v>
      </c>
      <c r="AB21" s="62">
        <f>SUMIF(FLOAT!$D:$D,FRONT!$B$3:$B$49,FLOAT!K:K)</f>
        <v>0</v>
      </c>
      <c r="AC21" s="62">
        <f>SUMIF(FLOAT!$D:$D,FRONT!$B$3:$B$49,FLOAT!L:L)</f>
        <v>0</v>
      </c>
      <c r="AD21" s="62">
        <f>SUMIF(FLOAT!$D:$D,FRONT!$B$3:$B$49,FLOAT!M:M)</f>
        <v>0</v>
      </c>
      <c r="AE21" s="62">
        <f>SUMIF(FLOAT!$D:$D,FRONT!$B$3:$B$49,FLOAT!N:N)</f>
        <v>0</v>
      </c>
      <c r="AF21" s="62">
        <f>SUMIF(FLOAT!$D:$D,FRONT!$B$3:$B$49,FLOAT!O:O)</f>
        <v>0</v>
      </c>
      <c r="AG21" s="62">
        <f>SUMIF(FLOAT!$D:$D,FRONT!$B$3:$B$49,FLOAT!P:P)</f>
        <v>0</v>
      </c>
      <c r="AH21" s="62">
        <f t="shared" si="2"/>
        <v>0</v>
      </c>
    </row>
    <row r="22" spans="1:34" ht="19.5" hidden="1" customHeight="1" x14ac:dyDescent="0.25">
      <c r="A22" s="960"/>
      <c r="B22" s="408" t="s">
        <v>248</v>
      </c>
      <c r="C22" s="729" t="s">
        <v>571</v>
      </c>
      <c r="D22" s="379"/>
      <c r="E22" s="1004"/>
      <c r="F22" s="963"/>
      <c r="G22" s="964"/>
      <c r="H22" s="375">
        <f t="shared" ref="H22:H28" si="3">O22</f>
        <v>0</v>
      </c>
      <c r="I22" s="399">
        <f t="shared" ref="I22:I28" si="4">E22-H22</f>
        <v>0</v>
      </c>
      <c r="J22" s="970"/>
      <c r="K22" s="402">
        <f>SUMIF('3 D P'!$D:$D,Cockpit!$E$5:$E$146,'3 D P'!I:I)</f>
        <v>0</v>
      </c>
      <c r="L22" s="380">
        <f>SUMIF('3 D P'!$D:$D,Cockpit!$E$5:$E$146,'3 D P'!J:J)</f>
        <v>0</v>
      </c>
      <c r="M22" s="380">
        <f>SUMIF('3 D P'!$D:$D,Cockpit!$E$5:$E$146,'3 D P'!K:K)</f>
        <v>0</v>
      </c>
      <c r="N22" s="381">
        <f>IFERROR(VLOOKUP($A22,'Front Dispatch'!$A:$B,2,FALSE),0)</f>
        <v>0</v>
      </c>
      <c r="O22" s="380">
        <f>SUMIF('Consumption MTD'!B:B,FRONT!$B$3:$B$49,'Consumption MTD'!C:C)</f>
        <v>0</v>
      </c>
      <c r="P22" s="372">
        <f>SUMIF('BIW Lifting A Shift'!$B:$B,FRONT!$B$3:$B$49,'BIW Lifting A Shift'!C:C)</f>
        <v>0</v>
      </c>
      <c r="Q22" s="407">
        <f>SUMIF('BIW Lifting B Shift'!$B:$B,FRONT!$B$3:$B$49,'BIW Lifting B Shift'!C:C)</f>
        <v>0</v>
      </c>
      <c r="R22" s="980"/>
      <c r="S22" s="980"/>
      <c r="T22" s="980"/>
      <c r="U22" s="467">
        <f>SUMIF(FLOAT!$D:$D,FRONT!$B$3:$B$49,FLOAT!F:F)</f>
        <v>0</v>
      </c>
      <c r="V22" s="990"/>
      <c r="W22" s="612"/>
      <c r="X22" s="471">
        <f>SUMIF(FLOAT!$D:$D,FRONT!$B$3:$B$49,FLOAT!G:G)</f>
        <v>0</v>
      </c>
      <c r="Y22" s="62">
        <f>SUMIF(FLOAT!$D:$D,FRONT!$B$3:$B$49,FLOAT!H:H)</f>
        <v>0</v>
      </c>
      <c r="Z22" s="62">
        <f>SUMIF(FLOAT!$D:$D,FRONT!$B$3:$B$49,FLOAT!I:I)</f>
        <v>0</v>
      </c>
      <c r="AA22" s="62">
        <f>SUMIF(FLOAT!$D:$D,FRONT!$B$3:$B$49,FLOAT!J:J)</f>
        <v>0</v>
      </c>
      <c r="AB22" s="62">
        <f>SUMIF(FLOAT!$D:$D,FRONT!$B$3:$B$49,FLOAT!K:K)</f>
        <v>0</v>
      </c>
      <c r="AC22" s="62">
        <f>SUMIF(FLOAT!$D:$D,FRONT!$B$3:$B$49,FLOAT!L:L)</f>
        <v>0</v>
      </c>
      <c r="AD22" s="62">
        <f>SUMIF(FLOAT!$D:$D,FRONT!$B$3:$B$49,FLOAT!M:M)</f>
        <v>0</v>
      </c>
      <c r="AE22" s="62">
        <f>SUMIF(FLOAT!$D:$D,FRONT!$B$3:$B$49,FLOAT!N:N)</f>
        <v>0</v>
      </c>
      <c r="AF22" s="62">
        <f>SUMIF(FLOAT!$D:$D,FRONT!$B$3:$B$49,FLOAT!O:O)</f>
        <v>0</v>
      </c>
      <c r="AG22" s="62">
        <f>SUMIF(FLOAT!$D:$D,FRONT!$B$3:$B$49,FLOAT!P:P)</f>
        <v>0</v>
      </c>
      <c r="AH22" s="62">
        <f t="shared" si="2"/>
        <v>0</v>
      </c>
    </row>
    <row r="23" spans="1:34" ht="19.5" hidden="1" customHeight="1" x14ac:dyDescent="0.25">
      <c r="A23" s="960"/>
      <c r="B23" s="408" t="s">
        <v>249</v>
      </c>
      <c r="C23" s="729" t="s">
        <v>571</v>
      </c>
      <c r="D23" s="379"/>
      <c r="E23" s="1004"/>
      <c r="F23" s="963"/>
      <c r="G23" s="964"/>
      <c r="H23" s="375">
        <f t="shared" si="3"/>
        <v>0</v>
      </c>
      <c r="I23" s="399">
        <f t="shared" si="4"/>
        <v>0</v>
      </c>
      <c r="J23" s="970"/>
      <c r="K23" s="402">
        <f>SUMIF('3 D P'!$D:$D,Cockpit!$E$5:$E$146,'3 D P'!I:I)</f>
        <v>0</v>
      </c>
      <c r="L23" s="380">
        <f>SUMIF('3 D P'!$D:$D,Cockpit!$E$5:$E$146,'3 D P'!J:J)</f>
        <v>0</v>
      </c>
      <c r="M23" s="380">
        <f>SUMIF('3 D P'!$D:$D,Cockpit!$E$5:$E$146,'3 D P'!K:K)</f>
        <v>0</v>
      </c>
      <c r="N23" s="381">
        <f>IFERROR(VLOOKUP($A23,'Front Dispatch'!$A:$B,2,FALSE),0)</f>
        <v>0</v>
      </c>
      <c r="O23" s="380">
        <f>SUMIF('Consumption MTD'!B:B,FRONT!$B$3:$B$49,'Consumption MTD'!C:C)</f>
        <v>0</v>
      </c>
      <c r="P23" s="372">
        <f>SUMIF('BIW Lifting A Shift'!$B:$B,FRONT!$B$3:$B$49,'BIW Lifting A Shift'!C:C)</f>
        <v>0</v>
      </c>
      <c r="Q23" s="407">
        <f>SUMIF('BIW Lifting B Shift'!$B:$B,FRONT!$B$3:$B$49,'BIW Lifting B Shift'!C:C)</f>
        <v>0</v>
      </c>
      <c r="R23" s="980"/>
      <c r="S23" s="980"/>
      <c r="T23" s="980"/>
      <c r="U23" s="467">
        <f>SUMIF(FLOAT!$D:$D,FRONT!$B$3:$B$49,FLOAT!F:F)</f>
        <v>0</v>
      </c>
      <c r="V23" s="990"/>
      <c r="W23" s="612"/>
      <c r="X23" s="471">
        <f>SUMIF(FLOAT!$D:$D,FRONT!$B$3:$B$49,FLOAT!G:G)</f>
        <v>0</v>
      </c>
      <c r="Y23" s="62">
        <f>SUMIF(FLOAT!$D:$D,FRONT!$B$3:$B$49,FLOAT!H:H)</f>
        <v>0</v>
      </c>
      <c r="Z23" s="62">
        <f>SUMIF(FLOAT!$D:$D,FRONT!$B$3:$B$49,FLOAT!I:I)</f>
        <v>0</v>
      </c>
      <c r="AA23" s="62">
        <f>SUMIF(FLOAT!$D:$D,FRONT!$B$3:$B$49,FLOAT!J:J)</f>
        <v>0</v>
      </c>
      <c r="AB23" s="62">
        <f>SUMIF(FLOAT!$D:$D,FRONT!$B$3:$B$49,FLOAT!K:K)</f>
        <v>0</v>
      </c>
      <c r="AC23" s="62">
        <f>SUMIF(FLOAT!$D:$D,FRONT!$B$3:$B$49,FLOAT!L:L)</f>
        <v>0</v>
      </c>
      <c r="AD23" s="62">
        <f>SUMIF(FLOAT!$D:$D,FRONT!$B$3:$B$49,FLOAT!M:M)</f>
        <v>0</v>
      </c>
      <c r="AE23" s="62">
        <f>SUMIF(FLOAT!$D:$D,FRONT!$B$3:$B$49,FLOAT!N:N)</f>
        <v>0</v>
      </c>
      <c r="AF23" s="62">
        <f>SUMIF(FLOAT!$D:$D,FRONT!$B$3:$B$49,FLOAT!O:O)</f>
        <v>0</v>
      </c>
      <c r="AG23" s="62">
        <f>SUMIF(FLOAT!$D:$D,FRONT!$B$3:$B$49,FLOAT!P:P)</f>
        <v>0</v>
      </c>
      <c r="AH23" s="62">
        <f t="shared" si="2"/>
        <v>0</v>
      </c>
    </row>
    <row r="24" spans="1:34" ht="19.5" hidden="1" customHeight="1" x14ac:dyDescent="0.25">
      <c r="A24" s="960"/>
      <c r="B24" s="408" t="s">
        <v>258</v>
      </c>
      <c r="C24" s="729" t="s">
        <v>571</v>
      </c>
      <c r="D24" s="379"/>
      <c r="E24" s="1004"/>
      <c r="F24" s="963"/>
      <c r="G24" s="964"/>
      <c r="H24" s="375">
        <f t="shared" si="3"/>
        <v>0</v>
      </c>
      <c r="I24" s="399">
        <f t="shared" si="4"/>
        <v>0</v>
      </c>
      <c r="J24" s="970"/>
      <c r="K24" s="402">
        <f>SUMIF('3 D P'!$D:$D,Cockpit!$E$5:$E$146,'3 D P'!I:I)</f>
        <v>0</v>
      </c>
      <c r="L24" s="380">
        <f>SUMIF('3 D P'!$D:$D,Cockpit!$E$5:$E$146,'3 D P'!J:J)</f>
        <v>0</v>
      </c>
      <c r="M24" s="380">
        <f>SUMIF('3 D P'!$D:$D,Cockpit!$E$5:$E$146,'3 D P'!K:K)</f>
        <v>0</v>
      </c>
      <c r="N24" s="381">
        <f>IFERROR(VLOOKUP($A24,'Front Dispatch'!$A:$B,2,FALSE),0)</f>
        <v>0</v>
      </c>
      <c r="O24" s="380">
        <f>SUMIF('Consumption MTD'!B:B,FRONT!$B$3:$B$49,'Consumption MTD'!C:C)</f>
        <v>0</v>
      </c>
      <c r="P24" s="372">
        <f>SUMIF('BIW Lifting A Shift'!$B:$B,FRONT!$B$3:$B$49,'BIW Lifting A Shift'!C:C)</f>
        <v>0</v>
      </c>
      <c r="Q24" s="407">
        <f>SUMIF('BIW Lifting B Shift'!$B:$B,FRONT!$B$3:$B$49,'BIW Lifting B Shift'!C:C)</f>
        <v>0</v>
      </c>
      <c r="R24" s="980"/>
      <c r="S24" s="980"/>
      <c r="T24" s="980"/>
      <c r="U24" s="467">
        <f>SUMIF(FLOAT!$D:$D,FRONT!$B$3:$B$49,FLOAT!F:F)</f>
        <v>0</v>
      </c>
      <c r="V24" s="990"/>
      <c r="W24" s="612"/>
      <c r="X24" s="471">
        <f>SUMIF(FLOAT!$D:$D,FRONT!$B$3:$B$49,FLOAT!G:G)</f>
        <v>0</v>
      </c>
      <c r="Y24" s="62">
        <f>SUMIF(FLOAT!$D:$D,FRONT!$B$3:$B$49,FLOAT!H:H)</f>
        <v>0</v>
      </c>
      <c r="Z24" s="62">
        <f>SUMIF(FLOAT!$D:$D,FRONT!$B$3:$B$49,FLOAT!I:I)</f>
        <v>0</v>
      </c>
      <c r="AA24" s="62">
        <f>SUMIF(FLOAT!$D:$D,FRONT!$B$3:$B$49,FLOAT!J:J)</f>
        <v>0</v>
      </c>
      <c r="AB24" s="62">
        <f>SUMIF(FLOAT!$D:$D,FRONT!$B$3:$B$49,FLOAT!K:K)</f>
        <v>0</v>
      </c>
      <c r="AC24" s="62">
        <f>SUMIF(FLOAT!$D:$D,FRONT!$B$3:$B$49,FLOAT!L:L)</f>
        <v>0</v>
      </c>
      <c r="AD24" s="62">
        <f>SUMIF(FLOAT!$D:$D,FRONT!$B$3:$B$49,FLOAT!M:M)</f>
        <v>0</v>
      </c>
      <c r="AE24" s="62">
        <f>SUMIF(FLOAT!$D:$D,FRONT!$B$3:$B$49,FLOAT!N:N)</f>
        <v>0</v>
      </c>
      <c r="AF24" s="62">
        <f>SUMIF(FLOAT!$D:$D,FRONT!$B$3:$B$49,FLOAT!O:O)</f>
        <v>0</v>
      </c>
      <c r="AG24" s="62">
        <f>SUMIF(FLOAT!$D:$D,FRONT!$B$3:$B$49,FLOAT!P:P)</f>
        <v>0</v>
      </c>
      <c r="AH24" s="62">
        <f t="shared" si="2"/>
        <v>0</v>
      </c>
    </row>
    <row r="25" spans="1:34" ht="19.5" hidden="1" customHeight="1" x14ac:dyDescent="0.25">
      <c r="A25" s="960"/>
      <c r="B25" s="408" t="s">
        <v>260</v>
      </c>
      <c r="C25" s="729" t="s">
        <v>571</v>
      </c>
      <c r="D25" s="379"/>
      <c r="E25" s="1004"/>
      <c r="F25" s="963"/>
      <c r="G25" s="964"/>
      <c r="H25" s="375">
        <f t="shared" si="3"/>
        <v>0</v>
      </c>
      <c r="I25" s="399">
        <f t="shared" si="4"/>
        <v>0</v>
      </c>
      <c r="J25" s="970"/>
      <c r="K25" s="402">
        <f>SUMIF('3 D P'!$D:$D,Cockpit!$E$5:$E$146,'3 D P'!I:I)</f>
        <v>0</v>
      </c>
      <c r="L25" s="380">
        <f>SUMIF('3 D P'!$D:$D,Cockpit!$E$5:$E$146,'3 D P'!J:J)</f>
        <v>0</v>
      </c>
      <c r="M25" s="380">
        <f>SUMIF('3 D P'!$D:$D,Cockpit!$E$5:$E$146,'3 D P'!K:K)</f>
        <v>0</v>
      </c>
      <c r="N25" s="381">
        <f>IFERROR(VLOOKUP($A25,'Front Dispatch'!$A:$B,2,FALSE),0)</f>
        <v>0</v>
      </c>
      <c r="O25" s="380">
        <f>SUMIF('Consumption MTD'!B:B,FRONT!$B$3:$B$49,'Consumption MTD'!C:C)</f>
        <v>0</v>
      </c>
      <c r="P25" s="372">
        <f>SUMIF('BIW Lifting A Shift'!$B:$B,FRONT!$B$3:$B$49,'BIW Lifting A Shift'!C:C)</f>
        <v>0</v>
      </c>
      <c r="Q25" s="407">
        <f>SUMIF('BIW Lifting B Shift'!$B:$B,FRONT!$B$3:$B$49,'BIW Lifting B Shift'!C:C)</f>
        <v>0</v>
      </c>
      <c r="R25" s="980"/>
      <c r="S25" s="980"/>
      <c r="T25" s="980"/>
      <c r="U25" s="467">
        <f>SUMIF(FLOAT!$D:$D,FRONT!$B$3:$B$49,FLOAT!F:F)</f>
        <v>0</v>
      </c>
      <c r="V25" s="990"/>
      <c r="W25" s="612"/>
      <c r="X25" s="471">
        <f>SUMIF(FLOAT!$D:$D,FRONT!$B$3:$B$49,FLOAT!G:G)</f>
        <v>0</v>
      </c>
      <c r="Y25" s="62">
        <f>SUMIF(FLOAT!$D:$D,FRONT!$B$3:$B$49,FLOAT!H:H)</f>
        <v>0</v>
      </c>
      <c r="Z25" s="62">
        <f>SUMIF(FLOAT!$D:$D,FRONT!$B$3:$B$49,FLOAT!I:I)</f>
        <v>0</v>
      </c>
      <c r="AA25" s="62">
        <f>SUMIF(FLOAT!$D:$D,FRONT!$B$3:$B$49,FLOAT!J:J)</f>
        <v>0</v>
      </c>
      <c r="AB25" s="62">
        <f>SUMIF(FLOAT!$D:$D,FRONT!$B$3:$B$49,FLOAT!K:K)</f>
        <v>0</v>
      </c>
      <c r="AC25" s="62">
        <f>SUMIF(FLOAT!$D:$D,FRONT!$B$3:$B$49,FLOAT!L:L)</f>
        <v>0</v>
      </c>
      <c r="AD25" s="62">
        <f>SUMIF(FLOAT!$D:$D,FRONT!$B$3:$B$49,FLOAT!M:M)</f>
        <v>0</v>
      </c>
      <c r="AE25" s="62">
        <f>SUMIF(FLOAT!$D:$D,FRONT!$B$3:$B$49,FLOAT!N:N)</f>
        <v>0</v>
      </c>
      <c r="AF25" s="62">
        <f>SUMIF(FLOAT!$D:$D,FRONT!$B$3:$B$49,FLOAT!O:O)</f>
        <v>0</v>
      </c>
      <c r="AG25" s="62">
        <f>SUMIF(FLOAT!$D:$D,FRONT!$B$3:$B$49,FLOAT!P:P)</f>
        <v>0</v>
      </c>
      <c r="AH25" s="62">
        <f t="shared" si="2"/>
        <v>0</v>
      </c>
    </row>
    <row r="26" spans="1:34" ht="19.5" hidden="1" customHeight="1" x14ac:dyDescent="0.25">
      <c r="A26" s="960"/>
      <c r="B26" s="408" t="s">
        <v>261</v>
      </c>
      <c r="C26" s="729" t="s">
        <v>571</v>
      </c>
      <c r="D26" s="379"/>
      <c r="E26" s="1004"/>
      <c r="F26" s="963"/>
      <c r="G26" s="964"/>
      <c r="H26" s="375">
        <f t="shared" si="3"/>
        <v>0</v>
      </c>
      <c r="I26" s="399">
        <f t="shared" si="4"/>
        <v>0</v>
      </c>
      <c r="J26" s="970"/>
      <c r="K26" s="402">
        <f>SUMIF('3 D P'!$D:$D,Cockpit!$E$5:$E$146,'3 D P'!I:I)</f>
        <v>0</v>
      </c>
      <c r="L26" s="380">
        <f>SUMIF('3 D P'!$D:$D,Cockpit!$E$5:$E$146,'3 D P'!J:J)</f>
        <v>0</v>
      </c>
      <c r="M26" s="380">
        <f>SUMIF('3 D P'!$D:$D,Cockpit!$E$5:$E$146,'3 D P'!K:K)</f>
        <v>0</v>
      </c>
      <c r="N26" s="381">
        <f>IFERROR(VLOOKUP($A26,'Front Dispatch'!$A:$B,2,FALSE),0)</f>
        <v>0</v>
      </c>
      <c r="O26" s="380">
        <f>SUMIF('Consumption MTD'!B:B,FRONT!$B$3:$B$49,'Consumption MTD'!C:C)</f>
        <v>0</v>
      </c>
      <c r="P26" s="372">
        <f>SUMIF('BIW Lifting A Shift'!$B:$B,FRONT!$B$3:$B$49,'BIW Lifting A Shift'!C:C)</f>
        <v>0</v>
      </c>
      <c r="Q26" s="407">
        <f>SUMIF('BIW Lifting B Shift'!$B:$B,FRONT!$B$3:$B$49,'BIW Lifting B Shift'!C:C)</f>
        <v>0</v>
      </c>
      <c r="R26" s="980"/>
      <c r="S26" s="980"/>
      <c r="T26" s="980"/>
      <c r="U26" s="467">
        <f>SUMIF(FLOAT!$D:$D,FRONT!$B$3:$B$49,FLOAT!F:F)</f>
        <v>0</v>
      </c>
      <c r="V26" s="990"/>
      <c r="W26" s="612"/>
      <c r="X26" s="471">
        <f>SUMIF(FLOAT!$D:$D,FRONT!$B$3:$B$49,FLOAT!G:G)</f>
        <v>0</v>
      </c>
      <c r="Y26" s="62">
        <f>SUMIF(FLOAT!$D:$D,FRONT!$B$3:$B$49,FLOAT!H:H)</f>
        <v>0</v>
      </c>
      <c r="Z26" s="62">
        <f>SUMIF(FLOAT!$D:$D,FRONT!$B$3:$B$49,FLOAT!I:I)</f>
        <v>0</v>
      </c>
      <c r="AA26" s="62">
        <f>SUMIF(FLOAT!$D:$D,FRONT!$B$3:$B$49,FLOAT!J:J)</f>
        <v>0</v>
      </c>
      <c r="AB26" s="62">
        <f>SUMIF(FLOAT!$D:$D,FRONT!$B$3:$B$49,FLOAT!K:K)</f>
        <v>0</v>
      </c>
      <c r="AC26" s="62">
        <f>SUMIF(FLOAT!$D:$D,FRONT!$B$3:$B$49,FLOAT!L:L)</f>
        <v>0</v>
      </c>
      <c r="AD26" s="62">
        <f>SUMIF(FLOAT!$D:$D,FRONT!$B$3:$B$49,FLOAT!M:M)</f>
        <v>0</v>
      </c>
      <c r="AE26" s="62">
        <f>SUMIF(FLOAT!$D:$D,FRONT!$B$3:$B$49,FLOAT!N:N)</f>
        <v>0</v>
      </c>
      <c r="AF26" s="62">
        <f>SUMIF(FLOAT!$D:$D,FRONT!$B$3:$B$49,FLOAT!O:O)</f>
        <v>0</v>
      </c>
      <c r="AG26" s="62">
        <f>SUMIF(FLOAT!$D:$D,FRONT!$B$3:$B$49,FLOAT!P:P)</f>
        <v>0</v>
      </c>
      <c r="AH26" s="62">
        <f t="shared" si="2"/>
        <v>0</v>
      </c>
    </row>
    <row r="27" spans="1:34" ht="19.5" hidden="1" customHeight="1" x14ac:dyDescent="0.25">
      <c r="A27" s="960"/>
      <c r="B27" s="408" t="s">
        <v>269</v>
      </c>
      <c r="C27" s="729" t="s">
        <v>571</v>
      </c>
      <c r="D27" s="379"/>
      <c r="E27" s="1004"/>
      <c r="F27" s="963"/>
      <c r="G27" s="964"/>
      <c r="H27" s="375">
        <f t="shared" si="3"/>
        <v>0</v>
      </c>
      <c r="I27" s="399">
        <f t="shared" si="4"/>
        <v>0</v>
      </c>
      <c r="J27" s="970"/>
      <c r="K27" s="402">
        <f>SUMIF('3 D P'!$D:$D,Cockpit!$E$5:$E$146,'3 D P'!I:I)</f>
        <v>0</v>
      </c>
      <c r="L27" s="380">
        <f>SUMIF('3 D P'!$D:$D,Cockpit!$E$5:$E$146,'3 D P'!J:J)</f>
        <v>0</v>
      </c>
      <c r="M27" s="380">
        <f>SUMIF('3 D P'!$D:$D,Cockpit!$E$5:$E$146,'3 D P'!K:K)</f>
        <v>0</v>
      </c>
      <c r="N27" s="381">
        <f>IFERROR(VLOOKUP($A27,'Front Dispatch'!$A:$B,2,FALSE),0)</f>
        <v>0</v>
      </c>
      <c r="O27" s="380">
        <f>SUMIF('Consumption MTD'!B:B,FRONT!$B$3:$B$49,'Consumption MTD'!C:C)</f>
        <v>0</v>
      </c>
      <c r="P27" s="372">
        <f>SUMIF('BIW Lifting A Shift'!$B:$B,FRONT!$B$3:$B$49,'BIW Lifting A Shift'!C:C)</f>
        <v>0</v>
      </c>
      <c r="Q27" s="407">
        <f>SUMIF('BIW Lifting B Shift'!$B:$B,FRONT!$B$3:$B$49,'BIW Lifting B Shift'!C:C)</f>
        <v>0</v>
      </c>
      <c r="R27" s="980"/>
      <c r="S27" s="980"/>
      <c r="T27" s="980"/>
      <c r="U27" s="467">
        <f>SUMIF(FLOAT!$D:$D,FRONT!$B$3:$B$49,FLOAT!F:F)</f>
        <v>0</v>
      </c>
      <c r="V27" s="990"/>
      <c r="W27" s="612"/>
      <c r="X27" s="471">
        <f>SUMIF(FLOAT!$D:$D,FRONT!$B$3:$B$49,FLOAT!G:G)</f>
        <v>0</v>
      </c>
      <c r="Y27" s="62">
        <f>SUMIF(FLOAT!$D:$D,FRONT!$B$3:$B$49,FLOAT!H:H)</f>
        <v>0</v>
      </c>
      <c r="Z27" s="62">
        <f>SUMIF(FLOAT!$D:$D,FRONT!$B$3:$B$49,FLOAT!I:I)</f>
        <v>0</v>
      </c>
      <c r="AA27" s="62">
        <f>SUMIF(FLOAT!$D:$D,FRONT!$B$3:$B$49,FLOAT!J:J)</f>
        <v>0</v>
      </c>
      <c r="AB27" s="62">
        <f>SUMIF(FLOAT!$D:$D,FRONT!$B$3:$B$49,FLOAT!K:K)</f>
        <v>0</v>
      </c>
      <c r="AC27" s="62">
        <f>SUMIF(FLOAT!$D:$D,FRONT!$B$3:$B$49,FLOAT!L:L)</f>
        <v>0</v>
      </c>
      <c r="AD27" s="62">
        <f>SUMIF(FLOAT!$D:$D,FRONT!$B$3:$B$49,FLOAT!M:M)</f>
        <v>0</v>
      </c>
      <c r="AE27" s="62">
        <f>SUMIF(FLOAT!$D:$D,FRONT!$B$3:$B$49,FLOAT!N:N)</f>
        <v>0</v>
      </c>
      <c r="AF27" s="62">
        <f>SUMIF(FLOAT!$D:$D,FRONT!$B$3:$B$49,FLOAT!O:O)</f>
        <v>0</v>
      </c>
      <c r="AG27" s="62">
        <f>SUMIF(FLOAT!$D:$D,FRONT!$B$3:$B$49,FLOAT!P:P)</f>
        <v>0</v>
      </c>
      <c r="AH27" s="62">
        <f t="shared" si="2"/>
        <v>0</v>
      </c>
    </row>
    <row r="28" spans="1:34" ht="19.5" hidden="1" customHeight="1" x14ac:dyDescent="0.25">
      <c r="A28" s="960"/>
      <c r="B28" s="408" t="s">
        <v>252</v>
      </c>
      <c r="C28" s="729" t="s">
        <v>571</v>
      </c>
      <c r="D28" s="379"/>
      <c r="E28" s="962"/>
      <c r="F28" s="963"/>
      <c r="G28" s="964"/>
      <c r="H28" s="375">
        <f t="shared" si="3"/>
        <v>0</v>
      </c>
      <c r="I28" s="399">
        <f t="shared" si="4"/>
        <v>0</v>
      </c>
      <c r="J28" s="970"/>
      <c r="K28" s="402">
        <f>SUMIF('3 D P'!$D:$D,Cockpit!$E$5:$E$146,'3 D P'!I:I)</f>
        <v>0</v>
      </c>
      <c r="L28" s="380">
        <f>SUMIF('3 D P'!$D:$D,Cockpit!$E$5:$E$146,'3 D P'!J:J)</f>
        <v>0</v>
      </c>
      <c r="M28" s="380">
        <f>SUMIF('3 D P'!$D:$D,Cockpit!$E$5:$E$146,'3 D P'!K:K)</f>
        <v>0</v>
      </c>
      <c r="N28" s="381">
        <f>IFERROR(VLOOKUP($A28,'Front Dispatch'!$A:$B,2,FALSE),0)</f>
        <v>0</v>
      </c>
      <c r="O28" s="380">
        <f>SUMIF('Consumption MTD'!B:B,FRONT!$B$3:$B$49,'Consumption MTD'!C:C)</f>
        <v>0</v>
      </c>
      <c r="P28" s="372">
        <f>SUMIF('BIW Lifting A Shift'!$B:$B,FRONT!$B$3:$B$49,'BIW Lifting A Shift'!C:C)</f>
        <v>0</v>
      </c>
      <c r="Q28" s="407">
        <f>SUMIF('BIW Lifting B Shift'!$B:$B,FRONT!$B$3:$B$49,'BIW Lifting B Shift'!C:C)</f>
        <v>0</v>
      </c>
      <c r="R28" s="980"/>
      <c r="S28" s="980"/>
      <c r="T28" s="980"/>
      <c r="U28" s="467">
        <f>SUMIF(FLOAT!$D:$D,FRONT!$B$3:$B$49,FLOAT!F:F)</f>
        <v>0</v>
      </c>
      <c r="V28" s="990"/>
      <c r="W28" s="612"/>
      <c r="X28" s="471">
        <f>SUMIF(FLOAT!$D:$D,FRONT!$B$3:$B$49,FLOAT!G:G)</f>
        <v>0</v>
      </c>
      <c r="Y28" s="62">
        <f>SUMIF(FLOAT!$D:$D,FRONT!$B$3:$B$49,FLOAT!H:H)</f>
        <v>0</v>
      </c>
      <c r="Z28" s="62">
        <f>SUMIF(FLOAT!$D:$D,FRONT!$B$3:$B$49,FLOAT!I:I)</f>
        <v>0</v>
      </c>
      <c r="AA28" s="62">
        <f>SUMIF(FLOAT!$D:$D,FRONT!$B$3:$B$49,FLOAT!J:J)</f>
        <v>0</v>
      </c>
      <c r="AB28" s="62">
        <f>SUMIF(FLOAT!$D:$D,FRONT!$B$3:$B$49,FLOAT!K:K)</f>
        <v>0</v>
      </c>
      <c r="AC28" s="62">
        <f>SUMIF(FLOAT!$D:$D,FRONT!$B$3:$B$49,FLOAT!L:L)</f>
        <v>0</v>
      </c>
      <c r="AD28" s="62">
        <f>SUMIF(FLOAT!$D:$D,FRONT!$B$3:$B$49,FLOAT!M:M)</f>
        <v>0</v>
      </c>
      <c r="AE28" s="62">
        <f>SUMIF(FLOAT!$D:$D,FRONT!$B$3:$B$49,FLOAT!N:N)</f>
        <v>0</v>
      </c>
      <c r="AF28" s="62">
        <f>SUMIF(FLOAT!$D:$D,FRONT!$B$3:$B$49,FLOAT!O:O)</f>
        <v>0</v>
      </c>
      <c r="AG28" s="62">
        <f>SUMIF(FLOAT!$D:$D,FRONT!$B$3:$B$49,FLOAT!P:P)</f>
        <v>0</v>
      </c>
      <c r="AH28" s="62">
        <f t="shared" si="2"/>
        <v>0</v>
      </c>
    </row>
    <row r="29" spans="1:34" ht="19.5" hidden="1" customHeight="1" x14ac:dyDescent="0.25">
      <c r="A29" s="960">
        <v>544554600586</v>
      </c>
      <c r="B29" s="408" t="s">
        <v>247</v>
      </c>
      <c r="C29" s="729" t="s">
        <v>571</v>
      </c>
      <c r="D29" s="379"/>
      <c r="E29" s="1003">
        <f>SUM(D29:D38)</f>
        <v>0</v>
      </c>
      <c r="F29" s="963">
        <v>2</v>
      </c>
      <c r="G29" s="964">
        <f>N29</f>
        <v>0</v>
      </c>
      <c r="H29" s="375">
        <f>O29</f>
        <v>0</v>
      </c>
      <c r="I29" s="988">
        <f>E29-H29</f>
        <v>0</v>
      </c>
      <c r="J29" s="970">
        <f>F29+G29-H29-H30-H31-H32-H33-H34-H35-H36-H37-H38</f>
        <v>2</v>
      </c>
      <c r="K29" s="402">
        <f>SUMIF('3 D P'!$D:$D,Cockpit!$E$5:$E$146,'3 D P'!I:I)</f>
        <v>0</v>
      </c>
      <c r="L29" s="380">
        <f>SUMIF('3 D P'!$D:$D,Cockpit!$E$5:$E$146,'3 D P'!J:J)</f>
        <v>0</v>
      </c>
      <c r="M29" s="380">
        <f>SUMIF('3 D P'!$D:$D,Cockpit!$E$5:$E$146,'3 D P'!K:K)</f>
        <v>0</v>
      </c>
      <c r="N29" s="381">
        <f>IFERROR(VLOOKUP($A29,'Front Dispatch'!$A:$B,2,FALSE),0)</f>
        <v>0</v>
      </c>
      <c r="O29" s="380">
        <f>SUMIF('Consumption MTD'!B:B,FRONT!$B$3:$B$49,'Consumption MTD'!C:C)</f>
        <v>0</v>
      </c>
      <c r="P29" s="372">
        <f>SUMIF('BIW Lifting A Shift'!$B:$B,FRONT!$B$3:$B$49,'BIW Lifting A Shift'!C:C)</f>
        <v>0</v>
      </c>
      <c r="Q29" s="407">
        <f>SUMIF('BIW Lifting B Shift'!$B:$B,FRONT!$B$3:$B$49,'BIW Lifting B Shift'!C:C)</f>
        <v>0</v>
      </c>
      <c r="R29" s="980">
        <f>J29-U29-U30-U31-U32-U33-U34-U35-U36-U37</f>
        <v>2</v>
      </c>
      <c r="S29" s="980">
        <f>J29-P29-U29-U30-U31-U32-U33-U34-U35-U36-U37-U38-P30-P31-P32-P33-P34-P35-P36-P37-P38</f>
        <v>2</v>
      </c>
      <c r="T29" s="980">
        <f>S29-Q29-Q30-Q31-Q32-Q33-Q34-Q35-Q36-Q37-Q38</f>
        <v>2</v>
      </c>
      <c r="U29" s="467">
        <f>SUMIF(FLOAT!$D:$D,FRONT!$B$3:$B$49,FLOAT!F:F)</f>
        <v>0</v>
      </c>
      <c r="V29" s="990">
        <f>E29-(F29+G29)</f>
        <v>-2</v>
      </c>
      <c r="W29" s="612"/>
      <c r="X29" s="471">
        <f>SUMIF(FLOAT!$D:$D,FRONT!$B$3:$B$49,FLOAT!G:G)</f>
        <v>0</v>
      </c>
      <c r="Y29" s="62">
        <f>SUMIF(FLOAT!$D:$D,FRONT!$B$3:$B$49,FLOAT!H:H)</f>
        <v>0</v>
      </c>
      <c r="Z29" s="62">
        <f>SUMIF(FLOAT!$D:$D,FRONT!$B$3:$B$49,FLOAT!I:I)</f>
        <v>0</v>
      </c>
      <c r="AA29" s="62">
        <f>SUMIF(FLOAT!$D:$D,FRONT!$B$3:$B$49,FLOAT!J:J)</f>
        <v>0</v>
      </c>
      <c r="AB29" s="62">
        <f>SUMIF(FLOAT!$D:$D,FRONT!$B$3:$B$49,FLOAT!K:K)</f>
        <v>0</v>
      </c>
      <c r="AC29" s="62">
        <f>SUMIF(FLOAT!$D:$D,FRONT!$B$3:$B$49,FLOAT!L:L)</f>
        <v>0</v>
      </c>
      <c r="AD29" s="62">
        <f>SUMIF(FLOAT!$D:$D,FRONT!$B$3:$B$49,FLOAT!M:M)</f>
        <v>0</v>
      </c>
      <c r="AE29" s="62">
        <f>SUMIF(FLOAT!$D:$D,FRONT!$B$3:$B$49,FLOAT!N:N)</f>
        <v>0</v>
      </c>
      <c r="AF29" s="62">
        <f>SUMIF(FLOAT!$D:$D,FRONT!$B$3:$B$49,FLOAT!O:O)</f>
        <v>0</v>
      </c>
      <c r="AG29" s="62">
        <f>SUMIF(FLOAT!$D:$D,FRONT!$B$3:$B$49,FLOAT!P:P)</f>
        <v>0</v>
      </c>
      <c r="AH29" s="62">
        <f t="shared" si="2"/>
        <v>0</v>
      </c>
    </row>
    <row r="30" spans="1:34" ht="19.5" hidden="1" customHeight="1" x14ac:dyDescent="0.25">
      <c r="A30" s="960"/>
      <c r="B30" s="408" t="s">
        <v>254</v>
      </c>
      <c r="C30" s="729" t="s">
        <v>571</v>
      </c>
      <c r="D30" s="379"/>
      <c r="E30" s="1004"/>
      <c r="F30" s="963"/>
      <c r="G30" s="964"/>
      <c r="H30" s="375">
        <f t="shared" ref="H30:H38" si="5">O30</f>
        <v>0</v>
      </c>
      <c r="I30" s="986"/>
      <c r="J30" s="970"/>
      <c r="K30" s="402">
        <f>SUMIF('3 D P'!$D:$D,Cockpit!$E$5:$E$146,'3 D P'!I:I)</f>
        <v>0</v>
      </c>
      <c r="L30" s="380">
        <f>SUMIF('3 D P'!$D:$D,Cockpit!$E$5:$E$146,'3 D P'!J:J)</f>
        <v>0</v>
      </c>
      <c r="M30" s="380">
        <f>SUMIF('3 D P'!$D:$D,Cockpit!$E$5:$E$146,'3 D P'!K:K)</f>
        <v>0</v>
      </c>
      <c r="N30" s="381">
        <f>IFERROR(VLOOKUP($A30,'Front Dispatch'!$A:$B,2,FALSE),0)</f>
        <v>0</v>
      </c>
      <c r="O30" s="380">
        <f>SUMIF('Consumption MTD'!B:B,FRONT!$B$3:$B$49,'Consumption MTD'!C:C)</f>
        <v>0</v>
      </c>
      <c r="P30" s="372">
        <f>SUMIF('BIW Lifting A Shift'!$B:$B,FRONT!$B$3:$B$49,'BIW Lifting A Shift'!C:C)</f>
        <v>0</v>
      </c>
      <c r="Q30" s="407">
        <f>SUMIF('BIW Lifting B Shift'!$B:$B,FRONT!$B$3:$B$49,'BIW Lifting B Shift'!C:C)</f>
        <v>0</v>
      </c>
      <c r="R30" s="980"/>
      <c r="S30" s="980"/>
      <c r="T30" s="980"/>
      <c r="U30" s="467">
        <f>SUMIF(FLOAT!$D:$D,FRONT!$B$3:$B$49,FLOAT!F:F)</f>
        <v>0</v>
      </c>
      <c r="V30" s="990"/>
      <c r="W30" s="612"/>
      <c r="X30" s="471">
        <f>SUMIF(FLOAT!$D:$D,FRONT!$B$3:$B$49,FLOAT!G:G)</f>
        <v>0</v>
      </c>
      <c r="Y30" s="62">
        <f>SUMIF(FLOAT!$D:$D,FRONT!$B$3:$B$49,FLOAT!H:H)</f>
        <v>0</v>
      </c>
      <c r="Z30" s="62">
        <f>SUMIF(FLOAT!$D:$D,FRONT!$B$3:$B$49,FLOAT!I:I)</f>
        <v>0</v>
      </c>
      <c r="AA30" s="62">
        <f>SUMIF(FLOAT!$D:$D,FRONT!$B$3:$B$49,FLOAT!J:J)</f>
        <v>0</v>
      </c>
      <c r="AB30" s="62">
        <f>SUMIF(FLOAT!$D:$D,FRONT!$B$3:$B$49,FLOAT!K:K)</f>
        <v>0</v>
      </c>
      <c r="AC30" s="62">
        <f>SUMIF(FLOAT!$D:$D,FRONT!$B$3:$B$49,FLOAT!L:L)</f>
        <v>0</v>
      </c>
      <c r="AD30" s="62">
        <f>SUMIF(FLOAT!$D:$D,FRONT!$B$3:$B$49,FLOAT!M:M)</f>
        <v>0</v>
      </c>
      <c r="AE30" s="62">
        <f>SUMIF(FLOAT!$D:$D,FRONT!$B$3:$B$49,FLOAT!N:N)</f>
        <v>0</v>
      </c>
      <c r="AF30" s="62">
        <f>SUMIF(FLOAT!$D:$D,FRONT!$B$3:$B$49,FLOAT!O:O)</f>
        <v>0</v>
      </c>
      <c r="AG30" s="62">
        <f>SUMIF(FLOAT!$D:$D,FRONT!$B$3:$B$49,FLOAT!P:P)</f>
        <v>0</v>
      </c>
      <c r="AH30" s="62">
        <f t="shared" si="2"/>
        <v>0</v>
      </c>
    </row>
    <row r="31" spans="1:34" ht="19.5" hidden="1" customHeight="1" x14ac:dyDescent="0.25">
      <c r="A31" s="960"/>
      <c r="B31" s="408" t="s">
        <v>251</v>
      </c>
      <c r="C31" s="729" t="s">
        <v>571</v>
      </c>
      <c r="D31" s="379"/>
      <c r="E31" s="1004"/>
      <c r="F31" s="963"/>
      <c r="G31" s="964"/>
      <c r="H31" s="375">
        <f t="shared" si="5"/>
        <v>0</v>
      </c>
      <c r="I31" s="986"/>
      <c r="J31" s="970"/>
      <c r="K31" s="402">
        <f>SUMIF('3 D P'!$D:$D,Cockpit!$E$5:$E$146,'3 D P'!I:I)</f>
        <v>0</v>
      </c>
      <c r="L31" s="380">
        <f>SUMIF('3 D P'!$D:$D,Cockpit!$E$5:$E$146,'3 D P'!J:J)</f>
        <v>0</v>
      </c>
      <c r="M31" s="380">
        <f>SUMIF('3 D P'!$D:$D,Cockpit!$E$5:$E$146,'3 D P'!K:K)</f>
        <v>0</v>
      </c>
      <c r="N31" s="381">
        <f>IFERROR(VLOOKUP($A31,'Front Dispatch'!$A:$B,2,FALSE),0)</f>
        <v>0</v>
      </c>
      <c r="O31" s="380">
        <f>SUMIF('Consumption MTD'!B:B,FRONT!$B$3:$B$49,'Consumption MTD'!C:C)</f>
        <v>0</v>
      </c>
      <c r="P31" s="372">
        <f>SUMIF('BIW Lifting A Shift'!$B:$B,FRONT!$B$3:$B$49,'BIW Lifting A Shift'!C:C)</f>
        <v>0</v>
      </c>
      <c r="Q31" s="407">
        <f>SUMIF('BIW Lifting B Shift'!$B:$B,FRONT!$B$3:$B$49,'BIW Lifting B Shift'!C:C)</f>
        <v>0</v>
      </c>
      <c r="R31" s="980"/>
      <c r="S31" s="980"/>
      <c r="T31" s="980"/>
      <c r="U31" s="467">
        <f>SUMIF(FLOAT!$D:$D,FRONT!$B$3:$B$49,FLOAT!F:F)</f>
        <v>0</v>
      </c>
      <c r="V31" s="990"/>
      <c r="W31" s="612"/>
      <c r="X31" s="471">
        <f>SUMIF(FLOAT!$D:$D,FRONT!$B$3:$B$49,FLOAT!G:G)</f>
        <v>0</v>
      </c>
      <c r="Y31" s="62">
        <f>SUMIF(FLOAT!$D:$D,FRONT!$B$3:$B$49,FLOAT!H:H)</f>
        <v>0</v>
      </c>
      <c r="Z31" s="62">
        <f>SUMIF(FLOAT!$D:$D,FRONT!$B$3:$B$49,FLOAT!I:I)</f>
        <v>0</v>
      </c>
      <c r="AA31" s="62">
        <f>SUMIF(FLOAT!$D:$D,FRONT!$B$3:$B$49,FLOAT!J:J)</f>
        <v>0</v>
      </c>
      <c r="AB31" s="62">
        <f>SUMIF(FLOAT!$D:$D,FRONT!$B$3:$B$49,FLOAT!K:K)</f>
        <v>0</v>
      </c>
      <c r="AC31" s="62">
        <f>SUMIF(FLOAT!$D:$D,FRONT!$B$3:$B$49,FLOAT!L:L)</f>
        <v>0</v>
      </c>
      <c r="AD31" s="62">
        <f>SUMIF(FLOAT!$D:$D,FRONT!$B$3:$B$49,FLOAT!M:M)</f>
        <v>0</v>
      </c>
      <c r="AE31" s="62">
        <f>SUMIF(FLOAT!$D:$D,FRONT!$B$3:$B$49,FLOAT!N:N)</f>
        <v>0</v>
      </c>
      <c r="AF31" s="62">
        <f>SUMIF(FLOAT!$D:$D,FRONT!$B$3:$B$49,FLOAT!O:O)</f>
        <v>0</v>
      </c>
      <c r="AG31" s="62">
        <f>SUMIF(FLOAT!$D:$D,FRONT!$B$3:$B$49,FLOAT!P:P)</f>
        <v>0</v>
      </c>
      <c r="AH31" s="62">
        <f t="shared" si="2"/>
        <v>0</v>
      </c>
    </row>
    <row r="32" spans="1:34" ht="19.5" hidden="1" customHeight="1" x14ac:dyDescent="0.25">
      <c r="A32" s="960"/>
      <c r="B32" s="408" t="s">
        <v>259</v>
      </c>
      <c r="C32" s="729" t="s">
        <v>571</v>
      </c>
      <c r="D32" s="379"/>
      <c r="E32" s="1004"/>
      <c r="F32" s="963"/>
      <c r="G32" s="964"/>
      <c r="H32" s="375">
        <f t="shared" si="5"/>
        <v>0</v>
      </c>
      <c r="I32" s="986"/>
      <c r="J32" s="970"/>
      <c r="K32" s="402">
        <f>SUMIF('3 D P'!$D:$D,Cockpit!$E$5:$E$146,'3 D P'!I:I)</f>
        <v>0</v>
      </c>
      <c r="L32" s="380">
        <f>SUMIF('3 D P'!$D:$D,Cockpit!$E$5:$E$146,'3 D P'!J:J)</f>
        <v>0</v>
      </c>
      <c r="M32" s="380">
        <f>SUMIF('3 D P'!$D:$D,Cockpit!$E$5:$E$146,'3 D P'!K:K)</f>
        <v>0</v>
      </c>
      <c r="N32" s="381">
        <f>IFERROR(VLOOKUP($A32,'Front Dispatch'!$A:$B,2,FALSE),0)</f>
        <v>0</v>
      </c>
      <c r="O32" s="380">
        <f>SUMIF('Consumption MTD'!B:B,FRONT!$B$3:$B$49,'Consumption MTD'!C:C)</f>
        <v>0</v>
      </c>
      <c r="P32" s="372">
        <f>SUMIF('BIW Lifting A Shift'!$B:$B,FRONT!$B$3:$B$49,'BIW Lifting A Shift'!C:C)</f>
        <v>0</v>
      </c>
      <c r="Q32" s="407">
        <f>SUMIF('BIW Lifting B Shift'!$B:$B,FRONT!$B$3:$B$49,'BIW Lifting B Shift'!C:C)</f>
        <v>0</v>
      </c>
      <c r="R32" s="980"/>
      <c r="S32" s="980"/>
      <c r="T32" s="980"/>
      <c r="U32" s="467">
        <f>SUMIF(FLOAT!$D:$D,FRONT!$B$3:$B$49,FLOAT!F:F)</f>
        <v>0</v>
      </c>
      <c r="V32" s="990"/>
      <c r="W32" s="612"/>
      <c r="X32" s="471">
        <f>SUMIF(FLOAT!$D:$D,FRONT!$B$3:$B$49,FLOAT!G:G)</f>
        <v>0</v>
      </c>
      <c r="Y32" s="62">
        <f>SUMIF(FLOAT!$D:$D,FRONT!$B$3:$B$49,FLOAT!H:H)</f>
        <v>0</v>
      </c>
      <c r="Z32" s="62">
        <f>SUMIF(FLOAT!$D:$D,FRONT!$B$3:$B$49,FLOAT!I:I)</f>
        <v>0</v>
      </c>
      <c r="AA32" s="62">
        <f>SUMIF(FLOAT!$D:$D,FRONT!$B$3:$B$49,FLOAT!J:J)</f>
        <v>0</v>
      </c>
      <c r="AB32" s="62">
        <f>SUMIF(FLOAT!$D:$D,FRONT!$B$3:$B$49,FLOAT!K:K)</f>
        <v>0</v>
      </c>
      <c r="AC32" s="62">
        <f>SUMIF(FLOAT!$D:$D,FRONT!$B$3:$B$49,FLOAT!L:L)</f>
        <v>0</v>
      </c>
      <c r="AD32" s="62">
        <f>SUMIF(FLOAT!$D:$D,FRONT!$B$3:$B$49,FLOAT!M:M)</f>
        <v>0</v>
      </c>
      <c r="AE32" s="62">
        <f>SUMIF(FLOAT!$D:$D,FRONT!$B$3:$B$49,FLOAT!N:N)</f>
        <v>0</v>
      </c>
      <c r="AF32" s="62">
        <f>SUMIF(FLOAT!$D:$D,FRONT!$B$3:$B$49,FLOAT!O:O)</f>
        <v>0</v>
      </c>
      <c r="AG32" s="62">
        <f>SUMIF(FLOAT!$D:$D,FRONT!$B$3:$B$49,FLOAT!P:P)</f>
        <v>0</v>
      </c>
      <c r="AH32" s="62">
        <f t="shared" si="2"/>
        <v>0</v>
      </c>
    </row>
    <row r="33" spans="1:34" ht="19.5" hidden="1" customHeight="1" x14ac:dyDescent="0.25">
      <c r="A33" s="960"/>
      <c r="B33" s="408" t="s">
        <v>270</v>
      </c>
      <c r="C33" s="729" t="s">
        <v>571</v>
      </c>
      <c r="D33" s="379"/>
      <c r="E33" s="1004"/>
      <c r="F33" s="963"/>
      <c r="G33" s="964"/>
      <c r="H33" s="375">
        <f t="shared" si="5"/>
        <v>0</v>
      </c>
      <c r="I33" s="986"/>
      <c r="J33" s="970"/>
      <c r="K33" s="402">
        <f>SUMIF('3 D P'!$D:$D,Cockpit!$E$5:$E$146,'3 D P'!I:I)</f>
        <v>0</v>
      </c>
      <c r="L33" s="380">
        <f>SUMIF('3 D P'!$D:$D,Cockpit!$E$5:$E$146,'3 D P'!J:J)</f>
        <v>0</v>
      </c>
      <c r="M33" s="380">
        <f>SUMIF('3 D P'!$D:$D,Cockpit!$E$5:$E$146,'3 D P'!K:K)</f>
        <v>0</v>
      </c>
      <c r="N33" s="381">
        <f>IFERROR(VLOOKUP($A33,'Front Dispatch'!$A:$B,2,FALSE),0)</f>
        <v>0</v>
      </c>
      <c r="O33" s="380">
        <f>SUMIF('Consumption MTD'!B:B,FRONT!$B$3:$B$49,'Consumption MTD'!C:C)</f>
        <v>0</v>
      </c>
      <c r="P33" s="372">
        <f>SUMIF('BIW Lifting A Shift'!$B:$B,FRONT!$B$3:$B$49,'BIW Lifting A Shift'!C:C)</f>
        <v>0</v>
      </c>
      <c r="Q33" s="407">
        <f>SUMIF('BIW Lifting B Shift'!$B:$B,FRONT!$B$3:$B$49,'BIW Lifting B Shift'!C:C)</f>
        <v>0</v>
      </c>
      <c r="R33" s="980"/>
      <c r="S33" s="980"/>
      <c r="T33" s="980"/>
      <c r="U33" s="467">
        <f>SUMIF(FLOAT!$D:$D,FRONT!$B$3:$B$49,FLOAT!F:F)</f>
        <v>0</v>
      </c>
      <c r="V33" s="990"/>
      <c r="W33" s="612"/>
      <c r="X33" s="471">
        <f>SUMIF(FLOAT!$D:$D,FRONT!$B$3:$B$49,FLOAT!G:G)</f>
        <v>0</v>
      </c>
      <c r="Y33" s="62">
        <f>SUMIF(FLOAT!$D:$D,FRONT!$B$3:$B$49,FLOAT!H:H)</f>
        <v>0</v>
      </c>
      <c r="Z33" s="62">
        <f>SUMIF(FLOAT!$D:$D,FRONT!$B$3:$B$49,FLOAT!I:I)</f>
        <v>0</v>
      </c>
      <c r="AA33" s="62">
        <f>SUMIF(FLOAT!$D:$D,FRONT!$B$3:$B$49,FLOAT!J:J)</f>
        <v>0</v>
      </c>
      <c r="AB33" s="62">
        <f>SUMIF(FLOAT!$D:$D,FRONT!$B$3:$B$49,FLOAT!K:K)</f>
        <v>0</v>
      </c>
      <c r="AC33" s="62">
        <f>SUMIF(FLOAT!$D:$D,FRONT!$B$3:$B$49,FLOAT!L:L)</f>
        <v>0</v>
      </c>
      <c r="AD33" s="62">
        <f>SUMIF(FLOAT!$D:$D,FRONT!$B$3:$B$49,FLOAT!M:M)</f>
        <v>0</v>
      </c>
      <c r="AE33" s="62">
        <f>SUMIF(FLOAT!$D:$D,FRONT!$B$3:$B$49,FLOAT!N:N)</f>
        <v>0</v>
      </c>
      <c r="AF33" s="62">
        <f>SUMIF(FLOAT!$D:$D,FRONT!$B$3:$B$49,FLOAT!O:O)</f>
        <v>0</v>
      </c>
      <c r="AG33" s="62">
        <f>SUMIF(FLOAT!$D:$D,FRONT!$B$3:$B$49,FLOAT!P:P)</f>
        <v>0</v>
      </c>
      <c r="AH33" s="62">
        <f t="shared" si="2"/>
        <v>0</v>
      </c>
    </row>
    <row r="34" spans="1:34" ht="19.5" hidden="1" customHeight="1" x14ac:dyDescent="0.25">
      <c r="A34" s="960"/>
      <c r="B34" s="408" t="s">
        <v>250</v>
      </c>
      <c r="C34" s="729" t="s">
        <v>571</v>
      </c>
      <c r="D34" s="379"/>
      <c r="E34" s="1004"/>
      <c r="F34" s="963"/>
      <c r="G34" s="964"/>
      <c r="H34" s="375">
        <f t="shared" si="5"/>
        <v>0</v>
      </c>
      <c r="I34" s="986"/>
      <c r="J34" s="970"/>
      <c r="K34" s="402">
        <f>SUMIF('3 D P'!$D:$D,Cockpit!$E$5:$E$146,'3 D P'!I:I)</f>
        <v>0</v>
      </c>
      <c r="L34" s="380">
        <f>SUMIF('3 D P'!$D:$D,Cockpit!$E$5:$E$146,'3 D P'!J:J)</f>
        <v>0</v>
      </c>
      <c r="M34" s="380">
        <f>SUMIF('3 D P'!$D:$D,Cockpit!$E$5:$E$146,'3 D P'!K:K)</f>
        <v>0</v>
      </c>
      <c r="N34" s="381">
        <f>IFERROR(VLOOKUP($A34,'Front Dispatch'!$A:$B,2,FALSE),0)</f>
        <v>0</v>
      </c>
      <c r="O34" s="380">
        <f>SUMIF('Consumption MTD'!B:B,FRONT!$B$3:$B$49,'Consumption MTD'!C:C)</f>
        <v>0</v>
      </c>
      <c r="P34" s="372">
        <f>SUMIF('BIW Lifting A Shift'!$B:$B,FRONT!$B$3:$B$49,'BIW Lifting A Shift'!C:C)</f>
        <v>0</v>
      </c>
      <c r="Q34" s="407">
        <f>SUMIF('BIW Lifting B Shift'!$B:$B,FRONT!$B$3:$B$49,'BIW Lifting B Shift'!C:C)</f>
        <v>0</v>
      </c>
      <c r="R34" s="980"/>
      <c r="S34" s="980"/>
      <c r="T34" s="980"/>
      <c r="U34" s="467">
        <f>SUMIF(FLOAT!$D:$D,FRONT!$B$3:$B$49,FLOAT!F:F)</f>
        <v>0</v>
      </c>
      <c r="V34" s="990"/>
      <c r="W34" s="612"/>
      <c r="X34" s="471">
        <f>SUMIF(FLOAT!$D:$D,FRONT!$B$3:$B$49,FLOAT!G:G)</f>
        <v>0</v>
      </c>
      <c r="Y34" s="62">
        <f>SUMIF(FLOAT!$D:$D,FRONT!$B$3:$B$49,FLOAT!H:H)</f>
        <v>0</v>
      </c>
      <c r="Z34" s="62">
        <f>SUMIF(FLOAT!$D:$D,FRONT!$B$3:$B$49,FLOAT!I:I)</f>
        <v>0</v>
      </c>
      <c r="AA34" s="62">
        <f>SUMIF(FLOAT!$D:$D,FRONT!$B$3:$B$49,FLOAT!J:J)</f>
        <v>0</v>
      </c>
      <c r="AB34" s="62">
        <f>SUMIF(FLOAT!$D:$D,FRONT!$B$3:$B$49,FLOAT!K:K)</f>
        <v>0</v>
      </c>
      <c r="AC34" s="62">
        <f>SUMIF(FLOAT!$D:$D,FRONT!$B$3:$B$49,FLOAT!L:L)</f>
        <v>0</v>
      </c>
      <c r="AD34" s="62">
        <f>SUMIF(FLOAT!$D:$D,FRONT!$B$3:$B$49,FLOAT!M:M)</f>
        <v>0</v>
      </c>
      <c r="AE34" s="62">
        <f>SUMIF(FLOAT!$D:$D,FRONT!$B$3:$B$49,FLOAT!N:N)</f>
        <v>0</v>
      </c>
      <c r="AF34" s="62">
        <f>SUMIF(FLOAT!$D:$D,FRONT!$B$3:$B$49,FLOAT!O:O)</f>
        <v>0</v>
      </c>
      <c r="AG34" s="62">
        <f>SUMIF(FLOAT!$D:$D,FRONT!$B$3:$B$49,FLOAT!P:P)</f>
        <v>0</v>
      </c>
      <c r="AH34" s="62">
        <f t="shared" si="2"/>
        <v>0</v>
      </c>
    </row>
    <row r="35" spans="1:34" ht="19.5" hidden="1" customHeight="1" x14ac:dyDescent="0.25">
      <c r="A35" s="960"/>
      <c r="B35" s="408" t="s">
        <v>266</v>
      </c>
      <c r="C35" s="729" t="s">
        <v>571</v>
      </c>
      <c r="D35" s="379"/>
      <c r="E35" s="1004"/>
      <c r="F35" s="963"/>
      <c r="G35" s="964"/>
      <c r="H35" s="375">
        <f t="shared" si="5"/>
        <v>0</v>
      </c>
      <c r="I35" s="986"/>
      <c r="J35" s="970"/>
      <c r="K35" s="402">
        <f>SUMIF('3 D P'!$D:$D,Cockpit!$E$5:$E$146,'3 D P'!I:I)</f>
        <v>0</v>
      </c>
      <c r="L35" s="380">
        <f>SUMIF('3 D P'!$D:$D,Cockpit!$E$5:$E$146,'3 D P'!J:J)</f>
        <v>0</v>
      </c>
      <c r="M35" s="380">
        <f>SUMIF('3 D P'!$D:$D,Cockpit!$E$5:$E$146,'3 D P'!K:K)</f>
        <v>0</v>
      </c>
      <c r="N35" s="381">
        <f>IFERROR(VLOOKUP($A35,'Front Dispatch'!$A:$B,2,FALSE),0)</f>
        <v>0</v>
      </c>
      <c r="O35" s="380">
        <f>SUMIF('Consumption MTD'!B:B,FRONT!$B$3:$B$49,'Consumption MTD'!C:C)</f>
        <v>0</v>
      </c>
      <c r="P35" s="372">
        <f>SUMIF('BIW Lifting A Shift'!$B:$B,FRONT!$B$3:$B$49,'BIW Lifting A Shift'!C:C)</f>
        <v>0</v>
      </c>
      <c r="Q35" s="407">
        <f>SUMIF('BIW Lifting B Shift'!$B:$B,FRONT!$B$3:$B$49,'BIW Lifting B Shift'!C:C)</f>
        <v>0</v>
      </c>
      <c r="R35" s="980"/>
      <c r="S35" s="980"/>
      <c r="T35" s="980"/>
      <c r="U35" s="467">
        <f>SUMIF(FLOAT!$D:$D,FRONT!$B$3:$B$49,FLOAT!F:F)</f>
        <v>0</v>
      </c>
      <c r="V35" s="990"/>
      <c r="W35" s="612"/>
      <c r="X35" s="471">
        <f>SUMIF(FLOAT!$D:$D,FRONT!$B$3:$B$49,FLOAT!G:G)</f>
        <v>0</v>
      </c>
      <c r="Y35" s="62">
        <f>SUMIF(FLOAT!$D:$D,FRONT!$B$3:$B$49,FLOAT!H:H)</f>
        <v>0</v>
      </c>
      <c r="Z35" s="62">
        <f>SUMIF(FLOAT!$D:$D,FRONT!$B$3:$B$49,FLOAT!I:I)</f>
        <v>0</v>
      </c>
      <c r="AA35" s="62">
        <f>SUMIF(FLOAT!$D:$D,FRONT!$B$3:$B$49,FLOAT!J:J)</f>
        <v>0</v>
      </c>
      <c r="AB35" s="62">
        <f>SUMIF(FLOAT!$D:$D,FRONT!$B$3:$B$49,FLOAT!K:K)</f>
        <v>0</v>
      </c>
      <c r="AC35" s="62">
        <f>SUMIF(FLOAT!$D:$D,FRONT!$B$3:$B$49,FLOAT!L:L)</f>
        <v>0</v>
      </c>
      <c r="AD35" s="62">
        <f>SUMIF(FLOAT!$D:$D,FRONT!$B$3:$B$49,FLOAT!M:M)</f>
        <v>0</v>
      </c>
      <c r="AE35" s="62">
        <f>SUMIF(FLOAT!$D:$D,FRONT!$B$3:$B$49,FLOAT!N:N)</f>
        <v>0</v>
      </c>
      <c r="AF35" s="62">
        <f>SUMIF(FLOAT!$D:$D,FRONT!$B$3:$B$49,FLOAT!O:O)</f>
        <v>0</v>
      </c>
      <c r="AG35" s="62">
        <f>SUMIF(FLOAT!$D:$D,FRONT!$B$3:$B$49,FLOAT!P:P)</f>
        <v>0</v>
      </c>
      <c r="AH35" s="62">
        <f t="shared" si="2"/>
        <v>0</v>
      </c>
    </row>
    <row r="36" spans="1:34" ht="19.5" hidden="1" customHeight="1" x14ac:dyDescent="0.25">
      <c r="A36" s="960"/>
      <c r="B36" s="408" t="s">
        <v>267</v>
      </c>
      <c r="C36" s="729" t="s">
        <v>571</v>
      </c>
      <c r="D36" s="379"/>
      <c r="E36" s="1004"/>
      <c r="F36" s="963"/>
      <c r="G36" s="964"/>
      <c r="H36" s="375">
        <f t="shared" si="5"/>
        <v>0</v>
      </c>
      <c r="I36" s="986"/>
      <c r="J36" s="970"/>
      <c r="K36" s="402">
        <f>SUMIF('3 D P'!$D:$D,Cockpit!$E$5:$E$146,'3 D P'!I:I)</f>
        <v>0</v>
      </c>
      <c r="L36" s="380">
        <f>SUMIF('3 D P'!$D:$D,Cockpit!$E$5:$E$146,'3 D P'!J:J)</f>
        <v>0</v>
      </c>
      <c r="M36" s="380">
        <f>SUMIF('3 D P'!$D:$D,Cockpit!$E$5:$E$146,'3 D P'!K:K)</f>
        <v>0</v>
      </c>
      <c r="N36" s="381">
        <f>IFERROR(VLOOKUP($A36,'Front Dispatch'!$A:$B,2,FALSE),0)</f>
        <v>0</v>
      </c>
      <c r="O36" s="380">
        <f>SUMIF('Consumption MTD'!B:B,FRONT!$B$3:$B$49,'Consumption MTD'!C:C)</f>
        <v>0</v>
      </c>
      <c r="P36" s="372">
        <f>SUMIF('BIW Lifting A Shift'!$B:$B,FRONT!$B$3:$B$49,'BIW Lifting A Shift'!C:C)</f>
        <v>0</v>
      </c>
      <c r="Q36" s="407">
        <f>SUMIF('BIW Lifting B Shift'!$B:$B,FRONT!$B$3:$B$49,'BIW Lifting B Shift'!C:C)</f>
        <v>0</v>
      </c>
      <c r="R36" s="980"/>
      <c r="S36" s="980"/>
      <c r="T36" s="980"/>
      <c r="U36" s="467">
        <f>SUMIF(FLOAT!$D:$D,FRONT!$B$3:$B$49,FLOAT!F:F)</f>
        <v>0</v>
      </c>
      <c r="V36" s="990"/>
      <c r="W36" s="612"/>
      <c r="X36" s="471">
        <f>SUMIF(FLOAT!$D:$D,FRONT!$B$3:$B$49,FLOAT!G:G)</f>
        <v>0</v>
      </c>
      <c r="Y36" s="62">
        <f>SUMIF(FLOAT!$D:$D,FRONT!$B$3:$B$49,FLOAT!H:H)</f>
        <v>0</v>
      </c>
      <c r="Z36" s="62">
        <f>SUMIF(FLOAT!$D:$D,FRONT!$B$3:$B$49,FLOAT!I:I)</f>
        <v>0</v>
      </c>
      <c r="AA36" s="62">
        <f>SUMIF(FLOAT!$D:$D,FRONT!$B$3:$B$49,FLOAT!J:J)</f>
        <v>0</v>
      </c>
      <c r="AB36" s="62">
        <f>SUMIF(FLOAT!$D:$D,FRONT!$B$3:$B$49,FLOAT!K:K)</f>
        <v>0</v>
      </c>
      <c r="AC36" s="62">
        <f>SUMIF(FLOAT!$D:$D,FRONT!$B$3:$B$49,FLOAT!L:L)</f>
        <v>0</v>
      </c>
      <c r="AD36" s="62">
        <f>SUMIF(FLOAT!$D:$D,FRONT!$B$3:$B$49,FLOAT!M:M)</f>
        <v>0</v>
      </c>
      <c r="AE36" s="62">
        <f>SUMIF(FLOAT!$D:$D,FRONT!$B$3:$B$49,FLOAT!N:N)</f>
        <v>0</v>
      </c>
      <c r="AF36" s="62">
        <f>SUMIF(FLOAT!$D:$D,FRONT!$B$3:$B$49,FLOAT!O:O)</f>
        <v>0</v>
      </c>
      <c r="AG36" s="62">
        <f>SUMIF(FLOAT!$D:$D,FRONT!$B$3:$B$49,FLOAT!P:P)</f>
        <v>0</v>
      </c>
      <c r="AH36" s="62">
        <f t="shared" si="2"/>
        <v>0</v>
      </c>
    </row>
    <row r="37" spans="1:34" ht="19.5" hidden="1" customHeight="1" x14ac:dyDescent="0.25">
      <c r="A37" s="960"/>
      <c r="B37" s="408" t="s">
        <v>562</v>
      </c>
      <c r="C37" s="729" t="s">
        <v>571</v>
      </c>
      <c r="D37" s="379"/>
      <c r="E37" s="1004"/>
      <c r="F37" s="963"/>
      <c r="G37" s="964"/>
      <c r="H37" s="375">
        <f t="shared" si="5"/>
        <v>0</v>
      </c>
      <c r="I37" s="986"/>
      <c r="J37" s="970"/>
      <c r="K37" s="402">
        <f>SUMIF('3 D P'!$D:$D,Cockpit!$E$5:$E$146,'3 D P'!I:I)</f>
        <v>0</v>
      </c>
      <c r="L37" s="380">
        <f>SUMIF('3 D P'!$D:$D,Cockpit!$E$5:$E$146,'3 D P'!J:J)</f>
        <v>0</v>
      </c>
      <c r="M37" s="380">
        <f>SUMIF('3 D P'!$D:$D,Cockpit!$E$5:$E$146,'3 D P'!K:K)</f>
        <v>0</v>
      </c>
      <c r="N37" s="381">
        <f>IFERROR(VLOOKUP($A37,'Front Dispatch'!$A:$B,2,FALSE),0)</f>
        <v>0</v>
      </c>
      <c r="O37" s="380">
        <f>SUMIF('Consumption MTD'!B:B,FRONT!$B$3:$B$49,'Consumption MTD'!C:C)</f>
        <v>0</v>
      </c>
      <c r="P37" s="372">
        <f>SUMIF('BIW Lifting A Shift'!$B:$B,FRONT!$B$3:$B$49,'BIW Lifting A Shift'!C:C)</f>
        <v>0</v>
      </c>
      <c r="Q37" s="407">
        <f>SUMIF('BIW Lifting B Shift'!$B:$B,FRONT!$B$3:$B$49,'BIW Lifting B Shift'!C:C)</f>
        <v>0</v>
      </c>
      <c r="R37" s="980"/>
      <c r="S37" s="980"/>
      <c r="T37" s="980"/>
      <c r="U37" s="467">
        <f>SUMIF(FLOAT!$D:$D,FRONT!$B$3:$B$49,FLOAT!F:F)</f>
        <v>0</v>
      </c>
      <c r="V37" s="990"/>
      <c r="W37" s="612"/>
      <c r="X37" s="471">
        <f>SUMIF(FLOAT!$D:$D,FRONT!$B$3:$B$49,FLOAT!G:G)</f>
        <v>0</v>
      </c>
      <c r="Y37" s="62">
        <f>SUMIF(FLOAT!$D:$D,FRONT!$B$3:$B$49,FLOAT!H:H)</f>
        <v>0</v>
      </c>
      <c r="Z37" s="62">
        <f>SUMIF(FLOAT!$D:$D,FRONT!$B$3:$B$49,FLOAT!I:I)</f>
        <v>0</v>
      </c>
      <c r="AA37" s="62">
        <f>SUMIF(FLOAT!$D:$D,FRONT!$B$3:$B$49,FLOAT!J:J)</f>
        <v>0</v>
      </c>
      <c r="AB37" s="62">
        <f>SUMIF(FLOAT!$D:$D,FRONT!$B$3:$B$49,FLOAT!K:K)</f>
        <v>0</v>
      </c>
      <c r="AC37" s="62">
        <f>SUMIF(FLOAT!$D:$D,FRONT!$B$3:$B$49,FLOAT!L:L)</f>
        <v>0</v>
      </c>
      <c r="AD37" s="62">
        <f>SUMIF(FLOAT!$D:$D,FRONT!$B$3:$B$49,FLOAT!M:M)</f>
        <v>0</v>
      </c>
      <c r="AE37" s="62">
        <f>SUMIF(FLOAT!$D:$D,FRONT!$B$3:$B$49,FLOAT!N:N)</f>
        <v>0</v>
      </c>
      <c r="AF37" s="62">
        <f>SUMIF(FLOAT!$D:$D,FRONT!$B$3:$B$49,FLOAT!O:O)</f>
        <v>0</v>
      </c>
      <c r="AG37" s="62">
        <f>SUMIF(FLOAT!$D:$D,FRONT!$B$3:$B$49,FLOAT!P:P)</f>
        <v>0</v>
      </c>
      <c r="AH37" s="62">
        <f t="shared" si="2"/>
        <v>0</v>
      </c>
    </row>
    <row r="38" spans="1:34" ht="19.5" hidden="1" customHeight="1" x14ac:dyDescent="0.25">
      <c r="A38" s="960"/>
      <c r="B38" s="408" t="s">
        <v>563</v>
      </c>
      <c r="C38" s="729" t="s">
        <v>571</v>
      </c>
      <c r="D38" s="379"/>
      <c r="E38" s="962"/>
      <c r="F38" s="963"/>
      <c r="G38" s="964"/>
      <c r="H38" s="375">
        <f t="shared" si="5"/>
        <v>0</v>
      </c>
      <c r="I38" s="968"/>
      <c r="J38" s="970"/>
      <c r="K38" s="402">
        <f>SUMIF('3 D P'!$D:$D,Cockpit!$E$5:$E$146,'3 D P'!I:I)</f>
        <v>0</v>
      </c>
      <c r="L38" s="380">
        <f>SUMIF('3 D P'!$D:$D,Cockpit!$E$5:$E$146,'3 D P'!J:J)</f>
        <v>0</v>
      </c>
      <c r="M38" s="380">
        <f>SUMIF('3 D P'!$D:$D,Cockpit!$E$5:$E$146,'3 D P'!K:K)</f>
        <v>0</v>
      </c>
      <c r="N38" s="381">
        <f>IFERROR(VLOOKUP($A38,'Front Dispatch'!$A:$B,2,FALSE),0)</f>
        <v>0</v>
      </c>
      <c r="O38" s="380">
        <f>SUMIF('Consumption MTD'!B:B,FRONT!$B$3:$B$49,'Consumption MTD'!C:C)</f>
        <v>0</v>
      </c>
      <c r="P38" s="372">
        <f>SUMIF('BIW Lifting A Shift'!$B:$B,FRONT!$B$3:$B$49,'BIW Lifting A Shift'!C:C)</f>
        <v>0</v>
      </c>
      <c r="Q38" s="407">
        <f>SUMIF('BIW Lifting B Shift'!$B:$B,FRONT!$B$3:$B$49,'BIW Lifting B Shift'!C:C)</f>
        <v>0</v>
      </c>
      <c r="R38" s="980"/>
      <c r="S38" s="980"/>
      <c r="T38" s="980"/>
      <c r="U38" s="467">
        <f>SUMIF(FLOAT!$D:$D,FRONT!$B$3:$B$49,FLOAT!F:F)</f>
        <v>0</v>
      </c>
      <c r="V38" s="990"/>
      <c r="W38" s="612"/>
      <c r="X38" s="471">
        <f>SUMIF(FLOAT!$D:$D,FRONT!$B$3:$B$49,FLOAT!G:G)</f>
        <v>0</v>
      </c>
      <c r="Y38" s="62">
        <f>SUMIF(FLOAT!$D:$D,FRONT!$B$3:$B$49,FLOAT!H:H)</f>
        <v>0</v>
      </c>
      <c r="Z38" s="62">
        <f>SUMIF(FLOAT!$D:$D,FRONT!$B$3:$B$49,FLOAT!I:I)</f>
        <v>0</v>
      </c>
      <c r="AA38" s="62">
        <f>SUMIF(FLOAT!$D:$D,FRONT!$B$3:$B$49,FLOAT!J:J)</f>
        <v>0</v>
      </c>
      <c r="AB38" s="62">
        <f>SUMIF(FLOAT!$D:$D,FRONT!$B$3:$B$49,FLOAT!K:K)</f>
        <v>0</v>
      </c>
      <c r="AC38" s="62">
        <f>SUMIF(FLOAT!$D:$D,FRONT!$B$3:$B$49,FLOAT!L:L)</f>
        <v>0</v>
      </c>
      <c r="AD38" s="62">
        <f>SUMIF(FLOAT!$D:$D,FRONT!$B$3:$B$49,FLOAT!M:M)</f>
        <v>0</v>
      </c>
      <c r="AE38" s="62">
        <f>SUMIF(FLOAT!$D:$D,FRONT!$B$3:$B$49,FLOAT!N:N)</f>
        <v>0</v>
      </c>
      <c r="AF38" s="62">
        <f>SUMIF(FLOAT!$D:$D,FRONT!$B$3:$B$49,FLOAT!O:O)</f>
        <v>0</v>
      </c>
      <c r="AG38" s="62">
        <f>SUMIF(FLOAT!$D:$D,FRONT!$B$3:$B$49,FLOAT!P:P)</f>
        <v>0</v>
      </c>
      <c r="AH38" s="62">
        <f t="shared" si="2"/>
        <v>0</v>
      </c>
    </row>
    <row r="39" spans="1:34" ht="19.5" hidden="1" customHeight="1" x14ac:dyDescent="0.25">
      <c r="A39" s="1007">
        <v>544554610503</v>
      </c>
      <c r="B39" s="408" t="s">
        <v>140</v>
      </c>
      <c r="C39" s="729" t="s">
        <v>571</v>
      </c>
      <c r="D39" s="379"/>
      <c r="E39" s="1003">
        <f>SUM(D39:D43)</f>
        <v>0</v>
      </c>
      <c r="F39" s="963">
        <v>0</v>
      </c>
      <c r="G39" s="982">
        <f>N39</f>
        <v>0</v>
      </c>
      <c r="H39" s="375">
        <f t="shared" ref="H39:H49" si="6">O39</f>
        <v>0</v>
      </c>
      <c r="I39" s="399">
        <f t="shared" ref="I39:I45" si="7">E39-H39</f>
        <v>0</v>
      </c>
      <c r="J39" s="970">
        <f>F39+G39-H39-H40-H41-H42-H43</f>
        <v>0</v>
      </c>
      <c r="K39" s="402">
        <f>SUMIF('3 D P'!$D:$D,Cockpit!$E$5:$E$146,'3 D P'!I:I)</f>
        <v>0</v>
      </c>
      <c r="L39" s="380">
        <f>SUMIF('3 D P'!$D:$D,Cockpit!$E$5:$E$146,'3 D P'!J:J)</f>
        <v>0</v>
      </c>
      <c r="M39" s="380">
        <f>SUMIF('3 D P'!$D:$D,Cockpit!$E$5:$E$146,'3 D P'!K:K)</f>
        <v>0</v>
      </c>
      <c r="N39" s="381">
        <f>IFERROR(VLOOKUP($A39,'Front Dispatch'!$A:$B,2,FALSE),0)</f>
        <v>0</v>
      </c>
      <c r="O39" s="380">
        <f>SUMIF('Consumption MTD'!B:B,FRONT!$B$3:$B$49,'Consumption MTD'!C:C)</f>
        <v>0</v>
      </c>
      <c r="P39" s="372">
        <f>SUMIF('BIW Lifting A Shift'!$B:$B,FRONT!$B$3:$B$49,'BIW Lifting A Shift'!C:C)</f>
        <v>0</v>
      </c>
      <c r="Q39" s="407">
        <f>SUMIF('BIW Lifting B Shift'!$B:$B,FRONT!$B$3:$B$49,'BIW Lifting B Shift'!C:C)</f>
        <v>0</v>
      </c>
      <c r="R39" s="980">
        <f>J39-U39-U40-U41-U42-U43</f>
        <v>0</v>
      </c>
      <c r="S39" s="980">
        <f>J39-U39-U40-U41-U42-U43-P39-P40-P41-P42-P43</f>
        <v>0</v>
      </c>
      <c r="T39" s="980">
        <f>S39-Q39-Q40-Q41-Q42-Q43</f>
        <v>0</v>
      </c>
      <c r="U39" s="467">
        <f>SUMIF(FLOAT!$D:$D,FRONT!$B$3:$B$49,FLOAT!F:F)</f>
        <v>0</v>
      </c>
      <c r="V39" s="990">
        <f>E39-(F39+G39)</f>
        <v>0</v>
      </c>
      <c r="W39" s="612"/>
      <c r="X39" s="471">
        <f>SUMIF(FLOAT!$D:$D,FRONT!$B$3:$B$49,FLOAT!G:G)</f>
        <v>0</v>
      </c>
      <c r="Y39" s="62">
        <f>SUMIF(FLOAT!$D:$D,FRONT!$B$3:$B$49,FLOAT!H:H)</f>
        <v>0</v>
      </c>
      <c r="Z39" s="62">
        <f>SUMIF(FLOAT!$D:$D,FRONT!$B$3:$B$49,FLOAT!I:I)</f>
        <v>0</v>
      </c>
      <c r="AA39" s="62">
        <f>SUMIF(FLOAT!$D:$D,FRONT!$B$3:$B$49,FLOAT!J:J)</f>
        <v>0</v>
      </c>
      <c r="AB39" s="62">
        <f>SUMIF(FLOAT!$D:$D,FRONT!$B$3:$B$49,FLOAT!K:K)</f>
        <v>0</v>
      </c>
      <c r="AC39" s="62">
        <f>SUMIF(FLOAT!$D:$D,FRONT!$B$3:$B$49,FLOAT!L:L)</f>
        <v>0</v>
      </c>
      <c r="AD39" s="62">
        <f>SUMIF(FLOAT!$D:$D,FRONT!$B$3:$B$49,FLOAT!M:M)</f>
        <v>0</v>
      </c>
      <c r="AE39" s="62">
        <f>SUMIF(FLOAT!$D:$D,FRONT!$B$3:$B$49,FLOAT!N:N)</f>
        <v>0</v>
      </c>
      <c r="AF39" s="62">
        <f>SUMIF(FLOAT!$D:$D,FRONT!$B$3:$B$49,FLOAT!O:O)</f>
        <v>0</v>
      </c>
      <c r="AG39" s="62">
        <f>SUMIF(FLOAT!$D:$D,FRONT!$B$3:$B$49,FLOAT!P:P)</f>
        <v>0</v>
      </c>
      <c r="AH39" s="62">
        <f t="shared" ref="AH39:AH49" si="8">AF39+AG39+X39+Y39+Z39+AA39+AB39+AC39+AE39</f>
        <v>0</v>
      </c>
    </row>
    <row r="40" spans="1:34" ht="19.5" hidden="1" customHeight="1" x14ac:dyDescent="0.25">
      <c r="A40" s="1008"/>
      <c r="B40" s="408" t="s">
        <v>138</v>
      </c>
      <c r="C40" s="729"/>
      <c r="D40" s="379"/>
      <c r="E40" s="1004"/>
      <c r="F40" s="963"/>
      <c r="G40" s="983"/>
      <c r="H40" s="375">
        <f t="shared" si="6"/>
        <v>0</v>
      </c>
      <c r="I40" s="399">
        <f t="shared" si="7"/>
        <v>0</v>
      </c>
      <c r="J40" s="970"/>
      <c r="K40" s="402">
        <f>SUMIF('3 D P'!$D:$D,Cockpit!$E$5:$E$146,'3 D P'!I:I)</f>
        <v>0</v>
      </c>
      <c r="L40" s="380">
        <f>SUMIF('3 D P'!$D:$D,Cockpit!$E$5:$E$146,'3 D P'!J:J)</f>
        <v>0</v>
      </c>
      <c r="M40" s="380">
        <f>SUMIF('3 D P'!$D:$D,Cockpit!$E$5:$E$146,'3 D P'!K:K)</f>
        <v>0</v>
      </c>
      <c r="N40" s="381">
        <f>IFERROR(VLOOKUP($A40,'Front Dispatch'!$A:$B,2,FALSE),0)</f>
        <v>0</v>
      </c>
      <c r="O40" s="380">
        <f>SUMIF('Consumption MTD'!B:B,FRONT!$B$3:$B$49,'Consumption MTD'!C:C)</f>
        <v>0</v>
      </c>
      <c r="P40" s="372">
        <f>SUMIF('BIW Lifting A Shift'!$B:$B,FRONT!$B$3:$B$49,'BIW Lifting A Shift'!C:C)</f>
        <v>0</v>
      </c>
      <c r="Q40" s="407">
        <f>SUMIF('BIW Lifting B Shift'!$B:$B,FRONT!$B$3:$B$49,'BIW Lifting B Shift'!C:C)</f>
        <v>0</v>
      </c>
      <c r="R40" s="980"/>
      <c r="S40" s="980"/>
      <c r="T40" s="980"/>
      <c r="U40" s="467">
        <f>SUMIF(FLOAT!$D:$D,FRONT!$B$3:$B$49,FLOAT!F:F)</f>
        <v>0</v>
      </c>
      <c r="V40" s="990"/>
      <c r="W40" s="612"/>
      <c r="X40" s="471">
        <f>SUMIF(FLOAT!$D:$D,FRONT!$B$3:$B$49,FLOAT!G:G)</f>
        <v>0</v>
      </c>
      <c r="Y40" s="62">
        <f>SUMIF(FLOAT!$D:$D,FRONT!$B$3:$B$49,FLOAT!H:H)</f>
        <v>0</v>
      </c>
      <c r="Z40" s="62">
        <f>SUMIF(FLOAT!$D:$D,FRONT!$B$3:$B$49,FLOAT!I:I)</f>
        <v>0</v>
      </c>
      <c r="AA40" s="62">
        <f>SUMIF(FLOAT!$D:$D,FRONT!$B$3:$B$49,FLOAT!J:J)</f>
        <v>0</v>
      </c>
      <c r="AB40" s="62">
        <f>SUMIF(FLOAT!$D:$D,FRONT!$B$3:$B$49,FLOAT!K:K)</f>
        <v>0</v>
      </c>
      <c r="AC40" s="62">
        <f>SUMIF(FLOAT!$D:$D,FRONT!$B$3:$B$49,FLOAT!L:L)</f>
        <v>0</v>
      </c>
      <c r="AD40" s="62">
        <f>SUMIF(FLOAT!$D:$D,FRONT!$B$3:$B$49,FLOAT!M:M)</f>
        <v>0</v>
      </c>
      <c r="AE40" s="62">
        <f>SUMIF(FLOAT!$D:$D,FRONT!$B$3:$B$49,FLOAT!N:N)</f>
        <v>0</v>
      </c>
      <c r="AF40" s="62">
        <f>SUMIF(FLOAT!$D:$D,FRONT!$B$3:$B$49,FLOAT!O:O)</f>
        <v>0</v>
      </c>
      <c r="AG40" s="62">
        <f>SUMIF(FLOAT!$D:$D,FRONT!$B$3:$B$49,FLOAT!P:P)</f>
        <v>0</v>
      </c>
      <c r="AH40" s="62">
        <f t="shared" si="8"/>
        <v>0</v>
      </c>
    </row>
    <row r="41" spans="1:34" ht="19.5" hidden="1" customHeight="1" x14ac:dyDescent="0.25">
      <c r="A41" s="1008"/>
      <c r="B41" s="408" t="s">
        <v>265</v>
      </c>
      <c r="C41" s="729"/>
      <c r="D41" s="379"/>
      <c r="E41" s="1004"/>
      <c r="F41" s="963"/>
      <c r="G41" s="983"/>
      <c r="H41" s="375">
        <f t="shared" si="6"/>
        <v>0</v>
      </c>
      <c r="I41" s="399">
        <f t="shared" si="7"/>
        <v>0</v>
      </c>
      <c r="J41" s="970"/>
      <c r="K41" s="402">
        <f>SUMIF('3 D P'!$D:$D,Cockpit!$E$5:$E$146,'3 D P'!I:I)</f>
        <v>0</v>
      </c>
      <c r="L41" s="380">
        <f>SUMIF('3 D P'!$D:$D,Cockpit!$E$5:$E$146,'3 D P'!J:J)</f>
        <v>0</v>
      </c>
      <c r="M41" s="380">
        <f>SUMIF('3 D P'!$D:$D,Cockpit!$E$5:$E$146,'3 D P'!K:K)</f>
        <v>0</v>
      </c>
      <c r="N41" s="381">
        <f>IFERROR(VLOOKUP($A41,'Front Dispatch'!$A:$B,2,FALSE),0)</f>
        <v>0</v>
      </c>
      <c r="O41" s="380">
        <f>SUMIF('Consumption MTD'!B:B,FRONT!$B$3:$B$49,'Consumption MTD'!C:C)</f>
        <v>0</v>
      </c>
      <c r="P41" s="372">
        <f>SUMIF('BIW Lifting A Shift'!$B:$B,FRONT!$B$3:$B$49,'BIW Lifting A Shift'!C:C)</f>
        <v>0</v>
      </c>
      <c r="Q41" s="407">
        <f>SUMIF('BIW Lifting B Shift'!$B:$B,FRONT!$B$3:$B$49,'BIW Lifting B Shift'!C:C)</f>
        <v>0</v>
      </c>
      <c r="R41" s="980"/>
      <c r="S41" s="980"/>
      <c r="T41" s="980"/>
      <c r="U41" s="467">
        <f>SUMIF(FLOAT!$D:$D,FRONT!$B$3:$B$49,FLOAT!F:F)</f>
        <v>0</v>
      </c>
      <c r="V41" s="990"/>
      <c r="W41" s="612"/>
      <c r="X41" s="471">
        <f>SUMIF(FLOAT!$D:$D,FRONT!$B$3:$B$49,FLOAT!G:G)</f>
        <v>0</v>
      </c>
      <c r="Y41" s="62">
        <f>SUMIF(FLOAT!$D:$D,FRONT!$B$3:$B$49,FLOAT!H:H)</f>
        <v>0</v>
      </c>
      <c r="Z41" s="62">
        <f>SUMIF(FLOAT!$D:$D,FRONT!$B$3:$B$49,FLOAT!I:I)</f>
        <v>0</v>
      </c>
      <c r="AA41" s="62">
        <f>SUMIF(FLOAT!$D:$D,FRONT!$B$3:$B$49,FLOAT!J:J)</f>
        <v>0</v>
      </c>
      <c r="AB41" s="62">
        <f>SUMIF(FLOAT!$D:$D,FRONT!$B$3:$B$49,FLOAT!K:K)</f>
        <v>0</v>
      </c>
      <c r="AC41" s="62">
        <f>SUMIF(FLOAT!$D:$D,FRONT!$B$3:$B$49,FLOAT!L:L)</f>
        <v>0</v>
      </c>
      <c r="AD41" s="62">
        <f>SUMIF(FLOAT!$D:$D,FRONT!$B$3:$B$49,FLOAT!M:M)</f>
        <v>0</v>
      </c>
      <c r="AE41" s="62">
        <f>SUMIF(FLOAT!$D:$D,FRONT!$B$3:$B$49,FLOAT!N:N)</f>
        <v>0</v>
      </c>
      <c r="AF41" s="62">
        <f>SUMIF(FLOAT!$D:$D,FRONT!$B$3:$B$49,FLOAT!O:O)</f>
        <v>0</v>
      </c>
      <c r="AG41" s="62">
        <f>SUMIF(FLOAT!$D:$D,FRONT!$B$3:$B$49,FLOAT!P:P)</f>
        <v>0</v>
      </c>
      <c r="AH41" s="62">
        <f t="shared" si="8"/>
        <v>0</v>
      </c>
    </row>
    <row r="42" spans="1:34" ht="19.5" hidden="1" customHeight="1" x14ac:dyDescent="0.25">
      <c r="A42" s="1008"/>
      <c r="B42" s="408" t="s">
        <v>263</v>
      </c>
      <c r="C42" s="729"/>
      <c r="D42" s="379"/>
      <c r="E42" s="1004"/>
      <c r="F42" s="963"/>
      <c r="G42" s="983"/>
      <c r="H42" s="375">
        <f t="shared" si="6"/>
        <v>0</v>
      </c>
      <c r="I42" s="399">
        <f t="shared" si="7"/>
        <v>0</v>
      </c>
      <c r="J42" s="970"/>
      <c r="K42" s="402">
        <f>SUMIF('3 D P'!$D:$D,Cockpit!$E$5:$E$146,'3 D P'!I:I)</f>
        <v>0</v>
      </c>
      <c r="L42" s="380">
        <f>SUMIF('3 D P'!$D:$D,Cockpit!$E$5:$E$146,'3 D P'!J:J)</f>
        <v>0</v>
      </c>
      <c r="M42" s="380">
        <f>SUMIF('3 D P'!$D:$D,Cockpit!$E$5:$E$146,'3 D P'!K:K)</f>
        <v>0</v>
      </c>
      <c r="N42" s="381">
        <f>IFERROR(VLOOKUP($A42,'Front Dispatch'!$A:$B,2,FALSE),0)</f>
        <v>0</v>
      </c>
      <c r="O42" s="380">
        <f>SUMIF('Consumption MTD'!B:B,FRONT!$B$3:$B$49,'Consumption MTD'!C:C)</f>
        <v>0</v>
      </c>
      <c r="P42" s="372">
        <f>SUMIF('BIW Lifting A Shift'!$B:$B,FRONT!$B$3:$B$49,'BIW Lifting A Shift'!C:C)</f>
        <v>0</v>
      </c>
      <c r="Q42" s="407">
        <f>SUMIF('BIW Lifting B Shift'!$B:$B,FRONT!$B$3:$B$49,'BIW Lifting B Shift'!C:C)</f>
        <v>0</v>
      </c>
      <c r="R42" s="980"/>
      <c r="S42" s="980"/>
      <c r="T42" s="980"/>
      <c r="U42" s="467">
        <f>SUMIF(FLOAT!$D:$D,FRONT!$B$3:$B$49,FLOAT!F:F)</f>
        <v>0</v>
      </c>
      <c r="V42" s="990"/>
      <c r="W42" s="612"/>
      <c r="X42" s="471">
        <f>SUMIF(FLOAT!$D:$D,FRONT!$B$3:$B$49,FLOAT!G:G)</f>
        <v>0</v>
      </c>
      <c r="Y42" s="62">
        <f>SUMIF(FLOAT!$D:$D,FRONT!$B$3:$B$49,FLOAT!H:H)</f>
        <v>0</v>
      </c>
      <c r="Z42" s="62">
        <f>SUMIF(FLOAT!$D:$D,FRONT!$B$3:$B$49,FLOAT!I:I)</f>
        <v>0</v>
      </c>
      <c r="AA42" s="62">
        <f>SUMIF(FLOAT!$D:$D,FRONT!$B$3:$B$49,FLOAT!J:J)</f>
        <v>0</v>
      </c>
      <c r="AB42" s="62">
        <f>SUMIF(FLOAT!$D:$D,FRONT!$B$3:$B$49,FLOAT!K:K)</f>
        <v>0</v>
      </c>
      <c r="AC42" s="62">
        <f>SUMIF(FLOAT!$D:$D,FRONT!$B$3:$B$49,FLOAT!L:L)</f>
        <v>0</v>
      </c>
      <c r="AD42" s="62">
        <f>SUMIF(FLOAT!$D:$D,FRONT!$B$3:$B$49,FLOAT!M:M)</f>
        <v>0</v>
      </c>
      <c r="AE42" s="62">
        <f>SUMIF(FLOAT!$D:$D,FRONT!$B$3:$B$49,FLOAT!N:N)</f>
        <v>0</v>
      </c>
      <c r="AF42" s="62">
        <f>SUMIF(FLOAT!$D:$D,FRONT!$B$3:$B$49,FLOAT!O:O)</f>
        <v>0</v>
      </c>
      <c r="AG42" s="62">
        <f>SUMIF(FLOAT!$D:$D,FRONT!$B$3:$B$49,FLOAT!P:P)</f>
        <v>0</v>
      </c>
      <c r="AH42" s="62">
        <f t="shared" si="8"/>
        <v>0</v>
      </c>
    </row>
    <row r="43" spans="1:34" ht="19.5" hidden="1" customHeight="1" x14ac:dyDescent="0.25">
      <c r="A43" s="1009"/>
      <c r="B43" s="408" t="s">
        <v>257</v>
      </c>
      <c r="C43" s="729"/>
      <c r="D43" s="379"/>
      <c r="E43" s="962"/>
      <c r="F43" s="963"/>
      <c r="G43" s="977"/>
      <c r="H43" s="375">
        <f t="shared" si="6"/>
        <v>0</v>
      </c>
      <c r="I43" s="399">
        <f t="shared" si="7"/>
        <v>0</v>
      </c>
      <c r="J43" s="970"/>
      <c r="K43" s="402">
        <f>SUMIF('3 D P'!$D:$D,Cockpit!$E$5:$E$146,'3 D P'!I:I)</f>
        <v>0</v>
      </c>
      <c r="L43" s="380">
        <f>SUMIF('3 D P'!$D:$D,Cockpit!$E$5:$E$146,'3 D P'!J:J)</f>
        <v>0</v>
      </c>
      <c r="M43" s="380">
        <f>SUMIF('3 D P'!$D:$D,Cockpit!$E$5:$E$146,'3 D P'!K:K)</f>
        <v>0</v>
      </c>
      <c r="N43" s="381">
        <f>IFERROR(VLOOKUP($A43,'Front Dispatch'!$A:$B,2,FALSE),0)</f>
        <v>0</v>
      </c>
      <c r="O43" s="380">
        <f>SUMIF('Consumption MTD'!B:B,FRONT!$B$3:$B$49,'Consumption MTD'!C:C)</f>
        <v>0</v>
      </c>
      <c r="P43" s="372">
        <f>SUMIF('BIW Lifting A Shift'!$B:$B,FRONT!$B$3:$B$49,'BIW Lifting A Shift'!C:C)</f>
        <v>0</v>
      </c>
      <c r="Q43" s="407">
        <f>SUMIF('BIW Lifting B Shift'!$B:$B,FRONT!$B$3:$B$49,'BIW Lifting B Shift'!C:C)</f>
        <v>0</v>
      </c>
      <c r="R43" s="980"/>
      <c r="S43" s="980"/>
      <c r="T43" s="980"/>
      <c r="U43" s="467">
        <f>SUMIF(FLOAT!$D:$D,FRONT!$B$3:$B$49,FLOAT!F:F)</f>
        <v>0</v>
      </c>
      <c r="V43" s="990"/>
      <c r="W43" s="612"/>
      <c r="X43" s="471">
        <f>SUMIF(FLOAT!$D:$D,FRONT!$B$3:$B$49,FLOAT!G:G)</f>
        <v>0</v>
      </c>
      <c r="Y43" s="62">
        <f>SUMIF(FLOAT!$D:$D,FRONT!$B$3:$B$49,FLOAT!H:H)</f>
        <v>0</v>
      </c>
      <c r="Z43" s="62">
        <f>SUMIF(FLOAT!$D:$D,FRONT!$B$3:$B$49,FLOAT!I:I)</f>
        <v>0</v>
      </c>
      <c r="AA43" s="62">
        <f>SUMIF(FLOAT!$D:$D,FRONT!$B$3:$B$49,FLOAT!J:J)</f>
        <v>0</v>
      </c>
      <c r="AB43" s="62">
        <f>SUMIF(FLOAT!$D:$D,FRONT!$B$3:$B$49,FLOAT!K:K)</f>
        <v>0</v>
      </c>
      <c r="AC43" s="62">
        <f>SUMIF(FLOAT!$D:$D,FRONT!$B$3:$B$49,FLOAT!L:L)</f>
        <v>0</v>
      </c>
      <c r="AD43" s="62">
        <f>SUMIF(FLOAT!$D:$D,FRONT!$B$3:$B$49,FLOAT!M:M)</f>
        <v>0</v>
      </c>
      <c r="AE43" s="62">
        <f>SUMIF(FLOAT!$D:$D,FRONT!$B$3:$B$49,FLOAT!N:N)</f>
        <v>0</v>
      </c>
      <c r="AF43" s="62">
        <f>SUMIF(FLOAT!$D:$D,FRONT!$B$3:$B$49,FLOAT!O:O)</f>
        <v>0</v>
      </c>
      <c r="AG43" s="62">
        <f>SUMIF(FLOAT!$D:$D,FRONT!$B$3:$B$49,FLOAT!P:P)</f>
        <v>0</v>
      </c>
      <c r="AH43" s="62">
        <f t="shared" si="8"/>
        <v>0</v>
      </c>
    </row>
    <row r="44" spans="1:34" ht="19.5" hidden="1" customHeight="1" x14ac:dyDescent="0.25">
      <c r="A44" s="1010">
        <v>544554620378</v>
      </c>
      <c r="B44" s="408" t="s">
        <v>255</v>
      </c>
      <c r="C44" s="729" t="s">
        <v>571</v>
      </c>
      <c r="D44" s="379"/>
      <c r="E44" s="1003">
        <f>SUM(D44:D45)</f>
        <v>0</v>
      </c>
      <c r="F44" s="963">
        <v>0</v>
      </c>
      <c r="G44" s="982">
        <f>N44</f>
        <v>0</v>
      </c>
      <c r="H44" s="375">
        <f t="shared" si="6"/>
        <v>0</v>
      </c>
      <c r="I44" s="399">
        <f t="shared" si="7"/>
        <v>0</v>
      </c>
      <c r="J44" s="970">
        <f>F44+G44-H44-H45</f>
        <v>0</v>
      </c>
      <c r="K44" s="402">
        <f>SUMIF('3 D P'!$D:$D,Cockpit!$E$5:$E$146,'3 D P'!I:I)</f>
        <v>0</v>
      </c>
      <c r="L44" s="380">
        <f>SUMIF('3 D P'!$D:$D,Cockpit!$E$5:$E$146,'3 D P'!J:J)</f>
        <v>0</v>
      </c>
      <c r="M44" s="380">
        <f>SUMIF('3 D P'!$D:$D,Cockpit!$E$5:$E$146,'3 D P'!K:K)</f>
        <v>0</v>
      </c>
      <c r="N44" s="381">
        <f>IFERROR(VLOOKUP($A44,'Front Dispatch'!$A:$B,2,FALSE),0)</f>
        <v>0</v>
      </c>
      <c r="O44" s="380">
        <f>SUMIF('Consumption MTD'!B:B,FRONT!$B$3:$B$49,'Consumption MTD'!C:C)</f>
        <v>0</v>
      </c>
      <c r="P44" s="372">
        <f>SUMIF('BIW Lifting A Shift'!$B:$B,FRONT!$B$3:$B$49,'BIW Lifting A Shift'!C:C)</f>
        <v>0</v>
      </c>
      <c r="Q44" s="407">
        <f>SUMIF('BIW Lifting B Shift'!$B:$B,FRONT!$B$3:$B$49,'BIW Lifting B Shift'!C:C)</f>
        <v>0</v>
      </c>
      <c r="R44" s="980">
        <f>J44-U44-U45</f>
        <v>0</v>
      </c>
      <c r="S44" s="958">
        <f>J44-P44-U44-U45-P45</f>
        <v>0</v>
      </c>
      <c r="T44" s="958">
        <f>S44-Q44-Q45</f>
        <v>0</v>
      </c>
      <c r="U44" s="467">
        <f>SUMIF(FLOAT!$D:$D,FRONT!$B$3:$B$49,FLOAT!F:F)</f>
        <v>0</v>
      </c>
      <c r="V44" s="990">
        <f>E44-(F44+G44)</f>
        <v>0</v>
      </c>
      <c r="W44" s="612"/>
      <c r="X44" s="471">
        <f>SUMIF(FLOAT!$D:$D,FRONT!$B$3:$B$49,FLOAT!G:G)</f>
        <v>0</v>
      </c>
      <c r="Y44" s="62">
        <f>SUMIF(FLOAT!$D:$D,FRONT!$B$3:$B$49,FLOAT!H:H)</f>
        <v>0</v>
      </c>
      <c r="Z44" s="62">
        <f>SUMIF(FLOAT!$D:$D,FRONT!$B$3:$B$49,FLOAT!I:I)</f>
        <v>0</v>
      </c>
      <c r="AA44" s="62">
        <f>SUMIF(FLOAT!$D:$D,FRONT!$B$3:$B$49,FLOAT!J:J)</f>
        <v>0</v>
      </c>
      <c r="AB44" s="62">
        <f>SUMIF(FLOAT!$D:$D,FRONT!$B$3:$B$49,FLOAT!K:K)</f>
        <v>0</v>
      </c>
      <c r="AC44" s="62">
        <f>SUMIF(FLOAT!$D:$D,FRONT!$B$3:$B$49,FLOAT!L:L)</f>
        <v>0</v>
      </c>
      <c r="AD44" s="62">
        <f>SUMIF(FLOAT!$D:$D,FRONT!$B$3:$B$49,FLOAT!M:M)</f>
        <v>0</v>
      </c>
      <c r="AE44" s="62">
        <f>SUMIF(FLOAT!$D:$D,FRONT!$B$3:$B$49,FLOAT!N:N)</f>
        <v>0</v>
      </c>
      <c r="AF44" s="62">
        <f>SUMIF(FLOAT!$D:$D,FRONT!$B$3:$B$49,FLOAT!O:O)</f>
        <v>0</v>
      </c>
      <c r="AG44" s="62">
        <f>SUMIF(FLOAT!$D:$D,FRONT!$B$3:$B$49,FLOAT!P:P)</f>
        <v>0</v>
      </c>
      <c r="AH44" s="62">
        <f t="shared" si="8"/>
        <v>0</v>
      </c>
    </row>
    <row r="45" spans="1:34" ht="19.5" hidden="1" customHeight="1" x14ac:dyDescent="0.25">
      <c r="A45" s="1010"/>
      <c r="B45" s="408" t="s">
        <v>560</v>
      </c>
      <c r="C45" s="729"/>
      <c r="D45" s="379"/>
      <c r="E45" s="962"/>
      <c r="F45" s="963"/>
      <c r="G45" s="977"/>
      <c r="H45" s="375">
        <f t="shared" si="6"/>
        <v>0</v>
      </c>
      <c r="I45" s="399">
        <f t="shared" si="7"/>
        <v>0</v>
      </c>
      <c r="J45" s="970"/>
      <c r="K45" s="402">
        <f>SUMIF('3 D P'!$D:$D,Cockpit!$E$5:$E$146,'3 D P'!I:I)</f>
        <v>0</v>
      </c>
      <c r="L45" s="380">
        <f>SUMIF('3 D P'!$D:$D,Cockpit!$E$5:$E$146,'3 D P'!J:J)</f>
        <v>0</v>
      </c>
      <c r="M45" s="380">
        <f>SUMIF('3 D P'!$D:$D,Cockpit!$E$5:$E$146,'3 D P'!K:K)</f>
        <v>0</v>
      </c>
      <c r="N45" s="381">
        <f>IFERROR(VLOOKUP($A45,'Front Dispatch'!$A:$B,2,FALSE),0)</f>
        <v>0</v>
      </c>
      <c r="O45" s="380">
        <f>SUMIF('Consumption MTD'!B:B,FRONT!$B$3:$B$49,'Consumption MTD'!C:C)</f>
        <v>0</v>
      </c>
      <c r="P45" s="372">
        <f>SUMIF('BIW Lifting A Shift'!$B:$B,FRONT!$B$3:$B$49,'BIW Lifting A Shift'!C:C)</f>
        <v>0</v>
      </c>
      <c r="Q45" s="407">
        <f>SUMIF('BIW Lifting B Shift'!$B:$B,FRONT!$B$3:$B$49,'BIW Lifting B Shift'!C:C)</f>
        <v>0</v>
      </c>
      <c r="R45" s="980"/>
      <c r="S45" s="959"/>
      <c r="T45" s="959"/>
      <c r="U45" s="467">
        <f>SUMIF(FLOAT!$D:$D,FRONT!$B$3:$B$49,FLOAT!F:F)</f>
        <v>0</v>
      </c>
      <c r="V45" s="990"/>
      <c r="W45" s="612"/>
      <c r="X45" s="471">
        <f>SUMIF(FLOAT!$D:$D,FRONT!$B$3:$B$49,FLOAT!G:G)</f>
        <v>0</v>
      </c>
      <c r="Y45" s="62">
        <f>SUMIF(FLOAT!$D:$D,FRONT!$B$3:$B$49,FLOAT!H:H)</f>
        <v>0</v>
      </c>
      <c r="Z45" s="62">
        <f>SUMIF(FLOAT!$D:$D,FRONT!$B$3:$B$49,FLOAT!I:I)</f>
        <v>0</v>
      </c>
      <c r="AA45" s="62">
        <f>SUMIF(FLOAT!$D:$D,FRONT!$B$3:$B$49,FLOAT!J:J)</f>
        <v>0</v>
      </c>
      <c r="AB45" s="62">
        <f>SUMIF(FLOAT!$D:$D,FRONT!$B$3:$B$49,FLOAT!K:K)</f>
        <v>0</v>
      </c>
      <c r="AC45" s="62">
        <f>SUMIF(FLOAT!$D:$D,FRONT!$B$3:$B$49,FLOAT!L:L)</f>
        <v>0</v>
      </c>
      <c r="AD45" s="62">
        <f>SUMIF(FLOAT!$D:$D,FRONT!$B$3:$B$49,FLOAT!M:M)</f>
        <v>0</v>
      </c>
      <c r="AE45" s="62">
        <f>SUMIF(FLOAT!$D:$D,FRONT!$B$3:$B$49,FLOAT!N:N)</f>
        <v>0</v>
      </c>
      <c r="AF45" s="62">
        <f>SUMIF(FLOAT!$D:$D,FRONT!$B$3:$B$49,FLOAT!O:O)</f>
        <v>0</v>
      </c>
      <c r="AG45" s="62">
        <f>SUMIF(FLOAT!$D:$D,FRONT!$B$3:$B$49,FLOAT!P:P)</f>
        <v>0</v>
      </c>
      <c r="AH45" s="62">
        <f t="shared" si="8"/>
        <v>0</v>
      </c>
    </row>
    <row r="46" spans="1:34" ht="19.5" hidden="1" customHeight="1" x14ac:dyDescent="0.25">
      <c r="A46" s="1011">
        <v>544554620382</v>
      </c>
      <c r="B46" s="408" t="s">
        <v>253</v>
      </c>
      <c r="C46" s="729"/>
      <c r="D46" s="379"/>
      <c r="E46" s="1003">
        <f>SUM(D46:D49)</f>
        <v>0</v>
      </c>
      <c r="F46" s="963">
        <v>0</v>
      </c>
      <c r="G46" s="982">
        <f>N46</f>
        <v>0</v>
      </c>
      <c r="H46" s="375">
        <f t="shared" si="6"/>
        <v>0</v>
      </c>
      <c r="I46" s="985">
        <f>E46-H46-H47-H48</f>
        <v>0</v>
      </c>
      <c r="J46" s="970">
        <f>F46+G46-H46-H47-H48-H49</f>
        <v>0</v>
      </c>
      <c r="K46" s="402">
        <f>SUMIF('3 D P'!$D:$D,Cockpit!$E$5:$E$146,'3 D P'!I:I)</f>
        <v>0</v>
      </c>
      <c r="L46" s="380">
        <f>SUMIF('3 D P'!$D:$D,Cockpit!$E$5:$E$146,'3 D P'!J:J)</f>
        <v>0</v>
      </c>
      <c r="M46" s="380">
        <f>SUMIF('3 D P'!$D:$D,Cockpit!$E$5:$E$146,'3 D P'!K:K)</f>
        <v>0</v>
      </c>
      <c r="N46" s="381">
        <f>IFERROR(VLOOKUP($A46,'Front Dispatch'!$A:$B,2,FALSE),0)</f>
        <v>0</v>
      </c>
      <c r="O46" s="380">
        <f>SUMIF('Consumption MTD'!B:B,FRONT!$B$3:$B$49,'Consumption MTD'!C:C)</f>
        <v>0</v>
      </c>
      <c r="P46" s="372">
        <f>SUMIF('BIW Lifting A Shift'!$B:$B,FRONT!$B$3:$B$49,'BIW Lifting A Shift'!C:C)</f>
        <v>0</v>
      </c>
      <c r="Q46" s="407">
        <f>SUMIF('BIW Lifting B Shift'!$B:$B,FRONT!$B$3:$B$49,'BIW Lifting B Shift'!C:C)</f>
        <v>0</v>
      </c>
      <c r="R46" s="980">
        <f>J46-U46-U47-U48-U49</f>
        <v>0</v>
      </c>
      <c r="S46" s="958">
        <f>J46-P46-U46-U47-U48-U49-P47-P48-P49</f>
        <v>0</v>
      </c>
      <c r="T46" s="958">
        <f>S46-Q46-Q47-Q48-Q49</f>
        <v>0</v>
      </c>
      <c r="U46" s="467">
        <f>SUMIF(FLOAT!$D:$D,FRONT!$B$3:$B$49,FLOAT!F:F)</f>
        <v>0</v>
      </c>
      <c r="V46" s="990">
        <f>E46-(F46+G46)</f>
        <v>0</v>
      </c>
      <c r="W46" s="612"/>
      <c r="X46" s="471">
        <f>SUMIF(FLOAT!$D:$D,FRONT!$B$3:$B$49,FLOAT!G:G)</f>
        <v>0</v>
      </c>
      <c r="Y46" s="62">
        <f>SUMIF(FLOAT!$D:$D,FRONT!$B$3:$B$49,FLOAT!H:H)</f>
        <v>0</v>
      </c>
      <c r="Z46" s="62">
        <f>SUMIF(FLOAT!$D:$D,FRONT!$B$3:$B$49,FLOAT!I:I)</f>
        <v>0</v>
      </c>
      <c r="AA46" s="62">
        <f>SUMIF(FLOAT!$D:$D,FRONT!$B$3:$B$49,FLOAT!J:J)</f>
        <v>0</v>
      </c>
      <c r="AB46" s="62">
        <f>SUMIF(FLOAT!$D:$D,FRONT!$B$3:$B$49,FLOAT!K:K)</f>
        <v>0</v>
      </c>
      <c r="AC46" s="62">
        <f>SUMIF(FLOAT!$D:$D,FRONT!$B$3:$B$49,FLOAT!L:L)</f>
        <v>0</v>
      </c>
      <c r="AD46" s="62">
        <f>SUMIF(FLOAT!$D:$D,FRONT!$B$3:$B$49,FLOAT!M:M)</f>
        <v>0</v>
      </c>
      <c r="AE46" s="62">
        <f>SUMIF(FLOAT!$D:$D,FRONT!$B$3:$B$49,FLOAT!N:N)</f>
        <v>0</v>
      </c>
      <c r="AF46" s="62">
        <f>SUMIF(FLOAT!$D:$D,FRONT!$B$3:$B$49,FLOAT!O:O)</f>
        <v>0</v>
      </c>
      <c r="AG46" s="62">
        <f>SUMIF(FLOAT!$D:$D,FRONT!$B$3:$B$49,FLOAT!P:P)</f>
        <v>0</v>
      </c>
      <c r="AH46" s="62">
        <f t="shared" si="8"/>
        <v>0</v>
      </c>
    </row>
    <row r="47" spans="1:34" ht="19.5" hidden="1" customHeight="1" x14ac:dyDescent="0.25">
      <c r="A47" s="1011"/>
      <c r="B47" s="408" t="s">
        <v>275</v>
      </c>
      <c r="C47" s="729"/>
      <c r="D47" s="379"/>
      <c r="E47" s="1004"/>
      <c r="F47" s="963"/>
      <c r="G47" s="983"/>
      <c r="H47" s="375">
        <f t="shared" si="6"/>
        <v>0</v>
      </c>
      <c r="I47" s="986"/>
      <c r="J47" s="970"/>
      <c r="K47" s="402">
        <f>SUMIF('3 D P'!$D:$D,Cockpit!$E$5:$E$146,'3 D P'!I:I)</f>
        <v>0</v>
      </c>
      <c r="L47" s="380">
        <f>SUMIF('3 D P'!$D:$D,Cockpit!$E$5:$E$146,'3 D P'!J:J)</f>
        <v>0</v>
      </c>
      <c r="M47" s="380">
        <f>SUMIF('3 D P'!$D:$D,Cockpit!$E$5:$E$146,'3 D P'!K:K)</f>
        <v>0</v>
      </c>
      <c r="N47" s="381">
        <f>IFERROR(VLOOKUP($A47,'Front Dispatch'!$A:$B,2,FALSE),0)</f>
        <v>0</v>
      </c>
      <c r="O47" s="380">
        <f>SUMIF('Consumption MTD'!B:B,FRONT!$B$3:$B$49,'Consumption MTD'!C:C)</f>
        <v>0</v>
      </c>
      <c r="P47" s="372">
        <f>SUMIF('BIW Lifting A Shift'!$B:$B,FRONT!$B$3:$B$49,'BIW Lifting A Shift'!C:C)</f>
        <v>0</v>
      </c>
      <c r="Q47" s="407">
        <f>SUMIF('BIW Lifting B Shift'!$B:$B,FRONT!$B$3:$B$49,'BIW Lifting B Shift'!C:C)</f>
        <v>0</v>
      </c>
      <c r="R47" s="980"/>
      <c r="S47" s="978"/>
      <c r="T47" s="978"/>
      <c r="U47" s="467">
        <f>SUMIF(FLOAT!$D:$D,FRONT!$B$3:$B$49,FLOAT!F:F)</f>
        <v>0</v>
      </c>
      <c r="V47" s="990"/>
      <c r="W47" s="612"/>
      <c r="X47" s="471">
        <f>SUMIF(FLOAT!$D:$D,FRONT!$B$3:$B$49,FLOAT!G:G)</f>
        <v>0</v>
      </c>
      <c r="Y47" s="62">
        <f>SUMIF(FLOAT!$D:$D,FRONT!$B$3:$B$49,FLOAT!H:H)</f>
        <v>0</v>
      </c>
      <c r="Z47" s="62">
        <f>SUMIF(FLOAT!$D:$D,FRONT!$B$3:$B$49,FLOAT!I:I)</f>
        <v>0</v>
      </c>
      <c r="AA47" s="62">
        <f>SUMIF(FLOAT!$D:$D,FRONT!$B$3:$B$49,FLOAT!J:J)</f>
        <v>0</v>
      </c>
      <c r="AB47" s="62">
        <f>SUMIF(FLOAT!$D:$D,FRONT!$B$3:$B$49,FLOAT!K:K)</f>
        <v>0</v>
      </c>
      <c r="AC47" s="62">
        <f>SUMIF(FLOAT!$D:$D,FRONT!$B$3:$B$49,FLOAT!L:L)</f>
        <v>0</v>
      </c>
      <c r="AD47" s="62">
        <f>SUMIF(FLOAT!$D:$D,FRONT!$B$3:$B$49,FLOAT!M:M)</f>
        <v>0</v>
      </c>
      <c r="AE47" s="62">
        <f>SUMIF(FLOAT!$D:$D,FRONT!$B$3:$B$49,FLOAT!N:N)</f>
        <v>0</v>
      </c>
      <c r="AF47" s="62">
        <f>SUMIF(FLOAT!$D:$D,FRONT!$B$3:$B$49,FLOAT!O:O)</f>
        <v>0</v>
      </c>
      <c r="AG47" s="62">
        <f>SUMIF(FLOAT!$D:$D,FRONT!$B$3:$B$49,FLOAT!P:P)</f>
        <v>0</v>
      </c>
      <c r="AH47" s="62">
        <f t="shared" si="8"/>
        <v>0</v>
      </c>
    </row>
    <row r="48" spans="1:34" ht="19.5" hidden="1" customHeight="1" x14ac:dyDescent="0.25">
      <c r="A48" s="1011"/>
      <c r="B48" s="408" t="s">
        <v>256</v>
      </c>
      <c r="C48" s="729"/>
      <c r="D48" s="379"/>
      <c r="E48" s="1004"/>
      <c r="F48" s="963"/>
      <c r="G48" s="983"/>
      <c r="H48" s="375">
        <f t="shared" si="6"/>
        <v>0</v>
      </c>
      <c r="I48" s="986"/>
      <c r="J48" s="970"/>
      <c r="K48" s="402">
        <f>SUMIF('3 D P'!$D:$D,Cockpit!$E$5:$E$146,'3 D P'!I:I)</f>
        <v>0</v>
      </c>
      <c r="L48" s="380">
        <f>SUMIF('3 D P'!$D:$D,Cockpit!$E$5:$E$146,'3 D P'!J:J)</f>
        <v>0</v>
      </c>
      <c r="M48" s="380">
        <f>SUMIF('3 D P'!$D:$D,Cockpit!$E$5:$E$146,'3 D P'!K:K)</f>
        <v>0</v>
      </c>
      <c r="N48" s="381">
        <f>IFERROR(VLOOKUP($A48,'Front Dispatch'!$A:$B,2,FALSE),0)</f>
        <v>0</v>
      </c>
      <c r="O48" s="380">
        <f>SUMIF('Consumption MTD'!B:B,FRONT!$B$3:$B$49,'Consumption MTD'!C:C)</f>
        <v>0</v>
      </c>
      <c r="P48" s="372">
        <f>SUMIF('BIW Lifting A Shift'!$B:$B,FRONT!$B$3:$B$49,'BIW Lifting A Shift'!C:C)</f>
        <v>0</v>
      </c>
      <c r="Q48" s="407">
        <f>SUMIF('BIW Lifting B Shift'!$B:$B,FRONT!$B$3:$B$49,'BIW Lifting B Shift'!C:C)</f>
        <v>0</v>
      </c>
      <c r="R48" s="980"/>
      <c r="S48" s="978"/>
      <c r="T48" s="978"/>
      <c r="U48" s="467">
        <f>SUMIF(FLOAT!$D:$D,FRONT!$B$3:$B$49,FLOAT!F:F)</f>
        <v>0</v>
      </c>
      <c r="V48" s="990"/>
      <c r="W48" s="612"/>
      <c r="X48" s="471">
        <f>SUMIF(FLOAT!$D:$D,FRONT!$B$3:$B$49,FLOAT!G:G)</f>
        <v>0</v>
      </c>
      <c r="Y48" s="62">
        <f>SUMIF(FLOAT!$D:$D,FRONT!$B$3:$B$49,FLOAT!H:H)</f>
        <v>0</v>
      </c>
      <c r="Z48" s="62">
        <f>SUMIF(FLOAT!$D:$D,FRONT!$B$3:$B$49,FLOAT!I:I)</f>
        <v>0</v>
      </c>
      <c r="AA48" s="62">
        <f>SUMIF(FLOAT!$D:$D,FRONT!$B$3:$B$49,FLOAT!J:J)</f>
        <v>0</v>
      </c>
      <c r="AB48" s="62">
        <f>SUMIF(FLOAT!$D:$D,FRONT!$B$3:$B$49,FLOAT!K:K)</f>
        <v>0</v>
      </c>
      <c r="AC48" s="62">
        <f>SUMIF(FLOAT!$D:$D,FRONT!$B$3:$B$49,FLOAT!L:L)</f>
        <v>0</v>
      </c>
      <c r="AD48" s="62">
        <f>SUMIF(FLOAT!$D:$D,FRONT!$B$3:$B$49,FLOAT!M:M)</f>
        <v>0</v>
      </c>
      <c r="AE48" s="62">
        <f>SUMIF(FLOAT!$D:$D,FRONT!$B$3:$B$49,FLOAT!N:N)</f>
        <v>0</v>
      </c>
      <c r="AF48" s="62">
        <f>SUMIF(FLOAT!$D:$D,FRONT!$B$3:$B$49,FLOAT!O:O)</f>
        <v>0</v>
      </c>
      <c r="AG48" s="62">
        <f>SUMIF(FLOAT!$D:$D,FRONT!$B$3:$B$49,FLOAT!P:P)</f>
        <v>0</v>
      </c>
      <c r="AH48" s="62">
        <f t="shared" si="8"/>
        <v>0</v>
      </c>
    </row>
    <row r="49" spans="1:35" ht="17.25" hidden="1" customHeight="1" thickBot="1" x14ac:dyDescent="0.3">
      <c r="A49" s="1012"/>
      <c r="B49" s="408" t="s">
        <v>273</v>
      </c>
      <c r="C49" s="730"/>
      <c r="D49" s="379"/>
      <c r="E49" s="1015"/>
      <c r="F49" s="1013"/>
      <c r="G49" s="984"/>
      <c r="H49" s="394">
        <f t="shared" si="6"/>
        <v>0</v>
      </c>
      <c r="I49" s="987"/>
      <c r="J49" s="1006"/>
      <c r="K49" s="403">
        <f>SUMIF('3 D P'!$D:$D,Cockpit!$E$5:$E$146,'3 D P'!I:I)</f>
        <v>0</v>
      </c>
      <c r="L49" s="395">
        <f>SUMIF('3 D P'!$D:$D,Cockpit!$E$5:$E$146,'3 D P'!J:J)</f>
        <v>0</v>
      </c>
      <c r="M49" s="395">
        <f>SUMIF('3 D P'!$D:$D,Cockpit!$E$5:$E$146,'3 D P'!K:K)</f>
        <v>0</v>
      </c>
      <c r="N49" s="396">
        <f>IFERROR(VLOOKUP($A49,'Front Dispatch'!$A:$B,2,FALSE),0)</f>
        <v>0</v>
      </c>
      <c r="O49" s="395">
        <f>SUMIF('Consumption MTD'!B:B,FRONT!$B$3:$B$49,'Consumption MTD'!C:C)</f>
        <v>0</v>
      </c>
      <c r="P49" s="372">
        <f>SUMIF('BIW Lifting A Shift'!$B:$B,FRONT!$B$3:$B$49,'BIW Lifting A Shift'!C:C)</f>
        <v>0</v>
      </c>
      <c r="Q49" s="407">
        <f>SUMIF('BIW Lifting B Shift'!$B:$B,FRONT!$B$3:$B$49,'BIW Lifting B Shift'!C:C)</f>
        <v>0</v>
      </c>
      <c r="R49" s="981"/>
      <c r="S49" s="979"/>
      <c r="T49" s="979"/>
      <c r="U49" s="468">
        <f>SUMIF(FLOAT!$D:$D,FRONT!$B$3:$B$49,FLOAT!F:F)</f>
        <v>0</v>
      </c>
      <c r="V49" s="990"/>
      <c r="W49" s="612"/>
      <c r="X49" s="471">
        <f>SUMIF(FLOAT!$D:$D,FRONT!$B$3:$B$49,FLOAT!G:G)</f>
        <v>0</v>
      </c>
      <c r="Y49" s="62">
        <f>SUMIF(FLOAT!$D:$D,FRONT!$B$3:$B$49,FLOAT!H:H)</f>
        <v>0</v>
      </c>
      <c r="Z49" s="62">
        <f>SUMIF(FLOAT!$D:$D,FRONT!$B$3:$B$49,FLOAT!I:I)</f>
        <v>0</v>
      </c>
      <c r="AA49" s="62">
        <f>SUMIF(FLOAT!$D:$D,FRONT!$B$3:$B$49,FLOAT!J:J)</f>
        <v>0</v>
      </c>
      <c r="AB49" s="62">
        <f>SUMIF(FLOAT!$D:$D,FRONT!$B$3:$B$49,FLOAT!K:K)</f>
        <v>0</v>
      </c>
      <c r="AC49" s="62">
        <f>SUMIF(FLOAT!$D:$D,FRONT!$B$3:$B$49,FLOAT!L:L)</f>
        <v>0</v>
      </c>
      <c r="AD49" s="62">
        <f>SUMIF(FLOAT!$D:$D,FRONT!$B$3:$B$49,FLOAT!M:M)</f>
        <v>0</v>
      </c>
      <c r="AE49" s="62">
        <f>SUMIF(FLOAT!$D:$D,FRONT!$B$3:$B$49,FLOAT!N:N)</f>
        <v>0</v>
      </c>
      <c r="AF49" s="62">
        <f>SUMIF(FLOAT!$D:$D,FRONT!$B$3:$B$49,FLOAT!O:O)</f>
        <v>0</v>
      </c>
      <c r="AG49" s="62">
        <f>SUMIF(FLOAT!$D:$D,FRONT!$B$3:$B$49,FLOAT!P:P)</f>
        <v>0</v>
      </c>
      <c r="AH49" s="62">
        <f t="shared" si="8"/>
        <v>0</v>
      </c>
    </row>
    <row r="50" spans="1:35" ht="16.5" thickBot="1" x14ac:dyDescent="0.3">
      <c r="A50" s="785" t="s">
        <v>29</v>
      </c>
      <c r="B50" s="490"/>
      <c r="C50" s="731"/>
      <c r="D50" s="154">
        <f>SUM(D3:D49)</f>
        <v>0</v>
      </c>
      <c r="E50" s="154">
        <f t="shared" ref="E50:U50" si="9">SUM(E3:E49)</f>
        <v>0</v>
      </c>
      <c r="F50" s="154">
        <f t="shared" si="9"/>
        <v>7</v>
      </c>
      <c r="G50" s="154">
        <f t="shared" si="9"/>
        <v>0</v>
      </c>
      <c r="H50" s="154">
        <f t="shared" si="9"/>
        <v>0</v>
      </c>
      <c r="I50" s="154">
        <f t="shared" si="9"/>
        <v>0</v>
      </c>
      <c r="J50" s="154">
        <f t="shared" si="9"/>
        <v>7</v>
      </c>
      <c r="K50" s="154">
        <f t="shared" si="9"/>
        <v>0</v>
      </c>
      <c r="L50" s="154">
        <f t="shared" si="9"/>
        <v>0</v>
      </c>
      <c r="M50" s="154">
        <f t="shared" si="9"/>
        <v>0</v>
      </c>
      <c r="N50" s="154">
        <f t="shared" si="9"/>
        <v>0</v>
      </c>
      <c r="O50" s="154">
        <f t="shared" si="9"/>
        <v>0</v>
      </c>
      <c r="P50" s="154">
        <f t="shared" si="9"/>
        <v>0</v>
      </c>
      <c r="Q50" s="154">
        <f t="shared" si="9"/>
        <v>0</v>
      </c>
      <c r="R50" s="154"/>
      <c r="S50" s="154"/>
      <c r="T50" s="154"/>
      <c r="U50" s="469">
        <f t="shared" si="9"/>
        <v>0</v>
      </c>
      <c r="V50" s="474">
        <f>SUM(V3:V49)</f>
        <v>-7</v>
      </c>
      <c r="W50" s="613"/>
      <c r="X50" s="472">
        <f t="shared" ref="X50:AH50" si="10">SUM(X3:X49)</f>
        <v>0</v>
      </c>
      <c r="Y50" s="154">
        <f t="shared" si="10"/>
        <v>0</v>
      </c>
      <c r="Z50" s="154">
        <f t="shared" si="10"/>
        <v>0</v>
      </c>
      <c r="AA50" s="154">
        <f t="shared" si="10"/>
        <v>0</v>
      </c>
      <c r="AB50" s="154">
        <f t="shared" si="10"/>
        <v>0</v>
      </c>
      <c r="AC50" s="154">
        <f t="shared" si="10"/>
        <v>0</v>
      </c>
      <c r="AD50" s="154">
        <f t="shared" si="10"/>
        <v>0</v>
      </c>
      <c r="AE50" s="154">
        <f t="shared" si="10"/>
        <v>0</v>
      </c>
      <c r="AF50" s="154">
        <f t="shared" si="10"/>
        <v>0</v>
      </c>
      <c r="AG50" s="154">
        <f t="shared" si="10"/>
        <v>0</v>
      </c>
      <c r="AH50" s="154">
        <f t="shared" si="10"/>
        <v>0</v>
      </c>
    </row>
    <row r="51" spans="1:35" x14ac:dyDescent="0.25">
      <c r="B51" s="460"/>
      <c r="V51" s="492"/>
      <c r="W51" s="146"/>
    </row>
    <row r="52" spans="1:35" x14ac:dyDescent="0.25">
      <c r="V52" s="146"/>
      <c r="W52" s="146"/>
    </row>
    <row r="53" spans="1:35" ht="25.5" customHeight="1" thickBot="1" x14ac:dyDescent="0.45">
      <c r="C53" s="732" t="s">
        <v>741</v>
      </c>
      <c r="V53" s="146"/>
      <c r="W53" s="146"/>
    </row>
    <row r="54" spans="1:35" ht="84.75" customHeight="1" thickBot="1" x14ac:dyDescent="0.3">
      <c r="A54" s="783" t="s">
        <v>724</v>
      </c>
      <c r="B54" s="493" t="s">
        <v>665</v>
      </c>
      <c r="C54" s="727" t="s">
        <v>4</v>
      </c>
      <c r="D54" s="493" t="s">
        <v>5</v>
      </c>
      <c r="E54" s="493" t="s">
        <v>117</v>
      </c>
      <c r="F54" s="493" t="s">
        <v>67</v>
      </c>
      <c r="G54" s="493" t="s">
        <v>7</v>
      </c>
      <c r="H54" s="493" t="s">
        <v>8</v>
      </c>
      <c r="I54" s="493" t="s">
        <v>135</v>
      </c>
      <c r="J54" s="494" t="s">
        <v>9</v>
      </c>
      <c r="K54" s="574">
        <f ca="1">TODAY()</f>
        <v>46221</v>
      </c>
      <c r="L54" s="575">
        <f ca="1">TODAY()+1</f>
        <v>46222</v>
      </c>
      <c r="M54" s="575">
        <f ca="1">TODAY()+2</f>
        <v>46223</v>
      </c>
      <c r="N54" s="573" t="s">
        <v>69</v>
      </c>
      <c r="O54" s="493" t="s">
        <v>8</v>
      </c>
      <c r="P54" s="493" t="s">
        <v>121</v>
      </c>
      <c r="Q54" s="494" t="s">
        <v>122</v>
      </c>
      <c r="R54" s="495" t="s">
        <v>146</v>
      </c>
      <c r="S54" s="495" t="s">
        <v>148</v>
      </c>
      <c r="T54" s="495" t="s">
        <v>147</v>
      </c>
      <c r="U54" s="496" t="s">
        <v>144</v>
      </c>
      <c r="V54" s="588" t="s">
        <v>689</v>
      </c>
      <c r="W54" s="625" t="s">
        <v>755</v>
      </c>
      <c r="X54" s="618" t="s">
        <v>171</v>
      </c>
      <c r="Y54" s="621" t="s">
        <v>172</v>
      </c>
      <c r="Z54" s="621" t="s">
        <v>173</v>
      </c>
      <c r="AA54" s="621" t="s">
        <v>174</v>
      </c>
      <c r="AB54" s="621" t="s">
        <v>175</v>
      </c>
      <c r="AC54" s="621" t="s">
        <v>176</v>
      </c>
      <c r="AD54" s="621" t="s">
        <v>177</v>
      </c>
      <c r="AE54" s="621" t="s">
        <v>178</v>
      </c>
      <c r="AF54" s="621" t="s">
        <v>179</v>
      </c>
      <c r="AG54" s="621" t="s">
        <v>180</v>
      </c>
      <c r="AH54" s="59" t="s">
        <v>162</v>
      </c>
    </row>
    <row r="55" spans="1:35" ht="16.5" x14ac:dyDescent="0.25">
      <c r="A55" s="973">
        <v>549754600130</v>
      </c>
      <c r="B55" s="461" t="s">
        <v>578</v>
      </c>
      <c r="C55" s="733" t="s">
        <v>668</v>
      </c>
      <c r="D55" s="379">
        <v>579</v>
      </c>
      <c r="E55" s="961">
        <f>D55+D56</f>
        <v>832</v>
      </c>
      <c r="F55" s="1000">
        <f>17-1</f>
        <v>16</v>
      </c>
      <c r="G55" s="994">
        <f>IFERROR(VLOOKUP($A55,'Front Dispatch'!$A:$B,2,FALSE),0)</f>
        <v>1271</v>
      </c>
      <c r="H55" s="965">
        <f>O55+O56</f>
        <v>1190</v>
      </c>
      <c r="I55" s="967">
        <f>E55-H55</f>
        <v>-358</v>
      </c>
      <c r="J55" s="969">
        <f>F55+G55-H55</f>
        <v>97</v>
      </c>
      <c r="K55" s="401">
        <f>SUMIF('3 D P'!D:D,FRONT!$B$55:$B$85,'3 D P'!L:L)</f>
        <v>178</v>
      </c>
      <c r="L55" s="401">
        <f>SUMIF('3 D P'!D:D,FRONT!$B$55:$B$85,'3 D P'!M:M)</f>
        <v>144</v>
      </c>
      <c r="M55" s="401">
        <f>SUMIF('3 D P'!D:D,FRONT!$B$55:$B$85,'3 D P'!N:N)</f>
        <v>0</v>
      </c>
      <c r="N55" s="373">
        <f>IFERROR(VLOOKUP($A55,'Front Dispatch'!$A:$B,2,FALSE),0)</f>
        <v>1271</v>
      </c>
      <c r="O55" s="372">
        <f>SUMIF('Consumption MTD'!B:B,FRONT!$B$3:$B$85,'Consumption MTD'!C:C)</f>
        <v>1002</v>
      </c>
      <c r="P55" s="372">
        <f>SUMIF('BIW Lifting A Shift'!$B:$B,FRONT!$B$3:$B$85,'BIW Lifting A Shift'!C:C)</f>
        <v>0</v>
      </c>
      <c r="Q55" s="407">
        <f>SUMIF('BIW Lifting B Shift'!$B:$B,FRONT!$B:$B,'BIW Lifting B Shift'!$C:$C)</f>
        <v>0</v>
      </c>
      <c r="R55" s="975">
        <f>J55-U55-U56</f>
        <v>6</v>
      </c>
      <c r="S55" s="975">
        <f>J55-P55-U55-U56-P56</f>
        <v>6</v>
      </c>
      <c r="T55" s="975">
        <f>S55-Q56-Q55</f>
        <v>6</v>
      </c>
      <c r="U55" s="466">
        <f>SUMIF(FLOAT!$D:$D,FRONT!$B$3:$B$85,FLOAT!F:F)</f>
        <v>78</v>
      </c>
      <c r="V55" s="587">
        <f t="shared" ref="V55:V85" si="11">D55-O55</f>
        <v>-423</v>
      </c>
      <c r="W55" s="991">
        <v>17</v>
      </c>
      <c r="X55" s="62">
        <f>SUMIF(FLOAT!$D:$D,FRONT!$B$55:$B$85,FLOAT!G:G)</f>
        <v>1</v>
      </c>
      <c r="Y55" s="53">
        <f>SUMIF(FLOAT!$D:$D,FRONT!$B$55:$B$85,FLOAT!H:H)</f>
        <v>4</v>
      </c>
      <c r="Z55" s="53">
        <f>SUMIF(FLOAT!$D:$D,FRONT!$B$55:$B$85,FLOAT!I:I)</f>
        <v>9</v>
      </c>
      <c r="AA55" s="53">
        <f>SUMIF(FLOAT!$D:$D,FRONT!$B$55:$B$85,FLOAT!J:J)</f>
        <v>0</v>
      </c>
      <c r="AB55" s="53">
        <f>SUMIF(FLOAT!$D:$D,FRONT!$B$55:$B$85,FLOAT!K:K)</f>
        <v>6</v>
      </c>
      <c r="AC55" s="53">
        <f>SUMIF(FLOAT!$D:$D,FRONT!$B$55:$B$85,FLOAT!L:L)</f>
        <v>8</v>
      </c>
      <c r="AD55" s="53">
        <f>SUMIF(FLOAT!$D:$D,FRONT!$B$55:$B$85,FLOAT!M:M)</f>
        <v>28</v>
      </c>
      <c r="AE55" s="773">
        <f>SUMIF(FLOAT!$D:$D,FRONT!$B$55:$B$85,FLOAT!N:N)</f>
        <v>13</v>
      </c>
      <c r="AF55" s="773">
        <f>SUMIF(FLOAT!$D:$D,FRONT!$B$55:$B$85,FLOAT!O:O)</f>
        <v>37</v>
      </c>
      <c r="AG55" s="53">
        <f>SUMIF(FLOAT!$D:$D,FRONT!$B$55:$B$85,FLOAT!P:P)</f>
        <v>0</v>
      </c>
      <c r="AH55" s="632">
        <f t="shared" ref="AH55:AH85" si="12">AF55+AG55+X55+Y55+Z55+AA55+AB55+AC55+AE55</f>
        <v>78</v>
      </c>
      <c r="AI55">
        <v>98</v>
      </c>
    </row>
    <row r="56" spans="1:35" ht="17.25" thickBot="1" x14ac:dyDescent="0.3">
      <c r="A56" s="974"/>
      <c r="B56" s="462" t="s">
        <v>579</v>
      </c>
      <c r="C56" s="733" t="s">
        <v>670</v>
      </c>
      <c r="D56" s="379">
        <v>253</v>
      </c>
      <c r="E56" s="962"/>
      <c r="F56" s="989"/>
      <c r="G56" s="992"/>
      <c r="H56" s="966"/>
      <c r="I56" s="968"/>
      <c r="J56" s="970"/>
      <c r="K56" s="401">
        <f>SUMIF('3 D P'!D:D,FRONT!$B$55:$B$85,'3 D P'!L:L)</f>
        <v>3</v>
      </c>
      <c r="L56" s="401">
        <f>SUMIF('3 D P'!D:D,FRONT!$B$55:$B$85,'3 D P'!M:M)</f>
        <v>0</v>
      </c>
      <c r="M56" s="401">
        <f>SUMIF('3 D P'!D:D,FRONT!$B$55:$B$85,'3 D P'!N:N)</f>
        <v>0</v>
      </c>
      <c r="N56" s="373">
        <f>IFERROR(VLOOKUP($A56,'Front Dispatch'!$A:$B,2,FALSE),0)</f>
        <v>0</v>
      </c>
      <c r="O56" s="372">
        <f>SUMIF('Consumption MTD'!B:B,FRONT!$B$3:$B$85,'Consumption MTD'!C:C)</f>
        <v>188</v>
      </c>
      <c r="P56" s="372">
        <f>SUMIF('BIW Lifting A Shift'!$B:$B,FRONT!$B$3:$B$85,'BIW Lifting A Shift'!C:C)</f>
        <v>0</v>
      </c>
      <c r="Q56" s="407">
        <f>SUMIF('BIW Lifting B Shift'!$B:$B,FRONT!$B:$B,'BIW Lifting B Shift'!$C:$C)</f>
        <v>0</v>
      </c>
      <c r="R56" s="959"/>
      <c r="S56" s="959"/>
      <c r="T56" s="959"/>
      <c r="U56" s="466">
        <f>SUMIF(FLOAT!$D:$D,FRONT!$B$3:$B$85,FLOAT!F:F)</f>
        <v>13</v>
      </c>
      <c r="V56" s="473">
        <f t="shared" si="11"/>
        <v>65</v>
      </c>
      <c r="W56" s="989"/>
      <c r="X56" s="62">
        <f>SUMIF(FLOAT!$D:$D,FRONT!$B$55:$B$85,FLOAT!G:G)</f>
        <v>0</v>
      </c>
      <c r="Y56" s="53">
        <f>SUMIF(FLOAT!$D:$D,FRONT!$B$55:$B$85,FLOAT!H:H)</f>
        <v>0</v>
      </c>
      <c r="Z56" s="53">
        <f>SUMIF(FLOAT!$D:$D,FRONT!$B$55:$B$85,FLOAT!I:I)</f>
        <v>0</v>
      </c>
      <c r="AA56" s="53">
        <f>SUMIF(FLOAT!$D:$D,FRONT!$B$55:$B$85,FLOAT!J:J)</f>
        <v>0</v>
      </c>
      <c r="AB56" s="53">
        <f>SUMIF(FLOAT!$D:$D,FRONT!$B$55:$B$85,FLOAT!K:K)</f>
        <v>0</v>
      </c>
      <c r="AC56" s="53">
        <f>SUMIF(FLOAT!$D:$D,FRONT!$B$55:$B$85,FLOAT!L:L)</f>
        <v>3</v>
      </c>
      <c r="AD56" s="53">
        <f>SUMIF(FLOAT!$D:$D,FRONT!$B$55:$B$85,FLOAT!M:M)</f>
        <v>3</v>
      </c>
      <c r="AE56" s="773">
        <f>SUMIF(FLOAT!$D:$D,FRONT!$B$55:$B$85,FLOAT!N:N)</f>
        <v>0</v>
      </c>
      <c r="AF56" s="773">
        <f>SUMIF(FLOAT!$D:$D,FRONT!$B$55:$B$85,FLOAT!O:O)</f>
        <v>10</v>
      </c>
      <c r="AG56" s="53">
        <f>SUMIF(FLOAT!$D:$D,FRONT!$B$55:$B$85,FLOAT!P:P)</f>
        <v>0</v>
      </c>
      <c r="AH56" s="632">
        <f t="shared" si="12"/>
        <v>13</v>
      </c>
    </row>
    <row r="57" spans="1:35" ht="16.5" x14ac:dyDescent="0.25">
      <c r="A57" s="998">
        <v>549754600138</v>
      </c>
      <c r="B57" s="462" t="s">
        <v>580</v>
      </c>
      <c r="C57" s="733" t="s">
        <v>669</v>
      </c>
      <c r="D57" s="379">
        <v>403</v>
      </c>
      <c r="E57" s="961">
        <f>D57+D58</f>
        <v>621</v>
      </c>
      <c r="F57" s="991">
        <v>40</v>
      </c>
      <c r="G57" s="992">
        <f>N57</f>
        <v>819</v>
      </c>
      <c r="H57" s="965">
        <f>O57+O58</f>
        <v>791</v>
      </c>
      <c r="I57" s="967">
        <f t="shared" ref="I57:I68" si="13">E57-H57</f>
        <v>-170</v>
      </c>
      <c r="J57" s="969">
        <f>F57+G57-H57</f>
        <v>68</v>
      </c>
      <c r="K57" s="401">
        <f>SUMIF('3 D P'!D:D,FRONT!$B$55:$B$85,'3 D P'!L:L)</f>
        <v>1</v>
      </c>
      <c r="L57" s="401">
        <f>SUMIF('3 D P'!D:D,FRONT!$B$55:$B$85,'3 D P'!M:M)</f>
        <v>0</v>
      </c>
      <c r="M57" s="401">
        <f>SUMIF('3 D P'!D:D,FRONT!$B$55:$B$85,'3 D P'!N:N)</f>
        <v>0</v>
      </c>
      <c r="N57" s="373">
        <f>IFERROR(VLOOKUP($A57,'Front Dispatch'!$A:$B,2,FALSE),0)</f>
        <v>819</v>
      </c>
      <c r="O57" s="372">
        <f>SUMIF('Consumption MTD'!B:B,FRONT!$B$3:$B$85,'Consumption MTD'!C:C)</f>
        <v>572</v>
      </c>
      <c r="P57" s="372">
        <f>SUMIF('BIW Lifting A Shift'!$B:$B,FRONT!$B$3:$B$85,'BIW Lifting A Shift'!C:C)</f>
        <v>0</v>
      </c>
      <c r="Q57" s="407">
        <f>SUMIF('BIW Lifting B Shift'!$B:$B,FRONT!$B:$B,'BIW Lifting B Shift'!$C:$C)</f>
        <v>0</v>
      </c>
      <c r="R57" s="958">
        <f>J57-U57-U58</f>
        <v>-14</v>
      </c>
      <c r="S57" s="958">
        <f>J57-P57-P58-U58-U57</f>
        <v>-14</v>
      </c>
      <c r="T57" s="958">
        <f>S57-Q57-Q58</f>
        <v>-14</v>
      </c>
      <c r="U57" s="466">
        <f>SUMIF(FLOAT!$D:$D,FRONT!$B$3:$B$85,FLOAT!F:F)</f>
        <v>59</v>
      </c>
      <c r="V57" s="473">
        <f t="shared" si="11"/>
        <v>-169</v>
      </c>
      <c r="W57" s="991">
        <v>40</v>
      </c>
      <c r="X57" s="62">
        <f>SUMIF(FLOAT!$D:$D,FRONT!$B$55:$B$85,FLOAT!G:G)</f>
        <v>1</v>
      </c>
      <c r="Y57" s="53">
        <f>SUMIF(FLOAT!$D:$D,FRONT!$B$55:$B$85,FLOAT!H:H)</f>
        <v>0</v>
      </c>
      <c r="Z57" s="53">
        <f>SUMIF(FLOAT!$D:$D,FRONT!$B$55:$B$85,FLOAT!I:I)</f>
        <v>3</v>
      </c>
      <c r="AA57" s="53">
        <f>SUMIF(FLOAT!$D:$D,FRONT!$B$55:$B$85,FLOAT!J:J)</f>
        <v>0</v>
      </c>
      <c r="AB57" s="53">
        <f>SUMIF(FLOAT!$D:$D,FRONT!$B$55:$B$85,FLOAT!K:K)</f>
        <v>4</v>
      </c>
      <c r="AC57" s="53">
        <f>SUMIF(FLOAT!$D:$D,FRONT!$B$55:$B$85,FLOAT!L:L)</f>
        <v>12</v>
      </c>
      <c r="AD57" s="53">
        <f>SUMIF(FLOAT!$D:$D,FRONT!$B$55:$B$85,FLOAT!M:M)</f>
        <v>20</v>
      </c>
      <c r="AE57" s="773">
        <f>SUMIF(FLOAT!$D:$D,FRONT!$B$55:$B$85,FLOAT!N:N)</f>
        <v>15</v>
      </c>
      <c r="AF57" s="773">
        <f>SUMIF(FLOAT!$D:$D,FRONT!$B$55:$B$85,FLOAT!O:O)</f>
        <v>24</v>
      </c>
      <c r="AG57" s="53">
        <f>SUMIF(FLOAT!$D:$D,FRONT!$B$55:$B$85,FLOAT!P:P)</f>
        <v>0</v>
      </c>
      <c r="AH57" s="632">
        <f t="shared" si="12"/>
        <v>59</v>
      </c>
      <c r="AI57">
        <v>15</v>
      </c>
    </row>
    <row r="58" spans="1:35" ht="17.25" thickBot="1" x14ac:dyDescent="0.3">
      <c r="A58" s="999"/>
      <c r="B58" s="463" t="s">
        <v>581</v>
      </c>
      <c r="C58" s="733" t="s">
        <v>664</v>
      </c>
      <c r="D58" s="379">
        <v>218</v>
      </c>
      <c r="E58" s="962"/>
      <c r="F58" s="989"/>
      <c r="G58" s="992"/>
      <c r="H58" s="966"/>
      <c r="I58" s="968">
        <f t="shared" si="13"/>
        <v>0</v>
      </c>
      <c r="J58" s="970"/>
      <c r="K58" s="401">
        <f>SUMIF('3 D P'!D:D,FRONT!$B$55:$B$85,'3 D P'!L:L)</f>
        <v>1</v>
      </c>
      <c r="L58" s="401">
        <f>SUMIF('3 D P'!D:D,FRONT!$B$55:$B$85,'3 D P'!M:M)</f>
        <v>0</v>
      </c>
      <c r="M58" s="401">
        <f>SUMIF('3 D P'!D:D,FRONT!$B$55:$B$85,'3 D P'!N:N)</f>
        <v>0</v>
      </c>
      <c r="N58" s="373">
        <f>IFERROR(VLOOKUP($A58,'Front Dispatch'!$A:$B,2,FALSE),0)</f>
        <v>0</v>
      </c>
      <c r="O58" s="372">
        <f>SUMIF('Consumption MTD'!B:B,FRONT!$B$3:$B$85,'Consumption MTD'!C:C)</f>
        <v>219</v>
      </c>
      <c r="P58" s="372">
        <f>SUMIF('BIW Lifting A Shift'!$B:$B,FRONT!$B$3:$B$85,'BIW Lifting A Shift'!C:C)</f>
        <v>0</v>
      </c>
      <c r="Q58" s="407">
        <f>SUMIF('BIW Lifting B Shift'!$B:$B,FRONT!$B:$B,'BIW Lifting B Shift'!$C:$C)</f>
        <v>0</v>
      </c>
      <c r="R58" s="959"/>
      <c r="S58" s="959"/>
      <c r="T58" s="959"/>
      <c r="U58" s="466">
        <f>SUMIF(FLOAT!$D:$D,FRONT!$B$3:$B$85,FLOAT!F:F)</f>
        <v>23</v>
      </c>
      <c r="V58" s="473">
        <f t="shared" si="11"/>
        <v>-1</v>
      </c>
      <c r="W58" s="989"/>
      <c r="X58" s="62">
        <f>SUMIF(FLOAT!$D:$D,FRONT!$B$55:$B$85,FLOAT!G:G)</f>
        <v>3</v>
      </c>
      <c r="Y58" s="53">
        <f>SUMIF(FLOAT!$D:$D,FRONT!$B$55:$B$85,FLOAT!H:H)</f>
        <v>0</v>
      </c>
      <c r="Z58" s="53">
        <f>SUMIF(FLOAT!$D:$D,FRONT!$B$55:$B$85,FLOAT!I:I)</f>
        <v>6</v>
      </c>
      <c r="AA58" s="53">
        <f>SUMIF(FLOAT!$D:$D,FRONT!$B$55:$B$85,FLOAT!J:J)</f>
        <v>0</v>
      </c>
      <c r="AB58" s="53">
        <f>SUMIF(FLOAT!$D:$D,FRONT!$B$55:$B$85,FLOAT!K:K)</f>
        <v>1</v>
      </c>
      <c r="AC58" s="53">
        <f>SUMIF(FLOAT!$D:$D,FRONT!$B$55:$B$85,FLOAT!L:L)</f>
        <v>1</v>
      </c>
      <c r="AD58" s="53">
        <f>SUMIF(FLOAT!$D:$D,FRONT!$B$55:$B$85,FLOAT!M:M)</f>
        <v>11</v>
      </c>
      <c r="AE58" s="773">
        <f>SUMIF(FLOAT!$D:$D,FRONT!$B$55:$B$85,FLOAT!N:N)</f>
        <v>1</v>
      </c>
      <c r="AF58" s="773">
        <f>SUMIF(FLOAT!$D:$D,FRONT!$B$55:$B$85,FLOAT!O:O)</f>
        <v>11</v>
      </c>
      <c r="AG58" s="53">
        <f>SUMIF(FLOAT!$D:$D,FRONT!$B$55:$B$85,FLOAT!P:P)</f>
        <v>0</v>
      </c>
      <c r="AH58" s="632">
        <f t="shared" si="12"/>
        <v>23</v>
      </c>
    </row>
    <row r="59" spans="1:35" ht="16.5" x14ac:dyDescent="0.25">
      <c r="A59" s="972">
        <v>549754600131</v>
      </c>
      <c r="B59" s="462" t="s">
        <v>582</v>
      </c>
      <c r="C59" s="733" t="s">
        <v>671</v>
      </c>
      <c r="D59" s="379">
        <v>2938</v>
      </c>
      <c r="E59" s="961">
        <f>D59+D60</f>
        <v>3717</v>
      </c>
      <c r="F59" s="991">
        <f>44-2</f>
        <v>42</v>
      </c>
      <c r="G59" s="992">
        <f>N59</f>
        <v>1917</v>
      </c>
      <c r="H59" s="965">
        <f>O59+O60</f>
        <v>1853</v>
      </c>
      <c r="I59" s="967">
        <f t="shared" si="13"/>
        <v>1864</v>
      </c>
      <c r="J59" s="969">
        <f>F59+G59-H59</f>
        <v>106</v>
      </c>
      <c r="K59" s="401">
        <f>SUMIF('3 D P'!D:D,FRONT!$B$55:$B$85,'3 D P'!L:L)</f>
        <v>97</v>
      </c>
      <c r="L59" s="401">
        <f>SUMIF('3 D P'!D:D,FRONT!$B$55:$B$85,'3 D P'!M:M)</f>
        <v>112</v>
      </c>
      <c r="M59" s="401">
        <f>SUMIF('3 D P'!D:D,FRONT!$B$55:$B$85,'3 D P'!N:N)</f>
        <v>225</v>
      </c>
      <c r="N59" s="373">
        <f>IFERROR(VLOOKUP($A59,'Front Dispatch'!$A:$B,2,FALSE),0)</f>
        <v>1917</v>
      </c>
      <c r="O59" s="372">
        <f>SUMIF('Consumption MTD'!B:B,FRONT!$B$3:$B$85,'Consumption MTD'!C:C)</f>
        <v>1414</v>
      </c>
      <c r="P59" s="372">
        <f>SUMIF('BIW Lifting A Shift'!$B:$B,FRONT!$B$3:$B$85,'BIW Lifting A Shift'!C:C)</f>
        <v>0</v>
      </c>
      <c r="Q59" s="407">
        <f>SUMIF('BIW Lifting B Shift'!$B:$B,FRONT!$B:$B,'BIW Lifting B Shift'!$C:$C)</f>
        <v>0</v>
      </c>
      <c r="R59" s="958">
        <f>J59-U59-U60</f>
        <v>13</v>
      </c>
      <c r="S59" s="958">
        <f>J59-P59-P60-U60-U59</f>
        <v>13</v>
      </c>
      <c r="T59" s="958">
        <f>S59-Q59-Q60</f>
        <v>13</v>
      </c>
      <c r="U59" s="466">
        <f>SUMIF(FLOAT!$D:$D,FRONT!$B$3:$B$85,FLOAT!F:F)</f>
        <v>66</v>
      </c>
      <c r="V59" s="473">
        <f t="shared" si="11"/>
        <v>1524</v>
      </c>
      <c r="W59" s="991">
        <v>44</v>
      </c>
      <c r="X59" s="62">
        <f>SUMIF(FLOAT!$D:$D,FRONT!$B$55:$B$85,FLOAT!G:G)</f>
        <v>5</v>
      </c>
      <c r="Y59" s="53">
        <f>SUMIF(FLOAT!$D:$D,FRONT!$B$55:$B$85,FLOAT!H:H)</f>
        <v>1</v>
      </c>
      <c r="Z59" s="53">
        <f>SUMIF(FLOAT!$D:$D,FRONT!$B$55:$B$85,FLOAT!I:I)</f>
        <v>5</v>
      </c>
      <c r="AA59" s="53">
        <f>SUMIF(FLOAT!$D:$D,FRONT!$B$55:$B$85,FLOAT!J:J)</f>
        <v>0</v>
      </c>
      <c r="AB59" s="53">
        <f>SUMIF(FLOAT!$D:$D,FRONT!$B$55:$B$85,FLOAT!K:K)</f>
        <v>7</v>
      </c>
      <c r="AC59" s="53">
        <f>SUMIF(FLOAT!$D:$D,FRONT!$B$55:$B$85,FLOAT!L:L)</f>
        <v>4</v>
      </c>
      <c r="AD59" s="53">
        <f>SUMIF(FLOAT!$D:$D,FRONT!$B$55:$B$85,FLOAT!M:M)</f>
        <v>22</v>
      </c>
      <c r="AE59" s="773">
        <f>SUMIF(FLOAT!$D:$D,FRONT!$B$55:$B$85,FLOAT!N:N)</f>
        <v>24</v>
      </c>
      <c r="AF59" s="773">
        <f>SUMIF(FLOAT!$D:$D,FRONT!$B$55:$B$85,FLOAT!O:O)</f>
        <v>20</v>
      </c>
      <c r="AG59" s="53">
        <f>SUMIF(FLOAT!$D:$D,FRONT!$B$55:$B$85,FLOAT!P:P)</f>
        <v>0</v>
      </c>
      <c r="AH59" s="632">
        <f t="shared" si="12"/>
        <v>66</v>
      </c>
      <c r="AI59">
        <v>285</v>
      </c>
    </row>
    <row r="60" spans="1:35" ht="17.25" thickBot="1" x14ac:dyDescent="0.3">
      <c r="A60" s="973"/>
      <c r="B60" s="463" t="s">
        <v>604</v>
      </c>
      <c r="C60" s="733" t="s">
        <v>674</v>
      </c>
      <c r="D60" s="379">
        <v>779</v>
      </c>
      <c r="E60" s="962"/>
      <c r="F60" s="989"/>
      <c r="G60" s="992"/>
      <c r="H60" s="966"/>
      <c r="I60" s="968">
        <f t="shared" si="13"/>
        <v>0</v>
      </c>
      <c r="J60" s="970"/>
      <c r="K60" s="401">
        <f>SUMIF('3 D P'!D:D,FRONT!$B$55:$B$85,'3 D P'!L:L)</f>
        <v>29</v>
      </c>
      <c r="L60" s="401">
        <f>SUMIF('3 D P'!D:D,FRONT!$B$55:$B$85,'3 D P'!M:M)</f>
        <v>10</v>
      </c>
      <c r="M60" s="401">
        <f>SUMIF('3 D P'!D:D,FRONT!$B$55:$B$85,'3 D P'!N:N)</f>
        <v>21</v>
      </c>
      <c r="N60" s="373">
        <f>IFERROR(VLOOKUP($A60,'Front Dispatch'!$A:$B,2,FALSE),0)</f>
        <v>0</v>
      </c>
      <c r="O60" s="372">
        <f>SUMIF('Consumption MTD'!B:B,FRONT!$B$3:$B$85,'Consumption MTD'!C:C)</f>
        <v>439</v>
      </c>
      <c r="P60" s="372">
        <f>SUMIF('BIW Lifting A Shift'!$B:$B,FRONT!$B$3:$B$85,'BIW Lifting A Shift'!C:C)</f>
        <v>0</v>
      </c>
      <c r="Q60" s="407">
        <f>SUMIF('BIW Lifting B Shift'!$B:$B,FRONT!$B:$B,'BIW Lifting B Shift'!$C:$C)</f>
        <v>0</v>
      </c>
      <c r="R60" s="959"/>
      <c r="S60" s="959"/>
      <c r="T60" s="959"/>
      <c r="U60" s="466">
        <f>SUMIF(FLOAT!$D:$D,FRONT!$B$3:$B$85,FLOAT!F:F)</f>
        <v>27</v>
      </c>
      <c r="V60" s="473">
        <f t="shared" si="11"/>
        <v>340</v>
      </c>
      <c r="W60" s="989"/>
      <c r="X60" s="62">
        <f>SUMIF(FLOAT!$D:$D,FRONT!$B$55:$B$85,FLOAT!G:G)</f>
        <v>2</v>
      </c>
      <c r="Y60" s="53">
        <f>SUMIF(FLOAT!$D:$D,FRONT!$B$55:$B$85,FLOAT!H:H)</f>
        <v>8</v>
      </c>
      <c r="Z60" s="53">
        <f>SUMIF(FLOAT!$D:$D,FRONT!$B$55:$B$85,FLOAT!I:I)</f>
        <v>6</v>
      </c>
      <c r="AA60" s="53">
        <f>SUMIF(FLOAT!$D:$D,FRONT!$B$55:$B$85,FLOAT!J:J)</f>
        <v>0</v>
      </c>
      <c r="AB60" s="53">
        <f>SUMIF(FLOAT!$D:$D,FRONT!$B$55:$B$85,FLOAT!K:K)</f>
        <v>0</v>
      </c>
      <c r="AC60" s="53">
        <f>SUMIF(FLOAT!$D:$D,FRONT!$B$55:$B$85,FLOAT!L:L)</f>
        <v>0</v>
      </c>
      <c r="AD60" s="53">
        <f>SUMIF(FLOAT!$D:$D,FRONT!$B$55:$B$85,FLOAT!M:M)</f>
        <v>16</v>
      </c>
      <c r="AE60" s="773">
        <f>SUMIF(FLOAT!$D:$D,FRONT!$B$55:$B$85,FLOAT!N:N)</f>
        <v>3</v>
      </c>
      <c r="AF60" s="773">
        <f>SUMIF(FLOAT!$D:$D,FRONT!$B$55:$B$85,FLOAT!O:O)</f>
        <v>8</v>
      </c>
      <c r="AG60" s="53">
        <f>SUMIF(FLOAT!$D:$D,FRONT!$B$55:$B$85,FLOAT!P:P)</f>
        <v>0</v>
      </c>
      <c r="AH60" s="632">
        <f t="shared" si="12"/>
        <v>27</v>
      </c>
    </row>
    <row r="61" spans="1:35" ht="16.5" x14ac:dyDescent="0.25">
      <c r="A61" s="974">
        <v>549754600132</v>
      </c>
      <c r="B61" s="462" t="s">
        <v>602</v>
      </c>
      <c r="C61" s="733" t="s">
        <v>663</v>
      </c>
      <c r="D61" s="379">
        <v>657</v>
      </c>
      <c r="E61" s="961">
        <f>D61+D62</f>
        <v>860</v>
      </c>
      <c r="F61" s="991">
        <v>8</v>
      </c>
      <c r="G61" s="992">
        <f>N61</f>
        <v>403</v>
      </c>
      <c r="H61" s="965">
        <f>O61+O62</f>
        <v>386</v>
      </c>
      <c r="I61" s="967">
        <f t="shared" si="13"/>
        <v>474</v>
      </c>
      <c r="J61" s="969">
        <f>F61+G61-H61</f>
        <v>25</v>
      </c>
      <c r="K61" s="401">
        <f>SUMIF('3 D P'!D:D,FRONT!$B$55:$B$85,'3 D P'!L:L)</f>
        <v>13</v>
      </c>
      <c r="L61" s="401">
        <f>SUMIF('3 D P'!D:D,FRONT!$B$55:$B$85,'3 D P'!M:M)</f>
        <v>40</v>
      </c>
      <c r="M61" s="401">
        <f>SUMIF('3 D P'!D:D,FRONT!$B$55:$B$85,'3 D P'!N:N)</f>
        <v>11</v>
      </c>
      <c r="N61" s="373">
        <f>IFERROR(VLOOKUP($A61,'Front Dispatch'!$A:$B,2,FALSE),0)</f>
        <v>403</v>
      </c>
      <c r="O61" s="372">
        <f>SUMIF('Consumption MTD'!B:B,FRONT!$B$3:$B$85,'Consumption MTD'!C:C)</f>
        <v>271</v>
      </c>
      <c r="P61" s="372">
        <f>SUMIF('BIW Lifting A Shift'!$B:$B,FRONT!$B$3:$B$85,'BIW Lifting A Shift'!C:C)</f>
        <v>0</v>
      </c>
      <c r="Q61" s="407">
        <f>SUMIF('BIW Lifting B Shift'!$B:$B,FRONT!$B:$B,'BIW Lifting B Shift'!$C:$C)</f>
        <v>0</v>
      </c>
      <c r="R61" s="958">
        <f>J61-U61-U62</f>
        <v>-5</v>
      </c>
      <c r="S61" s="958">
        <f>J61-P61-P62-U62-U61</f>
        <v>-5</v>
      </c>
      <c r="T61" s="958">
        <f>S61-Q61-Q62</f>
        <v>-5</v>
      </c>
      <c r="U61" s="466">
        <f>SUMIF(FLOAT!$D:$D,FRONT!$B$3:$B$85,FLOAT!F:F)</f>
        <v>23</v>
      </c>
      <c r="V61" s="473">
        <f t="shared" si="11"/>
        <v>386</v>
      </c>
      <c r="W61" s="991">
        <v>8</v>
      </c>
      <c r="X61" s="62">
        <f>SUMIF(FLOAT!$D:$D,FRONT!$B$55:$B$85,FLOAT!G:G)</f>
        <v>2</v>
      </c>
      <c r="Y61" s="53">
        <f>SUMIF(FLOAT!$D:$D,FRONT!$B$55:$B$85,FLOAT!H:H)</f>
        <v>0</v>
      </c>
      <c r="Z61" s="53">
        <f>SUMIF(FLOAT!$D:$D,FRONT!$B$55:$B$85,FLOAT!I:I)</f>
        <v>4</v>
      </c>
      <c r="AA61" s="53">
        <f>SUMIF(FLOAT!$D:$D,FRONT!$B$55:$B$85,FLOAT!J:J)</f>
        <v>0</v>
      </c>
      <c r="AB61" s="53">
        <f>SUMIF(FLOAT!$D:$D,FRONT!$B$55:$B$85,FLOAT!K:K)</f>
        <v>2</v>
      </c>
      <c r="AC61" s="53">
        <f>SUMIF(FLOAT!$D:$D,FRONT!$B$55:$B$85,FLOAT!L:L)</f>
        <v>4</v>
      </c>
      <c r="AD61" s="53">
        <f>SUMIF(FLOAT!$D:$D,FRONT!$B$55:$B$85,FLOAT!M:M)</f>
        <v>12</v>
      </c>
      <c r="AE61" s="773">
        <f>SUMIF(FLOAT!$D:$D,FRONT!$B$55:$B$85,FLOAT!N:N)</f>
        <v>3</v>
      </c>
      <c r="AF61" s="773">
        <f>SUMIF(FLOAT!$D:$D,FRONT!$B$55:$B$85,FLOAT!O:O)</f>
        <v>8</v>
      </c>
      <c r="AG61" s="53">
        <f>SUMIF(FLOAT!$D:$D,FRONT!$B$55:$B$85,FLOAT!P:P)</f>
        <v>0</v>
      </c>
      <c r="AH61" s="632">
        <f t="shared" si="12"/>
        <v>23</v>
      </c>
      <c r="AI61">
        <v>64</v>
      </c>
    </row>
    <row r="62" spans="1:35" ht="17.25" thickBot="1" x14ac:dyDescent="0.3">
      <c r="A62" s="974"/>
      <c r="B62" s="463" t="s">
        <v>583</v>
      </c>
      <c r="C62" s="733" t="s">
        <v>606</v>
      </c>
      <c r="D62" s="379">
        <v>203</v>
      </c>
      <c r="E62" s="962"/>
      <c r="F62" s="989"/>
      <c r="G62" s="992"/>
      <c r="H62" s="966"/>
      <c r="I62" s="968">
        <f t="shared" si="13"/>
        <v>0</v>
      </c>
      <c r="J62" s="970"/>
      <c r="K62" s="401">
        <f>SUMIF('3 D P'!D:D,FRONT!$B$55:$B$85,'3 D P'!L:L)</f>
        <v>1</v>
      </c>
      <c r="L62" s="401">
        <f>SUMIF('3 D P'!D:D,FRONT!$B$55:$B$85,'3 D P'!M:M)</f>
        <v>0</v>
      </c>
      <c r="M62" s="401">
        <f>SUMIF('3 D P'!D:D,FRONT!$B$55:$B$85,'3 D P'!N:N)</f>
        <v>0</v>
      </c>
      <c r="N62" s="373">
        <f>IFERROR(VLOOKUP($A62,'Front Dispatch'!$A:$B,2,FALSE),0)</f>
        <v>0</v>
      </c>
      <c r="O62" s="372">
        <f>SUMIF('Consumption MTD'!B:B,FRONT!$B$3:$B$85,'Consumption MTD'!C:C)</f>
        <v>115</v>
      </c>
      <c r="P62" s="372">
        <f>SUMIF('BIW Lifting A Shift'!$B:$B,FRONT!$B$3:$B$85,'BIW Lifting A Shift'!C:C)</f>
        <v>0</v>
      </c>
      <c r="Q62" s="407">
        <f>SUMIF('BIW Lifting B Shift'!$B:$B,FRONT!$B:$B,'BIW Lifting B Shift'!$C:$C)</f>
        <v>0</v>
      </c>
      <c r="R62" s="959"/>
      <c r="S62" s="959"/>
      <c r="T62" s="959"/>
      <c r="U62" s="466">
        <f>SUMIF(FLOAT!$D:$D,FRONT!$B$3:$B$85,FLOAT!F:F)</f>
        <v>7</v>
      </c>
      <c r="V62" s="473">
        <f t="shared" si="11"/>
        <v>88</v>
      </c>
      <c r="W62" s="989"/>
      <c r="X62" s="62">
        <f>SUMIF(FLOAT!$D:$D,FRONT!$B$55:$B$85,FLOAT!G:G)</f>
        <v>0</v>
      </c>
      <c r="Y62" s="53">
        <f>SUMIF(FLOAT!$D:$D,FRONT!$B$55:$B$85,FLOAT!H:H)</f>
        <v>0</v>
      </c>
      <c r="Z62" s="53">
        <f>SUMIF(FLOAT!$D:$D,FRONT!$B$55:$B$85,FLOAT!I:I)</f>
        <v>0</v>
      </c>
      <c r="AA62" s="53">
        <f>SUMIF(FLOAT!$D:$D,FRONT!$B$55:$B$85,FLOAT!J:J)</f>
        <v>0</v>
      </c>
      <c r="AB62" s="53">
        <f>SUMIF(FLOAT!$D:$D,FRONT!$B$55:$B$85,FLOAT!K:K)</f>
        <v>0</v>
      </c>
      <c r="AC62" s="53">
        <f>SUMIF(FLOAT!$D:$D,FRONT!$B$55:$B$85,FLOAT!L:L)</f>
        <v>0</v>
      </c>
      <c r="AD62" s="53">
        <f>SUMIF(FLOAT!$D:$D,FRONT!$B$55:$B$85,FLOAT!M:M)</f>
        <v>0</v>
      </c>
      <c r="AE62" s="773">
        <f>SUMIF(FLOAT!$D:$D,FRONT!$B$55:$B$85,FLOAT!N:N)</f>
        <v>3</v>
      </c>
      <c r="AF62" s="773">
        <f>SUMIF(FLOAT!$D:$D,FRONT!$B$55:$B$85,FLOAT!O:O)</f>
        <v>4</v>
      </c>
      <c r="AG62" s="53">
        <f>SUMIF(FLOAT!$D:$D,FRONT!$B$55:$B$85,FLOAT!P:P)</f>
        <v>0</v>
      </c>
      <c r="AH62" s="632">
        <f t="shared" si="12"/>
        <v>7</v>
      </c>
    </row>
    <row r="63" spans="1:35" ht="16.5" x14ac:dyDescent="0.25">
      <c r="A63" s="1014">
        <v>549754600139</v>
      </c>
      <c r="B63" s="462" t="s">
        <v>603</v>
      </c>
      <c r="C63" s="733" t="s">
        <v>672</v>
      </c>
      <c r="D63" s="379">
        <v>2576</v>
      </c>
      <c r="E63" s="961">
        <f>D63+D64</f>
        <v>3255</v>
      </c>
      <c r="F63" s="991">
        <f>57+11</f>
        <v>68</v>
      </c>
      <c r="G63" s="992">
        <f>N63</f>
        <v>1767</v>
      </c>
      <c r="H63" s="965">
        <f>O63+O64</f>
        <v>1728</v>
      </c>
      <c r="I63" s="967">
        <f t="shared" si="13"/>
        <v>1527</v>
      </c>
      <c r="J63" s="969">
        <f>F63+G63-H63</f>
        <v>107</v>
      </c>
      <c r="K63" s="401">
        <f>SUMIF('3 D P'!D:D,FRONT!$B$55:$B$85,'3 D P'!L:L)</f>
        <v>132</v>
      </c>
      <c r="L63" s="401">
        <f>SUMIF('3 D P'!D:D,FRONT!$B$55:$B$85,'3 D P'!M:M)</f>
        <v>234</v>
      </c>
      <c r="M63" s="401">
        <f>SUMIF('3 D P'!D:D,FRONT!$B$55:$B$85,'3 D P'!N:N)</f>
        <v>277</v>
      </c>
      <c r="N63" s="373">
        <f>IFERROR(VLOOKUP($A63,'Front Dispatch'!$A:$B,2,FALSE),0)</f>
        <v>1767</v>
      </c>
      <c r="O63" s="372">
        <f>SUMIF('Consumption MTD'!B:B,FRONT!$B$3:$B$85,'Consumption MTD'!C:C)</f>
        <v>1393</v>
      </c>
      <c r="P63" s="372">
        <f>SUMIF('BIW Lifting A Shift'!$B:$B,FRONT!$B$3:$B$85,'BIW Lifting A Shift'!C:C)</f>
        <v>0</v>
      </c>
      <c r="Q63" s="407">
        <f>SUMIF('BIW Lifting B Shift'!$B:$B,FRONT!$B:$B,'BIW Lifting B Shift'!$C:$C)</f>
        <v>0</v>
      </c>
      <c r="R63" s="958">
        <f>J63-U63-U64</f>
        <v>-2</v>
      </c>
      <c r="S63" s="958">
        <f>J63-P63-P64-U64-U63</f>
        <v>-2</v>
      </c>
      <c r="T63" s="958">
        <f>S63-Q63-Q64</f>
        <v>-2</v>
      </c>
      <c r="U63" s="466">
        <f>SUMIF(FLOAT!$D:$D,FRONT!$B$3:$B$85,FLOAT!F:F)</f>
        <v>97</v>
      </c>
      <c r="V63" s="473">
        <f t="shared" si="11"/>
        <v>1183</v>
      </c>
      <c r="W63" s="991">
        <v>57</v>
      </c>
      <c r="X63" s="62">
        <f>SUMIF(FLOAT!$D:$D,FRONT!$B$55:$B$85,FLOAT!G:G)</f>
        <v>3</v>
      </c>
      <c r="Y63" s="53">
        <f>SUMIF(FLOAT!$D:$D,FRONT!$B$55:$B$85,FLOAT!H:H)</f>
        <v>4</v>
      </c>
      <c r="Z63" s="53">
        <f>SUMIF(FLOAT!$D:$D,FRONT!$B$55:$B$85,FLOAT!I:I)</f>
        <v>10</v>
      </c>
      <c r="AA63" s="53">
        <f>SUMIF(FLOAT!$D:$D,FRONT!$B$55:$B$85,FLOAT!J:J)</f>
        <v>0</v>
      </c>
      <c r="AB63" s="53">
        <f>SUMIF(FLOAT!$D:$D,FRONT!$B$55:$B$85,FLOAT!K:K)</f>
        <v>4</v>
      </c>
      <c r="AC63" s="53">
        <f>SUMIF(FLOAT!$D:$D,FRONT!$B$55:$B$85,FLOAT!L:L)</f>
        <v>6</v>
      </c>
      <c r="AD63" s="53">
        <f>SUMIF(FLOAT!$D:$D,FRONT!$B$55:$B$85,FLOAT!M:M)</f>
        <v>27</v>
      </c>
      <c r="AE63" s="773">
        <f>SUMIF(FLOAT!$D:$D,FRONT!$B$55:$B$85,FLOAT!N:N)</f>
        <v>19</v>
      </c>
      <c r="AF63" s="773">
        <f>SUMIF(FLOAT!$D:$D,FRONT!$B$55:$B$85,FLOAT!O:O)</f>
        <v>51</v>
      </c>
      <c r="AG63" s="53">
        <f>SUMIF(FLOAT!$D:$D,FRONT!$B$55:$B$85,FLOAT!P:P)</f>
        <v>0</v>
      </c>
      <c r="AH63" s="632">
        <f t="shared" si="12"/>
        <v>97</v>
      </c>
      <c r="AI63">
        <v>119</v>
      </c>
    </row>
    <row r="64" spans="1:35" ht="18.75" customHeight="1" thickBot="1" x14ac:dyDescent="0.3">
      <c r="A64" s="1014"/>
      <c r="B64" s="463" t="s">
        <v>584</v>
      </c>
      <c r="C64" s="733" t="s">
        <v>1710</v>
      </c>
      <c r="D64" s="379">
        <v>679</v>
      </c>
      <c r="E64" s="962"/>
      <c r="F64" s="989"/>
      <c r="G64" s="992"/>
      <c r="H64" s="966"/>
      <c r="I64" s="968">
        <f t="shared" si="13"/>
        <v>0</v>
      </c>
      <c r="J64" s="970"/>
      <c r="K64" s="401">
        <f>SUMIF('3 D P'!D:D,FRONT!$B$55:$B$85,'3 D P'!L:L)</f>
        <v>28</v>
      </c>
      <c r="L64" s="401">
        <f>SUMIF('3 D P'!D:D,FRONT!$B$55:$B$85,'3 D P'!M:M)</f>
        <v>5</v>
      </c>
      <c r="M64" s="401">
        <f>SUMIF('3 D P'!D:D,FRONT!$B$55:$B$85,'3 D P'!N:N)</f>
        <v>36</v>
      </c>
      <c r="N64" s="373">
        <f>IFERROR(VLOOKUP($A64,'Front Dispatch'!$A:$B,2,FALSE),0)</f>
        <v>0</v>
      </c>
      <c r="O64" s="372">
        <f>SUMIF('Consumption MTD'!B:B,FRONT!$B$3:$B$85,'Consumption MTD'!C:C)</f>
        <v>335</v>
      </c>
      <c r="P64" s="372">
        <f>SUMIF('BIW Lifting A Shift'!$B:$B,FRONT!$B$3:$B$85,'BIW Lifting A Shift'!C:C)</f>
        <v>0</v>
      </c>
      <c r="Q64" s="407">
        <f>SUMIF('BIW Lifting B Shift'!$B:$B,FRONT!$B:$B,'BIW Lifting B Shift'!$C:$C)</f>
        <v>0</v>
      </c>
      <c r="R64" s="959"/>
      <c r="S64" s="959"/>
      <c r="T64" s="959"/>
      <c r="U64" s="466">
        <f>SUMIF(FLOAT!$D:$D,FRONT!$B$3:$B$85,FLOAT!F:F)</f>
        <v>12</v>
      </c>
      <c r="V64" s="473">
        <f t="shared" si="11"/>
        <v>344</v>
      </c>
      <c r="W64" s="989"/>
      <c r="X64" s="62">
        <f>SUMIF(FLOAT!$D:$D,FRONT!$B$55:$B$85,FLOAT!G:G)</f>
        <v>0</v>
      </c>
      <c r="Y64" s="53">
        <f>SUMIF(FLOAT!$D:$D,FRONT!$B$55:$B$85,FLOAT!H:H)</f>
        <v>2</v>
      </c>
      <c r="Z64" s="53">
        <f>SUMIF(FLOAT!$D:$D,FRONT!$B$55:$B$85,FLOAT!I:I)</f>
        <v>3</v>
      </c>
      <c r="AA64" s="53">
        <f>SUMIF(FLOAT!$D:$D,FRONT!$B$55:$B$85,FLOAT!J:J)</f>
        <v>0</v>
      </c>
      <c r="AB64" s="53">
        <f>SUMIF(FLOAT!$D:$D,FRONT!$B$55:$B$85,FLOAT!K:K)</f>
        <v>0</v>
      </c>
      <c r="AC64" s="53">
        <f>SUMIF(FLOAT!$D:$D,FRONT!$B$55:$B$85,FLOAT!L:L)</f>
        <v>2</v>
      </c>
      <c r="AD64" s="53">
        <f>SUMIF(FLOAT!$D:$D,FRONT!$B$55:$B$85,FLOAT!M:M)</f>
        <v>7</v>
      </c>
      <c r="AE64" s="773">
        <f>SUMIF(FLOAT!$D:$D,FRONT!$B$55:$B$85,FLOAT!N:N)</f>
        <v>1</v>
      </c>
      <c r="AF64" s="773">
        <f>SUMIF(FLOAT!$D:$D,FRONT!$B$55:$B$85,FLOAT!O:O)</f>
        <v>4</v>
      </c>
      <c r="AG64" s="53">
        <f>SUMIF(FLOAT!$D:$D,FRONT!$B$55:$B$85,FLOAT!P:P)</f>
        <v>0</v>
      </c>
      <c r="AH64" s="632">
        <f t="shared" si="12"/>
        <v>12</v>
      </c>
    </row>
    <row r="65" spans="1:35" ht="21" customHeight="1" x14ac:dyDescent="0.25">
      <c r="A65" s="974">
        <v>549754600238</v>
      </c>
      <c r="B65" s="463" t="s">
        <v>576</v>
      </c>
      <c r="C65" s="733" t="s">
        <v>1711</v>
      </c>
      <c r="D65" s="379">
        <v>539</v>
      </c>
      <c r="E65" s="961">
        <f>D65+D66</f>
        <v>539</v>
      </c>
      <c r="F65" s="991">
        <v>19</v>
      </c>
      <c r="G65" s="992">
        <f>N65</f>
        <v>322</v>
      </c>
      <c r="H65" s="965">
        <f>O65+O66</f>
        <v>312</v>
      </c>
      <c r="I65" s="967">
        <f t="shared" si="13"/>
        <v>227</v>
      </c>
      <c r="J65" s="969">
        <f>F65+G65-H65</f>
        <v>29</v>
      </c>
      <c r="K65" s="401">
        <f>SUMIF('3 D P'!D:D,FRONT!$B$55:$B$85,'3 D P'!L:L)</f>
        <v>28</v>
      </c>
      <c r="L65" s="401">
        <f>SUMIF('3 D P'!D:D,FRONT!$B$55:$B$85,'3 D P'!M:M)</f>
        <v>0</v>
      </c>
      <c r="M65" s="401">
        <f>SUMIF('3 D P'!D:D,FRONT!$B$55:$B$85,'3 D P'!N:N)</f>
        <v>0</v>
      </c>
      <c r="N65" s="373">
        <f>IFERROR(VLOOKUP($A65,'Front Dispatch'!$A:$B,2,FALSE),0)</f>
        <v>322</v>
      </c>
      <c r="O65" s="372">
        <f>SUMIF('Consumption MTD'!B:B,FRONT!$B$3:$B$85,'Consumption MTD'!C:C)</f>
        <v>312</v>
      </c>
      <c r="P65" s="372">
        <f>SUMIF('BIW Lifting A Shift'!$B:$B,FRONT!$B$3:$B$85,'BIW Lifting A Shift'!C:C)</f>
        <v>0</v>
      </c>
      <c r="Q65" s="407">
        <f>SUMIF('BIW Lifting B Shift'!$B:$B,FRONT!$B:$B,'BIW Lifting B Shift'!$C:$C)</f>
        <v>0</v>
      </c>
      <c r="R65" s="958">
        <f>J65-U65-U66</f>
        <v>18</v>
      </c>
      <c r="S65" s="958">
        <f>J65-P65-P66-U66-U65</f>
        <v>18</v>
      </c>
      <c r="T65" s="958">
        <f>S65-Q65-Q66</f>
        <v>18</v>
      </c>
      <c r="U65" s="466">
        <f>SUMIF(FLOAT!$D:$D,FRONT!$B$3:$B$85,FLOAT!F:F)</f>
        <v>11</v>
      </c>
      <c r="V65" s="473">
        <f t="shared" si="11"/>
        <v>227</v>
      </c>
      <c r="W65" s="991">
        <v>19</v>
      </c>
      <c r="X65" s="62">
        <f>SUMIF(FLOAT!$D:$D,FRONT!$B$55:$B$85,FLOAT!G:G)</f>
        <v>1</v>
      </c>
      <c r="Y65" s="53">
        <f>SUMIF(FLOAT!$D:$D,FRONT!$B$55:$B$85,FLOAT!H:H)</f>
        <v>0</v>
      </c>
      <c r="Z65" s="53">
        <f>SUMIF(FLOAT!$D:$D,FRONT!$B$55:$B$85,FLOAT!I:I)</f>
        <v>0</v>
      </c>
      <c r="AA65" s="53">
        <f>SUMIF(FLOAT!$D:$D,FRONT!$B$55:$B$85,FLOAT!J:J)</f>
        <v>0</v>
      </c>
      <c r="AB65" s="53">
        <f>SUMIF(FLOAT!$D:$D,FRONT!$B$55:$B$85,FLOAT!K:K)</f>
        <v>1</v>
      </c>
      <c r="AC65" s="53">
        <f>SUMIF(FLOAT!$D:$D,FRONT!$B$55:$B$85,FLOAT!L:L)</f>
        <v>5</v>
      </c>
      <c r="AD65" s="53">
        <f>SUMIF(FLOAT!$D:$D,FRONT!$B$55:$B$85,FLOAT!M:M)</f>
        <v>7</v>
      </c>
      <c r="AE65" s="773">
        <f>SUMIF(FLOAT!$D:$D,FRONT!$B$55:$B$85,FLOAT!N:N)</f>
        <v>1</v>
      </c>
      <c r="AF65" s="773">
        <f>SUMIF(FLOAT!$D:$D,FRONT!$B$55:$B$85,FLOAT!O:O)</f>
        <v>3</v>
      </c>
      <c r="AG65" s="53">
        <f>SUMIF(FLOAT!$D:$D,FRONT!$B$55:$B$85,FLOAT!P:P)</f>
        <v>0</v>
      </c>
      <c r="AH65" s="632">
        <f t="shared" si="12"/>
        <v>11</v>
      </c>
      <c r="AI65">
        <v>56</v>
      </c>
    </row>
    <row r="66" spans="1:35" ht="17.25" thickBot="1" x14ac:dyDescent="0.3">
      <c r="A66" s="974"/>
      <c r="B66" s="463"/>
      <c r="C66" s="733" t="e">
        <v>#N/A</v>
      </c>
      <c r="D66" s="379">
        <v>0</v>
      </c>
      <c r="E66" s="962"/>
      <c r="F66" s="989"/>
      <c r="G66" s="992"/>
      <c r="H66" s="966"/>
      <c r="I66" s="968">
        <f t="shared" si="13"/>
        <v>0</v>
      </c>
      <c r="J66" s="970"/>
      <c r="K66" s="401">
        <f>SUMIF('3 D P'!D:D,FRONT!$B$55:$B$85,'3 D P'!L:L)</f>
        <v>0</v>
      </c>
      <c r="L66" s="401">
        <f>SUMIF('3 D P'!D:D,FRONT!$B$55:$B$85,'3 D P'!M:M)</f>
        <v>0</v>
      </c>
      <c r="M66" s="401">
        <f>SUMIF('3 D P'!D:D,FRONT!$B$55:$B$85,'3 D P'!N:N)</f>
        <v>0</v>
      </c>
      <c r="N66" s="373">
        <f>IFERROR(VLOOKUP($A66,'Front Dispatch'!$A:$B,2,FALSE),0)</f>
        <v>0</v>
      </c>
      <c r="O66" s="372">
        <f>SUMIF('Consumption MTD'!B:B,FRONT!$B$3:$B$85,'Consumption MTD'!C:C)</f>
        <v>0</v>
      </c>
      <c r="P66" s="372">
        <f>SUMIF('BIW Lifting A Shift'!$B:$B,FRONT!$B$3:$B$85,'BIW Lifting A Shift'!C:C)</f>
        <v>0</v>
      </c>
      <c r="Q66" s="407">
        <f>SUMIF('BIW Lifting B Shift'!$B:$B,FRONT!$B:$B,'BIW Lifting B Shift'!$C:$C)</f>
        <v>0</v>
      </c>
      <c r="R66" s="959"/>
      <c r="S66" s="959"/>
      <c r="T66" s="959"/>
      <c r="U66" s="466">
        <f>SUMIF(FLOAT!$D:$D,FRONT!$B$3:$B$85,FLOAT!F:F)</f>
        <v>0</v>
      </c>
      <c r="V66" s="473">
        <f t="shared" si="11"/>
        <v>0</v>
      </c>
      <c r="W66" s="989"/>
      <c r="X66" s="62">
        <f>SUMIF(FLOAT!$D:$D,FRONT!$B$55:$B$85,FLOAT!G:G)</f>
        <v>0</v>
      </c>
      <c r="Y66" s="53">
        <f>SUMIF(FLOAT!$D:$D,FRONT!$B$55:$B$85,FLOAT!H:H)</f>
        <v>0</v>
      </c>
      <c r="Z66" s="53">
        <f>SUMIF(FLOAT!$D:$D,FRONT!$B$55:$B$85,FLOAT!I:I)</f>
        <v>0</v>
      </c>
      <c r="AA66" s="53">
        <f>SUMIF(FLOAT!$D:$D,FRONT!$B$55:$B$85,FLOAT!J:J)</f>
        <v>0</v>
      </c>
      <c r="AB66" s="53">
        <f>SUMIF(FLOAT!$D:$D,FRONT!$B$55:$B$85,FLOAT!K:K)</f>
        <v>0</v>
      </c>
      <c r="AC66" s="53">
        <f>SUMIF(FLOAT!$D:$D,FRONT!$B$55:$B$85,FLOAT!L:L)</f>
        <v>0</v>
      </c>
      <c r="AD66" s="53">
        <f>SUMIF(FLOAT!$D:$D,FRONT!$B$55:$B$85,FLOAT!M:M)</f>
        <v>0</v>
      </c>
      <c r="AE66" s="53">
        <f>SUMIF(FLOAT!$D:$D,FRONT!$B$55:$B$85,FLOAT!N:N)</f>
        <v>0</v>
      </c>
      <c r="AF66" s="53">
        <f>SUMIF(FLOAT!$D:$D,FRONT!$B$55:$B$85,FLOAT!O:O)</f>
        <v>0</v>
      </c>
      <c r="AG66" s="53">
        <f>SUMIF(FLOAT!$D:$D,FRONT!$B$55:$B$85,FLOAT!P:P)</f>
        <v>0</v>
      </c>
      <c r="AH66" s="632">
        <f t="shared" si="12"/>
        <v>0</v>
      </c>
    </row>
    <row r="67" spans="1:35" ht="16.5" x14ac:dyDescent="0.25">
      <c r="A67" s="974">
        <v>549754600133</v>
      </c>
      <c r="B67" s="462" t="s">
        <v>585</v>
      </c>
      <c r="C67" s="733" t="s">
        <v>1712</v>
      </c>
      <c r="D67" s="379">
        <v>817</v>
      </c>
      <c r="E67" s="961">
        <f>D67+D68</f>
        <v>1173</v>
      </c>
      <c r="F67" s="991">
        <v>38</v>
      </c>
      <c r="G67" s="992">
        <f>N67</f>
        <v>643</v>
      </c>
      <c r="H67" s="965">
        <f>O67+O68</f>
        <v>654</v>
      </c>
      <c r="I67" s="967">
        <f t="shared" si="13"/>
        <v>519</v>
      </c>
      <c r="J67" s="969">
        <f>F67+G67-H67</f>
        <v>27</v>
      </c>
      <c r="K67" s="401">
        <f>SUMIF('3 D P'!D:D,FRONT!$B$55:$B$85,'3 D P'!L:L)</f>
        <v>14</v>
      </c>
      <c r="L67" s="401">
        <f>SUMIF('3 D P'!D:D,FRONT!$B$55:$B$85,'3 D P'!M:M)</f>
        <v>34</v>
      </c>
      <c r="M67" s="401">
        <f>SUMIF('3 D P'!D:D,FRONT!$B$55:$B$85,'3 D P'!N:N)</f>
        <v>46</v>
      </c>
      <c r="N67" s="373">
        <f>IFERROR(VLOOKUP($A67,'Front Dispatch'!$A:$B,2,FALSE),0)</f>
        <v>643</v>
      </c>
      <c r="O67" s="372">
        <f>SUMIF('Consumption MTD'!B:B,FRONT!$B$3:$B$85,'Consumption MTD'!C:C)</f>
        <v>430</v>
      </c>
      <c r="P67" s="372">
        <f>SUMIF('BIW Lifting A Shift'!$B:$B,FRONT!$B$3:$B$85,'BIW Lifting A Shift'!C:C)</f>
        <v>0</v>
      </c>
      <c r="Q67" s="407">
        <f>SUMIF('BIW Lifting B Shift'!$B:$B,FRONT!$B:$B,'BIW Lifting B Shift'!$C:$C)</f>
        <v>0</v>
      </c>
      <c r="R67" s="958">
        <f>J67-U67-U68</f>
        <v>-3</v>
      </c>
      <c r="S67" s="958">
        <f>J67-P67-P68-U68-U67</f>
        <v>-3</v>
      </c>
      <c r="T67" s="958">
        <f>S67-Q67-Q68</f>
        <v>-3</v>
      </c>
      <c r="U67" s="466">
        <f>SUMIF(FLOAT!$D:$D,FRONT!$B$3:$B$85,FLOAT!F:F)</f>
        <v>17</v>
      </c>
      <c r="V67" s="473">
        <f t="shared" si="11"/>
        <v>387</v>
      </c>
      <c r="W67" s="991">
        <v>38</v>
      </c>
      <c r="X67" s="62">
        <f>SUMIF(FLOAT!$D:$D,FRONT!$B$55:$B$85,FLOAT!G:G)</f>
        <v>1</v>
      </c>
      <c r="Y67" s="53">
        <f>SUMIF(FLOAT!$D:$D,FRONT!$B$55:$B$85,FLOAT!H:H)</f>
        <v>1</v>
      </c>
      <c r="Z67" s="53">
        <f>SUMIF(FLOAT!$D:$D,FRONT!$B$55:$B$85,FLOAT!I:I)</f>
        <v>3</v>
      </c>
      <c r="AA67" s="53">
        <f>SUMIF(FLOAT!$D:$D,FRONT!$B$55:$B$85,FLOAT!J:J)</f>
        <v>0</v>
      </c>
      <c r="AB67" s="53">
        <f>SUMIF(FLOAT!$D:$D,FRONT!$B$55:$B$85,FLOAT!K:K)</f>
        <v>2</v>
      </c>
      <c r="AC67" s="53">
        <f>SUMIF(FLOAT!$D:$D,FRONT!$B$55:$B$85,FLOAT!L:L)</f>
        <v>3</v>
      </c>
      <c r="AD67" s="53">
        <f>SUMIF(FLOAT!$D:$D,FRONT!$B$55:$B$85,FLOAT!M:M)</f>
        <v>10</v>
      </c>
      <c r="AE67" s="53">
        <f>SUMIF(FLOAT!$D:$D,FRONT!$B$55:$B$85,FLOAT!N:N)</f>
        <v>1</v>
      </c>
      <c r="AF67" s="53">
        <f>SUMIF(FLOAT!$D:$D,FRONT!$B$55:$B$85,FLOAT!O:O)</f>
        <v>6</v>
      </c>
      <c r="AG67" s="53">
        <f>SUMIF(FLOAT!$D:$D,FRONT!$B$55:$B$85,FLOAT!P:P)</f>
        <v>0</v>
      </c>
      <c r="AH67" s="632">
        <f t="shared" si="12"/>
        <v>17</v>
      </c>
      <c r="AI67">
        <v>6</v>
      </c>
    </row>
    <row r="68" spans="1:35" ht="17.25" thickBot="1" x14ac:dyDescent="0.3">
      <c r="A68" s="974"/>
      <c r="B68" s="463" t="s">
        <v>573</v>
      </c>
      <c r="C68" s="733" t="s">
        <v>1713</v>
      </c>
      <c r="D68" s="379">
        <v>356</v>
      </c>
      <c r="E68" s="962"/>
      <c r="F68" s="989"/>
      <c r="G68" s="992"/>
      <c r="H68" s="966"/>
      <c r="I68" s="968">
        <f t="shared" si="13"/>
        <v>0</v>
      </c>
      <c r="J68" s="970"/>
      <c r="K68" s="401">
        <f>SUMIF('3 D P'!D:D,FRONT!$B$55:$B$85,'3 D P'!L:L)</f>
        <v>2</v>
      </c>
      <c r="L68" s="401">
        <f>SUMIF('3 D P'!D:D,FRONT!$B$55:$B$85,'3 D P'!M:M)</f>
        <v>0</v>
      </c>
      <c r="M68" s="401">
        <f>SUMIF('3 D P'!D:D,FRONT!$B$55:$B$85,'3 D P'!N:N)</f>
        <v>0</v>
      </c>
      <c r="N68" s="373">
        <f>IFERROR(VLOOKUP($A68,'Front Dispatch'!$A:$B,2,FALSE),0)</f>
        <v>0</v>
      </c>
      <c r="O68" s="372">
        <f>SUMIF('Consumption MTD'!B:B,FRONT!$B$3:$B$85,'Consumption MTD'!C:C)</f>
        <v>224</v>
      </c>
      <c r="P68" s="372">
        <f>SUMIF('BIW Lifting A Shift'!$B:$B,FRONT!$B$3:$B$85,'BIW Lifting A Shift'!C:C)</f>
        <v>0</v>
      </c>
      <c r="Q68" s="407">
        <f>SUMIF('BIW Lifting B Shift'!$B:$B,FRONT!$B:$B,'BIW Lifting B Shift'!$C:$C)</f>
        <v>0</v>
      </c>
      <c r="R68" s="959"/>
      <c r="S68" s="959"/>
      <c r="T68" s="959"/>
      <c r="U68" s="466">
        <f>SUMIF(FLOAT!$D:$D,FRONT!$B$3:$B$85,FLOAT!F:F)</f>
        <v>13</v>
      </c>
      <c r="V68" s="473">
        <f t="shared" si="11"/>
        <v>132</v>
      </c>
      <c r="W68" s="989"/>
      <c r="X68" s="62">
        <f>SUMIF(FLOAT!$D:$D,FRONT!$B$55:$B$85,FLOAT!G:G)</f>
        <v>3</v>
      </c>
      <c r="Y68" s="53">
        <f>SUMIF(FLOAT!$D:$D,FRONT!$B$55:$B$85,FLOAT!H:H)</f>
        <v>2</v>
      </c>
      <c r="Z68" s="53">
        <f>SUMIF(FLOAT!$D:$D,FRONT!$B$55:$B$85,FLOAT!I:I)</f>
        <v>1</v>
      </c>
      <c r="AA68" s="53">
        <f>SUMIF(FLOAT!$D:$D,FRONT!$B$55:$B$85,FLOAT!J:J)</f>
        <v>0</v>
      </c>
      <c r="AB68" s="53">
        <f>SUMIF(FLOAT!$D:$D,FRONT!$B$55:$B$85,FLOAT!K:K)</f>
        <v>3</v>
      </c>
      <c r="AC68" s="53">
        <f>SUMIF(FLOAT!$D:$D,FRONT!$B$55:$B$85,FLOAT!L:L)</f>
        <v>0</v>
      </c>
      <c r="AD68" s="53">
        <f>SUMIF(FLOAT!$D:$D,FRONT!$B$55:$B$85,FLOAT!M:M)</f>
        <v>9</v>
      </c>
      <c r="AE68" s="53">
        <f>SUMIF(FLOAT!$D:$D,FRONT!$B$55:$B$85,FLOAT!N:N)</f>
        <v>0</v>
      </c>
      <c r="AF68" s="53">
        <f>SUMIF(FLOAT!$D:$D,FRONT!$B$55:$B$85,FLOAT!O:O)</f>
        <v>4</v>
      </c>
      <c r="AG68" s="53">
        <f>SUMIF(FLOAT!$D:$D,FRONT!$B$55:$B$85,FLOAT!P:P)</f>
        <v>0</v>
      </c>
      <c r="AH68" s="632">
        <f t="shared" si="12"/>
        <v>13</v>
      </c>
    </row>
    <row r="69" spans="1:35" ht="16.5" x14ac:dyDescent="0.25">
      <c r="A69" s="972">
        <v>549754600134</v>
      </c>
      <c r="B69" s="462" t="s">
        <v>586</v>
      </c>
      <c r="C69" s="733" t="s">
        <v>1714</v>
      </c>
      <c r="D69" s="379">
        <v>599</v>
      </c>
      <c r="E69" s="961">
        <f>D69+D70</f>
        <v>599</v>
      </c>
      <c r="F69" s="991">
        <v>14</v>
      </c>
      <c r="G69" s="993">
        <f>N69</f>
        <v>273</v>
      </c>
      <c r="H69" s="965">
        <f>O69+O70</f>
        <v>272</v>
      </c>
      <c r="I69" s="967">
        <f t="shared" ref="I69:I79" si="14">E69-H69</f>
        <v>327</v>
      </c>
      <c r="J69" s="995">
        <f>F69+G69-H69</f>
        <v>15</v>
      </c>
      <c r="K69" s="401">
        <f>SUMIF('3 D P'!D:D,FRONT!$B$55:$B$85,'3 D P'!L:L)</f>
        <v>15</v>
      </c>
      <c r="L69" s="401">
        <f>SUMIF('3 D P'!D:D,FRONT!$B$55:$B$85,'3 D P'!M:M)</f>
        <v>30</v>
      </c>
      <c r="M69" s="401">
        <f>SUMIF('3 D P'!D:D,FRONT!$B$55:$B$85,'3 D P'!N:N)</f>
        <v>67</v>
      </c>
      <c r="N69" s="373">
        <f>IFERROR(VLOOKUP($A69,'Front Dispatch'!$A:$B,2,FALSE),0)</f>
        <v>273</v>
      </c>
      <c r="O69" s="372">
        <f>SUMIF('Consumption MTD'!B:B,FRONT!$B$3:$B$85,'Consumption MTD'!C:C)</f>
        <v>272</v>
      </c>
      <c r="P69" s="372">
        <f>SUMIF('BIW Lifting A Shift'!$B:$B,FRONT!$B$3:$B$85,'BIW Lifting A Shift'!C:C)</f>
        <v>0</v>
      </c>
      <c r="Q69" s="407">
        <f>SUMIF('BIW Lifting B Shift'!$B:$B,FRONT!$B:$B,'BIW Lifting B Shift'!$C:$C)</f>
        <v>0</v>
      </c>
      <c r="R69" s="958">
        <f>J69-U69-U70</f>
        <v>-1</v>
      </c>
      <c r="S69" s="958">
        <f>J69-P69-P70-U70-U69</f>
        <v>-1</v>
      </c>
      <c r="T69" s="958">
        <f>S69-Q69-Q70</f>
        <v>-1</v>
      </c>
      <c r="U69" s="466">
        <f>SUMIF(FLOAT!$D:$D,FRONT!$B$3:$B$85,FLOAT!F:F)</f>
        <v>16</v>
      </c>
      <c r="V69" s="473">
        <f t="shared" si="11"/>
        <v>327</v>
      </c>
      <c r="W69" s="991">
        <v>14</v>
      </c>
      <c r="X69" s="62">
        <f>SUMIF(FLOAT!$D:$D,FRONT!$B$55:$B$85,FLOAT!G:G)</f>
        <v>0</v>
      </c>
      <c r="Y69" s="53">
        <f>SUMIF(FLOAT!$D:$D,FRONT!$B$55:$B$85,FLOAT!H:H)</f>
        <v>0</v>
      </c>
      <c r="Z69" s="53">
        <f>SUMIF(FLOAT!$D:$D,FRONT!$B$55:$B$85,FLOAT!I:I)</f>
        <v>0</v>
      </c>
      <c r="AA69" s="53">
        <f>SUMIF(FLOAT!$D:$D,FRONT!$B$55:$B$85,FLOAT!J:J)</f>
        <v>0</v>
      </c>
      <c r="AB69" s="53">
        <f>SUMIF(FLOAT!$D:$D,FRONT!$B$55:$B$85,FLOAT!K:K)</f>
        <v>0</v>
      </c>
      <c r="AC69" s="53">
        <f>SUMIF(FLOAT!$D:$D,FRONT!$B$55:$B$85,FLOAT!L:L)</f>
        <v>0</v>
      </c>
      <c r="AD69" s="53">
        <f>SUMIF(FLOAT!$D:$D,FRONT!$B$55:$B$85,FLOAT!M:M)</f>
        <v>0</v>
      </c>
      <c r="AE69" s="53">
        <f>SUMIF(FLOAT!$D:$D,FRONT!$B$55:$B$85,FLOAT!N:N)</f>
        <v>8</v>
      </c>
      <c r="AF69" s="53">
        <f>SUMIF(FLOAT!$D:$D,FRONT!$B$55:$B$85,FLOAT!O:O)</f>
        <v>8</v>
      </c>
      <c r="AG69" s="53">
        <f>SUMIF(FLOAT!$D:$D,FRONT!$B$55:$B$85,FLOAT!P:P)</f>
        <v>0</v>
      </c>
      <c r="AH69" s="632">
        <f t="shared" si="12"/>
        <v>16</v>
      </c>
      <c r="AI69">
        <v>14</v>
      </c>
    </row>
    <row r="70" spans="1:35" ht="17.25" thickBot="1" x14ac:dyDescent="0.3">
      <c r="A70" s="973"/>
      <c r="B70" s="463"/>
      <c r="C70" s="733" t="e">
        <v>#N/A</v>
      </c>
      <c r="D70" s="379">
        <v>0</v>
      </c>
      <c r="E70" s="996"/>
      <c r="F70" s="989"/>
      <c r="G70" s="994"/>
      <c r="H70" s="997"/>
      <c r="I70" s="987">
        <f t="shared" si="14"/>
        <v>0</v>
      </c>
      <c r="J70" s="969"/>
      <c r="K70" s="401">
        <f>SUMIF('3 D P'!D:D,FRONT!$B$55:$B$85,'3 D P'!L:L)</f>
        <v>0</v>
      </c>
      <c r="L70" s="401">
        <f>SUMIF('3 D P'!D:D,FRONT!$B$55:$B$85,'3 D P'!M:M)</f>
        <v>0</v>
      </c>
      <c r="M70" s="401">
        <f>SUMIF('3 D P'!D:D,FRONT!$B$55:$B$85,'3 D P'!N:N)</f>
        <v>0</v>
      </c>
      <c r="N70" s="373">
        <f>IFERROR(VLOOKUP($A70,'Front Dispatch'!$A:$B,2,FALSE),0)</f>
        <v>0</v>
      </c>
      <c r="O70" s="372">
        <f>SUMIF('Consumption MTD'!B:B,FRONT!$B$3:$B$85,'Consumption MTD'!C:C)</f>
        <v>0</v>
      </c>
      <c r="P70" s="372">
        <f>SUMIF('BIW Lifting A Shift'!$B:$B,FRONT!$B$3:$B$85,'BIW Lifting A Shift'!C:C)</f>
        <v>0</v>
      </c>
      <c r="Q70" s="407">
        <f>SUMIF('BIW Lifting B Shift'!$B:$B,FRONT!$B:$B,'BIW Lifting B Shift'!$C:$C)</f>
        <v>0</v>
      </c>
      <c r="R70" s="959"/>
      <c r="S70" s="959"/>
      <c r="T70" s="959"/>
      <c r="U70" s="466">
        <f>SUMIF(FLOAT!$D:$D,FRONT!$B$3:$B$85,FLOAT!F:F)</f>
        <v>0</v>
      </c>
      <c r="V70" s="473">
        <f t="shared" si="11"/>
        <v>0</v>
      </c>
      <c r="W70" s="989"/>
      <c r="X70" s="62">
        <f>SUMIF(FLOAT!$D:$D,FRONT!$B$55:$B$85,FLOAT!G:G)</f>
        <v>0</v>
      </c>
      <c r="Y70" s="53">
        <f>SUMIF(FLOAT!$D:$D,FRONT!$B$55:$B$85,FLOAT!H:H)</f>
        <v>0</v>
      </c>
      <c r="Z70" s="53">
        <f>SUMIF(FLOAT!$D:$D,FRONT!$B$55:$B$85,FLOAT!I:I)</f>
        <v>0</v>
      </c>
      <c r="AA70" s="53">
        <f>SUMIF(FLOAT!$D:$D,FRONT!$B$55:$B$85,FLOAT!J:J)</f>
        <v>0</v>
      </c>
      <c r="AB70" s="53">
        <f>SUMIF(FLOAT!$D:$D,FRONT!$B$55:$B$85,FLOAT!K:K)</f>
        <v>0</v>
      </c>
      <c r="AC70" s="53">
        <f>SUMIF(FLOAT!$D:$D,FRONT!$B$55:$B$85,FLOAT!L:L)</f>
        <v>0</v>
      </c>
      <c r="AD70" s="53">
        <f>SUMIF(FLOAT!$D:$D,FRONT!$B$55:$B$85,FLOAT!M:M)</f>
        <v>0</v>
      </c>
      <c r="AE70" s="53">
        <f>SUMIF(FLOAT!$D:$D,FRONT!$B$55:$B$85,FLOAT!N:N)</f>
        <v>0</v>
      </c>
      <c r="AF70" s="53">
        <f>SUMIF(FLOAT!$D:$D,FRONT!$B$55:$B$85,FLOAT!O:O)</f>
        <v>0</v>
      </c>
      <c r="AG70" s="53">
        <f>SUMIF(FLOAT!$D:$D,FRONT!$B$55:$B$85,FLOAT!P:P)</f>
        <v>0</v>
      </c>
      <c r="AH70" s="632">
        <f t="shared" si="12"/>
        <v>0</v>
      </c>
    </row>
    <row r="71" spans="1:35" ht="16.5" x14ac:dyDescent="0.25">
      <c r="A71" s="972">
        <v>549754600190</v>
      </c>
      <c r="B71" s="462" t="s">
        <v>587</v>
      </c>
      <c r="C71" s="733" t="s">
        <v>1715</v>
      </c>
      <c r="D71" s="379">
        <v>810</v>
      </c>
      <c r="E71" s="961">
        <f>D71+D72</f>
        <v>1198</v>
      </c>
      <c r="F71" s="991">
        <v>37</v>
      </c>
      <c r="G71" s="992">
        <f>N71</f>
        <v>506</v>
      </c>
      <c r="H71" s="965">
        <f>O71+O72</f>
        <v>527</v>
      </c>
      <c r="I71" s="967">
        <f t="shared" si="14"/>
        <v>671</v>
      </c>
      <c r="J71" s="969">
        <f>F71+G71-H71</f>
        <v>16</v>
      </c>
      <c r="K71" s="401">
        <f>SUMIF('3 D P'!D:D,FRONT!$B$55:$B$85,'3 D P'!L:L)</f>
        <v>32</v>
      </c>
      <c r="L71" s="401">
        <f>SUMIF('3 D P'!D:D,FRONT!$B$55:$B$85,'3 D P'!M:M)</f>
        <v>19</v>
      </c>
      <c r="M71" s="401">
        <f>SUMIF('3 D P'!D:D,FRONT!$B$55:$B$85,'3 D P'!N:N)</f>
        <v>6</v>
      </c>
      <c r="N71" s="373">
        <f>IFERROR(VLOOKUP($A71,'Front Dispatch'!$A:$B,2,FALSE),0)</f>
        <v>506</v>
      </c>
      <c r="O71" s="372">
        <f>SUMIF('Consumption MTD'!B:B,FRONT!$B$3:$B$85,'Consumption MTD'!C:C)</f>
        <v>336</v>
      </c>
      <c r="P71" s="372">
        <f>SUMIF('BIW Lifting A Shift'!$B:$B,FRONT!$B$3:$B$85,'BIW Lifting A Shift'!C:C)</f>
        <v>0</v>
      </c>
      <c r="Q71" s="407">
        <f>SUMIF('BIW Lifting B Shift'!$B:$B,FRONT!$B:$B,'BIW Lifting B Shift'!$C:$C)</f>
        <v>0</v>
      </c>
      <c r="R71" s="958">
        <f>J71-U71-U72</f>
        <v>-22</v>
      </c>
      <c r="S71" s="958">
        <f>J71-P71-P72-U72-U71</f>
        <v>-22</v>
      </c>
      <c r="T71" s="958">
        <f>S71-Q71-Q72</f>
        <v>-22</v>
      </c>
      <c r="U71" s="466">
        <f>SUMIF(FLOAT!$D:$D,FRONT!$B$3:$B$85,FLOAT!F:F)</f>
        <v>4</v>
      </c>
      <c r="V71" s="473">
        <f t="shared" si="11"/>
        <v>474</v>
      </c>
      <c r="W71" s="991">
        <v>37</v>
      </c>
      <c r="X71" s="282">
        <f>SUMIF(FLOAT!$D:$D,FRONT!$B$55:$B$85,FLOAT!G:G)</f>
        <v>0</v>
      </c>
      <c r="Y71" s="634">
        <f>SUMIF(FLOAT!$D:$D,FRONT!$B$55:$B$85,FLOAT!H:H)</f>
        <v>1</v>
      </c>
      <c r="Z71" s="634">
        <f>SUMIF(FLOAT!$D:$D,FRONT!$B$55:$B$85,FLOAT!I:I)</f>
        <v>0</v>
      </c>
      <c r="AA71" s="634">
        <f>SUMIF(FLOAT!$D:$D,FRONT!$B$55:$B$85,FLOAT!J:J)</f>
        <v>0</v>
      </c>
      <c r="AB71" s="634">
        <f>SUMIF(FLOAT!$D:$D,FRONT!$B$55:$B$85,FLOAT!K:K)</f>
        <v>0</v>
      </c>
      <c r="AC71" s="634">
        <f>SUMIF(FLOAT!$D:$D,FRONT!$B$55:$B$85,FLOAT!L:L)</f>
        <v>0</v>
      </c>
      <c r="AD71" s="53">
        <f>SUMIF(FLOAT!$D:$D,FRONT!$B$55:$B$85,FLOAT!M:M)</f>
        <v>1</v>
      </c>
      <c r="AE71" s="53">
        <f>SUMIF(FLOAT!$D:$D,FRONT!$B$55:$B$85,FLOAT!N:N)</f>
        <v>0</v>
      </c>
      <c r="AF71" s="53">
        <f>SUMIF(FLOAT!$D:$D,FRONT!$B$55:$B$85,FLOAT!O:O)</f>
        <v>3</v>
      </c>
      <c r="AG71" s="53">
        <f>SUMIF(FLOAT!$D:$D,FRONT!$B$55:$B$85,FLOAT!P:P)</f>
        <v>0</v>
      </c>
      <c r="AH71" s="632">
        <f t="shared" si="12"/>
        <v>4</v>
      </c>
      <c r="AI71">
        <v>51</v>
      </c>
    </row>
    <row r="72" spans="1:35" ht="17.25" thickBot="1" x14ac:dyDescent="0.3">
      <c r="A72" s="973"/>
      <c r="B72" s="463" t="s">
        <v>588</v>
      </c>
      <c r="C72" s="733" t="s">
        <v>1716</v>
      </c>
      <c r="D72" s="379">
        <v>388</v>
      </c>
      <c r="E72" s="962"/>
      <c r="F72" s="989"/>
      <c r="G72" s="992"/>
      <c r="H72" s="966"/>
      <c r="I72" s="968">
        <f t="shared" si="14"/>
        <v>0</v>
      </c>
      <c r="J72" s="970"/>
      <c r="K72" s="401">
        <f>SUMIF('3 D P'!D:D,FRONT!$B$55:$B$85,'3 D P'!L:L)</f>
        <v>27</v>
      </c>
      <c r="L72" s="401">
        <f>SUMIF('3 D P'!D:D,FRONT!$B$55:$B$85,'3 D P'!M:M)</f>
        <v>17</v>
      </c>
      <c r="M72" s="401">
        <f>SUMIF('3 D P'!D:D,FRONT!$B$55:$B$85,'3 D P'!N:N)</f>
        <v>1</v>
      </c>
      <c r="N72" s="373">
        <f>IFERROR(VLOOKUP($A72,'Front Dispatch'!$A:$B,2,FALSE),0)</f>
        <v>0</v>
      </c>
      <c r="O72" s="372">
        <f>SUMIF('Consumption MTD'!B:B,FRONT!$B$3:$B$85,'Consumption MTD'!C:C)</f>
        <v>191</v>
      </c>
      <c r="P72" s="372">
        <f>SUMIF('BIW Lifting A Shift'!$B:$B,FRONT!$B$3:$B$85,'BIW Lifting A Shift'!C:C)</f>
        <v>0</v>
      </c>
      <c r="Q72" s="407">
        <f>SUMIF('BIW Lifting B Shift'!$B:$B,FRONT!$B:$B,'BIW Lifting B Shift'!$C:$C)</f>
        <v>0</v>
      </c>
      <c r="R72" s="959"/>
      <c r="S72" s="959"/>
      <c r="T72" s="959"/>
      <c r="U72" s="466">
        <f>SUMIF(FLOAT!$D:$D,FRONT!$B$3:$B$85,FLOAT!F:F)</f>
        <v>34</v>
      </c>
      <c r="V72" s="473">
        <f t="shared" si="11"/>
        <v>197</v>
      </c>
      <c r="W72" s="989"/>
      <c r="X72" s="282">
        <f>SUMIF(FLOAT!$D:$D,FRONT!$B$55:$B$85,FLOAT!G:G)</f>
        <v>1</v>
      </c>
      <c r="Y72" s="634">
        <f>SUMIF(FLOAT!$D:$D,FRONT!$B$55:$B$85,FLOAT!H:H)</f>
        <v>3</v>
      </c>
      <c r="Z72" s="634">
        <f>SUMIF(FLOAT!$D:$D,FRONT!$B$55:$B$85,FLOAT!I:I)</f>
        <v>0</v>
      </c>
      <c r="AA72" s="634">
        <f>SUMIF(FLOAT!$D:$D,FRONT!$B$55:$B$85,FLOAT!J:J)</f>
        <v>0</v>
      </c>
      <c r="AB72" s="634">
        <f>SUMIF(FLOAT!$D:$D,FRONT!$B$55:$B$85,FLOAT!K:K)</f>
        <v>0</v>
      </c>
      <c r="AC72" s="634">
        <f>SUMIF(FLOAT!$D:$D,FRONT!$B$55:$B$85,FLOAT!L:L)</f>
        <v>10</v>
      </c>
      <c r="AD72" s="53">
        <f>SUMIF(FLOAT!$D:$D,FRONT!$B$55:$B$85,FLOAT!M:M)</f>
        <v>14</v>
      </c>
      <c r="AE72" s="53">
        <f>SUMIF(FLOAT!$D:$D,FRONT!$B$55:$B$85,FLOAT!N:N)</f>
        <v>1</v>
      </c>
      <c r="AF72" s="53">
        <f>SUMIF(FLOAT!$D:$D,FRONT!$B$55:$B$85,FLOAT!O:O)</f>
        <v>19</v>
      </c>
      <c r="AG72" s="53">
        <f>SUMIF(FLOAT!$D:$D,FRONT!$B$55:$B$85,FLOAT!P:P)</f>
        <v>0</v>
      </c>
      <c r="AH72" s="632">
        <f t="shared" si="12"/>
        <v>34</v>
      </c>
    </row>
    <row r="73" spans="1:35" ht="16.5" x14ac:dyDescent="0.25">
      <c r="A73" s="974">
        <v>549754600239</v>
      </c>
      <c r="B73" s="462" t="s">
        <v>589</v>
      </c>
      <c r="C73" s="733" t="s">
        <v>1717</v>
      </c>
      <c r="D73" s="379">
        <v>636</v>
      </c>
      <c r="E73" s="961">
        <f>D73+D74</f>
        <v>974</v>
      </c>
      <c r="F73" s="991">
        <v>14</v>
      </c>
      <c r="G73" s="992">
        <f>N73</f>
        <v>434</v>
      </c>
      <c r="H73" s="965">
        <f>O73+O74</f>
        <v>438</v>
      </c>
      <c r="I73" s="967">
        <f t="shared" si="14"/>
        <v>536</v>
      </c>
      <c r="J73" s="969">
        <f>F73+G73-H73</f>
        <v>10</v>
      </c>
      <c r="K73" s="401">
        <f>SUMIF('3 D P'!D:D,FRONT!$B$55:$B$85,'3 D P'!L:L)</f>
        <v>42</v>
      </c>
      <c r="L73" s="401">
        <f>SUMIF('3 D P'!D:D,FRONT!$B$55:$B$85,'3 D P'!M:M)</f>
        <v>0</v>
      </c>
      <c r="M73" s="401">
        <f>SUMIF('3 D P'!D:D,FRONT!$B$55:$B$85,'3 D P'!N:N)</f>
        <v>0</v>
      </c>
      <c r="N73" s="373">
        <f>IFERROR(VLOOKUP($A73,'Front Dispatch'!$A:$B,2,FALSE),0)</f>
        <v>434</v>
      </c>
      <c r="O73" s="372">
        <f>SUMIF('Consumption MTD'!B:B,FRONT!$B$3:$B$85,'Consumption MTD'!C:C)</f>
        <v>275</v>
      </c>
      <c r="P73" s="372">
        <f>SUMIF('BIW Lifting A Shift'!$B:$B,FRONT!$B$3:$B$85,'BIW Lifting A Shift'!C:C)</f>
        <v>0</v>
      </c>
      <c r="Q73" s="407">
        <f>SUMIF('BIW Lifting B Shift'!$B:$B,FRONT!$B:$B,'BIW Lifting B Shift'!$C:$C)</f>
        <v>0</v>
      </c>
      <c r="R73" s="958">
        <f>J73-U73-U74</f>
        <v>-23</v>
      </c>
      <c r="S73" s="958">
        <f>J73-P73-P74-U74-U73</f>
        <v>-23</v>
      </c>
      <c r="T73" s="958">
        <f>S73-Q73-Q74</f>
        <v>-23</v>
      </c>
      <c r="U73" s="466">
        <f>SUMIF(FLOAT!$D:$D,FRONT!$B$3:$B$85,FLOAT!F:F)</f>
        <v>20</v>
      </c>
      <c r="V73" s="473">
        <f t="shared" si="11"/>
        <v>361</v>
      </c>
      <c r="W73" s="991">
        <v>14</v>
      </c>
      <c r="X73" s="62">
        <f>SUMIF(FLOAT!$D:$D,FRONT!$B$55:$B$85,FLOAT!G:G)</f>
        <v>1</v>
      </c>
      <c r="Y73" s="53">
        <f>SUMIF(FLOAT!$D:$D,FRONT!$B$55:$B$85,FLOAT!H:H)</f>
        <v>1</v>
      </c>
      <c r="Z73" s="53">
        <f>SUMIF(FLOAT!$D:$D,FRONT!$B$55:$B$85,FLOAT!I:I)</f>
        <v>0</v>
      </c>
      <c r="AA73" s="53">
        <f>SUMIF(FLOAT!$D:$D,FRONT!$B$55:$B$85,FLOAT!J:J)</f>
        <v>0</v>
      </c>
      <c r="AB73" s="53">
        <f>SUMIF(FLOAT!$D:$D,FRONT!$B$55:$B$85,FLOAT!K:K)</f>
        <v>0</v>
      </c>
      <c r="AC73" s="53">
        <f>SUMIF(FLOAT!$D:$D,FRONT!$B$55:$B$85,FLOAT!L:L)</f>
        <v>1</v>
      </c>
      <c r="AD73" s="53">
        <f>SUMIF(FLOAT!$D:$D,FRONT!$B$55:$B$85,FLOAT!M:M)</f>
        <v>3</v>
      </c>
      <c r="AE73" s="53">
        <f>SUMIF(FLOAT!$D:$D,FRONT!$B$55:$B$85,FLOAT!N:N)</f>
        <v>3</v>
      </c>
      <c r="AF73" s="53">
        <f>SUMIF(FLOAT!$D:$D,FRONT!$B$55:$B$85,FLOAT!O:O)</f>
        <v>14</v>
      </c>
      <c r="AG73" s="53">
        <f>SUMIF(FLOAT!$D:$D,FRONT!$B$55:$B$85,FLOAT!P:P)</f>
        <v>0</v>
      </c>
      <c r="AH73" s="632">
        <f t="shared" si="12"/>
        <v>20</v>
      </c>
      <c r="AI73">
        <v>45</v>
      </c>
    </row>
    <row r="74" spans="1:35" ht="18.75" customHeight="1" thickBot="1" x14ac:dyDescent="0.3">
      <c r="A74" s="974"/>
      <c r="B74" s="463" t="s">
        <v>590</v>
      </c>
      <c r="C74" s="733" t="s">
        <v>1718</v>
      </c>
      <c r="D74" s="379">
        <v>338</v>
      </c>
      <c r="E74" s="962"/>
      <c r="F74" s="989"/>
      <c r="G74" s="992"/>
      <c r="H74" s="966"/>
      <c r="I74" s="968">
        <f t="shared" si="14"/>
        <v>0</v>
      </c>
      <c r="J74" s="970"/>
      <c r="K74" s="401">
        <f>SUMIF('3 D P'!D:D,FRONT!$B$55:$B$85,'3 D P'!L:L)</f>
        <v>3</v>
      </c>
      <c r="L74" s="401">
        <f>SUMIF('3 D P'!D:D,FRONT!$B$55:$B$85,'3 D P'!M:M)</f>
        <v>0</v>
      </c>
      <c r="M74" s="401">
        <f>SUMIF('3 D P'!D:D,FRONT!$B$55:$B$85,'3 D P'!N:N)</f>
        <v>0</v>
      </c>
      <c r="N74" s="373">
        <f>IFERROR(VLOOKUP($A74,'Front Dispatch'!$A:$B,2,FALSE),0)</f>
        <v>0</v>
      </c>
      <c r="O74" s="372">
        <f>SUMIF('Consumption MTD'!B:B,FRONT!$B$3:$B$85,'Consumption MTD'!C:C)</f>
        <v>163</v>
      </c>
      <c r="P74" s="372">
        <f>SUMIF('BIW Lifting A Shift'!$B:$B,FRONT!$B$3:$B$85,'BIW Lifting A Shift'!C:C)</f>
        <v>0</v>
      </c>
      <c r="Q74" s="407">
        <f>SUMIF('BIW Lifting B Shift'!$B:$B,FRONT!$B:$B,'BIW Lifting B Shift'!$C:$C)</f>
        <v>0</v>
      </c>
      <c r="R74" s="959"/>
      <c r="S74" s="959"/>
      <c r="T74" s="959"/>
      <c r="U74" s="466">
        <f>SUMIF(FLOAT!$D:$D,FRONT!$B$3:$B$85,FLOAT!F:F)</f>
        <v>13</v>
      </c>
      <c r="V74" s="473">
        <f t="shared" si="11"/>
        <v>175</v>
      </c>
      <c r="W74" s="989"/>
      <c r="X74" s="62">
        <f>SUMIF(FLOAT!$D:$D,FRONT!$B$55:$B$85,FLOAT!G:G)</f>
        <v>1</v>
      </c>
      <c r="Y74" s="53">
        <f>SUMIF(FLOAT!$D:$D,FRONT!$B$55:$B$85,FLOAT!H:H)</f>
        <v>1</v>
      </c>
      <c r="Z74" s="53">
        <f>SUMIF(FLOAT!$D:$D,FRONT!$B$55:$B$85,FLOAT!I:I)</f>
        <v>0</v>
      </c>
      <c r="AA74" s="53">
        <f>SUMIF(FLOAT!$D:$D,FRONT!$B$55:$B$85,FLOAT!J:J)</f>
        <v>0</v>
      </c>
      <c r="AB74" s="53">
        <f>SUMIF(FLOAT!$D:$D,FRONT!$B$55:$B$85,FLOAT!K:K)</f>
        <v>1</v>
      </c>
      <c r="AC74" s="53">
        <f>SUMIF(FLOAT!$D:$D,FRONT!$B$55:$B$85,FLOAT!L:L)</f>
        <v>2</v>
      </c>
      <c r="AD74" s="53">
        <f>SUMIF(FLOAT!$D:$D,FRONT!$B$55:$B$85,FLOAT!M:M)</f>
        <v>5</v>
      </c>
      <c r="AE74" s="53">
        <f>SUMIF(FLOAT!$D:$D,FRONT!$B$55:$B$85,FLOAT!N:N)</f>
        <v>2</v>
      </c>
      <c r="AF74" s="53">
        <f>SUMIF(FLOAT!$D:$D,FRONT!$B$55:$B$85,FLOAT!O:O)</f>
        <v>6</v>
      </c>
      <c r="AG74" s="53">
        <f>SUMIF(FLOAT!$D:$D,FRONT!$B$55:$B$85,FLOAT!P:P)</f>
        <v>0</v>
      </c>
      <c r="AH74" s="632">
        <f t="shared" si="12"/>
        <v>13</v>
      </c>
    </row>
    <row r="75" spans="1:35" ht="16.5" x14ac:dyDescent="0.25">
      <c r="A75" s="974">
        <v>549754610189</v>
      </c>
      <c r="B75" s="462" t="s">
        <v>591</v>
      </c>
      <c r="C75" s="733" t="s">
        <v>1719</v>
      </c>
      <c r="D75" s="379">
        <v>76</v>
      </c>
      <c r="E75" s="961">
        <f>D75+D76</f>
        <v>76</v>
      </c>
      <c r="F75" s="991">
        <v>25</v>
      </c>
      <c r="G75" s="992">
        <f>N75</f>
        <v>23</v>
      </c>
      <c r="H75" s="965">
        <f>O75+O76</f>
        <v>16</v>
      </c>
      <c r="I75" s="967">
        <f t="shared" si="14"/>
        <v>60</v>
      </c>
      <c r="J75" s="969">
        <f>F75+G75-H75</f>
        <v>32</v>
      </c>
      <c r="K75" s="401">
        <f>SUMIF('3 D P'!D:D,FRONT!$B$55:$B$85,'3 D P'!L:L)</f>
        <v>1</v>
      </c>
      <c r="L75" s="401">
        <f>SUMIF('3 D P'!D:D,FRONT!$B$55:$B$85,'3 D P'!M:M)</f>
        <v>0</v>
      </c>
      <c r="M75" s="401">
        <f>SUMIF('3 D P'!D:D,FRONT!$B$55:$B$85,'3 D P'!N:N)</f>
        <v>1</v>
      </c>
      <c r="N75" s="373">
        <f>IFERROR(VLOOKUP($A75,'Front Dispatch'!$A:$B,2,FALSE),0)</f>
        <v>23</v>
      </c>
      <c r="O75" s="372">
        <f>SUMIF('Consumption MTD'!B:B,FRONT!$B$3:$B$85,'Consumption MTD'!C:C)</f>
        <v>16</v>
      </c>
      <c r="P75" s="372">
        <f>SUMIF('BIW Lifting A Shift'!$B:$B,FRONT!$B$3:$B$85,'BIW Lifting A Shift'!C:C)</f>
        <v>0</v>
      </c>
      <c r="Q75" s="407">
        <f>SUMIF('BIW Lifting B Shift'!$B:$B,FRONT!$B:$B,'BIW Lifting B Shift'!$C:$C)</f>
        <v>0</v>
      </c>
      <c r="R75" s="958">
        <f>J75-U75-U76</f>
        <v>31</v>
      </c>
      <c r="S75" s="958">
        <f>J75-P75-P76-U76-U75</f>
        <v>31</v>
      </c>
      <c r="T75" s="958">
        <f>S75-Q75-Q76</f>
        <v>31</v>
      </c>
      <c r="U75" s="466">
        <f>SUMIF(FLOAT!$D:$D,FRONT!$B$3:$B$85,FLOAT!F:F)</f>
        <v>1</v>
      </c>
      <c r="V75" s="473">
        <f t="shared" si="11"/>
        <v>60</v>
      </c>
      <c r="W75" s="991">
        <v>25</v>
      </c>
      <c r="X75" s="62">
        <f>SUMIF(FLOAT!$D:$D,FRONT!$B$55:$B$85,FLOAT!G:G)</f>
        <v>0</v>
      </c>
      <c r="Y75" s="53">
        <f>SUMIF(FLOAT!$D:$D,FRONT!$B$55:$B$85,FLOAT!H:H)</f>
        <v>0</v>
      </c>
      <c r="Z75" s="53">
        <f>SUMIF(FLOAT!$D:$D,FRONT!$B$55:$B$85,FLOAT!I:I)</f>
        <v>0</v>
      </c>
      <c r="AA75" s="53">
        <f>SUMIF(FLOAT!$D:$D,FRONT!$B$55:$B$85,FLOAT!J:J)</f>
        <v>0</v>
      </c>
      <c r="AB75" s="53">
        <f>SUMIF(FLOAT!$D:$D,FRONT!$B$55:$B$85,FLOAT!K:K)</f>
        <v>0</v>
      </c>
      <c r="AC75" s="53">
        <f>SUMIF(FLOAT!$D:$D,FRONT!$B$55:$B$85,FLOAT!L:L)</f>
        <v>0</v>
      </c>
      <c r="AD75" s="53">
        <f>SUMIF(FLOAT!$D:$D,FRONT!$B$55:$B$85,FLOAT!M:M)</f>
        <v>0</v>
      </c>
      <c r="AE75" s="53">
        <f>SUMIF(FLOAT!$D:$D,FRONT!$B$55:$B$85,FLOAT!N:N)</f>
        <v>0</v>
      </c>
      <c r="AF75" s="53">
        <f>SUMIF(FLOAT!$D:$D,FRONT!$B$55:$B$85,FLOAT!O:O)</f>
        <v>1</v>
      </c>
      <c r="AG75" s="53">
        <f>SUMIF(FLOAT!$D:$D,FRONT!$B$55:$B$85,FLOAT!P:P)</f>
        <v>0</v>
      </c>
      <c r="AH75" s="632">
        <f t="shared" si="12"/>
        <v>1</v>
      </c>
      <c r="AI75">
        <v>14</v>
      </c>
    </row>
    <row r="76" spans="1:35" ht="16.5" x14ac:dyDescent="0.25">
      <c r="A76" s="974"/>
      <c r="B76" s="463"/>
      <c r="C76" s="733" t="e">
        <v>#N/A</v>
      </c>
      <c r="D76" s="379">
        <v>0</v>
      </c>
      <c r="E76" s="962"/>
      <c r="F76" s="989"/>
      <c r="G76" s="992"/>
      <c r="H76" s="966"/>
      <c r="I76" s="968">
        <f t="shared" si="14"/>
        <v>0</v>
      </c>
      <c r="J76" s="970"/>
      <c r="K76" s="401">
        <f>SUMIF('3 D P'!D:D,FRONT!$B$55:$B$85,'3 D P'!L:L)</f>
        <v>0</v>
      </c>
      <c r="L76" s="401">
        <f>SUMIF('3 D P'!D:D,FRONT!$B$55:$B$85,'3 D P'!M:M)</f>
        <v>0</v>
      </c>
      <c r="M76" s="401">
        <f>SUMIF('3 D P'!D:D,FRONT!$B$55:$B$85,'3 D P'!N:N)</f>
        <v>0</v>
      </c>
      <c r="N76" s="373">
        <f>IFERROR(VLOOKUP($A76,'Front Dispatch'!$A:$B,2,FALSE),0)</f>
        <v>0</v>
      </c>
      <c r="O76" s="372">
        <f>SUMIF('Consumption MTD'!B:B,FRONT!$B$3:$B$85,'Consumption MTD'!C:C)</f>
        <v>0</v>
      </c>
      <c r="P76" s="372">
        <f>SUMIF('BIW Lifting A Shift'!$B:$B,FRONT!$B$3:$B$85,'BIW Lifting A Shift'!C:C)</f>
        <v>0</v>
      </c>
      <c r="Q76" s="407">
        <f>SUMIF('BIW Lifting B Shift'!$B:$B,FRONT!$B:$B,'BIW Lifting B Shift'!$C:$C)</f>
        <v>0</v>
      </c>
      <c r="R76" s="959"/>
      <c r="S76" s="959"/>
      <c r="T76" s="959"/>
      <c r="U76" s="466">
        <f>SUMIF(FLOAT!$D:$D,FRONT!$B$3:$B$85,FLOAT!F:F)</f>
        <v>0</v>
      </c>
      <c r="V76" s="473">
        <f t="shared" si="11"/>
        <v>0</v>
      </c>
      <c r="W76" s="989"/>
      <c r="X76" s="62">
        <f>SUMIF(FLOAT!$D:$D,FRONT!$B$55:$B$85,FLOAT!G:G)</f>
        <v>0</v>
      </c>
      <c r="Y76" s="53">
        <f>SUMIF(FLOAT!$D:$D,FRONT!$B$55:$B$85,FLOAT!H:H)</f>
        <v>0</v>
      </c>
      <c r="Z76" s="53">
        <f>SUMIF(FLOAT!$D:$D,FRONT!$B$55:$B$85,FLOAT!I:I)</f>
        <v>0</v>
      </c>
      <c r="AA76" s="53">
        <f>SUMIF(FLOAT!$D:$D,FRONT!$B$55:$B$85,FLOAT!J:J)</f>
        <v>0</v>
      </c>
      <c r="AB76" s="53">
        <f>SUMIF(FLOAT!$D:$D,FRONT!$B$55:$B$85,FLOAT!K:K)</f>
        <v>0</v>
      </c>
      <c r="AC76" s="53">
        <f>SUMIF(FLOAT!$D:$D,FRONT!$B$55:$B$85,FLOAT!L:L)</f>
        <v>0</v>
      </c>
      <c r="AD76" s="53">
        <f>SUMIF(FLOAT!$D:$D,FRONT!$B$55:$B$85,FLOAT!M:M)</f>
        <v>0</v>
      </c>
      <c r="AE76" s="53">
        <f>SUMIF(FLOAT!$D:$D,FRONT!$B$55:$B$85,FLOAT!N:N)</f>
        <v>0</v>
      </c>
      <c r="AF76" s="53">
        <f>SUMIF(FLOAT!$D:$D,FRONT!$B$55:$B$85,FLOAT!O:O)</f>
        <v>0</v>
      </c>
      <c r="AG76" s="53">
        <f>SUMIF(FLOAT!$D:$D,FRONT!$B$55:$B$85,FLOAT!P:P)</f>
        <v>0</v>
      </c>
      <c r="AH76" s="632">
        <f t="shared" si="12"/>
        <v>0</v>
      </c>
    </row>
    <row r="77" spans="1:35" ht="16.5" x14ac:dyDescent="0.25">
      <c r="A77" s="414">
        <v>549754600192</v>
      </c>
      <c r="B77" s="462" t="s">
        <v>592</v>
      </c>
      <c r="C77" s="733" t="s">
        <v>661</v>
      </c>
      <c r="D77" s="379">
        <v>241</v>
      </c>
      <c r="E77" s="374">
        <f>D77</f>
        <v>241</v>
      </c>
      <c r="F77" s="473">
        <v>26</v>
      </c>
      <c r="G77" s="777">
        <f t="shared" ref="G77:H79" si="15">N77</f>
        <v>72</v>
      </c>
      <c r="H77" s="375">
        <f t="shared" si="15"/>
        <v>93</v>
      </c>
      <c r="I77" s="399">
        <f t="shared" si="14"/>
        <v>148</v>
      </c>
      <c r="J77" s="404">
        <f>F77+G77-H77</f>
        <v>5</v>
      </c>
      <c r="K77" s="401">
        <f>SUMIF('3 D P'!D:D,FRONT!$B$55:$B$85,'3 D P'!L:L)</f>
        <v>5</v>
      </c>
      <c r="L77" s="401">
        <f>SUMIF('3 D P'!D:D,FRONT!$B$55:$B$85,'3 D P'!M:M)</f>
        <v>0</v>
      </c>
      <c r="M77" s="401">
        <f>SUMIF('3 D P'!D:D,FRONT!$B$55:$B$85,'3 D P'!N:N)</f>
        <v>1</v>
      </c>
      <c r="N77" s="373">
        <f>IFERROR(VLOOKUP($A77,'Front Dispatch'!$A:$B,2,FALSE),0)</f>
        <v>72</v>
      </c>
      <c r="O77" s="372">
        <f>SUMIF('Consumption MTD'!B:B,FRONT!$B$3:$B$85,'Consumption MTD'!C:C)</f>
        <v>93</v>
      </c>
      <c r="P77" s="372">
        <f>SUMIF('BIW Lifting A Shift'!$B:$B,FRONT!$B$3:$B$85,'BIW Lifting A Shift'!C:C)</f>
        <v>0</v>
      </c>
      <c r="Q77" s="407">
        <f>SUMIF('BIW Lifting B Shift'!$B:$B,FRONT!$B:$B,'BIW Lifting B Shift'!$C:$C)</f>
        <v>0</v>
      </c>
      <c r="R77" s="406">
        <f>J77-U77</f>
        <v>3</v>
      </c>
      <c r="S77" s="406">
        <f>J77-P77-U77</f>
        <v>3</v>
      </c>
      <c r="T77" s="406">
        <f>S77-Q77</f>
        <v>3</v>
      </c>
      <c r="U77" s="466">
        <f>SUMIF(FLOAT!$D:$D,FRONT!$B$3:$B$85,FLOAT!F:F)</f>
        <v>2</v>
      </c>
      <c r="V77" s="473">
        <f t="shared" si="11"/>
        <v>148</v>
      </c>
      <c r="W77" s="619">
        <v>26</v>
      </c>
      <c r="X77" s="62">
        <f>SUMIF(FLOAT!$D:$D,FRONT!$B$55:$B$85,FLOAT!G:G)</f>
        <v>0</v>
      </c>
      <c r="Y77" s="53">
        <f>SUMIF(FLOAT!$D:$D,FRONT!$B$55:$B$85,FLOAT!H:H)</f>
        <v>0</v>
      </c>
      <c r="Z77" s="53">
        <f>SUMIF(FLOAT!$D:$D,FRONT!$B$55:$B$85,FLOAT!I:I)</f>
        <v>0</v>
      </c>
      <c r="AA77" s="53">
        <f>SUMIF(FLOAT!$D:$D,FRONT!$B$55:$B$85,FLOAT!J:J)</f>
        <v>0</v>
      </c>
      <c r="AB77" s="53">
        <f>SUMIF(FLOAT!$D:$D,FRONT!$B$55:$B$85,FLOAT!K:K)</f>
        <v>0</v>
      </c>
      <c r="AC77" s="53">
        <f>SUMIF(FLOAT!$D:$D,FRONT!$B$55:$B$85,FLOAT!L:L)</f>
        <v>0</v>
      </c>
      <c r="AD77" s="53">
        <f>SUMIF(FLOAT!$D:$D,FRONT!$B$55:$B$85,FLOAT!M:M)</f>
        <v>0</v>
      </c>
      <c r="AE77" s="53">
        <f>SUMIF(FLOAT!$D:$D,FRONT!$B$55:$B$85,FLOAT!N:N)</f>
        <v>0</v>
      </c>
      <c r="AF77" s="53">
        <f>SUMIF(FLOAT!$D:$D,FRONT!$B$55:$B$85,FLOAT!O:O)</f>
        <v>2</v>
      </c>
      <c r="AG77" s="53">
        <f>SUMIF(FLOAT!$D:$D,FRONT!$B$55:$B$85,FLOAT!P:P)</f>
        <v>0</v>
      </c>
      <c r="AH77" s="632">
        <f t="shared" si="12"/>
        <v>2</v>
      </c>
      <c r="AI77">
        <v>50</v>
      </c>
    </row>
    <row r="78" spans="1:35" ht="20.25" customHeight="1" x14ac:dyDescent="0.25">
      <c r="A78" s="414">
        <v>549754600223</v>
      </c>
      <c r="B78" s="462" t="s">
        <v>593</v>
      </c>
      <c r="C78" s="733" t="e">
        <v>#N/A</v>
      </c>
      <c r="D78" s="379">
        <v>0</v>
      </c>
      <c r="E78" s="374">
        <f>D78</f>
        <v>0</v>
      </c>
      <c r="F78" s="473">
        <v>4</v>
      </c>
      <c r="G78" s="777">
        <f t="shared" si="15"/>
        <v>0</v>
      </c>
      <c r="H78" s="375">
        <f t="shared" si="15"/>
        <v>0</v>
      </c>
      <c r="I78" s="399">
        <f t="shared" si="14"/>
        <v>0</v>
      </c>
      <c r="J78" s="404">
        <f>F78+G78-H78</f>
        <v>4</v>
      </c>
      <c r="K78" s="401">
        <f>SUMIF('3 D P'!D:D,FRONT!$B$55:$B$85,'3 D P'!L:L)</f>
        <v>0</v>
      </c>
      <c r="L78" s="401">
        <f>SUMIF('3 D P'!D:D,FRONT!$B$55:$B$85,'3 D P'!M:M)</f>
        <v>0</v>
      </c>
      <c r="M78" s="401">
        <f>SUMIF('3 D P'!D:D,FRONT!$B$55:$B$85,'3 D P'!N:N)</f>
        <v>0</v>
      </c>
      <c r="N78" s="373">
        <f>IFERROR(VLOOKUP($A78,'Front Dispatch'!$A:$B,2,FALSE),0)</f>
        <v>0</v>
      </c>
      <c r="O78" s="372">
        <f>SUMIF('Consumption MTD'!B:B,FRONT!$B$3:$B$85,'Consumption MTD'!C:C)</f>
        <v>0</v>
      </c>
      <c r="P78" s="372">
        <f>SUMIF('BIW Lifting A Shift'!$B:$B,FRONT!$B$3:$B$85,'BIW Lifting A Shift'!C:C)</f>
        <v>0</v>
      </c>
      <c r="Q78" s="407">
        <f>SUMIF('BIW Lifting B Shift'!$B:$B,FRONT!$B:$B,'BIW Lifting B Shift'!$C:$C)</f>
        <v>0</v>
      </c>
      <c r="R78" s="406">
        <f>J78-U78</f>
        <v>4</v>
      </c>
      <c r="S78" s="406">
        <f>J78-P78-U78</f>
        <v>4</v>
      </c>
      <c r="T78" s="406">
        <f>S78-Q78</f>
        <v>4</v>
      </c>
      <c r="U78" s="466">
        <f>SUMIF(FLOAT!$D:$D,FRONT!$B$3:$B$85,FLOAT!F:F)</f>
        <v>0</v>
      </c>
      <c r="V78" s="473">
        <f t="shared" si="11"/>
        <v>0</v>
      </c>
      <c r="W78" s="619">
        <v>4</v>
      </c>
      <c r="X78" s="62">
        <f>SUMIF(FLOAT!$D:$D,FRONT!$B$55:$B$85,FLOAT!G:G)</f>
        <v>0</v>
      </c>
      <c r="Y78" s="53">
        <f>SUMIF(FLOAT!$D:$D,FRONT!$B$55:$B$85,FLOAT!H:H)</f>
        <v>0</v>
      </c>
      <c r="Z78" s="53">
        <f>SUMIF(FLOAT!$D:$D,FRONT!$B$55:$B$85,FLOAT!I:I)</f>
        <v>0</v>
      </c>
      <c r="AA78" s="53">
        <f>SUMIF(FLOAT!$D:$D,FRONT!$B$55:$B$85,FLOAT!J:J)</f>
        <v>0</v>
      </c>
      <c r="AB78" s="53">
        <f>SUMIF(FLOAT!$D:$D,FRONT!$B$55:$B$85,FLOAT!K:K)</f>
        <v>0</v>
      </c>
      <c r="AC78" s="53">
        <f>SUMIF(FLOAT!$D:$D,FRONT!$B$55:$B$85,FLOAT!L:L)</f>
        <v>0</v>
      </c>
      <c r="AD78" s="53">
        <f>SUMIF(FLOAT!$D:$D,FRONT!$B$55:$B$85,FLOAT!M:M)</f>
        <v>0</v>
      </c>
      <c r="AE78" s="53">
        <f>SUMIF(FLOAT!$D:$D,FRONT!$B$55:$B$85,FLOAT!N:N)</f>
        <v>0</v>
      </c>
      <c r="AF78" s="53">
        <f>SUMIF(FLOAT!$D:$D,FRONT!$B$55:$B$85,FLOAT!O:O)</f>
        <v>0</v>
      </c>
      <c r="AG78" s="53">
        <f>SUMIF(FLOAT!$D:$D,FRONT!$B$55:$B$85,FLOAT!P:P)</f>
        <v>0</v>
      </c>
      <c r="AH78" s="632">
        <f t="shared" si="12"/>
        <v>0</v>
      </c>
      <c r="AI78">
        <v>5</v>
      </c>
    </row>
    <row r="79" spans="1:35" ht="16.5" x14ac:dyDescent="0.25">
      <c r="A79" s="414">
        <v>549754600193</v>
      </c>
      <c r="B79" s="521" t="s">
        <v>594</v>
      </c>
      <c r="C79" s="733" t="s">
        <v>1720</v>
      </c>
      <c r="D79" s="379">
        <v>336</v>
      </c>
      <c r="E79" s="374">
        <f>D79</f>
        <v>336</v>
      </c>
      <c r="F79" s="473">
        <v>15</v>
      </c>
      <c r="G79" s="777">
        <f t="shared" si="15"/>
        <v>94</v>
      </c>
      <c r="H79" s="375">
        <f t="shared" si="15"/>
        <v>100</v>
      </c>
      <c r="I79" s="399">
        <f t="shared" si="14"/>
        <v>236</v>
      </c>
      <c r="J79" s="404">
        <f>F79+G79-H79</f>
        <v>9</v>
      </c>
      <c r="K79" s="401">
        <f>SUMIF('3 D P'!D:D,FRONT!$B$55:$B$85,'3 D P'!L:L)</f>
        <v>18</v>
      </c>
      <c r="L79" s="401">
        <f>SUMIF('3 D P'!D:D,FRONT!$B$55:$B$85,'3 D P'!M:M)</f>
        <v>30</v>
      </c>
      <c r="M79" s="401">
        <f>SUMIF('3 D P'!D:D,FRONT!$B$55:$B$85,'3 D P'!N:N)</f>
        <v>5</v>
      </c>
      <c r="N79" s="373">
        <f>IFERROR(VLOOKUP($A79,'Front Dispatch'!$A:$B,2,FALSE),0)</f>
        <v>94</v>
      </c>
      <c r="O79" s="372">
        <f>SUMIF('Consumption MTD'!B:B,FRONT!$B$3:$B$85,'Consumption MTD'!C:C)</f>
        <v>100</v>
      </c>
      <c r="P79" s="372">
        <f>SUMIF('BIW Lifting A Shift'!$B:$B,FRONT!$B$3:$B$85,'BIW Lifting A Shift'!C:C)</f>
        <v>0</v>
      </c>
      <c r="Q79" s="407">
        <f>SUMIF('BIW Lifting B Shift'!$B:$B,FRONT!$B:$B,'BIW Lifting B Shift'!$C:$C)</f>
        <v>0</v>
      </c>
      <c r="R79" s="406">
        <f>J79-U79</f>
        <v>5</v>
      </c>
      <c r="S79" s="406">
        <f>J79-P79-U79</f>
        <v>5</v>
      </c>
      <c r="T79" s="406">
        <f>S79-Q79</f>
        <v>5</v>
      </c>
      <c r="U79" s="466">
        <f>SUMIF(FLOAT!$D:$D,FRONT!$B$3:$B$85,FLOAT!F:F)</f>
        <v>4</v>
      </c>
      <c r="V79" s="473">
        <f t="shared" si="11"/>
        <v>236</v>
      </c>
      <c r="W79" s="619">
        <v>15</v>
      </c>
      <c r="X79" s="62">
        <f>SUMIF(FLOAT!$D:$D,FRONT!$B$55:$B$85,FLOAT!G:G)</f>
        <v>1</v>
      </c>
      <c r="Y79" s="53">
        <f>SUMIF(FLOAT!$D:$D,FRONT!$B$55:$B$85,FLOAT!H:H)</f>
        <v>0</v>
      </c>
      <c r="Z79" s="53">
        <f>SUMIF(FLOAT!$D:$D,FRONT!$B$55:$B$85,FLOAT!I:I)</f>
        <v>0</v>
      </c>
      <c r="AA79" s="53">
        <f>SUMIF(FLOAT!$D:$D,FRONT!$B$55:$B$85,FLOAT!J:J)</f>
        <v>0</v>
      </c>
      <c r="AB79" s="53">
        <f>SUMIF(FLOAT!$D:$D,FRONT!$B$55:$B$85,FLOAT!K:K)</f>
        <v>0</v>
      </c>
      <c r="AC79" s="53">
        <f>SUMIF(FLOAT!$D:$D,FRONT!$B$55:$B$85,FLOAT!L:L)</f>
        <v>0</v>
      </c>
      <c r="AD79" s="53">
        <f>SUMIF(FLOAT!$D:$D,FRONT!$B$55:$B$85,FLOAT!M:M)</f>
        <v>1</v>
      </c>
      <c r="AE79" s="53">
        <f>SUMIF(FLOAT!$D:$D,FRONT!$B$55:$B$85,FLOAT!N:N)</f>
        <v>0</v>
      </c>
      <c r="AF79" s="53">
        <f>SUMIF(FLOAT!$D:$D,FRONT!$B$55:$B$85,FLOAT!O:O)</f>
        <v>3</v>
      </c>
      <c r="AG79" s="53">
        <f>SUMIF(FLOAT!$D:$D,FRONT!$B$55:$B$85,FLOAT!P:P)</f>
        <v>0</v>
      </c>
      <c r="AH79" s="632">
        <f t="shared" si="12"/>
        <v>4</v>
      </c>
      <c r="AI79">
        <v>15</v>
      </c>
    </row>
    <row r="80" spans="1:35" ht="20.25" customHeight="1" x14ac:dyDescent="0.25">
      <c r="A80" s="414">
        <v>549754600194</v>
      </c>
      <c r="B80" s="462" t="s">
        <v>575</v>
      </c>
      <c r="C80" s="733" t="s">
        <v>1721</v>
      </c>
      <c r="D80" s="379">
        <v>362</v>
      </c>
      <c r="E80" s="374">
        <f t="shared" ref="E80:E85" si="16">D80</f>
        <v>362</v>
      </c>
      <c r="F80" s="473">
        <v>46</v>
      </c>
      <c r="G80" s="777">
        <f t="shared" ref="G80:G85" si="17">N80</f>
        <v>80</v>
      </c>
      <c r="H80" s="375">
        <f t="shared" ref="H80:H85" si="18">O80</f>
        <v>111</v>
      </c>
      <c r="I80" s="399">
        <f t="shared" ref="I80:I85" si="19">E80-H80</f>
        <v>251</v>
      </c>
      <c r="J80" s="404">
        <f t="shared" ref="J80:J85" si="20">F80+G80-H80</f>
        <v>15</v>
      </c>
      <c r="K80" s="401">
        <f>SUMIF('3 D P'!D:D,FRONT!$B$55:$B$85,'3 D P'!L:L)</f>
        <v>10</v>
      </c>
      <c r="L80" s="401">
        <f>SUMIF('3 D P'!D:D,FRONT!$B$55:$B$85,'3 D P'!M:M)</f>
        <v>24</v>
      </c>
      <c r="M80" s="401">
        <f>SUMIF('3 D P'!D:D,FRONT!$B$55:$B$85,'3 D P'!N:N)</f>
        <v>1</v>
      </c>
      <c r="N80" s="373">
        <f>IFERROR(VLOOKUP($A80,'Front Dispatch'!$A:$B,2,FALSE),0)</f>
        <v>80</v>
      </c>
      <c r="O80" s="372">
        <f>SUMIF('Consumption MTD'!B:B,FRONT!$B$3:$B$85,'Consumption MTD'!C:C)</f>
        <v>111</v>
      </c>
      <c r="P80" s="372">
        <f>SUMIF('BIW Lifting A Shift'!$B:$B,FRONT!$B$3:$B$85,'BIW Lifting A Shift'!C:C)</f>
        <v>0</v>
      </c>
      <c r="Q80" s="407">
        <f>SUMIF('BIW Lifting B Shift'!$B:$B,FRONT!$B:$B,'BIW Lifting B Shift'!$C:$C)</f>
        <v>0</v>
      </c>
      <c r="R80" s="406">
        <f t="shared" ref="R80:R85" si="21">J80-U80</f>
        <v>13</v>
      </c>
      <c r="S80" s="406">
        <f t="shared" ref="S80:S85" si="22">J80-P80-U80</f>
        <v>13</v>
      </c>
      <c r="T80" s="406">
        <f t="shared" ref="T80:T85" si="23">S80-Q80</f>
        <v>13</v>
      </c>
      <c r="U80" s="466">
        <f>SUMIF(FLOAT!$D:$D,FRONT!$B$3:$B$85,FLOAT!F:F)</f>
        <v>2</v>
      </c>
      <c r="V80" s="473">
        <f t="shared" si="11"/>
        <v>251</v>
      </c>
      <c r="W80" s="619">
        <v>46</v>
      </c>
      <c r="X80" s="62">
        <f>SUMIF(FLOAT!$D:$D,FRONT!$B$55:$B$85,FLOAT!G:G)</f>
        <v>0</v>
      </c>
      <c r="Y80" s="53">
        <f>SUMIF(FLOAT!$D:$D,FRONT!$B$55:$B$85,FLOAT!H:H)</f>
        <v>1</v>
      </c>
      <c r="Z80" s="53">
        <f>SUMIF(FLOAT!$D:$D,FRONT!$B$55:$B$85,FLOAT!I:I)</f>
        <v>0</v>
      </c>
      <c r="AA80" s="53">
        <f>SUMIF(FLOAT!$D:$D,FRONT!$B$55:$B$85,FLOAT!J:J)</f>
        <v>0</v>
      </c>
      <c r="AB80" s="53">
        <f>SUMIF(FLOAT!$D:$D,FRONT!$B$55:$B$85,FLOAT!K:K)</f>
        <v>0</v>
      </c>
      <c r="AC80" s="53">
        <f>SUMIF(FLOAT!$D:$D,FRONT!$B$55:$B$85,FLOAT!L:L)</f>
        <v>1</v>
      </c>
      <c r="AD80" s="53">
        <f>SUMIF(FLOAT!$D:$D,FRONT!$B$55:$B$85,FLOAT!M:M)</f>
        <v>2</v>
      </c>
      <c r="AE80" s="53">
        <f>SUMIF(FLOAT!$D:$D,FRONT!$B$55:$B$85,FLOAT!N:N)</f>
        <v>0</v>
      </c>
      <c r="AF80" s="53">
        <f>SUMIF(FLOAT!$D:$D,FRONT!$B$55:$B$85,FLOAT!O:O)</f>
        <v>0</v>
      </c>
      <c r="AG80" s="53">
        <f>SUMIF(FLOAT!$D:$D,FRONT!$B$55:$B$85,FLOAT!P:P)</f>
        <v>0</v>
      </c>
      <c r="AH80" s="632">
        <f t="shared" si="12"/>
        <v>2</v>
      </c>
      <c r="AI80">
        <v>2</v>
      </c>
    </row>
    <row r="81" spans="1:35" ht="21.75" customHeight="1" x14ac:dyDescent="0.25">
      <c r="A81" s="415">
        <v>549754600392</v>
      </c>
      <c r="B81" s="462" t="s">
        <v>595</v>
      </c>
      <c r="C81" s="733" t="s">
        <v>1722</v>
      </c>
      <c r="D81" s="379">
        <v>305</v>
      </c>
      <c r="E81" s="374">
        <f t="shared" si="16"/>
        <v>305</v>
      </c>
      <c r="F81" s="473">
        <v>21</v>
      </c>
      <c r="G81" s="777">
        <f t="shared" si="17"/>
        <v>73</v>
      </c>
      <c r="H81" s="375">
        <f t="shared" si="18"/>
        <v>87</v>
      </c>
      <c r="I81" s="399">
        <f t="shared" si="19"/>
        <v>218</v>
      </c>
      <c r="J81" s="404">
        <f t="shared" si="20"/>
        <v>7</v>
      </c>
      <c r="K81" s="401">
        <f>SUMIF('3 D P'!D:D,FRONT!$B$55:$B$85,'3 D P'!L:L)</f>
        <v>13</v>
      </c>
      <c r="L81" s="401">
        <f>SUMIF('3 D P'!D:D,FRONT!$B$55:$B$85,'3 D P'!M:M)</f>
        <v>0</v>
      </c>
      <c r="M81" s="401">
        <f>SUMIF('3 D P'!D:D,FRONT!$B$55:$B$85,'3 D P'!N:N)</f>
        <v>16</v>
      </c>
      <c r="N81" s="373">
        <f>IFERROR(VLOOKUP($A81,'Front Dispatch'!$A:$B,2,FALSE),0)</f>
        <v>73</v>
      </c>
      <c r="O81" s="372">
        <f>SUMIF('Consumption MTD'!B:B,FRONT!$B$3:$B$85,'Consumption MTD'!C:C)</f>
        <v>87</v>
      </c>
      <c r="P81" s="372">
        <f>SUMIF('BIW Lifting A Shift'!$B:$B,FRONT!$B$3:$B$85,'BIW Lifting A Shift'!C:C)</f>
        <v>0</v>
      </c>
      <c r="Q81" s="407">
        <f>SUMIF('BIW Lifting B Shift'!$B:$B,FRONT!$B:$B,'BIW Lifting B Shift'!$C:$C)</f>
        <v>0</v>
      </c>
      <c r="R81" s="406">
        <f t="shared" si="21"/>
        <v>2</v>
      </c>
      <c r="S81" s="406">
        <f t="shared" si="22"/>
        <v>2</v>
      </c>
      <c r="T81" s="406">
        <f t="shared" si="23"/>
        <v>2</v>
      </c>
      <c r="U81" s="466">
        <f>SUMIF(FLOAT!$D:$D,FRONT!$B$3:$B$85,FLOAT!F:F)</f>
        <v>5</v>
      </c>
      <c r="V81" s="473">
        <f t="shared" si="11"/>
        <v>218</v>
      </c>
      <c r="W81" s="619">
        <v>21</v>
      </c>
      <c r="X81" s="62">
        <f>SUMIF(FLOAT!$D:$D,FRONT!$B$55:$B$85,FLOAT!G:G)</f>
        <v>0</v>
      </c>
      <c r="Y81" s="53">
        <f>SUMIF(FLOAT!$D:$D,FRONT!$B$55:$B$85,FLOAT!H:H)</f>
        <v>0</v>
      </c>
      <c r="Z81" s="53">
        <f>SUMIF(FLOAT!$D:$D,FRONT!$B$55:$B$85,FLOAT!I:I)</f>
        <v>0</v>
      </c>
      <c r="AA81" s="53">
        <f>SUMIF(FLOAT!$D:$D,FRONT!$B$55:$B$85,FLOAT!J:J)</f>
        <v>0</v>
      </c>
      <c r="AB81" s="53">
        <f>SUMIF(FLOAT!$D:$D,FRONT!$B$55:$B$85,FLOAT!K:K)</f>
        <v>0</v>
      </c>
      <c r="AC81" s="53">
        <f>SUMIF(FLOAT!$D:$D,FRONT!$B$55:$B$85,FLOAT!L:L)</f>
        <v>2</v>
      </c>
      <c r="AD81" s="53">
        <f>SUMIF(FLOAT!$D:$D,FRONT!$B$55:$B$85,FLOAT!M:M)</f>
        <v>2</v>
      </c>
      <c r="AE81" s="53">
        <f>SUMIF(FLOAT!$D:$D,FRONT!$B$55:$B$85,FLOAT!N:N)</f>
        <v>1</v>
      </c>
      <c r="AF81" s="53">
        <f>SUMIF(FLOAT!$D:$D,FRONT!$B$55:$B$85,FLOAT!O:O)</f>
        <v>2</v>
      </c>
      <c r="AG81" s="53">
        <f>SUMIF(FLOAT!$D:$D,FRONT!$B$55:$B$85,FLOAT!P:P)</f>
        <v>0</v>
      </c>
      <c r="AH81" s="632">
        <f t="shared" si="12"/>
        <v>5</v>
      </c>
      <c r="AI81">
        <v>15</v>
      </c>
    </row>
    <row r="82" spans="1:35" ht="24.75" customHeight="1" x14ac:dyDescent="0.25">
      <c r="A82" s="415">
        <v>549754600393</v>
      </c>
      <c r="B82" s="462" t="s">
        <v>596</v>
      </c>
      <c r="C82" s="733" t="s">
        <v>1723</v>
      </c>
      <c r="D82" s="379">
        <v>508</v>
      </c>
      <c r="E82" s="374">
        <f t="shared" si="16"/>
        <v>508</v>
      </c>
      <c r="F82" s="473">
        <v>7</v>
      </c>
      <c r="G82" s="777">
        <f t="shared" si="17"/>
        <v>167</v>
      </c>
      <c r="H82" s="375">
        <f t="shared" si="18"/>
        <v>160</v>
      </c>
      <c r="I82" s="399">
        <f t="shared" si="19"/>
        <v>348</v>
      </c>
      <c r="J82" s="404">
        <f t="shared" si="20"/>
        <v>14</v>
      </c>
      <c r="K82" s="401">
        <f>SUMIF('3 D P'!D:D,FRONT!$B$55:$B$85,'3 D P'!L:L)</f>
        <v>36</v>
      </c>
      <c r="L82" s="401">
        <f>SUMIF('3 D P'!D:D,FRONT!$B$55:$B$85,'3 D P'!M:M)</f>
        <v>15</v>
      </c>
      <c r="M82" s="401">
        <f>SUMIF('3 D P'!D:D,FRONT!$B$55:$B$85,'3 D P'!N:N)</f>
        <v>21</v>
      </c>
      <c r="N82" s="373">
        <f>IFERROR(VLOOKUP($A82,'Front Dispatch'!$A:$B,2,FALSE),0)</f>
        <v>167</v>
      </c>
      <c r="O82" s="372">
        <f>SUMIF('Consumption MTD'!B:B,FRONT!$B$3:$B$85,'Consumption MTD'!C:C)</f>
        <v>160</v>
      </c>
      <c r="P82" s="372">
        <f>SUMIF('BIW Lifting A Shift'!$B:$B,FRONT!$B$3:$B$85,'BIW Lifting A Shift'!C:C)</f>
        <v>0</v>
      </c>
      <c r="Q82" s="407">
        <f>SUMIF('BIW Lifting B Shift'!$B:$B,FRONT!$B:$B,'BIW Lifting B Shift'!$C:$C)</f>
        <v>0</v>
      </c>
      <c r="R82" s="406">
        <f t="shared" si="21"/>
        <v>1</v>
      </c>
      <c r="S82" s="406">
        <f t="shared" si="22"/>
        <v>1</v>
      </c>
      <c r="T82" s="406">
        <f t="shared" si="23"/>
        <v>1</v>
      </c>
      <c r="U82" s="466">
        <f>SUMIF(FLOAT!$D:$D,FRONT!$B$3:$B$85,FLOAT!F:F)</f>
        <v>13</v>
      </c>
      <c r="V82" s="473">
        <f t="shared" si="11"/>
        <v>348</v>
      </c>
      <c r="W82" s="619">
        <v>7</v>
      </c>
      <c r="X82" s="62">
        <f>SUMIF(FLOAT!$D:$D,FRONT!$B$55:$B$85,FLOAT!G:G)</f>
        <v>1</v>
      </c>
      <c r="Y82" s="53">
        <f>SUMIF(FLOAT!$D:$D,FRONT!$B$55:$B$85,FLOAT!H:H)</f>
        <v>0</v>
      </c>
      <c r="Z82" s="53">
        <f>SUMIF(FLOAT!$D:$D,FRONT!$B$55:$B$85,FLOAT!I:I)</f>
        <v>0</v>
      </c>
      <c r="AA82" s="53">
        <f>SUMIF(FLOAT!$D:$D,FRONT!$B$55:$B$85,FLOAT!J:J)</f>
        <v>0</v>
      </c>
      <c r="AB82" s="53">
        <f>SUMIF(FLOAT!$D:$D,FRONT!$B$55:$B$85,FLOAT!K:K)</f>
        <v>0</v>
      </c>
      <c r="AC82" s="53">
        <f>SUMIF(FLOAT!$D:$D,FRONT!$B$55:$B$85,FLOAT!L:L)</f>
        <v>6</v>
      </c>
      <c r="AD82" s="53">
        <f>SUMIF(FLOAT!$D:$D,FRONT!$B$55:$B$85,FLOAT!M:M)</f>
        <v>7</v>
      </c>
      <c r="AE82" s="53">
        <f>SUMIF(FLOAT!$D:$D,FRONT!$B$55:$B$85,FLOAT!N:N)</f>
        <v>2</v>
      </c>
      <c r="AF82" s="53">
        <f>SUMIF(FLOAT!$D:$D,FRONT!$B$55:$B$85,FLOAT!O:O)</f>
        <v>4</v>
      </c>
      <c r="AG82" s="53">
        <f>SUMIF(FLOAT!$D:$D,FRONT!$B$55:$B$85,FLOAT!P:P)</f>
        <v>0</v>
      </c>
      <c r="AH82" s="632">
        <f t="shared" si="12"/>
        <v>13</v>
      </c>
      <c r="AI82">
        <v>14</v>
      </c>
    </row>
    <row r="83" spans="1:35" ht="26.25" customHeight="1" x14ac:dyDescent="0.25">
      <c r="A83" s="415">
        <v>549754600394</v>
      </c>
      <c r="B83" s="462" t="s">
        <v>597</v>
      </c>
      <c r="C83" s="733" t="e">
        <v>#N/A</v>
      </c>
      <c r="D83" s="379">
        <v>0</v>
      </c>
      <c r="E83" s="374">
        <f t="shared" si="16"/>
        <v>0</v>
      </c>
      <c r="F83" s="473">
        <v>4</v>
      </c>
      <c r="G83" s="777">
        <f t="shared" si="17"/>
        <v>0</v>
      </c>
      <c r="H83" s="375">
        <f t="shared" si="18"/>
        <v>0</v>
      </c>
      <c r="I83" s="399">
        <f t="shared" si="19"/>
        <v>0</v>
      </c>
      <c r="J83" s="404">
        <f t="shared" si="20"/>
        <v>4</v>
      </c>
      <c r="K83" s="401">
        <f>SUMIF('3 D P'!D:D,FRONT!$B$55:$B$85,'3 D P'!L:L)</f>
        <v>0</v>
      </c>
      <c r="L83" s="401">
        <f>SUMIF('3 D P'!D:D,FRONT!$B$55:$B$85,'3 D P'!M:M)</f>
        <v>0</v>
      </c>
      <c r="M83" s="401">
        <f>SUMIF('3 D P'!D:D,FRONT!$B$55:$B$85,'3 D P'!N:N)</f>
        <v>0</v>
      </c>
      <c r="N83" s="373">
        <f>IFERROR(VLOOKUP($A83,'Front Dispatch'!$A:$B,2,FALSE),0)</f>
        <v>0</v>
      </c>
      <c r="O83" s="372">
        <f>SUMIF('Consumption MTD'!B:B,FRONT!$B$3:$B$85,'Consumption MTD'!C:C)</f>
        <v>0</v>
      </c>
      <c r="P83" s="372">
        <f>SUMIF('BIW Lifting A Shift'!$B:$B,FRONT!$B$3:$B$85,'BIW Lifting A Shift'!C:C)</f>
        <v>0</v>
      </c>
      <c r="Q83" s="407">
        <f>SUMIF('BIW Lifting B Shift'!$B:$B,FRONT!$B:$B,'BIW Lifting B Shift'!$C:$C)</f>
        <v>0</v>
      </c>
      <c r="R83" s="406">
        <f t="shared" si="21"/>
        <v>4</v>
      </c>
      <c r="S83" s="406">
        <f t="shared" si="22"/>
        <v>4</v>
      </c>
      <c r="T83" s="406">
        <f t="shared" si="23"/>
        <v>4</v>
      </c>
      <c r="U83" s="466">
        <f>SUMIF(FLOAT!$D:$D,FRONT!$B$3:$B$85,FLOAT!F:F)</f>
        <v>0</v>
      </c>
      <c r="V83" s="473">
        <f t="shared" si="11"/>
        <v>0</v>
      </c>
      <c r="W83" s="619">
        <v>4</v>
      </c>
      <c r="X83" s="62">
        <f>SUMIF(FLOAT!$D:$D,FRONT!$B$55:$B$85,FLOAT!G:G)</f>
        <v>0</v>
      </c>
      <c r="Y83" s="53">
        <f>SUMIF(FLOAT!$D:$D,FRONT!$B$55:$B$85,FLOAT!H:H)</f>
        <v>0</v>
      </c>
      <c r="Z83" s="53">
        <f>SUMIF(FLOAT!$D:$D,FRONT!$B$55:$B$85,FLOAT!I:I)</f>
        <v>0</v>
      </c>
      <c r="AA83" s="53">
        <f>SUMIF(FLOAT!$D:$D,FRONT!$B$55:$B$85,FLOAT!J:J)</f>
        <v>0</v>
      </c>
      <c r="AB83" s="53">
        <f>SUMIF(FLOAT!$D:$D,FRONT!$B$55:$B$85,FLOAT!K:K)</f>
        <v>0</v>
      </c>
      <c r="AC83" s="53">
        <f>SUMIF(FLOAT!$D:$D,FRONT!$B$55:$B$85,FLOAT!L:L)</f>
        <v>0</v>
      </c>
      <c r="AD83" s="53">
        <f>SUMIF(FLOAT!$D:$D,FRONT!$B$55:$B$85,FLOAT!M:M)</f>
        <v>0</v>
      </c>
      <c r="AE83" s="53">
        <f>SUMIF(FLOAT!$D:$D,FRONT!$B$55:$B$85,FLOAT!N:N)</f>
        <v>0</v>
      </c>
      <c r="AF83" s="53">
        <f>SUMIF(FLOAT!$D:$D,FRONT!$B$55:$B$85,FLOAT!O:O)</f>
        <v>0</v>
      </c>
      <c r="AG83" s="53">
        <f>SUMIF(FLOAT!$D:$D,FRONT!$B$55:$B$85,FLOAT!P:P)</f>
        <v>0</v>
      </c>
      <c r="AH83" s="632">
        <f t="shared" si="12"/>
        <v>0</v>
      </c>
      <c r="AI83">
        <v>23</v>
      </c>
    </row>
    <row r="84" spans="1:35" ht="26.25" customHeight="1" x14ac:dyDescent="0.25">
      <c r="A84" s="416">
        <v>549754610175</v>
      </c>
      <c r="B84" s="462" t="s">
        <v>570</v>
      </c>
      <c r="C84" s="733" t="s">
        <v>1724</v>
      </c>
      <c r="D84" s="379">
        <v>124</v>
      </c>
      <c r="E84" s="374">
        <f t="shared" si="16"/>
        <v>124</v>
      </c>
      <c r="F84" s="473">
        <v>30</v>
      </c>
      <c r="G84" s="777">
        <f t="shared" si="17"/>
        <v>0</v>
      </c>
      <c r="H84" s="375">
        <f t="shared" si="18"/>
        <v>8</v>
      </c>
      <c r="I84" s="399">
        <f t="shared" si="19"/>
        <v>116</v>
      </c>
      <c r="J84" s="404">
        <f t="shared" si="20"/>
        <v>22</v>
      </c>
      <c r="K84" s="401">
        <f>SUMIF('3 D P'!D:D,FRONT!$B$55:$B$85,'3 D P'!L:L)</f>
        <v>1</v>
      </c>
      <c r="L84" s="401">
        <f>SUMIF('3 D P'!D:D,FRONT!$B$55:$B$85,'3 D P'!M:M)</f>
        <v>0</v>
      </c>
      <c r="M84" s="401">
        <f>SUMIF('3 D P'!D:D,FRONT!$B$55:$B$85,'3 D P'!N:N)</f>
        <v>0</v>
      </c>
      <c r="N84" s="373">
        <f>IFERROR(VLOOKUP($A84,'Front Dispatch'!$A:$B,2,FALSE),0)</f>
        <v>0</v>
      </c>
      <c r="O84" s="372">
        <f>SUMIF('Consumption MTD'!B:B,FRONT!$B$3:$B$85,'Consumption MTD'!C:C)</f>
        <v>8</v>
      </c>
      <c r="P84" s="372">
        <f>SUMIF('BIW Lifting A Shift'!$B:$B,FRONT!$B$3:$B$85,'BIW Lifting A Shift'!C:C)</f>
        <v>0</v>
      </c>
      <c r="Q84" s="407">
        <f>SUMIF('BIW Lifting B Shift'!$B:$B,FRONT!$B:$B,'BIW Lifting B Shift'!$C:$C)</f>
        <v>0</v>
      </c>
      <c r="R84" s="406">
        <f t="shared" si="21"/>
        <v>20</v>
      </c>
      <c r="S84" s="406">
        <f t="shared" si="22"/>
        <v>20</v>
      </c>
      <c r="T84" s="406">
        <f t="shared" si="23"/>
        <v>20</v>
      </c>
      <c r="U84" s="466">
        <f>SUMIF(FLOAT!$D:$D,FRONT!$B$3:$B$85,FLOAT!F:F)</f>
        <v>2</v>
      </c>
      <c r="V84" s="473">
        <f t="shared" si="11"/>
        <v>116</v>
      </c>
      <c r="W84" s="619">
        <v>30</v>
      </c>
      <c r="X84" s="62">
        <f>SUMIF(FLOAT!$D:$D,FRONT!$B$55:$B$85,FLOAT!G:G)</f>
        <v>0</v>
      </c>
      <c r="Y84" s="53">
        <f>SUMIF(FLOAT!$D:$D,FRONT!$B$55:$B$85,FLOAT!H:H)</f>
        <v>0</v>
      </c>
      <c r="Z84" s="53">
        <f>SUMIF(FLOAT!$D:$D,FRONT!$B$55:$B$85,FLOAT!I:I)</f>
        <v>0</v>
      </c>
      <c r="AA84" s="53">
        <f>SUMIF(FLOAT!$D:$D,FRONT!$B$55:$B$85,FLOAT!J:J)</f>
        <v>0</v>
      </c>
      <c r="AB84" s="53">
        <f>SUMIF(FLOAT!$D:$D,FRONT!$B$55:$B$85,FLOAT!K:K)</f>
        <v>0</v>
      </c>
      <c r="AC84" s="53">
        <f>SUMIF(FLOAT!$D:$D,FRONT!$B$55:$B$85,FLOAT!L:L)</f>
        <v>0</v>
      </c>
      <c r="AD84" s="53">
        <f>SUMIF(FLOAT!$D:$D,FRONT!$B$55:$B$85,FLOAT!M:M)</f>
        <v>0</v>
      </c>
      <c r="AE84" s="53">
        <f>SUMIF(FLOAT!$D:$D,FRONT!$B$55:$B$85,FLOAT!N:N)</f>
        <v>0</v>
      </c>
      <c r="AF84" s="53">
        <f>SUMIF(FLOAT!$D:$D,FRONT!$B$55:$B$85,FLOAT!O:O)</f>
        <v>2</v>
      </c>
      <c r="AG84" s="53">
        <f>SUMIF(FLOAT!$D:$D,FRONT!$B$55:$B$85,FLOAT!P:P)</f>
        <v>0</v>
      </c>
      <c r="AH84" s="632">
        <f t="shared" si="12"/>
        <v>2</v>
      </c>
      <c r="AI84">
        <v>41</v>
      </c>
    </row>
    <row r="85" spans="1:35" ht="23.25" customHeight="1" thickBot="1" x14ac:dyDescent="0.3">
      <c r="A85" s="416">
        <v>549754610191</v>
      </c>
      <c r="B85" s="462" t="s">
        <v>574</v>
      </c>
      <c r="C85" s="733" t="s">
        <v>1725</v>
      </c>
      <c r="D85" s="379">
        <v>480</v>
      </c>
      <c r="E85" s="374">
        <f t="shared" si="16"/>
        <v>480</v>
      </c>
      <c r="F85" s="778">
        <v>33</v>
      </c>
      <c r="G85" s="777">
        <f t="shared" si="17"/>
        <v>152</v>
      </c>
      <c r="H85" s="375">
        <f t="shared" si="18"/>
        <v>178</v>
      </c>
      <c r="I85" s="399">
        <f t="shared" si="19"/>
        <v>302</v>
      </c>
      <c r="J85" s="404">
        <f t="shared" si="20"/>
        <v>7</v>
      </c>
      <c r="K85" s="401">
        <f>SUMIF('3 D P'!D:D,FRONT!$B$55:$B$85,'3 D P'!L:L)</f>
        <v>10</v>
      </c>
      <c r="L85" s="401">
        <f>SUMIF('3 D P'!D:D,FRONT!$B$55:$B$85,'3 D P'!M:M)</f>
        <v>21</v>
      </c>
      <c r="M85" s="401">
        <f>SUMIF('3 D P'!D:D,FRONT!$B$55:$B$85,'3 D P'!N:N)</f>
        <v>0</v>
      </c>
      <c r="N85" s="373">
        <f>IFERROR(VLOOKUP($A85,'Front Dispatch'!$A:$B,2,FALSE),0)</f>
        <v>152</v>
      </c>
      <c r="O85" s="372">
        <f>SUMIF('Consumption MTD'!B:B,FRONT!$B$3:$B$85,'Consumption MTD'!C:C)</f>
        <v>178</v>
      </c>
      <c r="P85" s="372">
        <f>SUMIF('BIW Lifting A Shift'!$B:$B,FRONT!$B$3:$B$85,'BIW Lifting A Shift'!C:C)</f>
        <v>0</v>
      </c>
      <c r="Q85" s="407">
        <f>SUMIF('BIW Lifting B Shift'!$B:$B,FRONT!$B:$B,'BIW Lifting B Shift'!$C:$C)</f>
        <v>0</v>
      </c>
      <c r="R85" s="406">
        <f t="shared" si="21"/>
        <v>4</v>
      </c>
      <c r="S85" s="406">
        <f t="shared" si="22"/>
        <v>4</v>
      </c>
      <c r="T85" s="406">
        <f t="shared" si="23"/>
        <v>4</v>
      </c>
      <c r="U85" s="466">
        <f>SUMIF(FLOAT!$D:$D,FRONT!$B$3:$B$85,FLOAT!F:F)</f>
        <v>3</v>
      </c>
      <c r="V85" s="473">
        <f t="shared" si="11"/>
        <v>302</v>
      </c>
      <c r="W85" s="623">
        <v>33</v>
      </c>
      <c r="X85" s="62">
        <f>SUMIF(FLOAT!$D:$D,FRONT!$B$55:$B$85,FLOAT!G:G)</f>
        <v>1</v>
      </c>
      <c r="Y85" s="53">
        <f>SUMIF(FLOAT!$D:$D,FRONT!$B$55:$B$85,FLOAT!H:H)</f>
        <v>1</v>
      </c>
      <c r="Z85" s="53">
        <f>SUMIF(FLOAT!$D:$D,FRONT!$B$55:$B$85,FLOAT!I:I)</f>
        <v>1</v>
      </c>
      <c r="AA85" s="53">
        <f>SUMIF(FLOAT!$D:$D,FRONT!$B$55:$B$85,FLOAT!J:J)</f>
        <v>0</v>
      </c>
      <c r="AB85" s="53">
        <f>SUMIF(FLOAT!$D:$D,FRONT!$B$55:$B$85,FLOAT!K:K)</f>
        <v>0</v>
      </c>
      <c r="AC85" s="53">
        <f>SUMIF(FLOAT!$D:$D,FRONT!$B$55:$B$85,FLOAT!L:L)</f>
        <v>0</v>
      </c>
      <c r="AD85" s="53">
        <f>SUMIF(FLOAT!$D:$D,FRONT!$B$55:$B$85,FLOAT!M:M)</f>
        <v>3</v>
      </c>
      <c r="AE85" s="53">
        <f>SUMIF(FLOAT!$D:$D,FRONT!$B$55:$B$85,FLOAT!N:N)</f>
        <v>0</v>
      </c>
      <c r="AF85" s="53">
        <f>SUMIF(FLOAT!$D:$D,FRONT!$B$55:$B$85,FLOAT!O:O)</f>
        <v>0</v>
      </c>
      <c r="AG85" s="53">
        <f>SUMIF(FLOAT!$D:$D,FRONT!$B$55:$B$85,FLOAT!P:P)</f>
        <v>0</v>
      </c>
      <c r="AH85" s="632">
        <f t="shared" si="12"/>
        <v>3</v>
      </c>
      <c r="AI85">
        <v>2</v>
      </c>
    </row>
    <row r="86" spans="1:35" ht="16.5" thickBot="1" x14ac:dyDescent="0.3">
      <c r="A86" s="785" t="s">
        <v>29</v>
      </c>
      <c r="B86" s="490"/>
      <c r="C86" s="731"/>
      <c r="D86" s="154">
        <f t="shared" ref="D86:Q86" si="24">SUM(D55:D85)</f>
        <v>16200</v>
      </c>
      <c r="E86" s="154">
        <f t="shared" si="24"/>
        <v>16200</v>
      </c>
      <c r="F86" s="154">
        <f t="shared" si="24"/>
        <v>507</v>
      </c>
      <c r="G86" s="154">
        <f t="shared" si="24"/>
        <v>9016</v>
      </c>
      <c r="H86" s="154">
        <f t="shared" si="24"/>
        <v>8904</v>
      </c>
      <c r="I86" s="154">
        <f t="shared" si="24"/>
        <v>7296</v>
      </c>
      <c r="J86" s="154">
        <f t="shared" si="24"/>
        <v>619</v>
      </c>
      <c r="K86" s="154">
        <f t="shared" si="24"/>
        <v>740</v>
      </c>
      <c r="L86" s="154">
        <f t="shared" si="24"/>
        <v>735</v>
      </c>
      <c r="M86" s="154">
        <f t="shared" si="24"/>
        <v>735</v>
      </c>
      <c r="N86" s="154">
        <f t="shared" si="24"/>
        <v>9016</v>
      </c>
      <c r="O86" s="154">
        <f t="shared" si="24"/>
        <v>8904</v>
      </c>
      <c r="P86" s="154">
        <f t="shared" si="24"/>
        <v>0</v>
      </c>
      <c r="Q86" s="154">
        <f t="shared" si="24"/>
        <v>0</v>
      </c>
      <c r="R86" s="154">
        <f>SUM(R39:R85)</f>
        <v>54</v>
      </c>
      <c r="S86" s="154">
        <f>SUM(S39:S85)</f>
        <v>54</v>
      </c>
      <c r="T86" s="154">
        <f>SUM(T39:T85)</f>
        <v>54</v>
      </c>
      <c r="U86" s="469">
        <f t="shared" ref="U86:AH86" si="25">SUM(U55:U85)</f>
        <v>565</v>
      </c>
      <c r="V86" s="469">
        <f t="shared" si="25"/>
        <v>7296</v>
      </c>
      <c r="W86" s="626">
        <f t="shared" si="25"/>
        <v>499</v>
      </c>
      <c r="X86" s="631">
        <f t="shared" si="25"/>
        <v>28</v>
      </c>
      <c r="Y86" s="620">
        <f t="shared" si="25"/>
        <v>30</v>
      </c>
      <c r="Z86" s="620">
        <f t="shared" si="25"/>
        <v>51</v>
      </c>
      <c r="AA86" s="620">
        <f t="shared" si="25"/>
        <v>0</v>
      </c>
      <c r="AB86" s="620">
        <f t="shared" si="25"/>
        <v>31</v>
      </c>
      <c r="AC86" s="620">
        <f t="shared" si="25"/>
        <v>70</v>
      </c>
      <c r="AD86" s="620">
        <f t="shared" si="25"/>
        <v>210</v>
      </c>
      <c r="AE86" s="620">
        <f t="shared" si="25"/>
        <v>101</v>
      </c>
      <c r="AF86" s="620">
        <f t="shared" si="25"/>
        <v>254</v>
      </c>
      <c r="AG86" s="620">
        <f t="shared" si="25"/>
        <v>0</v>
      </c>
      <c r="AH86" s="630">
        <f t="shared" si="25"/>
        <v>565</v>
      </c>
    </row>
    <row r="87" spans="1:35" ht="27" thickBot="1" x14ac:dyDescent="0.45">
      <c r="C87" s="734" t="s">
        <v>740</v>
      </c>
      <c r="J87" s="789"/>
      <c r="V87" s="492"/>
      <c r="W87" s="146"/>
      <c r="X87" s="629"/>
      <c r="Y87" s="8"/>
      <c r="Z87" s="8"/>
      <c r="AA87" s="8"/>
      <c r="AB87" s="8"/>
      <c r="AC87" s="8"/>
      <c r="AD87" s="8"/>
      <c r="AE87" s="8"/>
      <c r="AF87" s="8"/>
      <c r="AG87" s="8"/>
      <c r="AH87" s="628"/>
    </row>
    <row r="88" spans="1:35" ht="48" customHeight="1" thickBot="1" x14ac:dyDescent="0.3">
      <c r="A88" s="783" t="s">
        <v>724</v>
      </c>
      <c r="B88" s="546" t="s">
        <v>665</v>
      </c>
      <c r="C88" s="727" t="s">
        <v>4</v>
      </c>
      <c r="D88" s="493" t="s">
        <v>5</v>
      </c>
      <c r="E88" s="493" t="s">
        <v>117</v>
      </c>
      <c r="F88" s="493" t="s">
        <v>67</v>
      </c>
      <c r="G88" s="493" t="s">
        <v>7</v>
      </c>
      <c r="H88" s="493" t="s">
        <v>8</v>
      </c>
      <c r="I88" s="493" t="s">
        <v>135</v>
      </c>
      <c r="J88" s="493" t="s">
        <v>9</v>
      </c>
      <c r="K88" s="484" t="s">
        <v>739</v>
      </c>
      <c r="L88" s="484">
        <f ca="1">TODAY()+1</f>
        <v>46222</v>
      </c>
      <c r="M88" s="484">
        <f ca="1">TODAY()+2</f>
        <v>46223</v>
      </c>
      <c r="N88" s="493" t="s">
        <v>69</v>
      </c>
      <c r="O88" s="493" t="s">
        <v>8</v>
      </c>
      <c r="P88" s="493" t="s">
        <v>121</v>
      </c>
      <c r="Q88" s="494" t="s">
        <v>122</v>
      </c>
      <c r="R88" s="495" t="s">
        <v>146</v>
      </c>
      <c r="S88" s="495" t="s">
        <v>148</v>
      </c>
      <c r="T88" s="495" t="s">
        <v>147</v>
      </c>
      <c r="U88" s="496" t="s">
        <v>144</v>
      </c>
      <c r="V88" s="516" t="s">
        <v>689</v>
      </c>
      <c r="W88" s="614"/>
      <c r="X88" s="58" t="s">
        <v>171</v>
      </c>
      <c r="Y88" s="56" t="s">
        <v>172</v>
      </c>
      <c r="Z88" s="56" t="s">
        <v>173</v>
      </c>
      <c r="AA88" s="56" t="s">
        <v>174</v>
      </c>
      <c r="AB88" s="56" t="s">
        <v>175</v>
      </c>
      <c r="AC88" s="56" t="s">
        <v>176</v>
      </c>
      <c r="AD88" s="56" t="s">
        <v>177</v>
      </c>
      <c r="AE88" s="56" t="s">
        <v>178</v>
      </c>
      <c r="AF88" s="56" t="s">
        <v>179</v>
      </c>
      <c r="AG88" s="56" t="s">
        <v>180</v>
      </c>
      <c r="AH88" s="627" t="s">
        <v>162</v>
      </c>
    </row>
    <row r="89" spans="1:35" ht="16.5" x14ac:dyDescent="0.25">
      <c r="A89" s="973">
        <v>544254630816</v>
      </c>
      <c r="B89" s="462" t="s">
        <v>486</v>
      </c>
      <c r="C89" s="733" t="s">
        <v>722</v>
      </c>
      <c r="D89" s="379">
        <v>0</v>
      </c>
      <c r="E89" s="961">
        <f>D89+D90</f>
        <v>0</v>
      </c>
      <c r="F89" s="976">
        <v>2</v>
      </c>
      <c r="G89" s="977">
        <f>IFERROR(VLOOKUP($A89,'Front Dispatch'!$A:$B,2,FALSE),0)</f>
        <v>0</v>
      </c>
      <c r="H89" s="965">
        <f>O89+O90</f>
        <v>0</v>
      </c>
      <c r="I89" s="967">
        <f>E89-H89</f>
        <v>0</v>
      </c>
      <c r="J89" s="969">
        <f>F89+G89-H89</f>
        <v>2</v>
      </c>
      <c r="K89" s="401">
        <f>SUMIF('3 D P'!D:D,FRONT!$B$55:$B$85,'3 D P'!L:L)</f>
        <v>0</v>
      </c>
      <c r="L89" s="401">
        <f>SUMIF('3 D P'!D:D,FRONT!$B$55:$B$85,'3 D P'!M:M)</f>
        <v>0</v>
      </c>
      <c r="M89" s="401">
        <f>SUMIF('3 D P'!D:D,FRONT!$B$55:$B$85,'3 D P'!N:N)</f>
        <v>0</v>
      </c>
      <c r="N89" s="373">
        <f>IFERROR(VLOOKUP($A89,'Front Dispatch'!$A:$B,2,FALSE),0)</f>
        <v>0</v>
      </c>
      <c r="O89" s="372">
        <f>SUMIF('Consumption MTD'!B:B,FRONT!$B$3:$B$129,'Consumption MTD'!C:C)</f>
        <v>0</v>
      </c>
      <c r="P89" s="372">
        <f>SUMIF('BIW Lifting A Shift'!$B:$B,FRONT!$B$89:$B$106,'BIW Lifting A Shift'!C:C)</f>
        <v>0</v>
      </c>
      <c r="Q89" s="407">
        <f>SUMIF('BIW Lifting B Shift'!$B:$B,FRONT!$B:$B,'BIW Lifting B Shift'!$C:$C)</f>
        <v>0</v>
      </c>
      <c r="R89" s="975">
        <f>J89-U89-U90</f>
        <v>2</v>
      </c>
      <c r="S89" s="975">
        <f>J89-P89-U89-U90-P90</f>
        <v>2</v>
      </c>
      <c r="T89" s="975">
        <f>S89-Q90-Q89</f>
        <v>2</v>
      </c>
      <c r="U89" s="466">
        <f>SUMIF(FLOAT!$D:$D,FRONT!$B$3:$B$119,FLOAT!F:F)</f>
        <v>0</v>
      </c>
      <c r="V89" s="473">
        <f t="shared" ref="V89:V119" si="26">D89-O89</f>
        <v>0</v>
      </c>
      <c r="W89" s="612">
        <v>2</v>
      </c>
      <c r="X89" s="62">
        <f>SUMIF(FLOAT!$D:$D,FRONT!$B$55:$B$85,FLOAT!G:G)</f>
        <v>0</v>
      </c>
      <c r="Y89" s="53">
        <f>SUMIF(FLOAT!$D:$D,FRONT!$B$55:$B$85,FLOAT!H:H)</f>
        <v>0</v>
      </c>
      <c r="Z89" s="53">
        <f>SUMIF(FLOAT!$D:$D,FRONT!$B$55:$B$85,FLOAT!I:I)</f>
        <v>0</v>
      </c>
      <c r="AA89" s="53">
        <f>SUMIF(FLOAT!$D:$D,FRONT!$B$55:$B$85,FLOAT!J:J)</f>
        <v>0</v>
      </c>
      <c r="AB89" s="53">
        <f>SUMIF(FLOAT!$D:$D,FRONT!$B$55:$B$85,FLOAT!K:K)</f>
        <v>0</v>
      </c>
      <c r="AC89" s="53">
        <f>SUMIF(FLOAT!$D:$D,FRONT!$B$55:$B$85,FLOAT!L:L)</f>
        <v>0</v>
      </c>
      <c r="AD89" s="53">
        <f>SUMIF(FLOAT!$D:$D,FRONT!$B$55:$B$85,FLOAT!M:M)</f>
        <v>0</v>
      </c>
      <c r="AE89" s="53">
        <f>SUMIF(FLOAT!$D:$D,FRONT!$B$55:$B$85,FLOAT!N:N)</f>
        <v>0</v>
      </c>
      <c r="AF89" s="53">
        <f>SUMIF(FLOAT!$D:$D,FRONT!$B$55:$B$85,FLOAT!O:O)</f>
        <v>0</v>
      </c>
      <c r="AG89" s="53">
        <f>SUMIF(FLOAT!$D:$D,FRONT!$B$55:$B$85,FLOAT!P:P)</f>
        <v>0</v>
      </c>
      <c r="AH89" s="632">
        <f t="shared" ref="AH89:AH119" si="27">AF89+AG89+X89+Y89+Z89+AA89+AB89+AC89+AE89</f>
        <v>0</v>
      </c>
    </row>
    <row r="90" spans="1:35" ht="17.25" thickBot="1" x14ac:dyDescent="0.3">
      <c r="A90" s="974"/>
      <c r="B90" s="462" t="s">
        <v>439</v>
      </c>
      <c r="C90" s="733" t="s">
        <v>438</v>
      </c>
      <c r="D90" s="379">
        <v>0</v>
      </c>
      <c r="E90" s="962"/>
      <c r="F90" s="971"/>
      <c r="G90" s="964"/>
      <c r="H90" s="966"/>
      <c r="I90" s="968"/>
      <c r="J90" s="970"/>
      <c r="K90" s="401">
        <f>SUMIF('3 D P'!D:D,FRONT!$B$55:$B$85,'3 D P'!L:L)</f>
        <v>0</v>
      </c>
      <c r="L90" s="401">
        <f>SUMIF('3 D P'!D:D,FRONT!$B$55:$B$85,'3 D P'!M:M)</f>
        <v>0</v>
      </c>
      <c r="M90" s="401">
        <f>SUMIF('3 D P'!D:D,FRONT!$B$55:$B$85,'3 D P'!N:N)</f>
        <v>0</v>
      </c>
      <c r="N90" s="373">
        <f>IFERROR(VLOOKUP($A90,'Front Dispatch'!$A:$B,2,FALSE),0)</f>
        <v>0</v>
      </c>
      <c r="O90" s="372">
        <f>SUMIF('Consumption MTD'!B:B,FRONT!$B$3:$B$129,'Consumption MTD'!C:C)</f>
        <v>0</v>
      </c>
      <c r="P90" s="372">
        <f>SUMIF('BIW Lifting A Shift'!$B:$B,FRONT!$B$89:$B$106,'BIW Lifting A Shift'!C:C)</f>
        <v>0</v>
      </c>
      <c r="Q90" s="407">
        <f>SUMIF('BIW Lifting B Shift'!$B:$B,FRONT!$B:$B,'BIW Lifting B Shift'!$C:$C)</f>
        <v>0</v>
      </c>
      <c r="R90" s="959"/>
      <c r="S90" s="959"/>
      <c r="T90" s="959"/>
      <c r="U90" s="466">
        <f>SUMIF(FLOAT!$D:$D,FRONT!$B$3:$B$119,FLOAT!F:F)</f>
        <v>0</v>
      </c>
      <c r="V90" s="473">
        <f t="shared" si="26"/>
        <v>0</v>
      </c>
      <c r="W90" s="612"/>
      <c r="X90" s="62">
        <f>SUMIF(FLOAT!$D:$D,FRONT!$B$55:$B$85,FLOAT!G:G)</f>
        <v>0</v>
      </c>
      <c r="Y90" s="53">
        <f>SUMIF(FLOAT!$D:$D,FRONT!$B$55:$B$85,FLOAT!H:H)</f>
        <v>0</v>
      </c>
      <c r="Z90" s="53">
        <f>SUMIF(FLOAT!$D:$D,FRONT!$B$55:$B$85,FLOAT!I:I)</f>
        <v>0</v>
      </c>
      <c r="AA90" s="53">
        <f>SUMIF(FLOAT!$D:$D,FRONT!$B$55:$B$85,FLOAT!J:J)</f>
        <v>0</v>
      </c>
      <c r="AB90" s="53">
        <f>SUMIF(FLOAT!$D:$D,FRONT!$B$55:$B$85,FLOAT!K:K)</f>
        <v>0</v>
      </c>
      <c r="AC90" s="53">
        <f>SUMIF(FLOAT!$D:$D,FRONT!$B$55:$B$85,FLOAT!L:L)</f>
        <v>0</v>
      </c>
      <c r="AD90" s="53">
        <f>SUMIF(FLOAT!$D:$D,FRONT!$B$55:$B$85,FLOAT!M:M)</f>
        <v>0</v>
      </c>
      <c r="AE90" s="53">
        <f>SUMIF(FLOAT!$D:$D,FRONT!$B$55:$B$85,FLOAT!N:N)</f>
        <v>0</v>
      </c>
      <c r="AF90" s="53">
        <f>SUMIF(FLOAT!$D:$D,FRONT!$B$55:$B$85,FLOAT!O:O)</f>
        <v>0</v>
      </c>
      <c r="AG90" s="53">
        <f>SUMIF(FLOAT!$D:$D,FRONT!$B$55:$B$85,FLOAT!P:P)</f>
        <v>0</v>
      </c>
      <c r="AH90" s="632">
        <f t="shared" si="27"/>
        <v>0</v>
      </c>
    </row>
    <row r="91" spans="1:35" ht="16.5" x14ac:dyDescent="0.25">
      <c r="A91" s="974">
        <v>544254630825</v>
      </c>
      <c r="B91" s="462" t="s">
        <v>436</v>
      </c>
      <c r="C91" s="733" t="s">
        <v>726</v>
      </c>
      <c r="D91" s="379">
        <v>0</v>
      </c>
      <c r="E91" s="961">
        <f>D91+D92</f>
        <v>0</v>
      </c>
      <c r="F91" s="971">
        <v>35</v>
      </c>
      <c r="G91" s="964">
        <f>N91</f>
        <v>0</v>
      </c>
      <c r="H91" s="965">
        <f>O91+O92</f>
        <v>0</v>
      </c>
      <c r="I91" s="967">
        <f t="shared" ref="I91:I119" si="28">E91-H91</f>
        <v>0</v>
      </c>
      <c r="J91" s="969">
        <f>F91+G91-H91</f>
        <v>35</v>
      </c>
      <c r="K91" s="401">
        <f>SUMIF('3 D P'!D:D,FRONT!$B$55:$B$85,'3 D P'!L:L)</f>
        <v>0</v>
      </c>
      <c r="L91" s="401">
        <f>SUMIF('3 D P'!D:D,FRONT!$B$55:$B$85,'3 D P'!M:M)</f>
        <v>0</v>
      </c>
      <c r="M91" s="401">
        <f>SUMIF('3 D P'!D:D,FRONT!$B$55:$B$85,'3 D P'!N:N)</f>
        <v>0</v>
      </c>
      <c r="N91" s="373">
        <f>IFERROR(VLOOKUP($A91,'Front Dispatch'!$A:$B,2,FALSE),0)</f>
        <v>0</v>
      </c>
      <c r="O91" s="372">
        <f>SUMIF('Consumption MTD'!B:B,FRONT!$B$3:$B$129,'Consumption MTD'!C:C)</f>
        <v>0</v>
      </c>
      <c r="P91" s="372">
        <f>SUMIF('BIW Lifting A Shift'!$B:$B,FRONT!$B$89:$B$106,'BIW Lifting A Shift'!C:C)</f>
        <v>0</v>
      </c>
      <c r="Q91" s="407">
        <f>SUMIF('BIW Lifting B Shift'!$B:$B,FRONT!$B:$B,'BIW Lifting B Shift'!$C:$C)</f>
        <v>0</v>
      </c>
      <c r="R91" s="958">
        <f>J91-U91-U92</f>
        <v>35</v>
      </c>
      <c r="S91" s="958">
        <f>J91-P91-P92-U92-U91</f>
        <v>35</v>
      </c>
      <c r="T91" s="958">
        <f>S91-Q91-Q92</f>
        <v>35</v>
      </c>
      <c r="U91" s="466">
        <f>SUMIF(FLOAT!$D:$D,FRONT!$B$3:$B$119,FLOAT!F:F)</f>
        <v>0</v>
      </c>
      <c r="V91" s="473">
        <f t="shared" si="26"/>
        <v>0</v>
      </c>
      <c r="W91" s="612">
        <v>35</v>
      </c>
      <c r="X91" s="62">
        <f>SUMIF(FLOAT!$D:$D,FRONT!$B$55:$B$85,FLOAT!G:G)</f>
        <v>0</v>
      </c>
      <c r="Y91" s="53">
        <f>SUMIF(FLOAT!$D:$D,FRONT!$B$55:$B$85,FLOAT!H:H)</f>
        <v>0</v>
      </c>
      <c r="Z91" s="53">
        <f>SUMIF(FLOAT!$D:$D,FRONT!$B$55:$B$85,FLOAT!I:I)</f>
        <v>0</v>
      </c>
      <c r="AA91" s="53">
        <f>SUMIF(FLOAT!$D:$D,FRONT!$B$55:$B$85,FLOAT!J:J)</f>
        <v>0</v>
      </c>
      <c r="AB91" s="53">
        <f>SUMIF(FLOAT!$D:$D,FRONT!$B$55:$B$85,FLOAT!K:K)</f>
        <v>0</v>
      </c>
      <c r="AC91" s="53">
        <f>SUMIF(FLOAT!$D:$D,FRONT!$B$55:$B$85,FLOAT!L:L)</f>
        <v>0</v>
      </c>
      <c r="AD91" s="53">
        <f>SUMIF(FLOAT!$D:$D,FRONT!$B$55:$B$85,FLOAT!M:M)</f>
        <v>0</v>
      </c>
      <c r="AE91" s="53">
        <f>SUMIF(FLOAT!$D:$D,FRONT!$B$55:$B$85,FLOAT!N:N)</f>
        <v>0</v>
      </c>
      <c r="AF91" s="53">
        <f>SUMIF(FLOAT!$D:$D,FRONT!$B$55:$B$85,FLOAT!O:O)</f>
        <v>0</v>
      </c>
      <c r="AG91" s="53">
        <f>SUMIF(FLOAT!$D:$D,FRONT!$B$55:$B$85,FLOAT!P:P)</f>
        <v>0</v>
      </c>
      <c r="AH91" s="632">
        <f t="shared" si="27"/>
        <v>0</v>
      </c>
    </row>
    <row r="92" spans="1:35" ht="17.25" thickBot="1" x14ac:dyDescent="0.3">
      <c r="A92" s="974"/>
      <c r="B92" s="462" t="s">
        <v>725</v>
      </c>
      <c r="C92" s="733"/>
      <c r="D92" s="379">
        <v>0</v>
      </c>
      <c r="E92" s="962"/>
      <c r="F92" s="971"/>
      <c r="G92" s="964"/>
      <c r="H92" s="966"/>
      <c r="I92" s="968">
        <f t="shared" si="28"/>
        <v>0</v>
      </c>
      <c r="J92" s="970"/>
      <c r="K92" s="401">
        <f>SUMIF('3 D P'!D:D,FRONT!$B$55:$B$85,'3 D P'!L:L)</f>
        <v>0</v>
      </c>
      <c r="L92" s="401">
        <f>SUMIF('3 D P'!D:D,FRONT!$B$55:$B$85,'3 D P'!M:M)</f>
        <v>0</v>
      </c>
      <c r="M92" s="401">
        <f>SUMIF('3 D P'!D:D,FRONT!$B$55:$B$85,'3 D P'!N:N)</f>
        <v>0</v>
      </c>
      <c r="N92" s="373">
        <f>IFERROR(VLOOKUP($A92,'Front Dispatch'!$A:$B,2,FALSE),0)</f>
        <v>0</v>
      </c>
      <c r="O92" s="372">
        <f>SUMIF('Consumption MTD'!B:B,FRONT!$B$3:$B$129,'Consumption MTD'!C:C)</f>
        <v>0</v>
      </c>
      <c r="P92" s="372">
        <f>SUMIF('BIW Lifting A Shift'!$B:$B,FRONT!$B$89:$B$106,'BIW Lifting A Shift'!C:C)</f>
        <v>0</v>
      </c>
      <c r="Q92" s="407">
        <f>SUMIF('BIW Lifting B Shift'!$B:$B,FRONT!$B:$B,'BIW Lifting B Shift'!$C:$C)</f>
        <v>0</v>
      </c>
      <c r="R92" s="959"/>
      <c r="S92" s="959"/>
      <c r="T92" s="959"/>
      <c r="U92" s="466">
        <f>SUMIF(FLOAT!$D:$D,FRONT!$B$3:$B$119,FLOAT!F:F)</f>
        <v>0</v>
      </c>
      <c r="V92" s="473">
        <f t="shared" si="26"/>
        <v>0</v>
      </c>
      <c r="W92" s="612"/>
      <c r="X92" s="62">
        <f>SUMIF(FLOAT!$D:$D,FRONT!$B$55:$B$85,FLOAT!G:G)</f>
        <v>0</v>
      </c>
      <c r="Y92" s="53">
        <f>SUMIF(FLOAT!$D:$D,FRONT!$B$55:$B$85,FLOAT!H:H)</f>
        <v>0</v>
      </c>
      <c r="Z92" s="53">
        <f>SUMIF(FLOAT!$D:$D,FRONT!$B$55:$B$85,FLOAT!I:I)</f>
        <v>0</v>
      </c>
      <c r="AA92" s="53">
        <f>SUMIF(FLOAT!$D:$D,FRONT!$B$55:$B$85,FLOAT!J:J)</f>
        <v>0</v>
      </c>
      <c r="AB92" s="53">
        <f>SUMIF(FLOAT!$D:$D,FRONT!$B$55:$B$85,FLOAT!K:K)</f>
        <v>0</v>
      </c>
      <c r="AC92" s="53">
        <f>SUMIF(FLOAT!$D:$D,FRONT!$B$55:$B$85,FLOAT!L:L)</f>
        <v>0</v>
      </c>
      <c r="AD92" s="53">
        <f>SUMIF(FLOAT!$D:$D,FRONT!$B$55:$B$85,FLOAT!M:M)</f>
        <v>0</v>
      </c>
      <c r="AE92" s="53">
        <f>SUMIF(FLOAT!$D:$D,FRONT!$B$55:$B$85,FLOAT!N:N)</f>
        <v>0</v>
      </c>
      <c r="AF92" s="53">
        <f>SUMIF(FLOAT!$D:$D,FRONT!$B$55:$B$85,FLOAT!O:O)</f>
        <v>0</v>
      </c>
      <c r="AG92" s="53">
        <f>SUMIF(FLOAT!$D:$D,FRONT!$B$55:$B$85,FLOAT!P:P)</f>
        <v>0</v>
      </c>
      <c r="AH92" s="632">
        <f t="shared" si="27"/>
        <v>0</v>
      </c>
    </row>
    <row r="93" spans="1:35" ht="16.5" x14ac:dyDescent="0.25">
      <c r="A93" s="972">
        <v>544254640126</v>
      </c>
      <c r="B93" s="462" t="s">
        <v>431</v>
      </c>
      <c r="C93" s="733" t="s">
        <v>727</v>
      </c>
      <c r="D93" s="379">
        <v>82</v>
      </c>
      <c r="E93" s="961">
        <f>D93+D94</f>
        <v>102</v>
      </c>
      <c r="F93" s="971">
        <v>21</v>
      </c>
      <c r="G93" s="964">
        <f>N93</f>
        <v>0</v>
      </c>
      <c r="H93" s="965">
        <f>O93+O94</f>
        <v>0</v>
      </c>
      <c r="I93" s="967">
        <f t="shared" si="28"/>
        <v>102</v>
      </c>
      <c r="J93" s="969">
        <f>F93+G93-H93</f>
        <v>21</v>
      </c>
      <c r="K93" s="401">
        <f>SUMIF('3 D P'!D:D,FRONT!$B$55:$B$85,'3 D P'!L:L)</f>
        <v>0</v>
      </c>
      <c r="L93" s="401">
        <f>SUMIF('3 D P'!D:D,FRONT!$B$55:$B$85,'3 D P'!M:M)</f>
        <v>0</v>
      </c>
      <c r="M93" s="401">
        <f>SUMIF('3 D P'!D:D,FRONT!$B$55:$B$85,'3 D P'!N:N)</f>
        <v>0</v>
      </c>
      <c r="N93" s="373">
        <f>IFERROR(VLOOKUP($A93,'Front Dispatch'!$A:$B,2,FALSE),0)</f>
        <v>0</v>
      </c>
      <c r="O93" s="372">
        <f>SUMIF('Consumption MTD'!B:B,FRONT!$B$3:$B$129,'Consumption MTD'!C:C)</f>
        <v>0</v>
      </c>
      <c r="P93" s="372">
        <f>SUMIF('BIW Lifting A Shift'!$B:$B,FRONT!$B$89:$B$106,'BIW Lifting A Shift'!C:C)</f>
        <v>0</v>
      </c>
      <c r="Q93" s="407">
        <f>SUMIF('BIW Lifting B Shift'!$B:$B,FRONT!$B:$B,'BIW Lifting B Shift'!$C:$C)</f>
        <v>0</v>
      </c>
      <c r="R93" s="958">
        <f>J93-U93-U94</f>
        <v>21</v>
      </c>
      <c r="S93" s="958">
        <f>J93-P93-P94-U94-U93</f>
        <v>21</v>
      </c>
      <c r="T93" s="958">
        <f>S93-Q93-Q94</f>
        <v>21</v>
      </c>
      <c r="U93" s="466">
        <f>SUMIF(FLOAT!$D:$D,FRONT!$B$3:$B$119,FLOAT!F:F)</f>
        <v>0</v>
      </c>
      <c r="V93" s="473">
        <f t="shared" si="26"/>
        <v>82</v>
      </c>
      <c r="W93" s="612">
        <v>21</v>
      </c>
      <c r="X93" s="62">
        <f>SUMIF(FLOAT!$D:$D,FRONT!$B$55:$B$85,FLOAT!G:G)</f>
        <v>0</v>
      </c>
      <c r="Y93" s="53">
        <f>SUMIF(FLOAT!$D:$D,FRONT!$B$55:$B$85,FLOAT!H:H)</f>
        <v>0</v>
      </c>
      <c r="Z93" s="53">
        <f>SUMIF(FLOAT!$D:$D,FRONT!$B$55:$B$85,FLOAT!I:I)</f>
        <v>0</v>
      </c>
      <c r="AA93" s="53">
        <f>SUMIF(FLOAT!$D:$D,FRONT!$B$55:$B$85,FLOAT!J:J)</f>
        <v>0</v>
      </c>
      <c r="AB93" s="53">
        <f>SUMIF(FLOAT!$D:$D,FRONT!$B$55:$B$85,FLOAT!K:K)</f>
        <v>0</v>
      </c>
      <c r="AC93" s="53">
        <f>SUMIF(FLOAT!$D:$D,FRONT!$B$55:$B$85,FLOAT!L:L)</f>
        <v>0</v>
      </c>
      <c r="AD93" s="53">
        <f>SUMIF(FLOAT!$D:$D,FRONT!$B$55:$B$85,FLOAT!M:M)</f>
        <v>0</v>
      </c>
      <c r="AE93" s="53">
        <f>SUMIF(FLOAT!$D:$D,FRONT!$B$55:$B$85,FLOAT!N:N)</f>
        <v>0</v>
      </c>
      <c r="AF93" s="53">
        <f>SUMIF(FLOAT!$D:$D,FRONT!$B$55:$B$85,FLOAT!O:O)</f>
        <v>0</v>
      </c>
      <c r="AG93" s="53">
        <f>SUMIF(FLOAT!$D:$D,FRONT!$B$55:$B$85,FLOAT!P:P)</f>
        <v>0</v>
      </c>
      <c r="AH93" s="632">
        <f t="shared" si="27"/>
        <v>0</v>
      </c>
    </row>
    <row r="94" spans="1:35" ht="17.25" thickBot="1" x14ac:dyDescent="0.3">
      <c r="A94" s="973"/>
      <c r="B94" s="462" t="s">
        <v>471</v>
      </c>
      <c r="C94" s="733" t="s">
        <v>723</v>
      </c>
      <c r="D94" s="379">
        <v>20</v>
      </c>
      <c r="E94" s="962"/>
      <c r="F94" s="971"/>
      <c r="G94" s="964"/>
      <c r="H94" s="966"/>
      <c r="I94" s="968">
        <f t="shared" si="28"/>
        <v>0</v>
      </c>
      <c r="J94" s="970"/>
      <c r="K94" s="401">
        <f>SUMIF('3 D P'!D:D,FRONT!$B$55:$B$85,'3 D P'!L:L)</f>
        <v>0</v>
      </c>
      <c r="L94" s="401">
        <f>SUMIF('3 D P'!D:D,FRONT!$B$55:$B$85,'3 D P'!M:M)</f>
        <v>0</v>
      </c>
      <c r="M94" s="401">
        <f>SUMIF('3 D P'!D:D,FRONT!$B$55:$B$85,'3 D P'!N:N)</f>
        <v>0</v>
      </c>
      <c r="N94" s="373">
        <f>IFERROR(VLOOKUP($A94,'Front Dispatch'!$A:$B,2,FALSE),0)</f>
        <v>0</v>
      </c>
      <c r="O94" s="372">
        <f>SUMIF('Consumption MTD'!B:B,FRONT!$B$3:$B$129,'Consumption MTD'!C:C)</f>
        <v>0</v>
      </c>
      <c r="P94" s="372">
        <f>SUMIF('BIW Lifting A Shift'!$B:$B,FRONT!$B$89:$B$106,'BIW Lifting A Shift'!C:C)</f>
        <v>0</v>
      </c>
      <c r="Q94" s="407">
        <f>SUMIF('BIW Lifting B Shift'!$B:$B,FRONT!$B:$B,'BIW Lifting B Shift'!$C:$C)</f>
        <v>0</v>
      </c>
      <c r="R94" s="959"/>
      <c r="S94" s="959"/>
      <c r="T94" s="959"/>
      <c r="U94" s="466">
        <f>SUMIF(FLOAT!$D:$D,FRONT!$B$3:$B$119,FLOAT!F:F)</f>
        <v>0</v>
      </c>
      <c r="V94" s="473">
        <f t="shared" si="26"/>
        <v>20</v>
      </c>
      <c r="W94" s="612"/>
      <c r="X94" s="62">
        <f>SUMIF(FLOAT!$D:$D,FRONT!$B$55:$B$85,FLOAT!G:G)</f>
        <v>0</v>
      </c>
      <c r="Y94" s="53">
        <f>SUMIF(FLOAT!$D:$D,FRONT!$B$55:$B$85,FLOAT!H:H)</f>
        <v>0</v>
      </c>
      <c r="Z94" s="53">
        <f>SUMIF(FLOAT!$D:$D,FRONT!$B$55:$B$85,FLOAT!I:I)</f>
        <v>0</v>
      </c>
      <c r="AA94" s="53">
        <f>SUMIF(FLOAT!$D:$D,FRONT!$B$55:$B$85,FLOAT!J:J)</f>
        <v>0</v>
      </c>
      <c r="AB94" s="53">
        <f>SUMIF(FLOAT!$D:$D,FRONT!$B$55:$B$85,FLOAT!K:K)</f>
        <v>0</v>
      </c>
      <c r="AC94" s="53">
        <f>SUMIF(FLOAT!$D:$D,FRONT!$B$55:$B$85,FLOAT!L:L)</f>
        <v>0</v>
      </c>
      <c r="AD94" s="53">
        <f>SUMIF(FLOAT!$D:$D,FRONT!$B$55:$B$85,FLOAT!M:M)</f>
        <v>0</v>
      </c>
      <c r="AE94" s="53">
        <f>SUMIF(FLOAT!$D:$D,FRONT!$B$55:$B$85,FLOAT!N:N)</f>
        <v>0</v>
      </c>
      <c r="AF94" s="53">
        <f>SUMIF(FLOAT!$D:$D,FRONT!$B$55:$B$85,FLOAT!O:O)</f>
        <v>0</v>
      </c>
      <c r="AG94" s="53">
        <f>SUMIF(FLOAT!$D:$D,FRONT!$B$55:$B$85,FLOAT!P:P)</f>
        <v>0</v>
      </c>
      <c r="AH94" s="632">
        <f t="shared" si="27"/>
        <v>0</v>
      </c>
    </row>
    <row r="95" spans="1:35" ht="16.5" x14ac:dyDescent="0.25">
      <c r="A95" s="974">
        <v>544254640128</v>
      </c>
      <c r="B95" s="462" t="s">
        <v>475</v>
      </c>
      <c r="C95" s="733" t="s">
        <v>728</v>
      </c>
      <c r="D95" s="379">
        <v>38</v>
      </c>
      <c r="E95" s="961">
        <f>D95+D96</f>
        <v>98</v>
      </c>
      <c r="F95" s="971">
        <v>20</v>
      </c>
      <c r="G95" s="964">
        <f>N95</f>
        <v>0</v>
      </c>
      <c r="H95" s="965">
        <f>O95+O96</f>
        <v>0</v>
      </c>
      <c r="I95" s="967">
        <f t="shared" si="28"/>
        <v>98</v>
      </c>
      <c r="J95" s="969">
        <f>F95+G95-H95</f>
        <v>20</v>
      </c>
      <c r="K95" s="401">
        <f>SUMIF('3 D P'!D:D,FRONT!$B$55:$B$85,'3 D P'!L:L)</f>
        <v>0</v>
      </c>
      <c r="L95" s="401">
        <f>SUMIF('3 D P'!D:D,FRONT!$B$55:$B$85,'3 D P'!M:M)</f>
        <v>0</v>
      </c>
      <c r="M95" s="401">
        <f>SUMIF('3 D P'!D:D,FRONT!$B$55:$B$85,'3 D P'!N:N)</f>
        <v>0</v>
      </c>
      <c r="N95" s="373">
        <f>IFERROR(VLOOKUP($A95,'Front Dispatch'!$A:$B,2,FALSE),0)</f>
        <v>0</v>
      </c>
      <c r="O95" s="372">
        <f>SUMIF('Consumption MTD'!B:B,FRONT!$B$3:$B$129,'Consumption MTD'!C:C)</f>
        <v>0</v>
      </c>
      <c r="P95" s="372">
        <f>SUMIF('BIW Lifting A Shift'!$B:$B,FRONT!$B$89:$B$106,'BIW Lifting A Shift'!C:C)</f>
        <v>0</v>
      </c>
      <c r="Q95" s="407">
        <f>SUMIF('BIW Lifting B Shift'!$B:$B,FRONT!$B:$B,'BIW Lifting B Shift'!$C:$C)</f>
        <v>0</v>
      </c>
      <c r="R95" s="958">
        <f>J95-U95-U96</f>
        <v>20</v>
      </c>
      <c r="S95" s="958">
        <f>J95-P95-P96-U96-U95</f>
        <v>20</v>
      </c>
      <c r="T95" s="958">
        <f>S95-Q95-Q96</f>
        <v>20</v>
      </c>
      <c r="U95" s="466">
        <f>SUMIF(FLOAT!$D:$D,FRONT!$B$3:$B$119,FLOAT!F:F)</f>
        <v>0</v>
      </c>
      <c r="V95" s="473">
        <f t="shared" si="26"/>
        <v>38</v>
      </c>
      <c r="W95" s="612">
        <v>20</v>
      </c>
      <c r="X95" s="62">
        <f>SUMIF(FLOAT!$D:$D,FRONT!$B$55:$B$85,FLOAT!G:G)</f>
        <v>0</v>
      </c>
      <c r="Y95" s="53">
        <f>SUMIF(FLOAT!$D:$D,FRONT!$B$55:$B$85,FLOAT!H:H)</f>
        <v>0</v>
      </c>
      <c r="Z95" s="53">
        <f>SUMIF(FLOAT!$D:$D,FRONT!$B$55:$B$85,FLOAT!I:I)</f>
        <v>0</v>
      </c>
      <c r="AA95" s="53">
        <f>SUMIF(FLOAT!$D:$D,FRONT!$B$55:$B$85,FLOAT!J:J)</f>
        <v>0</v>
      </c>
      <c r="AB95" s="53">
        <f>SUMIF(FLOAT!$D:$D,FRONT!$B$55:$B$85,FLOAT!K:K)</f>
        <v>0</v>
      </c>
      <c r="AC95" s="53">
        <f>SUMIF(FLOAT!$D:$D,FRONT!$B$55:$B$85,FLOAT!L:L)</f>
        <v>0</v>
      </c>
      <c r="AD95" s="53">
        <f>SUMIF(FLOAT!$D:$D,FRONT!$B$55:$B$85,FLOAT!M:M)</f>
        <v>0</v>
      </c>
      <c r="AE95" s="53">
        <f>SUMIF(FLOAT!$D:$D,FRONT!$B$55:$B$85,FLOAT!N:N)</f>
        <v>0</v>
      </c>
      <c r="AF95" s="53">
        <f>SUMIF(FLOAT!$D:$D,FRONT!$B$55:$B$85,FLOAT!O:O)</f>
        <v>0</v>
      </c>
      <c r="AG95" s="53">
        <f>SUMIF(FLOAT!$D:$D,FRONT!$B$55:$B$85,FLOAT!P:P)</f>
        <v>0</v>
      </c>
      <c r="AH95" s="632">
        <f t="shared" si="27"/>
        <v>0</v>
      </c>
    </row>
    <row r="96" spans="1:35" ht="17.25" thickBot="1" x14ac:dyDescent="0.3">
      <c r="A96" s="974"/>
      <c r="B96" s="462" t="s">
        <v>566</v>
      </c>
      <c r="C96" s="733" t="s">
        <v>567</v>
      </c>
      <c r="D96" s="379">
        <v>60</v>
      </c>
      <c r="E96" s="962"/>
      <c r="F96" s="971"/>
      <c r="G96" s="964"/>
      <c r="H96" s="966"/>
      <c r="I96" s="968">
        <f t="shared" si="28"/>
        <v>0</v>
      </c>
      <c r="J96" s="970"/>
      <c r="K96" s="401">
        <f>SUMIF('3 D P'!D:D,FRONT!$B$55:$B$85,'3 D P'!L:L)</f>
        <v>0</v>
      </c>
      <c r="L96" s="401">
        <f>SUMIF('3 D P'!D:D,FRONT!$B$55:$B$85,'3 D P'!M:M)</f>
        <v>0</v>
      </c>
      <c r="M96" s="401">
        <f>SUMIF('3 D P'!D:D,FRONT!$B$55:$B$85,'3 D P'!N:N)</f>
        <v>0</v>
      </c>
      <c r="N96" s="373">
        <f>IFERROR(VLOOKUP($A96,'Front Dispatch'!$A:$B,2,FALSE),0)</f>
        <v>0</v>
      </c>
      <c r="O96" s="372">
        <f>SUMIF('Consumption MTD'!B:B,FRONT!$B$3:$B$129,'Consumption MTD'!C:C)</f>
        <v>0</v>
      </c>
      <c r="P96" s="372">
        <f>SUMIF('BIW Lifting A Shift'!$B:$B,FRONT!$B$89:$B$106,'BIW Lifting A Shift'!C:C)</f>
        <v>0</v>
      </c>
      <c r="Q96" s="407">
        <f>SUMIF('BIW Lifting B Shift'!$B:$B,FRONT!$B:$B,'BIW Lifting B Shift'!$C:$C)</f>
        <v>0</v>
      </c>
      <c r="R96" s="959"/>
      <c r="S96" s="959"/>
      <c r="T96" s="959"/>
      <c r="U96" s="466">
        <f>SUMIF(FLOAT!$D:$D,FRONT!$B$3:$B$119,FLOAT!F:F)</f>
        <v>0</v>
      </c>
      <c r="V96" s="473">
        <f t="shared" si="26"/>
        <v>60</v>
      </c>
      <c r="W96" s="612"/>
      <c r="X96" s="62">
        <f>SUMIF(FLOAT!$D:$D,FRONT!$B$55:$B$85,FLOAT!G:G)</f>
        <v>0</v>
      </c>
      <c r="Y96" s="53">
        <f>SUMIF(FLOAT!$D:$D,FRONT!$B$55:$B$85,FLOAT!H:H)</f>
        <v>0</v>
      </c>
      <c r="Z96" s="53">
        <f>SUMIF(FLOAT!$D:$D,FRONT!$B$55:$B$85,FLOAT!I:I)</f>
        <v>0</v>
      </c>
      <c r="AA96" s="53">
        <f>SUMIF(FLOAT!$D:$D,FRONT!$B$55:$B$85,FLOAT!J:J)</f>
        <v>0</v>
      </c>
      <c r="AB96" s="53">
        <f>SUMIF(FLOAT!$D:$D,FRONT!$B$55:$B$85,FLOAT!K:K)</f>
        <v>0</v>
      </c>
      <c r="AC96" s="53">
        <f>SUMIF(FLOAT!$D:$D,FRONT!$B$55:$B$85,FLOAT!L:L)</f>
        <v>0</v>
      </c>
      <c r="AD96" s="53">
        <f>SUMIF(FLOAT!$D:$D,FRONT!$B$55:$B$85,FLOAT!M:M)</f>
        <v>0</v>
      </c>
      <c r="AE96" s="53">
        <f>SUMIF(FLOAT!$D:$D,FRONT!$B$55:$B$85,FLOAT!N:N)</f>
        <v>0</v>
      </c>
      <c r="AF96" s="53">
        <f>SUMIF(FLOAT!$D:$D,FRONT!$B$55:$B$85,FLOAT!O:O)</f>
        <v>0</v>
      </c>
      <c r="AG96" s="53">
        <f>SUMIF(FLOAT!$D:$D,FRONT!$B$55:$B$85,FLOAT!P:P)</f>
        <v>0</v>
      </c>
      <c r="AH96" s="632">
        <f t="shared" si="27"/>
        <v>0</v>
      </c>
    </row>
    <row r="97" spans="1:34" ht="16.5" x14ac:dyDescent="0.25">
      <c r="A97" s="974">
        <v>544254640260</v>
      </c>
      <c r="B97" s="462" t="s">
        <v>420</v>
      </c>
      <c r="C97" s="733" t="s">
        <v>729</v>
      </c>
      <c r="D97" s="379">
        <v>0</v>
      </c>
      <c r="E97" s="961">
        <f>D97+D98</f>
        <v>0</v>
      </c>
      <c r="F97" s="971">
        <v>15</v>
      </c>
      <c r="G97" s="964">
        <f>N97</f>
        <v>0</v>
      </c>
      <c r="H97" s="965">
        <f>O97+O98</f>
        <v>0</v>
      </c>
      <c r="I97" s="967">
        <f t="shared" si="28"/>
        <v>0</v>
      </c>
      <c r="J97" s="969">
        <f>F97+G97-H97</f>
        <v>15</v>
      </c>
      <c r="K97" s="401">
        <f>SUMIF('3 D P'!D:D,FRONT!$B$55:$B$85,'3 D P'!L:L)</f>
        <v>0</v>
      </c>
      <c r="L97" s="401">
        <f>SUMIF('3 D P'!D:D,FRONT!$B$55:$B$85,'3 D P'!M:M)</f>
        <v>0</v>
      </c>
      <c r="M97" s="401">
        <f>SUMIF('3 D P'!D:D,FRONT!$B$55:$B$85,'3 D P'!N:N)</f>
        <v>0</v>
      </c>
      <c r="N97" s="373">
        <f>IFERROR(VLOOKUP($A97,'Front Dispatch'!$A:$B,2,FALSE),0)</f>
        <v>0</v>
      </c>
      <c r="O97" s="372">
        <f>SUMIF('Consumption MTD'!B:B,FRONT!$B$3:$B$129,'Consumption MTD'!C:C)</f>
        <v>0</v>
      </c>
      <c r="P97" s="372">
        <f>SUMIF('BIW Lifting A Shift'!$B:$B,FRONT!$B$89:$B$106,'BIW Lifting A Shift'!C:C)</f>
        <v>0</v>
      </c>
      <c r="Q97" s="407">
        <f>SUMIF('BIW Lifting B Shift'!$B:$B,FRONT!$B:$B,'BIW Lifting B Shift'!$C:$C)</f>
        <v>0</v>
      </c>
      <c r="R97" s="958">
        <f>J97-U97-U98</f>
        <v>15</v>
      </c>
      <c r="S97" s="958">
        <f>J97-P97-P98-U98-U97</f>
        <v>15</v>
      </c>
      <c r="T97" s="958">
        <f>S97-Q97-Q98</f>
        <v>15</v>
      </c>
      <c r="U97" s="466">
        <f>SUMIF(FLOAT!$D:$D,FRONT!$B$3:$B$119,FLOAT!F:F)</f>
        <v>0</v>
      </c>
      <c r="V97" s="473">
        <f t="shared" si="26"/>
        <v>0</v>
      </c>
      <c r="W97" s="612">
        <v>15</v>
      </c>
      <c r="X97" s="62">
        <f>SUMIF(FLOAT!$D:$D,FRONT!$B$55:$B$85,FLOAT!G:G)</f>
        <v>0</v>
      </c>
      <c r="Y97" s="53">
        <f>SUMIF(FLOAT!$D:$D,FRONT!$B$55:$B$85,FLOAT!H:H)</f>
        <v>0</v>
      </c>
      <c r="Z97" s="53">
        <f>SUMIF(FLOAT!$D:$D,FRONT!$B$55:$B$85,FLOAT!I:I)</f>
        <v>0</v>
      </c>
      <c r="AA97" s="53">
        <f>SUMIF(FLOAT!$D:$D,FRONT!$B$55:$B$85,FLOAT!J:J)</f>
        <v>0</v>
      </c>
      <c r="AB97" s="53">
        <f>SUMIF(FLOAT!$D:$D,FRONT!$B$55:$B$85,FLOAT!K:K)</f>
        <v>0</v>
      </c>
      <c r="AC97" s="53">
        <f>SUMIF(FLOAT!$D:$D,FRONT!$B$55:$B$85,FLOAT!L:L)</f>
        <v>0</v>
      </c>
      <c r="AD97" s="53">
        <f>SUMIF(FLOAT!$D:$D,FRONT!$B$55:$B$85,FLOAT!M:M)</f>
        <v>0</v>
      </c>
      <c r="AE97" s="53">
        <f>SUMIF(FLOAT!$D:$D,FRONT!$B$55:$B$85,FLOAT!N:N)</f>
        <v>0</v>
      </c>
      <c r="AF97" s="53">
        <f>SUMIF(FLOAT!$D:$D,FRONT!$B$55:$B$85,FLOAT!O:O)</f>
        <v>0</v>
      </c>
      <c r="AG97" s="53">
        <f>SUMIF(FLOAT!$D:$D,FRONT!$B$55:$B$85,FLOAT!P:P)</f>
        <v>0</v>
      </c>
      <c r="AH97" s="632">
        <f t="shared" si="27"/>
        <v>0</v>
      </c>
    </row>
    <row r="98" spans="1:34" ht="17.25" thickBot="1" x14ac:dyDescent="0.3">
      <c r="A98" s="974"/>
      <c r="B98" s="462" t="s">
        <v>432</v>
      </c>
      <c r="C98" s="733" t="s">
        <v>435</v>
      </c>
      <c r="D98" s="379">
        <v>0</v>
      </c>
      <c r="E98" s="962"/>
      <c r="F98" s="971"/>
      <c r="G98" s="964"/>
      <c r="H98" s="966"/>
      <c r="I98" s="968">
        <f t="shared" si="28"/>
        <v>0</v>
      </c>
      <c r="J98" s="970"/>
      <c r="K98" s="401">
        <f>SUMIF('3 D P'!D:D,FRONT!$B$55:$B$85,'3 D P'!L:L)</f>
        <v>0</v>
      </c>
      <c r="L98" s="401">
        <f>SUMIF('3 D P'!D:D,FRONT!$B$55:$B$85,'3 D P'!M:M)</f>
        <v>0</v>
      </c>
      <c r="M98" s="401">
        <f>SUMIF('3 D P'!D:D,FRONT!$B$55:$B$85,'3 D P'!N:N)</f>
        <v>0</v>
      </c>
      <c r="N98" s="373">
        <f>IFERROR(VLOOKUP($A98,'Front Dispatch'!$A:$B,2,FALSE),0)</f>
        <v>0</v>
      </c>
      <c r="O98" s="372">
        <f>SUMIF('Consumption MTD'!B:B,FRONT!$B$3:$B$129,'Consumption MTD'!C:C)</f>
        <v>0</v>
      </c>
      <c r="P98" s="372">
        <f>SUMIF('BIW Lifting A Shift'!$B:$B,FRONT!$B$89:$B$106,'BIW Lifting A Shift'!C:C)</f>
        <v>0</v>
      </c>
      <c r="Q98" s="407">
        <f>SUMIF('BIW Lifting B Shift'!$B:$B,FRONT!$B:$B,'BIW Lifting B Shift'!$C:$C)</f>
        <v>0</v>
      </c>
      <c r="R98" s="959"/>
      <c r="S98" s="959"/>
      <c r="T98" s="959"/>
      <c r="U98" s="466">
        <f>SUMIF(FLOAT!$D:$D,FRONT!$B$3:$B$119,FLOAT!F:F)</f>
        <v>0</v>
      </c>
      <c r="V98" s="473">
        <f t="shared" si="26"/>
        <v>0</v>
      </c>
      <c r="W98" s="612"/>
      <c r="X98" s="62">
        <f>SUMIF(FLOAT!$D:$D,FRONT!$B$55:$B$85,FLOAT!G:G)</f>
        <v>0</v>
      </c>
      <c r="Y98" s="53">
        <f>SUMIF(FLOAT!$D:$D,FRONT!$B$55:$B$85,FLOAT!H:H)</f>
        <v>0</v>
      </c>
      <c r="Z98" s="53">
        <f>SUMIF(FLOAT!$D:$D,FRONT!$B$55:$B$85,FLOAT!I:I)</f>
        <v>0</v>
      </c>
      <c r="AA98" s="53">
        <f>SUMIF(FLOAT!$D:$D,FRONT!$B$55:$B$85,FLOAT!J:J)</f>
        <v>0</v>
      </c>
      <c r="AB98" s="53">
        <f>SUMIF(FLOAT!$D:$D,FRONT!$B$55:$B$85,FLOAT!K:K)</f>
        <v>0</v>
      </c>
      <c r="AC98" s="53">
        <f>SUMIF(FLOAT!$D:$D,FRONT!$B$55:$B$85,FLOAT!L:L)</f>
        <v>0</v>
      </c>
      <c r="AD98" s="53">
        <f>SUMIF(FLOAT!$D:$D,FRONT!$B$55:$B$85,FLOAT!M:M)</f>
        <v>0</v>
      </c>
      <c r="AE98" s="53">
        <f>SUMIF(FLOAT!$D:$D,FRONT!$B$55:$B$85,FLOAT!N:N)</f>
        <v>0</v>
      </c>
      <c r="AF98" s="53">
        <f>SUMIF(FLOAT!$D:$D,FRONT!$B$55:$B$85,FLOAT!O:O)</f>
        <v>0</v>
      </c>
      <c r="AG98" s="53">
        <f>SUMIF(FLOAT!$D:$D,FRONT!$B$55:$B$85,FLOAT!P:P)</f>
        <v>0</v>
      </c>
      <c r="AH98" s="632">
        <f t="shared" si="27"/>
        <v>0</v>
      </c>
    </row>
    <row r="99" spans="1:34" ht="16.5" x14ac:dyDescent="0.25">
      <c r="A99" s="974">
        <v>544254630823</v>
      </c>
      <c r="B99" s="462" t="s">
        <v>500</v>
      </c>
      <c r="C99" s="733" t="s">
        <v>501</v>
      </c>
      <c r="D99" s="379">
        <v>0</v>
      </c>
      <c r="E99" s="961">
        <f>D99+D100</f>
        <v>0</v>
      </c>
      <c r="F99" s="963">
        <v>0</v>
      </c>
      <c r="G99" s="964">
        <f>N99</f>
        <v>0</v>
      </c>
      <c r="H99" s="965">
        <f>O99+O100</f>
        <v>0</v>
      </c>
      <c r="I99" s="967">
        <f t="shared" si="28"/>
        <v>0</v>
      </c>
      <c r="J99" s="969">
        <f>F99+G99-H99</f>
        <v>0</v>
      </c>
      <c r="K99" s="401">
        <f>SUMIF('3 D P'!D:D,FRONT!$B$55:$B$85,'3 D P'!L:L)</f>
        <v>0</v>
      </c>
      <c r="L99" s="401">
        <f>SUMIF('3 D P'!D:D,FRONT!$B$55:$B$85,'3 D P'!M:M)</f>
        <v>0</v>
      </c>
      <c r="M99" s="401">
        <f>SUMIF('3 D P'!D:D,FRONT!$B$55:$B$85,'3 D P'!N:N)</f>
        <v>0</v>
      </c>
      <c r="N99" s="373">
        <f>IFERROR(VLOOKUP($A99,'Front Dispatch'!$A:$B,2,FALSE),0)</f>
        <v>0</v>
      </c>
      <c r="O99" s="372">
        <f>SUMIF('Consumption MTD'!B:B,FRONT!$B$3:$B$129,'Consumption MTD'!C:C)</f>
        <v>0</v>
      </c>
      <c r="P99" s="372">
        <f>SUMIF('BIW Lifting A Shift'!$B:$B,FRONT!$B$89:$B$106,'BIW Lifting A Shift'!C:C)</f>
        <v>0</v>
      </c>
      <c r="Q99" s="407">
        <f>SUMIF('BIW Lifting B Shift'!$B:$B,FRONT!$B:$B,'BIW Lifting B Shift'!$C:$C)</f>
        <v>0</v>
      </c>
      <c r="R99" s="958">
        <f>J99-U99-U100</f>
        <v>0</v>
      </c>
      <c r="S99" s="958">
        <f>J99-P99-P100-U100-U99</f>
        <v>0</v>
      </c>
      <c r="T99" s="958">
        <f>S99-Q99-Q100</f>
        <v>0</v>
      </c>
      <c r="U99" s="466">
        <f>SUMIF(FLOAT!$D:$D,FRONT!$B$3:$B$119,FLOAT!F:F)</f>
        <v>0</v>
      </c>
      <c r="V99" s="473">
        <f t="shared" si="26"/>
        <v>0</v>
      </c>
      <c r="W99" s="612">
        <v>0</v>
      </c>
      <c r="X99" s="62">
        <f>SUMIF(FLOAT!$D:$D,FRONT!$B$55:$B$85,FLOAT!G:G)</f>
        <v>0</v>
      </c>
      <c r="Y99" s="53">
        <f>SUMIF(FLOAT!$D:$D,FRONT!$B$55:$B$85,FLOAT!H:H)</f>
        <v>0</v>
      </c>
      <c r="Z99" s="53">
        <f>SUMIF(FLOAT!$D:$D,FRONT!$B$55:$B$85,FLOAT!I:I)</f>
        <v>0</v>
      </c>
      <c r="AA99" s="53">
        <f>SUMIF(FLOAT!$D:$D,FRONT!$B$55:$B$85,FLOAT!J:J)</f>
        <v>0</v>
      </c>
      <c r="AB99" s="53">
        <f>SUMIF(FLOAT!$D:$D,FRONT!$B$55:$B$85,FLOAT!K:K)</f>
        <v>0</v>
      </c>
      <c r="AC99" s="53">
        <f>SUMIF(FLOAT!$D:$D,FRONT!$B$55:$B$85,FLOAT!L:L)</f>
        <v>0</v>
      </c>
      <c r="AD99" s="53">
        <f>SUMIF(FLOAT!$D:$D,FRONT!$B$55:$B$85,FLOAT!M:M)</f>
        <v>0</v>
      </c>
      <c r="AE99" s="53">
        <f>SUMIF(FLOAT!$D:$D,FRONT!$B$55:$B$85,FLOAT!N:N)</f>
        <v>0</v>
      </c>
      <c r="AF99" s="53">
        <f>SUMIF(FLOAT!$D:$D,FRONT!$B$55:$B$85,FLOAT!O:O)</f>
        <v>0</v>
      </c>
      <c r="AG99" s="53">
        <f>SUMIF(FLOAT!$D:$D,FRONT!$B$55:$B$85,FLOAT!P:P)</f>
        <v>0</v>
      </c>
      <c r="AH99" s="632">
        <f t="shared" si="27"/>
        <v>0</v>
      </c>
    </row>
    <row r="100" spans="1:34" ht="17.25" thickBot="1" x14ac:dyDescent="0.3">
      <c r="A100" s="974"/>
      <c r="B100" s="462"/>
      <c r="C100" s="733"/>
      <c r="D100" s="379">
        <v>0</v>
      </c>
      <c r="E100" s="962"/>
      <c r="F100" s="963"/>
      <c r="G100" s="964"/>
      <c r="H100" s="966"/>
      <c r="I100" s="968">
        <f t="shared" si="28"/>
        <v>0</v>
      </c>
      <c r="J100" s="970"/>
      <c r="K100" s="401">
        <f>SUMIF('3 D P'!D:D,FRONT!$B$55:$B$85,'3 D P'!L:L)</f>
        <v>0</v>
      </c>
      <c r="L100" s="401">
        <f>SUMIF('3 D P'!D:D,FRONT!$B$55:$B$85,'3 D P'!M:M)</f>
        <v>0</v>
      </c>
      <c r="M100" s="401">
        <f>SUMIF('3 D P'!D:D,FRONT!$B$55:$B$85,'3 D P'!N:N)</f>
        <v>0</v>
      </c>
      <c r="N100" s="373">
        <f>IFERROR(VLOOKUP($A100,'Front Dispatch'!$A:$B,2,FALSE),0)</f>
        <v>0</v>
      </c>
      <c r="O100" s="372">
        <f>SUMIF('Consumption MTD'!B:B,FRONT!$B$3:$B$129,'Consumption MTD'!C:C)</f>
        <v>0</v>
      </c>
      <c r="P100" s="372">
        <f>SUMIF('BIW Lifting A Shift'!$B:$B,FRONT!$B$89:$B$106,'BIW Lifting A Shift'!C:C)</f>
        <v>0</v>
      </c>
      <c r="Q100" s="407">
        <f>SUMIF('BIW Lifting B Shift'!$B:$B,FRONT!$B:$B,'BIW Lifting B Shift'!$C:$C)</f>
        <v>0</v>
      </c>
      <c r="R100" s="959"/>
      <c r="S100" s="959"/>
      <c r="T100" s="959"/>
      <c r="U100" s="466">
        <f>SUMIF(FLOAT!$D:$D,FRONT!$B$3:$B$119,FLOAT!F:F)</f>
        <v>0</v>
      </c>
      <c r="V100" s="473">
        <f t="shared" si="26"/>
        <v>0</v>
      </c>
      <c r="W100" s="612"/>
      <c r="X100" s="62">
        <f>SUMIF(FLOAT!$D:$D,FRONT!$B$55:$B$85,FLOAT!G:G)</f>
        <v>0</v>
      </c>
      <c r="Y100" s="53">
        <f>SUMIF(FLOAT!$D:$D,FRONT!$B$55:$B$85,FLOAT!H:H)</f>
        <v>0</v>
      </c>
      <c r="Z100" s="53">
        <f>SUMIF(FLOAT!$D:$D,FRONT!$B$55:$B$85,FLOAT!I:I)</f>
        <v>0</v>
      </c>
      <c r="AA100" s="53">
        <f>SUMIF(FLOAT!$D:$D,FRONT!$B$55:$B$85,FLOAT!J:J)</f>
        <v>0</v>
      </c>
      <c r="AB100" s="53">
        <f>SUMIF(FLOAT!$D:$D,FRONT!$B$55:$B$85,FLOAT!K:K)</f>
        <v>0</v>
      </c>
      <c r="AC100" s="53">
        <f>SUMIF(FLOAT!$D:$D,FRONT!$B$55:$B$85,FLOAT!L:L)</f>
        <v>0</v>
      </c>
      <c r="AD100" s="53">
        <f>SUMIF(FLOAT!$D:$D,FRONT!$B$55:$B$85,FLOAT!M:M)</f>
        <v>0</v>
      </c>
      <c r="AE100" s="53">
        <f>SUMIF(FLOAT!$D:$D,FRONT!$B$55:$B$85,FLOAT!N:N)</f>
        <v>0</v>
      </c>
      <c r="AF100" s="53">
        <f>SUMIF(FLOAT!$D:$D,FRONT!$B$55:$B$85,FLOAT!O:O)</f>
        <v>0</v>
      </c>
      <c r="AG100" s="53">
        <f>SUMIF(FLOAT!$D:$D,FRONT!$B$55:$B$85,FLOAT!P:P)</f>
        <v>0</v>
      </c>
      <c r="AH100" s="632">
        <f t="shared" si="27"/>
        <v>0</v>
      </c>
    </row>
    <row r="101" spans="1:34" ht="16.5" x14ac:dyDescent="0.25">
      <c r="A101" s="974">
        <v>544254640129</v>
      </c>
      <c r="B101" s="462" t="s">
        <v>473</v>
      </c>
      <c r="C101" s="733" t="s">
        <v>730</v>
      </c>
      <c r="D101" s="379">
        <v>0</v>
      </c>
      <c r="E101" s="961">
        <f>D101+D102</f>
        <v>0</v>
      </c>
      <c r="F101" s="971">
        <v>0</v>
      </c>
      <c r="G101" s="964">
        <f>N101</f>
        <v>0</v>
      </c>
      <c r="H101" s="965">
        <f>O101+O102</f>
        <v>0</v>
      </c>
      <c r="I101" s="967">
        <f t="shared" si="28"/>
        <v>0</v>
      </c>
      <c r="J101" s="969">
        <f>F101+G101-H101</f>
        <v>0</v>
      </c>
      <c r="K101" s="401">
        <f>SUMIF('3 D P'!D:D,FRONT!$B$55:$B$85,'3 D P'!L:L)</f>
        <v>0</v>
      </c>
      <c r="L101" s="401">
        <f>SUMIF('3 D P'!D:D,FRONT!$B$55:$B$85,'3 D P'!M:M)</f>
        <v>0</v>
      </c>
      <c r="M101" s="401">
        <f>SUMIF('3 D P'!D:D,FRONT!$B$55:$B$85,'3 D P'!N:N)</f>
        <v>0</v>
      </c>
      <c r="N101" s="373">
        <f>IFERROR(VLOOKUP($A101,'Front Dispatch'!$A:$B,2,FALSE),0)</f>
        <v>0</v>
      </c>
      <c r="O101" s="372">
        <f>SUMIF('Consumption MTD'!B:B,FRONT!$B$3:$B$129,'Consumption MTD'!C:C)</f>
        <v>0</v>
      </c>
      <c r="P101" s="372">
        <f>SUMIF('BIW Lifting A Shift'!$B:$B,FRONT!$B$89:$B$106,'BIW Lifting A Shift'!C:C)</f>
        <v>0</v>
      </c>
      <c r="Q101" s="407">
        <f>SUMIF('BIW Lifting B Shift'!$B:$B,FRONT!$B:$B,'BIW Lifting B Shift'!$C:$C)</f>
        <v>0</v>
      </c>
      <c r="R101" s="958">
        <f>J101-U101-U102</f>
        <v>0</v>
      </c>
      <c r="S101" s="958">
        <f>J101-P101-P102-U102-U101</f>
        <v>0</v>
      </c>
      <c r="T101" s="958">
        <f>S101-Q101-Q102</f>
        <v>0</v>
      </c>
      <c r="U101" s="466">
        <f>SUMIF(FLOAT!$D:$D,FRONT!$B$3:$B$119,FLOAT!F:F)</f>
        <v>0</v>
      </c>
      <c r="V101" s="473">
        <f t="shared" si="26"/>
        <v>0</v>
      </c>
      <c r="W101" s="612">
        <v>0</v>
      </c>
      <c r="X101" s="62">
        <f>SUMIF(FLOAT!$D:$D,FRONT!$B$55:$B$85,FLOAT!G:G)</f>
        <v>0</v>
      </c>
      <c r="Y101" s="53">
        <f>SUMIF(FLOAT!$D:$D,FRONT!$B$55:$B$85,FLOAT!H:H)</f>
        <v>0</v>
      </c>
      <c r="Z101" s="53">
        <f>SUMIF(FLOAT!$D:$D,FRONT!$B$55:$B$85,FLOAT!I:I)</f>
        <v>0</v>
      </c>
      <c r="AA101" s="53">
        <f>SUMIF(FLOAT!$D:$D,FRONT!$B$55:$B$85,FLOAT!J:J)</f>
        <v>0</v>
      </c>
      <c r="AB101" s="53">
        <f>SUMIF(FLOAT!$D:$D,FRONT!$B$55:$B$85,FLOAT!K:K)</f>
        <v>0</v>
      </c>
      <c r="AC101" s="53">
        <f>SUMIF(FLOAT!$D:$D,FRONT!$B$55:$B$85,FLOAT!L:L)</f>
        <v>0</v>
      </c>
      <c r="AD101" s="53">
        <f>SUMIF(FLOAT!$D:$D,FRONT!$B$55:$B$85,FLOAT!M:M)</f>
        <v>0</v>
      </c>
      <c r="AE101" s="53">
        <f>SUMIF(FLOAT!$D:$D,FRONT!$B$55:$B$85,FLOAT!N:N)</f>
        <v>0</v>
      </c>
      <c r="AF101" s="53">
        <f>SUMIF(FLOAT!$D:$D,FRONT!$B$55:$B$85,FLOAT!O:O)</f>
        <v>0</v>
      </c>
      <c r="AG101" s="53">
        <f>SUMIF(FLOAT!$D:$D,FRONT!$B$55:$B$85,FLOAT!P:P)</f>
        <v>0</v>
      </c>
      <c r="AH101" s="632">
        <f t="shared" si="27"/>
        <v>0</v>
      </c>
    </row>
    <row r="102" spans="1:34" ht="17.25" thickBot="1" x14ac:dyDescent="0.3">
      <c r="A102" s="974"/>
      <c r="B102" s="462"/>
      <c r="C102" s="733"/>
      <c r="D102" s="379">
        <v>0</v>
      </c>
      <c r="E102" s="962"/>
      <c r="F102" s="971"/>
      <c r="G102" s="964"/>
      <c r="H102" s="966"/>
      <c r="I102" s="968">
        <f t="shared" si="28"/>
        <v>0</v>
      </c>
      <c r="J102" s="970"/>
      <c r="K102" s="401">
        <f>SUMIF('3 D P'!D:D,FRONT!$B$55:$B$85,'3 D P'!L:L)</f>
        <v>0</v>
      </c>
      <c r="L102" s="401">
        <f>SUMIF('3 D P'!D:D,FRONT!$B$55:$B$85,'3 D P'!M:M)</f>
        <v>0</v>
      </c>
      <c r="M102" s="401">
        <f>SUMIF('3 D P'!D:D,FRONT!$B$55:$B$85,'3 D P'!N:N)</f>
        <v>0</v>
      </c>
      <c r="N102" s="373">
        <f>IFERROR(VLOOKUP($A102,'Front Dispatch'!$A:$B,2,FALSE),0)</f>
        <v>0</v>
      </c>
      <c r="O102" s="372">
        <f>SUMIF('Consumption MTD'!B:B,FRONT!$B$3:$B$129,'Consumption MTD'!C:C)</f>
        <v>0</v>
      </c>
      <c r="P102" s="372">
        <f>SUMIF('BIW Lifting A Shift'!$B:$B,FRONT!$B$89:$B$106,'BIW Lifting A Shift'!C:C)</f>
        <v>0</v>
      </c>
      <c r="Q102" s="407">
        <f>SUMIF('BIW Lifting B Shift'!$B:$B,FRONT!$B:$B,'BIW Lifting B Shift'!$C:$C)</f>
        <v>0</v>
      </c>
      <c r="R102" s="959"/>
      <c r="S102" s="959"/>
      <c r="T102" s="959"/>
      <c r="U102" s="466">
        <f>SUMIF(FLOAT!$D:$D,FRONT!$B$3:$B$119,FLOAT!F:F)</f>
        <v>0</v>
      </c>
      <c r="V102" s="473">
        <f t="shared" si="26"/>
        <v>0</v>
      </c>
      <c r="W102" s="612"/>
      <c r="X102" s="62">
        <f>SUMIF(FLOAT!$D:$D,FRONT!$B$55:$B$85,FLOAT!G:G)</f>
        <v>0</v>
      </c>
      <c r="Y102" s="53">
        <f>SUMIF(FLOAT!$D:$D,FRONT!$B$55:$B$85,FLOAT!H:H)</f>
        <v>0</v>
      </c>
      <c r="Z102" s="53">
        <f>SUMIF(FLOAT!$D:$D,FRONT!$B$55:$B$85,FLOAT!I:I)</f>
        <v>0</v>
      </c>
      <c r="AA102" s="53">
        <f>SUMIF(FLOAT!$D:$D,FRONT!$B$55:$B$85,FLOAT!J:J)</f>
        <v>0</v>
      </c>
      <c r="AB102" s="53">
        <f>SUMIF(FLOAT!$D:$D,FRONT!$B$55:$B$85,FLOAT!K:K)</f>
        <v>0</v>
      </c>
      <c r="AC102" s="53">
        <f>SUMIF(FLOAT!$D:$D,FRONT!$B$55:$B$85,FLOAT!L:L)</f>
        <v>0</v>
      </c>
      <c r="AD102" s="53">
        <f>SUMIF(FLOAT!$D:$D,FRONT!$B$55:$B$85,FLOAT!M:M)</f>
        <v>0</v>
      </c>
      <c r="AE102" s="53">
        <f>SUMIF(FLOAT!$D:$D,FRONT!$B$55:$B$85,FLOAT!N:N)</f>
        <v>0</v>
      </c>
      <c r="AF102" s="53">
        <f>SUMIF(FLOAT!$D:$D,FRONT!$B$55:$B$85,FLOAT!O:O)</f>
        <v>0</v>
      </c>
      <c r="AG102" s="53">
        <f>SUMIF(FLOAT!$D:$D,FRONT!$B$55:$B$85,FLOAT!P:P)</f>
        <v>0</v>
      </c>
      <c r="AH102" s="632">
        <f t="shared" si="27"/>
        <v>0</v>
      </c>
    </row>
    <row r="103" spans="1:34" ht="16.5" x14ac:dyDescent="0.25">
      <c r="A103" s="974">
        <v>544254630820</v>
      </c>
      <c r="B103" s="462" t="s">
        <v>434</v>
      </c>
      <c r="C103" s="733" t="s">
        <v>731</v>
      </c>
      <c r="D103" s="379">
        <v>0</v>
      </c>
      <c r="E103" s="961">
        <f>D103+D104</f>
        <v>0</v>
      </c>
      <c r="F103" s="971">
        <v>0</v>
      </c>
      <c r="G103" s="964">
        <f>N103</f>
        <v>0</v>
      </c>
      <c r="H103" s="965">
        <f>O103+O104</f>
        <v>0</v>
      </c>
      <c r="I103" s="967">
        <f t="shared" si="28"/>
        <v>0</v>
      </c>
      <c r="J103" s="969">
        <f>F103+G103-H103</f>
        <v>0</v>
      </c>
      <c r="K103" s="401">
        <f>SUMIF('3 D P'!D:D,FRONT!$B$55:$B$85,'3 D P'!L:L)</f>
        <v>0</v>
      </c>
      <c r="L103" s="401">
        <f>SUMIF('3 D P'!D:D,FRONT!$B$55:$B$85,'3 D P'!M:M)</f>
        <v>0</v>
      </c>
      <c r="M103" s="401">
        <f>SUMIF('3 D P'!D:D,FRONT!$B$55:$B$85,'3 D P'!N:N)</f>
        <v>0</v>
      </c>
      <c r="N103" s="373">
        <f>IFERROR(VLOOKUP($A103,'Front Dispatch'!$A:$B,2,FALSE),0)</f>
        <v>0</v>
      </c>
      <c r="O103" s="372">
        <f>SUMIF('Consumption MTD'!B:B,FRONT!$B$3:$B$129,'Consumption MTD'!C:C)</f>
        <v>0</v>
      </c>
      <c r="P103" s="372">
        <f>SUMIF('BIW Lifting A Shift'!$B:$B,FRONT!$B$89:$B$106,'BIW Lifting A Shift'!C:C)</f>
        <v>0</v>
      </c>
      <c r="Q103" s="407">
        <f>SUMIF('BIW Lifting B Shift'!$B:$B,FRONT!$B:$B,'BIW Lifting B Shift'!$C:$C)</f>
        <v>0</v>
      </c>
      <c r="R103" s="958">
        <f>J103-U103-U104</f>
        <v>0</v>
      </c>
      <c r="S103" s="958">
        <f>J103-P103-P104-U104-U103</f>
        <v>0</v>
      </c>
      <c r="T103" s="958">
        <f>S103-Q103-Q104</f>
        <v>0</v>
      </c>
      <c r="U103" s="466">
        <f>SUMIF(FLOAT!$D:$D,FRONT!$B$3:$B$119,FLOAT!F:F)</f>
        <v>0</v>
      </c>
      <c r="V103" s="473">
        <f t="shared" si="26"/>
        <v>0</v>
      </c>
      <c r="W103" s="612">
        <v>0</v>
      </c>
      <c r="X103" s="62">
        <f>SUMIF(FLOAT!$D:$D,FRONT!$B$55:$B$85,FLOAT!G:G)</f>
        <v>0</v>
      </c>
      <c r="Y103" s="53">
        <f>SUMIF(FLOAT!$D:$D,FRONT!$B$55:$B$85,FLOAT!H:H)</f>
        <v>0</v>
      </c>
      <c r="Z103" s="53">
        <f>SUMIF(FLOAT!$D:$D,FRONT!$B$55:$B$85,FLOAT!I:I)</f>
        <v>0</v>
      </c>
      <c r="AA103" s="53">
        <f>SUMIF(FLOAT!$D:$D,FRONT!$B$55:$B$85,FLOAT!J:J)</f>
        <v>0</v>
      </c>
      <c r="AB103" s="53">
        <f>SUMIF(FLOAT!$D:$D,FRONT!$B$55:$B$85,FLOAT!K:K)</f>
        <v>0</v>
      </c>
      <c r="AC103" s="53">
        <f>SUMIF(FLOAT!$D:$D,FRONT!$B$55:$B$85,FLOAT!L:L)</f>
        <v>0</v>
      </c>
      <c r="AD103" s="53">
        <f>SUMIF(FLOAT!$D:$D,FRONT!$B$55:$B$85,FLOAT!M:M)</f>
        <v>0</v>
      </c>
      <c r="AE103" s="53">
        <f>SUMIF(FLOAT!$D:$D,FRONT!$B$55:$B$85,FLOAT!N:N)</f>
        <v>0</v>
      </c>
      <c r="AF103" s="53">
        <f>SUMIF(FLOAT!$D:$D,FRONT!$B$55:$B$85,FLOAT!O:O)</f>
        <v>0</v>
      </c>
      <c r="AG103" s="53">
        <f>SUMIF(FLOAT!$D:$D,FRONT!$B$55:$B$85,FLOAT!P:P)</f>
        <v>0</v>
      </c>
      <c r="AH103" s="632">
        <f t="shared" si="27"/>
        <v>0</v>
      </c>
    </row>
    <row r="104" spans="1:34" ht="17.25" thickBot="1" x14ac:dyDescent="0.3">
      <c r="A104" s="974"/>
      <c r="B104" s="462" t="s">
        <v>467</v>
      </c>
      <c r="C104" s="733"/>
      <c r="D104" s="379">
        <v>0</v>
      </c>
      <c r="E104" s="962"/>
      <c r="F104" s="971"/>
      <c r="G104" s="964"/>
      <c r="H104" s="966"/>
      <c r="I104" s="968">
        <f t="shared" si="28"/>
        <v>0</v>
      </c>
      <c r="J104" s="970"/>
      <c r="K104" s="401">
        <f>SUMIF('3 D P'!D:D,FRONT!$B$55:$B$85,'3 D P'!L:L)</f>
        <v>0</v>
      </c>
      <c r="L104" s="401">
        <f>SUMIF('3 D P'!D:D,FRONT!$B$55:$B$85,'3 D P'!M:M)</f>
        <v>0</v>
      </c>
      <c r="M104" s="401">
        <f>SUMIF('3 D P'!D:D,FRONT!$B$55:$B$85,'3 D P'!N:N)</f>
        <v>0</v>
      </c>
      <c r="N104" s="373">
        <f>IFERROR(VLOOKUP($A104,'Front Dispatch'!$A:$B,2,FALSE),0)</f>
        <v>0</v>
      </c>
      <c r="O104" s="372">
        <f>SUMIF('Consumption MTD'!B:B,FRONT!$B$3:$B$129,'Consumption MTD'!C:C)</f>
        <v>0</v>
      </c>
      <c r="P104" s="372">
        <f>SUMIF('BIW Lifting A Shift'!$B:$B,FRONT!$B$89:$B$106,'BIW Lifting A Shift'!C:C)</f>
        <v>0</v>
      </c>
      <c r="Q104" s="407">
        <f>SUMIF('BIW Lifting B Shift'!$B:$B,FRONT!$B:$B,'BIW Lifting B Shift'!$C:$C)</f>
        <v>0</v>
      </c>
      <c r="R104" s="959"/>
      <c r="S104" s="959"/>
      <c r="T104" s="959"/>
      <c r="U104" s="466">
        <f>SUMIF(FLOAT!$D:$D,FRONT!$B$3:$B$119,FLOAT!F:F)</f>
        <v>0</v>
      </c>
      <c r="V104" s="473">
        <f t="shared" si="26"/>
        <v>0</v>
      </c>
      <c r="W104" s="612"/>
      <c r="X104" s="62">
        <f>SUMIF(FLOAT!$D:$D,FRONT!$B$55:$B$85,FLOAT!G:G)</f>
        <v>0</v>
      </c>
      <c r="Y104" s="53">
        <f>SUMIF(FLOAT!$D:$D,FRONT!$B$55:$B$85,FLOAT!H:H)</f>
        <v>0</v>
      </c>
      <c r="Z104" s="53">
        <f>SUMIF(FLOAT!$D:$D,FRONT!$B$55:$B$85,FLOAT!I:I)</f>
        <v>0</v>
      </c>
      <c r="AA104" s="53">
        <f>SUMIF(FLOAT!$D:$D,FRONT!$B$55:$B$85,FLOAT!J:J)</f>
        <v>0</v>
      </c>
      <c r="AB104" s="53">
        <f>SUMIF(FLOAT!$D:$D,FRONT!$B$55:$B$85,FLOAT!K:K)</f>
        <v>0</v>
      </c>
      <c r="AC104" s="53">
        <f>SUMIF(FLOAT!$D:$D,FRONT!$B$55:$B$85,FLOAT!L:L)</f>
        <v>0</v>
      </c>
      <c r="AD104" s="53">
        <f>SUMIF(FLOAT!$D:$D,FRONT!$B$55:$B$85,FLOAT!M:M)</f>
        <v>0</v>
      </c>
      <c r="AE104" s="53">
        <f>SUMIF(FLOAT!$D:$D,FRONT!$B$55:$B$85,FLOAT!N:N)</f>
        <v>0</v>
      </c>
      <c r="AF104" s="53">
        <f>SUMIF(FLOAT!$D:$D,FRONT!$B$55:$B$85,FLOAT!O:O)</f>
        <v>0</v>
      </c>
      <c r="AG104" s="53">
        <f>SUMIF(FLOAT!$D:$D,FRONT!$B$55:$B$85,FLOAT!P:P)</f>
        <v>0</v>
      </c>
      <c r="AH104" s="632">
        <f t="shared" si="27"/>
        <v>0</v>
      </c>
    </row>
    <row r="105" spans="1:34" ht="16.5" x14ac:dyDescent="0.25">
      <c r="A105" s="972">
        <v>544254630819</v>
      </c>
      <c r="B105" s="462" t="s">
        <v>367</v>
      </c>
      <c r="C105" s="733" t="s">
        <v>732</v>
      </c>
      <c r="D105" s="379">
        <v>0</v>
      </c>
      <c r="E105" s="961">
        <f>D105+D106</f>
        <v>0</v>
      </c>
      <c r="F105" s="971">
        <v>0</v>
      </c>
      <c r="G105" s="964">
        <f>N105</f>
        <v>0</v>
      </c>
      <c r="H105" s="965">
        <f>O105+O106</f>
        <v>0</v>
      </c>
      <c r="I105" s="967">
        <f t="shared" si="28"/>
        <v>0</v>
      </c>
      <c r="J105" s="969">
        <f>F105+G105-H105</f>
        <v>0</v>
      </c>
      <c r="K105" s="401">
        <f>SUMIF('3 D P'!D:D,FRONT!$B$55:$B$85,'3 D P'!L:L)</f>
        <v>0</v>
      </c>
      <c r="L105" s="401">
        <f>SUMIF('3 D P'!D:D,FRONT!$B$55:$B$85,'3 D P'!M:M)</f>
        <v>0</v>
      </c>
      <c r="M105" s="401">
        <f>SUMIF('3 D P'!D:D,FRONT!$B$55:$B$85,'3 D P'!N:N)</f>
        <v>0</v>
      </c>
      <c r="N105" s="373">
        <f>IFERROR(VLOOKUP($A105,'Front Dispatch'!$A:$B,2,FALSE),0)</f>
        <v>0</v>
      </c>
      <c r="O105" s="372">
        <f>SUMIF('Consumption MTD'!B:B,FRONT!$B$3:$B$129,'Consumption MTD'!C:C)</f>
        <v>0</v>
      </c>
      <c r="P105" s="372">
        <f>SUMIF('BIW Lifting A Shift'!$B:$B,FRONT!$B$89:$B$106,'BIW Lifting A Shift'!C:C)</f>
        <v>0</v>
      </c>
      <c r="Q105" s="407">
        <f>SUMIF('BIW Lifting B Shift'!$B:$B,FRONT!$B:$B,'BIW Lifting B Shift'!$C:$C)</f>
        <v>0</v>
      </c>
      <c r="R105" s="958">
        <f>J105-U105-U106</f>
        <v>0</v>
      </c>
      <c r="S105" s="958">
        <f>J105-P105-P106-U106-U105</f>
        <v>0</v>
      </c>
      <c r="T105" s="958">
        <f>S105-Q105-Q106</f>
        <v>0</v>
      </c>
      <c r="U105" s="466">
        <f>SUMIF(FLOAT!$D:$D,FRONT!$B$3:$B$119,FLOAT!F:F)</f>
        <v>0</v>
      </c>
      <c r="V105" s="473">
        <f t="shared" si="26"/>
        <v>0</v>
      </c>
      <c r="W105" s="612">
        <v>0</v>
      </c>
      <c r="X105" s="62">
        <f>SUMIF(FLOAT!$D:$D,FRONT!$B$55:$B$85,FLOAT!G:G)</f>
        <v>0</v>
      </c>
      <c r="Y105" s="53">
        <f>SUMIF(FLOAT!$D:$D,FRONT!$B$55:$B$85,FLOAT!H:H)</f>
        <v>0</v>
      </c>
      <c r="Z105" s="53">
        <f>SUMIF(FLOAT!$D:$D,FRONT!$B$55:$B$85,FLOAT!I:I)</f>
        <v>0</v>
      </c>
      <c r="AA105" s="53">
        <f>SUMIF(FLOAT!$D:$D,FRONT!$B$55:$B$85,FLOAT!J:J)</f>
        <v>0</v>
      </c>
      <c r="AB105" s="53">
        <f>SUMIF(FLOAT!$D:$D,FRONT!$B$55:$B$85,FLOAT!K:K)</f>
        <v>0</v>
      </c>
      <c r="AC105" s="53">
        <f>SUMIF(FLOAT!$D:$D,FRONT!$B$55:$B$85,FLOAT!L:L)</f>
        <v>0</v>
      </c>
      <c r="AD105" s="53">
        <f>SUMIF(FLOAT!$D:$D,FRONT!$B$55:$B$85,FLOAT!M:M)</f>
        <v>0</v>
      </c>
      <c r="AE105" s="53">
        <f>SUMIF(FLOAT!$D:$D,FRONT!$B$55:$B$85,FLOAT!N:N)</f>
        <v>0</v>
      </c>
      <c r="AF105" s="53">
        <f>SUMIF(FLOAT!$D:$D,FRONT!$B$55:$B$85,FLOAT!O:O)</f>
        <v>0</v>
      </c>
      <c r="AG105" s="53">
        <f>SUMIF(FLOAT!$D:$D,FRONT!$B$55:$B$85,FLOAT!P:P)</f>
        <v>0</v>
      </c>
      <c r="AH105" s="632">
        <f t="shared" si="27"/>
        <v>0</v>
      </c>
    </row>
    <row r="106" spans="1:34" ht="17.25" thickBot="1" x14ac:dyDescent="0.3">
      <c r="A106" s="973"/>
      <c r="B106" s="462"/>
      <c r="C106" s="733"/>
      <c r="D106" s="379">
        <v>0</v>
      </c>
      <c r="E106" s="962"/>
      <c r="F106" s="971"/>
      <c r="G106" s="964"/>
      <c r="H106" s="966"/>
      <c r="I106" s="968">
        <f t="shared" si="28"/>
        <v>0</v>
      </c>
      <c r="J106" s="970"/>
      <c r="K106" s="401">
        <f>SUMIF('3 D P'!D:D,FRONT!$B$55:$B$85,'3 D P'!L:L)</f>
        <v>0</v>
      </c>
      <c r="L106" s="401">
        <f>SUMIF('3 D P'!D:D,FRONT!$B$55:$B$85,'3 D P'!M:M)</f>
        <v>0</v>
      </c>
      <c r="M106" s="401">
        <f>SUMIF('3 D P'!D:D,FRONT!$B$55:$B$85,'3 D P'!N:N)</f>
        <v>0</v>
      </c>
      <c r="N106" s="373">
        <f>IFERROR(VLOOKUP($A106,'Front Dispatch'!$A:$B,2,FALSE),0)</f>
        <v>0</v>
      </c>
      <c r="O106" s="372">
        <f>SUMIF('Consumption MTD'!B:B,FRONT!$B$3:$B$129,'Consumption MTD'!C:C)</f>
        <v>0</v>
      </c>
      <c r="P106" s="372">
        <f>SUMIF('BIW Lifting A Shift'!$B:$B,FRONT!$B$89:$B$106,'BIW Lifting A Shift'!C:C)</f>
        <v>0</v>
      </c>
      <c r="Q106" s="407">
        <f>SUMIF('BIW Lifting B Shift'!$B:$B,FRONT!$B:$B,'BIW Lifting B Shift'!$C:$C)</f>
        <v>0</v>
      </c>
      <c r="R106" s="959"/>
      <c r="S106" s="959"/>
      <c r="T106" s="959"/>
      <c r="U106" s="466">
        <f>SUMIF(FLOAT!$D:$D,FRONT!$B$3:$B$119,FLOAT!F:F)</f>
        <v>0</v>
      </c>
      <c r="V106" s="473">
        <f t="shared" si="26"/>
        <v>0</v>
      </c>
      <c r="W106" s="612"/>
      <c r="X106" s="62">
        <f>SUMIF(FLOAT!$D:$D,FRONT!$B$55:$B$85,FLOAT!G:G)</f>
        <v>0</v>
      </c>
      <c r="Y106" s="53">
        <f>SUMIF(FLOAT!$D:$D,FRONT!$B$55:$B$85,FLOAT!H:H)</f>
        <v>0</v>
      </c>
      <c r="Z106" s="53">
        <f>SUMIF(FLOAT!$D:$D,FRONT!$B$55:$B$85,FLOAT!I:I)</f>
        <v>0</v>
      </c>
      <c r="AA106" s="53">
        <f>SUMIF(FLOAT!$D:$D,FRONT!$B$55:$B$85,FLOAT!J:J)</f>
        <v>0</v>
      </c>
      <c r="AB106" s="53">
        <f>SUMIF(FLOAT!$D:$D,FRONT!$B$55:$B$85,FLOAT!K:K)</f>
        <v>0</v>
      </c>
      <c r="AC106" s="53">
        <f>SUMIF(FLOAT!$D:$D,FRONT!$B$55:$B$85,FLOAT!L:L)</f>
        <v>0</v>
      </c>
      <c r="AD106" s="53">
        <f>SUMIF(FLOAT!$D:$D,FRONT!$B$55:$B$85,FLOAT!M:M)</f>
        <v>0</v>
      </c>
      <c r="AE106" s="53">
        <f>SUMIF(FLOAT!$D:$D,FRONT!$B$55:$B$85,FLOAT!N:N)</f>
        <v>0</v>
      </c>
      <c r="AF106" s="53">
        <f>SUMIF(FLOAT!$D:$D,FRONT!$B$55:$B$85,FLOAT!O:O)</f>
        <v>0</v>
      </c>
      <c r="AG106" s="53">
        <f>SUMIF(FLOAT!$D:$D,FRONT!$B$55:$B$85,FLOAT!P:P)</f>
        <v>0</v>
      </c>
      <c r="AH106" s="632">
        <f t="shared" si="27"/>
        <v>0</v>
      </c>
    </row>
    <row r="107" spans="1:34" ht="16.5" x14ac:dyDescent="0.25">
      <c r="A107" s="960"/>
      <c r="B107" s="462"/>
      <c r="C107" s="733"/>
      <c r="D107" s="379">
        <v>0</v>
      </c>
      <c r="E107" s="961">
        <f>D107+D108</f>
        <v>0</v>
      </c>
      <c r="F107" s="971">
        <v>0</v>
      </c>
      <c r="G107" s="964">
        <f>N107</f>
        <v>0</v>
      </c>
      <c r="H107" s="965">
        <f>O107+O108</f>
        <v>0</v>
      </c>
      <c r="I107" s="967">
        <f t="shared" si="28"/>
        <v>0</v>
      </c>
      <c r="J107" s="969">
        <f>F107+G107-H107</f>
        <v>0</v>
      </c>
      <c r="K107" s="401">
        <f>SUMIF('3 D P'!D:D,FRONT!$B$55:$B$85,'3 D P'!L:L)</f>
        <v>0</v>
      </c>
      <c r="L107" s="401">
        <f>SUMIF('3 D P'!D:D,FRONT!$B$55:$B$85,'3 D P'!M:M)</f>
        <v>0</v>
      </c>
      <c r="M107" s="401">
        <f>SUMIF('3 D P'!D:D,FRONT!$B$55:$B$85,'3 D P'!N:N)</f>
        <v>0</v>
      </c>
      <c r="N107" s="373">
        <f>IFERROR(VLOOKUP($A107,'Front Dispatch'!$A:$B,2,FALSE),0)</f>
        <v>0</v>
      </c>
      <c r="O107" s="372">
        <f>SUMIF('Consumption MTD'!B:B,FRONT!$B$3:$B$129,'Consumption MTD'!C:C)</f>
        <v>0</v>
      </c>
      <c r="P107" s="372">
        <f>SUMIF('BIW Lifting A Shift'!$B:$B,FRONT!$B$89:$B$106,'BIW Lifting A Shift'!C:C)</f>
        <v>0</v>
      </c>
      <c r="Q107" s="407">
        <f>SUMIF('BIW Lifting B Shift'!$B:$B,FRONT!$B:$B,'BIW Lifting B Shift'!$C:$C)</f>
        <v>0</v>
      </c>
      <c r="R107" s="958">
        <f>J107-U107-U108</f>
        <v>0</v>
      </c>
      <c r="S107" s="958">
        <f>J107-P107-P108-U108-U107</f>
        <v>0</v>
      </c>
      <c r="T107" s="958">
        <f>S107-Q107-Q108</f>
        <v>0</v>
      </c>
      <c r="U107" s="466">
        <f>SUMIF(FLOAT!$D:$D,FRONT!$B$3:$B$119,FLOAT!F:F)</f>
        <v>0</v>
      </c>
      <c r="V107" s="473">
        <f t="shared" si="26"/>
        <v>0</v>
      </c>
      <c r="W107" s="612"/>
      <c r="X107" s="62">
        <f>SUMIF(FLOAT!$D:$D,FRONT!$B$55:$B$85,FLOAT!G:G)</f>
        <v>0</v>
      </c>
      <c r="Y107" s="53">
        <f>SUMIF(FLOAT!$D:$D,FRONT!$B$55:$B$85,FLOAT!H:H)</f>
        <v>0</v>
      </c>
      <c r="Z107" s="53">
        <f>SUMIF(FLOAT!$D:$D,FRONT!$B$55:$B$85,FLOAT!I:I)</f>
        <v>0</v>
      </c>
      <c r="AA107" s="53">
        <f>SUMIF(FLOAT!$D:$D,FRONT!$B$55:$B$85,FLOAT!J:J)</f>
        <v>0</v>
      </c>
      <c r="AB107" s="53">
        <f>SUMIF(FLOAT!$D:$D,FRONT!$B$55:$B$85,FLOAT!K:K)</f>
        <v>0</v>
      </c>
      <c r="AC107" s="53">
        <f>SUMIF(FLOAT!$D:$D,FRONT!$B$55:$B$85,FLOAT!L:L)</f>
        <v>0</v>
      </c>
      <c r="AD107" s="53">
        <f>SUMIF(FLOAT!$D:$D,FRONT!$B$55:$B$85,FLOAT!M:M)</f>
        <v>0</v>
      </c>
      <c r="AE107" s="53">
        <f>SUMIF(FLOAT!$D:$D,FRONT!$B$55:$B$85,FLOAT!N:N)</f>
        <v>0</v>
      </c>
      <c r="AF107" s="53">
        <f>SUMIF(FLOAT!$D:$D,FRONT!$B$55:$B$85,FLOAT!O:O)</f>
        <v>0</v>
      </c>
      <c r="AG107" s="53">
        <f>SUMIF(FLOAT!$D:$D,FRONT!$B$55:$B$85,FLOAT!P:P)</f>
        <v>0</v>
      </c>
      <c r="AH107" s="632">
        <f t="shared" si="27"/>
        <v>0</v>
      </c>
    </row>
    <row r="108" spans="1:34" ht="17.25" thickBot="1" x14ac:dyDescent="0.3">
      <c r="A108" s="960"/>
      <c r="B108" s="462"/>
      <c r="C108" s="733"/>
      <c r="D108" s="379">
        <v>0</v>
      </c>
      <c r="E108" s="962"/>
      <c r="F108" s="971"/>
      <c r="G108" s="964"/>
      <c r="H108" s="966"/>
      <c r="I108" s="968">
        <f t="shared" si="28"/>
        <v>0</v>
      </c>
      <c r="J108" s="970"/>
      <c r="K108" s="401">
        <f>SUMIF('3 D P'!D:D,FRONT!$B$55:$B$85,'3 D P'!L:L)</f>
        <v>0</v>
      </c>
      <c r="L108" s="401">
        <f>SUMIF('3 D P'!D:D,FRONT!$B$55:$B$85,'3 D P'!M:M)</f>
        <v>0</v>
      </c>
      <c r="M108" s="401">
        <f>SUMIF('3 D P'!D:D,FRONT!$B$55:$B$85,'3 D P'!N:N)</f>
        <v>0</v>
      </c>
      <c r="N108" s="373">
        <f>IFERROR(VLOOKUP($A108,'Front Dispatch'!$A:$B,2,FALSE),0)</f>
        <v>0</v>
      </c>
      <c r="O108" s="372">
        <f>SUMIF('Consumption MTD'!B:B,FRONT!$B$3:$B$129,'Consumption MTD'!C:C)</f>
        <v>0</v>
      </c>
      <c r="P108" s="372">
        <f>SUMIF('BIW Lifting A Shift'!$B:$B,FRONT!$B$89:$B$106,'BIW Lifting A Shift'!C:C)</f>
        <v>0</v>
      </c>
      <c r="Q108" s="407">
        <f>SUMIF('BIW Lifting B Shift'!$B:$B,FRONT!$B:$B,'BIW Lifting B Shift'!$C:$C)</f>
        <v>0</v>
      </c>
      <c r="R108" s="959"/>
      <c r="S108" s="959"/>
      <c r="T108" s="959"/>
      <c r="U108" s="466">
        <f>SUMIF(FLOAT!$D:$D,FRONT!$B$3:$B$119,FLOAT!F:F)</f>
        <v>0</v>
      </c>
      <c r="V108" s="473">
        <f t="shared" si="26"/>
        <v>0</v>
      </c>
      <c r="W108" s="612"/>
      <c r="X108" s="62">
        <f>SUMIF(FLOAT!$D:$D,FRONT!$B$55:$B$85,FLOAT!G:G)</f>
        <v>0</v>
      </c>
      <c r="Y108" s="53">
        <f>SUMIF(FLOAT!$D:$D,FRONT!$B$55:$B$85,FLOAT!H:H)</f>
        <v>0</v>
      </c>
      <c r="Z108" s="53">
        <f>SUMIF(FLOAT!$D:$D,FRONT!$B$55:$B$85,FLOAT!I:I)</f>
        <v>0</v>
      </c>
      <c r="AA108" s="53">
        <f>SUMIF(FLOAT!$D:$D,FRONT!$B$55:$B$85,FLOAT!J:J)</f>
        <v>0</v>
      </c>
      <c r="AB108" s="53">
        <f>SUMIF(FLOAT!$D:$D,FRONT!$B$55:$B$85,FLOAT!K:K)</f>
        <v>0</v>
      </c>
      <c r="AC108" s="53">
        <f>SUMIF(FLOAT!$D:$D,FRONT!$B$55:$B$85,FLOAT!L:L)</f>
        <v>0</v>
      </c>
      <c r="AD108" s="53">
        <f>SUMIF(FLOAT!$D:$D,FRONT!$B$55:$B$85,FLOAT!M:M)</f>
        <v>0</v>
      </c>
      <c r="AE108" s="53">
        <f>SUMIF(FLOAT!$D:$D,FRONT!$B$55:$B$85,FLOAT!N:N)</f>
        <v>0</v>
      </c>
      <c r="AF108" s="53">
        <f>SUMIF(FLOAT!$D:$D,FRONT!$B$55:$B$85,FLOAT!O:O)</f>
        <v>0</v>
      </c>
      <c r="AG108" s="53">
        <f>SUMIF(FLOAT!$D:$D,FRONT!$B$55:$B$85,FLOAT!P:P)</f>
        <v>0</v>
      </c>
      <c r="AH108" s="632">
        <f t="shared" si="27"/>
        <v>0</v>
      </c>
    </row>
    <row r="109" spans="1:34" ht="16.5" x14ac:dyDescent="0.25">
      <c r="A109" s="960"/>
      <c r="B109" s="461"/>
      <c r="C109" s="733"/>
      <c r="D109" s="379">
        <v>0</v>
      </c>
      <c r="E109" s="961">
        <f>D109+D110</f>
        <v>0</v>
      </c>
      <c r="F109" s="963">
        <v>0</v>
      </c>
      <c r="G109" s="964">
        <f>N109</f>
        <v>0</v>
      </c>
      <c r="H109" s="965">
        <f>O109+O110</f>
        <v>0</v>
      </c>
      <c r="I109" s="967">
        <f t="shared" si="28"/>
        <v>0</v>
      </c>
      <c r="J109" s="969">
        <f>F109+G109-H109</f>
        <v>0</v>
      </c>
      <c r="K109" s="401">
        <f>SUMIF('3 D P'!D:D,FRONT!$B$55:$B$85,'3 D P'!L:L)</f>
        <v>0</v>
      </c>
      <c r="L109" s="401">
        <f>SUMIF('3 D P'!D:D,FRONT!$B$55:$B$85,'3 D P'!M:M)</f>
        <v>0</v>
      </c>
      <c r="M109" s="401">
        <f>SUMIF('3 D P'!D:D,FRONT!$B$55:$B$85,'3 D P'!N:N)</f>
        <v>0</v>
      </c>
      <c r="N109" s="373">
        <f>IFERROR(VLOOKUP($A109,'Front Dispatch'!$A:$B,2,FALSE),0)</f>
        <v>0</v>
      </c>
      <c r="O109" s="372">
        <f>SUMIF('Consumption MTD'!B:B,FRONT!$B$3:$B$129,'Consumption MTD'!C:C)</f>
        <v>0</v>
      </c>
      <c r="P109" s="372">
        <f>SUMIF('BIW Lifting A Shift'!$B:$B,FRONT!$B$89:$B$106,'BIW Lifting A Shift'!C:C)</f>
        <v>0</v>
      </c>
      <c r="Q109" s="407">
        <f>SUMIF('BIW Lifting B Shift'!$B:$B,FRONT!$B:$B,'BIW Lifting B Shift'!$C:$C)</f>
        <v>0</v>
      </c>
      <c r="R109" s="958">
        <f>J109-U109-U110</f>
        <v>0</v>
      </c>
      <c r="S109" s="958">
        <f>J109-P109-P110-U110-U109</f>
        <v>0</v>
      </c>
      <c r="T109" s="958">
        <f>S109-Q109-Q110</f>
        <v>0</v>
      </c>
      <c r="U109" s="466">
        <f>SUMIF(FLOAT!$D:$D,FRONT!$B$3:$B$119,FLOAT!F:F)</f>
        <v>0</v>
      </c>
      <c r="V109" s="473">
        <f t="shared" si="26"/>
        <v>0</v>
      </c>
      <c r="W109" s="612"/>
      <c r="X109" s="62">
        <f>SUMIF(FLOAT!$D:$D,FRONT!$B$55:$B$85,FLOAT!G:G)</f>
        <v>0</v>
      </c>
      <c r="Y109" s="53">
        <f>SUMIF(FLOAT!$D:$D,FRONT!$B$55:$B$85,FLOAT!H:H)</f>
        <v>0</v>
      </c>
      <c r="Z109" s="53">
        <f>SUMIF(FLOAT!$D:$D,FRONT!$B$55:$B$85,FLOAT!I:I)</f>
        <v>0</v>
      </c>
      <c r="AA109" s="53">
        <f>SUMIF(FLOAT!$D:$D,FRONT!$B$55:$B$85,FLOAT!J:J)</f>
        <v>0</v>
      </c>
      <c r="AB109" s="53">
        <f>SUMIF(FLOAT!$D:$D,FRONT!$B$55:$B$85,FLOAT!K:K)</f>
        <v>0</v>
      </c>
      <c r="AC109" s="53">
        <f>SUMIF(FLOAT!$D:$D,FRONT!$B$55:$B$85,FLOAT!L:L)</f>
        <v>0</v>
      </c>
      <c r="AD109" s="53">
        <f>SUMIF(FLOAT!$D:$D,FRONT!$B$55:$B$85,FLOAT!M:M)</f>
        <v>0</v>
      </c>
      <c r="AE109" s="53">
        <f>SUMIF(FLOAT!$D:$D,FRONT!$B$55:$B$85,FLOAT!N:N)</f>
        <v>0</v>
      </c>
      <c r="AF109" s="53">
        <f>SUMIF(FLOAT!$D:$D,FRONT!$B$55:$B$85,FLOAT!O:O)</f>
        <v>0</v>
      </c>
      <c r="AG109" s="53">
        <f>SUMIF(FLOAT!$D:$D,FRONT!$B$55:$B$85,FLOAT!P:P)</f>
        <v>0</v>
      </c>
      <c r="AH109" s="632">
        <f t="shared" si="27"/>
        <v>0</v>
      </c>
    </row>
    <row r="110" spans="1:34" ht="16.5" x14ac:dyDescent="0.25">
      <c r="A110" s="960"/>
      <c r="B110" s="461"/>
      <c r="C110" s="733"/>
      <c r="D110" s="379">
        <v>0</v>
      </c>
      <c r="E110" s="962"/>
      <c r="F110" s="963"/>
      <c r="G110" s="964"/>
      <c r="H110" s="966"/>
      <c r="I110" s="968">
        <f t="shared" si="28"/>
        <v>0</v>
      </c>
      <c r="J110" s="970"/>
      <c r="K110" s="401">
        <f>SUMIF('3 D P'!D:D,FRONT!$B$55:$B$85,'3 D P'!L:L)</f>
        <v>0</v>
      </c>
      <c r="L110" s="401">
        <f>SUMIF('3 D P'!D:D,FRONT!$B$55:$B$85,'3 D P'!M:M)</f>
        <v>0</v>
      </c>
      <c r="M110" s="401">
        <f>SUMIF('3 D P'!D:D,FRONT!$B$55:$B$85,'3 D P'!N:N)</f>
        <v>0</v>
      </c>
      <c r="N110" s="373">
        <f>IFERROR(VLOOKUP($A110,'Front Dispatch'!$A:$B,2,FALSE),0)</f>
        <v>0</v>
      </c>
      <c r="O110" s="372">
        <f>SUMIF('Consumption MTD'!B:B,FRONT!$B$3:$B$129,'Consumption MTD'!C:C)</f>
        <v>0</v>
      </c>
      <c r="P110" s="372">
        <f>SUMIF('BIW Lifting A Shift'!$B:$B,FRONT!$B$89:$B$106,'BIW Lifting A Shift'!C:C)</f>
        <v>0</v>
      </c>
      <c r="Q110" s="407">
        <f>SUMIF('BIW Lifting B Shift'!$B:$B,FRONT!$B:$B,'BIW Lifting B Shift'!$C:$C)</f>
        <v>0</v>
      </c>
      <c r="R110" s="959"/>
      <c r="S110" s="959"/>
      <c r="T110" s="959"/>
      <c r="U110" s="466">
        <f>SUMIF(FLOAT!$D:$D,FRONT!$B$3:$B$119,FLOAT!F:F)</f>
        <v>0</v>
      </c>
      <c r="V110" s="473">
        <f t="shared" si="26"/>
        <v>0</v>
      </c>
      <c r="W110" s="612"/>
      <c r="X110" s="62">
        <f>SUMIF(FLOAT!$D:$D,FRONT!$B$55:$B$85,FLOAT!G:G)</f>
        <v>0</v>
      </c>
      <c r="Y110" s="53">
        <f>SUMIF(FLOAT!$D:$D,FRONT!$B$55:$B$85,FLOAT!H:H)</f>
        <v>0</v>
      </c>
      <c r="Z110" s="53">
        <f>SUMIF(FLOAT!$D:$D,FRONT!$B$55:$B$85,FLOAT!I:I)</f>
        <v>0</v>
      </c>
      <c r="AA110" s="53">
        <f>SUMIF(FLOAT!$D:$D,FRONT!$B$55:$B$85,FLOAT!J:J)</f>
        <v>0</v>
      </c>
      <c r="AB110" s="53">
        <f>SUMIF(FLOAT!$D:$D,FRONT!$B$55:$B$85,FLOAT!K:K)</f>
        <v>0</v>
      </c>
      <c r="AC110" s="53">
        <f>SUMIF(FLOAT!$D:$D,FRONT!$B$55:$B$85,FLOAT!L:L)</f>
        <v>0</v>
      </c>
      <c r="AD110" s="53">
        <f>SUMIF(FLOAT!$D:$D,FRONT!$B$55:$B$85,FLOAT!M:M)</f>
        <v>0</v>
      </c>
      <c r="AE110" s="53">
        <f>SUMIF(FLOAT!$D:$D,FRONT!$B$55:$B$85,FLOAT!N:N)</f>
        <v>0</v>
      </c>
      <c r="AF110" s="53">
        <f>SUMIF(FLOAT!$D:$D,FRONT!$B$55:$B$85,FLOAT!O:O)</f>
        <v>0</v>
      </c>
      <c r="AG110" s="53">
        <f>SUMIF(FLOAT!$D:$D,FRONT!$B$55:$B$85,FLOAT!P:P)</f>
        <v>0</v>
      </c>
      <c r="AH110" s="632">
        <f t="shared" si="27"/>
        <v>0</v>
      </c>
    </row>
    <row r="111" spans="1:34" ht="16.5" x14ac:dyDescent="0.25">
      <c r="A111" s="779"/>
      <c r="B111" s="461"/>
      <c r="C111" s="733"/>
      <c r="D111" s="379">
        <v>0</v>
      </c>
      <c r="E111" s="374">
        <f>D111</f>
        <v>0</v>
      </c>
      <c r="F111" s="530">
        <v>0</v>
      </c>
      <c r="G111" s="376">
        <f t="shared" ref="G111:G119" si="29">N111</f>
        <v>0</v>
      </c>
      <c r="H111" s="375">
        <f t="shared" ref="H111:H119" si="30">O111</f>
        <v>0</v>
      </c>
      <c r="I111" s="399">
        <f t="shared" si="28"/>
        <v>0</v>
      </c>
      <c r="J111" s="404">
        <f>F111+G111-H111</f>
        <v>0</v>
      </c>
      <c r="K111" s="401">
        <f>SUMIF('3 D P'!D:D,FRONT!$B$55:$B$85,'3 D P'!L:L)</f>
        <v>0</v>
      </c>
      <c r="L111" s="401">
        <f>SUMIF('3 D P'!D:D,FRONT!$B$55:$B$85,'3 D P'!M:M)</f>
        <v>0</v>
      </c>
      <c r="M111" s="401">
        <f>SUMIF('3 D P'!D:D,FRONT!$B$55:$B$85,'3 D P'!N:N)</f>
        <v>0</v>
      </c>
      <c r="N111" s="373">
        <f>IFERROR(VLOOKUP($A111,'Front Dispatch'!$A:$B,2,FALSE),0)</f>
        <v>0</v>
      </c>
      <c r="O111" s="372">
        <f>SUMIF('Consumption MTD'!B:B,FRONT!$B$3:$B$129,'Consumption MTD'!C:C)</f>
        <v>0</v>
      </c>
      <c r="P111" s="372">
        <f>SUMIF('BIW Lifting A Shift'!$B:$B,FRONT!$B$89:$B$106,'BIW Lifting A Shift'!C:C)</f>
        <v>0</v>
      </c>
      <c r="Q111" s="407">
        <f>SUMIF('BIW Lifting B Shift'!$B:$B,FRONT!$B:$B,'BIW Lifting B Shift'!$C:$C)</f>
        <v>0</v>
      </c>
      <c r="R111" s="406">
        <f>J111-U111</f>
        <v>0</v>
      </c>
      <c r="S111" s="406">
        <f>J111-P111-U111</f>
        <v>0</v>
      </c>
      <c r="T111" s="406">
        <f>S111-Q111</f>
        <v>0</v>
      </c>
      <c r="U111" s="466">
        <f>SUMIF(FLOAT!$D:$D,FRONT!$B$3:$B$119,FLOAT!F:F)</f>
        <v>0</v>
      </c>
      <c r="V111" s="473">
        <f t="shared" si="26"/>
        <v>0</v>
      </c>
      <c r="W111" s="612"/>
      <c r="X111" s="62">
        <f>SUMIF(FLOAT!$D:$D,FRONT!$B$55:$B$85,FLOAT!G:G)</f>
        <v>0</v>
      </c>
      <c r="Y111" s="53">
        <f>SUMIF(FLOAT!$D:$D,FRONT!$B$55:$B$85,FLOAT!H:H)</f>
        <v>0</v>
      </c>
      <c r="Z111" s="53">
        <f>SUMIF(FLOAT!$D:$D,FRONT!$B$55:$B$85,FLOAT!I:I)</f>
        <v>0</v>
      </c>
      <c r="AA111" s="53">
        <f>SUMIF(FLOAT!$D:$D,FRONT!$B$55:$B$85,FLOAT!J:J)</f>
        <v>0</v>
      </c>
      <c r="AB111" s="53">
        <f>SUMIF(FLOAT!$D:$D,FRONT!$B$55:$B$85,FLOAT!K:K)</f>
        <v>0</v>
      </c>
      <c r="AC111" s="53">
        <f>SUMIF(FLOAT!$D:$D,FRONT!$B$55:$B$85,FLOAT!L:L)</f>
        <v>0</v>
      </c>
      <c r="AD111" s="53">
        <f>SUMIF(FLOAT!$D:$D,FRONT!$B$55:$B$85,FLOAT!M:M)</f>
        <v>0</v>
      </c>
      <c r="AE111" s="53">
        <f>SUMIF(FLOAT!$D:$D,FRONT!$B$55:$B$85,FLOAT!N:N)</f>
        <v>0</v>
      </c>
      <c r="AF111" s="53">
        <f>SUMIF(FLOAT!$D:$D,FRONT!$B$55:$B$85,FLOAT!O:O)</f>
        <v>0</v>
      </c>
      <c r="AG111" s="53">
        <f>SUMIF(FLOAT!$D:$D,FRONT!$B$55:$B$85,FLOAT!P:P)</f>
        <v>0</v>
      </c>
      <c r="AH111" s="632">
        <f t="shared" si="27"/>
        <v>0</v>
      </c>
    </row>
    <row r="112" spans="1:34" ht="16.5" x14ac:dyDescent="0.25">
      <c r="A112" s="779"/>
      <c r="B112" s="461"/>
      <c r="C112" s="733"/>
      <c r="D112" s="379">
        <v>0</v>
      </c>
      <c r="E112" s="374">
        <f>D112</f>
        <v>0</v>
      </c>
      <c r="F112" s="410">
        <v>0</v>
      </c>
      <c r="G112" s="376">
        <f t="shared" si="29"/>
        <v>0</v>
      </c>
      <c r="H112" s="375">
        <f t="shared" si="30"/>
        <v>0</v>
      </c>
      <c r="I112" s="399">
        <f t="shared" si="28"/>
        <v>0</v>
      </c>
      <c r="J112" s="404">
        <f>F112+G112-H112</f>
        <v>0</v>
      </c>
      <c r="K112" s="401">
        <f>SUMIF('3 D P'!D:D,FRONT!$B$55:$B$85,'3 D P'!L:L)</f>
        <v>0</v>
      </c>
      <c r="L112" s="401">
        <f>SUMIF('3 D P'!D:D,FRONT!$B$55:$B$85,'3 D P'!M:M)</f>
        <v>0</v>
      </c>
      <c r="M112" s="401">
        <f>SUMIF('3 D P'!D:D,FRONT!$B$55:$B$85,'3 D P'!N:N)</f>
        <v>0</v>
      </c>
      <c r="N112" s="373">
        <f>IFERROR(VLOOKUP($A112,'Front Dispatch'!$A:$B,2,FALSE),0)</f>
        <v>0</v>
      </c>
      <c r="O112" s="372">
        <f>SUMIF('Consumption MTD'!B:B,FRONT!$B$3:$B$129,'Consumption MTD'!C:C)</f>
        <v>0</v>
      </c>
      <c r="P112" s="372">
        <f>SUMIF('BIW Lifting A Shift'!$B:$B,FRONT!$B$89:$B$106,'BIW Lifting A Shift'!C:C)</f>
        <v>0</v>
      </c>
      <c r="Q112" s="407">
        <f>SUMIF('BIW Lifting B Shift'!$B:$B,FRONT!$B:$B,'BIW Lifting B Shift'!$C:$C)</f>
        <v>0</v>
      </c>
      <c r="R112" s="406">
        <f>J112-U112</f>
        <v>0</v>
      </c>
      <c r="S112" s="406">
        <f>J112-P112-U112</f>
        <v>0</v>
      </c>
      <c r="T112" s="406">
        <f>S112-Q112</f>
        <v>0</v>
      </c>
      <c r="U112" s="466">
        <f>SUMIF(FLOAT!$D:$D,FRONT!$B$3:$B$119,FLOAT!F:F)</f>
        <v>0</v>
      </c>
      <c r="V112" s="473">
        <f t="shared" si="26"/>
        <v>0</v>
      </c>
      <c r="W112" s="612"/>
      <c r="X112" s="62">
        <f>SUMIF(FLOAT!$D:$D,FRONT!$B$55:$B$85,FLOAT!G:G)</f>
        <v>0</v>
      </c>
      <c r="Y112" s="53">
        <f>SUMIF(FLOAT!$D:$D,FRONT!$B$55:$B$85,FLOAT!H:H)</f>
        <v>0</v>
      </c>
      <c r="Z112" s="53">
        <f>SUMIF(FLOAT!$D:$D,FRONT!$B$55:$B$85,FLOAT!I:I)</f>
        <v>0</v>
      </c>
      <c r="AA112" s="53">
        <f>SUMIF(FLOAT!$D:$D,FRONT!$B$55:$B$85,FLOAT!J:J)</f>
        <v>0</v>
      </c>
      <c r="AB112" s="53">
        <f>SUMIF(FLOAT!$D:$D,FRONT!$B$55:$B$85,FLOAT!K:K)</f>
        <v>0</v>
      </c>
      <c r="AC112" s="53">
        <f>SUMIF(FLOAT!$D:$D,FRONT!$B$55:$B$85,FLOAT!L:L)</f>
        <v>0</v>
      </c>
      <c r="AD112" s="53">
        <f>SUMIF(FLOAT!$D:$D,FRONT!$B$55:$B$85,FLOAT!M:M)</f>
        <v>0</v>
      </c>
      <c r="AE112" s="53">
        <f>SUMIF(FLOAT!$D:$D,FRONT!$B$55:$B$85,FLOAT!N:N)</f>
        <v>0</v>
      </c>
      <c r="AF112" s="53">
        <f>SUMIF(FLOAT!$D:$D,FRONT!$B$55:$B$85,FLOAT!O:O)</f>
        <v>0</v>
      </c>
      <c r="AG112" s="53">
        <f>SUMIF(FLOAT!$D:$D,FRONT!$B$55:$B$85,FLOAT!P:P)</f>
        <v>0</v>
      </c>
      <c r="AH112" s="632">
        <f t="shared" si="27"/>
        <v>0</v>
      </c>
    </row>
    <row r="113" spans="1:34" ht="16.5" x14ac:dyDescent="0.25">
      <c r="A113" s="779"/>
      <c r="B113" s="521"/>
      <c r="C113" s="733"/>
      <c r="D113" s="379">
        <v>0</v>
      </c>
      <c r="E113" s="374">
        <f>D113</f>
        <v>0</v>
      </c>
      <c r="F113" s="410">
        <v>0</v>
      </c>
      <c r="G113" s="376">
        <f t="shared" si="29"/>
        <v>0</v>
      </c>
      <c r="H113" s="375">
        <f t="shared" si="30"/>
        <v>0</v>
      </c>
      <c r="I113" s="399">
        <f t="shared" si="28"/>
        <v>0</v>
      </c>
      <c r="J113" s="404">
        <f>F113+G113-H113</f>
        <v>0</v>
      </c>
      <c r="K113" s="401">
        <f>SUMIF('3 D P'!D:D,FRONT!$B$55:$B$85,'3 D P'!L:L)</f>
        <v>0</v>
      </c>
      <c r="L113" s="401">
        <f>SUMIF('3 D P'!D:D,FRONT!$B$55:$B$85,'3 D P'!M:M)</f>
        <v>0</v>
      </c>
      <c r="M113" s="401">
        <f>SUMIF('3 D P'!D:D,FRONT!$B$55:$B$85,'3 D P'!N:N)</f>
        <v>0</v>
      </c>
      <c r="N113" s="373">
        <f>IFERROR(VLOOKUP($A113,'Front Dispatch'!$A:$B,2,FALSE),0)</f>
        <v>0</v>
      </c>
      <c r="O113" s="372">
        <f>SUMIF('Consumption MTD'!B:B,FRONT!$B$3:$B$129,'Consumption MTD'!C:C)</f>
        <v>0</v>
      </c>
      <c r="P113" s="372">
        <f>SUMIF('BIW Lifting A Shift'!$B:$B,FRONT!$B$89:$B$106,'BIW Lifting A Shift'!C:C)</f>
        <v>0</v>
      </c>
      <c r="Q113" s="407">
        <f>SUMIF('BIW Lifting B Shift'!$B:$B,FRONT!$B:$B,'BIW Lifting B Shift'!$C:$C)</f>
        <v>0</v>
      </c>
      <c r="R113" s="406">
        <f>J113-U113</f>
        <v>0</v>
      </c>
      <c r="S113" s="406">
        <f>J113-P113-U113</f>
        <v>0</v>
      </c>
      <c r="T113" s="406">
        <f>S113-Q113</f>
        <v>0</v>
      </c>
      <c r="U113" s="466">
        <f>SUMIF(FLOAT!$D:$D,FRONT!$B$3:$B$119,FLOAT!F:F)</f>
        <v>0</v>
      </c>
      <c r="V113" s="473">
        <f t="shared" si="26"/>
        <v>0</v>
      </c>
      <c r="W113" s="612"/>
      <c r="X113" s="62">
        <f>SUMIF(FLOAT!$D:$D,FRONT!$B$55:$B$85,FLOAT!G:G)</f>
        <v>0</v>
      </c>
      <c r="Y113" s="53">
        <f>SUMIF(FLOAT!$D:$D,FRONT!$B$55:$B$85,FLOAT!H:H)</f>
        <v>0</v>
      </c>
      <c r="Z113" s="53">
        <f>SUMIF(FLOAT!$D:$D,FRONT!$B$55:$B$85,FLOAT!I:I)</f>
        <v>0</v>
      </c>
      <c r="AA113" s="53">
        <f>SUMIF(FLOAT!$D:$D,FRONT!$B$55:$B$85,FLOAT!J:J)</f>
        <v>0</v>
      </c>
      <c r="AB113" s="53">
        <f>SUMIF(FLOAT!$D:$D,FRONT!$B$55:$B$85,FLOAT!K:K)</f>
        <v>0</v>
      </c>
      <c r="AC113" s="53">
        <f>SUMIF(FLOAT!$D:$D,FRONT!$B$55:$B$85,FLOAT!L:L)</f>
        <v>0</v>
      </c>
      <c r="AD113" s="53">
        <f>SUMIF(FLOAT!$D:$D,FRONT!$B$55:$B$85,FLOAT!M:M)</f>
        <v>0</v>
      </c>
      <c r="AE113" s="53">
        <f>SUMIF(FLOAT!$D:$D,FRONT!$B$55:$B$85,FLOAT!N:N)</f>
        <v>0</v>
      </c>
      <c r="AF113" s="53">
        <f>SUMIF(FLOAT!$D:$D,FRONT!$B$55:$B$85,FLOAT!O:O)</f>
        <v>0</v>
      </c>
      <c r="AG113" s="53">
        <f>SUMIF(FLOAT!$D:$D,FRONT!$B$55:$B$85,FLOAT!P:P)</f>
        <v>0</v>
      </c>
      <c r="AH113" s="632">
        <f t="shared" si="27"/>
        <v>0</v>
      </c>
    </row>
    <row r="114" spans="1:34" ht="16.5" x14ac:dyDescent="0.25">
      <c r="A114" s="779"/>
      <c r="B114" s="462"/>
      <c r="C114" s="733"/>
      <c r="D114" s="379">
        <v>0</v>
      </c>
      <c r="E114" s="374">
        <f t="shared" ref="E114:E119" si="31">D114</f>
        <v>0</v>
      </c>
      <c r="F114" s="530">
        <v>0</v>
      </c>
      <c r="G114" s="376">
        <f t="shared" si="29"/>
        <v>0</v>
      </c>
      <c r="H114" s="375">
        <f t="shared" si="30"/>
        <v>0</v>
      </c>
      <c r="I114" s="399">
        <f t="shared" si="28"/>
        <v>0</v>
      </c>
      <c r="J114" s="404">
        <f t="shared" ref="J114:J119" si="32">F114+G114-H114</f>
        <v>0</v>
      </c>
      <c r="K114" s="401">
        <f>SUMIF('3 D P'!D:D,FRONT!$B$55:$B$85,'3 D P'!L:L)</f>
        <v>0</v>
      </c>
      <c r="L114" s="401">
        <f>SUMIF('3 D P'!D:D,FRONT!$B$55:$B$85,'3 D P'!M:M)</f>
        <v>0</v>
      </c>
      <c r="M114" s="401">
        <f>SUMIF('3 D P'!D:D,FRONT!$B$55:$B$85,'3 D P'!N:N)</f>
        <v>0</v>
      </c>
      <c r="N114" s="373">
        <f>IFERROR(VLOOKUP($A114,'Front Dispatch'!$A:$B,2,FALSE),0)</f>
        <v>0</v>
      </c>
      <c r="O114" s="372">
        <f>SUMIF('Consumption MTD'!B:B,FRONT!$B$3:$B$129,'Consumption MTD'!C:C)</f>
        <v>0</v>
      </c>
      <c r="P114" s="372">
        <f>SUMIF('BIW Lifting A Shift'!$B:$B,FRONT!$B$89:$B$106,'BIW Lifting A Shift'!C:C)</f>
        <v>0</v>
      </c>
      <c r="Q114" s="407">
        <f>SUMIF('BIW Lifting B Shift'!$B:$B,FRONT!$B:$B,'BIW Lifting B Shift'!$C:$C)</f>
        <v>0</v>
      </c>
      <c r="R114" s="406">
        <f t="shared" ref="R114:R119" si="33">J114-U114</f>
        <v>0</v>
      </c>
      <c r="S114" s="406">
        <f t="shared" ref="S114:S119" si="34">J114-P114-U114</f>
        <v>0</v>
      </c>
      <c r="T114" s="406">
        <f t="shared" ref="T114:T119" si="35">S114-Q114</f>
        <v>0</v>
      </c>
      <c r="U114" s="466">
        <f>SUMIF(FLOAT!$D:$D,FRONT!$B$3:$B$119,FLOAT!F:F)</f>
        <v>0</v>
      </c>
      <c r="V114" s="473">
        <f t="shared" si="26"/>
        <v>0</v>
      </c>
      <c r="W114" s="612"/>
      <c r="X114" s="62">
        <f>SUMIF(FLOAT!$D:$D,FRONT!$B$55:$B$85,FLOAT!G:G)</f>
        <v>0</v>
      </c>
      <c r="Y114" s="53">
        <f>SUMIF(FLOAT!$D:$D,FRONT!$B$55:$B$85,FLOAT!H:H)</f>
        <v>0</v>
      </c>
      <c r="Z114" s="53">
        <f>SUMIF(FLOAT!$D:$D,FRONT!$B$55:$B$85,FLOAT!I:I)</f>
        <v>0</v>
      </c>
      <c r="AA114" s="53">
        <f>SUMIF(FLOAT!$D:$D,FRONT!$B$55:$B$85,FLOAT!J:J)</f>
        <v>0</v>
      </c>
      <c r="AB114" s="53">
        <f>SUMIF(FLOAT!$D:$D,FRONT!$B$55:$B$85,FLOAT!K:K)</f>
        <v>0</v>
      </c>
      <c r="AC114" s="53">
        <f>SUMIF(FLOAT!$D:$D,FRONT!$B$55:$B$85,FLOAT!L:L)</f>
        <v>0</v>
      </c>
      <c r="AD114" s="53">
        <f>SUMIF(FLOAT!$D:$D,FRONT!$B$55:$B$85,FLOAT!M:M)</f>
        <v>0</v>
      </c>
      <c r="AE114" s="53">
        <f>SUMIF(FLOAT!$D:$D,FRONT!$B$55:$B$85,FLOAT!N:N)</f>
        <v>0</v>
      </c>
      <c r="AF114" s="53">
        <f>SUMIF(FLOAT!$D:$D,FRONT!$B$55:$B$85,FLOAT!O:O)</f>
        <v>0</v>
      </c>
      <c r="AG114" s="53">
        <f>SUMIF(FLOAT!$D:$D,FRONT!$B$55:$B$85,FLOAT!P:P)</f>
        <v>0</v>
      </c>
      <c r="AH114" s="632">
        <f t="shared" si="27"/>
        <v>0</v>
      </c>
    </row>
    <row r="115" spans="1:34" ht="16.5" x14ac:dyDescent="0.25">
      <c r="A115" s="781"/>
      <c r="B115" s="462"/>
      <c r="C115" s="733"/>
      <c r="D115" s="379">
        <v>0</v>
      </c>
      <c r="E115" s="374">
        <f t="shared" si="31"/>
        <v>0</v>
      </c>
      <c r="F115" s="530">
        <v>0</v>
      </c>
      <c r="G115" s="376">
        <f t="shared" si="29"/>
        <v>0</v>
      </c>
      <c r="H115" s="375">
        <f t="shared" si="30"/>
        <v>0</v>
      </c>
      <c r="I115" s="399">
        <f t="shared" si="28"/>
        <v>0</v>
      </c>
      <c r="J115" s="404">
        <f t="shared" si="32"/>
        <v>0</v>
      </c>
      <c r="K115" s="401">
        <f>SUMIF('3 D P'!D:D,FRONT!$B$55:$B$85,'3 D P'!L:L)</f>
        <v>0</v>
      </c>
      <c r="L115" s="401">
        <f>SUMIF('3 D P'!D:D,FRONT!$B$55:$B$85,'3 D P'!M:M)</f>
        <v>0</v>
      </c>
      <c r="M115" s="401">
        <f>SUMIF('3 D P'!D:D,FRONT!$B$55:$B$85,'3 D P'!N:N)</f>
        <v>0</v>
      </c>
      <c r="N115" s="373">
        <f>IFERROR(VLOOKUP($A115,'Front Dispatch'!$A:$B,2,FALSE),0)</f>
        <v>0</v>
      </c>
      <c r="O115" s="372">
        <f>SUMIF('Consumption MTD'!B:B,FRONT!$B$3:$B$129,'Consumption MTD'!C:C)</f>
        <v>0</v>
      </c>
      <c r="P115" s="372">
        <f>SUMIF('BIW Lifting A Shift'!$B:$B,FRONT!$B$89:$B$106,'BIW Lifting A Shift'!C:C)</f>
        <v>0</v>
      </c>
      <c r="Q115" s="407">
        <f>SUMIF('BIW Lifting B Shift'!$B:$B,FRONT!$B:$B,'BIW Lifting B Shift'!$C:$C)</f>
        <v>0</v>
      </c>
      <c r="R115" s="406">
        <f t="shared" si="33"/>
        <v>0</v>
      </c>
      <c r="S115" s="406">
        <f t="shared" si="34"/>
        <v>0</v>
      </c>
      <c r="T115" s="406">
        <f t="shared" si="35"/>
        <v>0</v>
      </c>
      <c r="U115" s="466">
        <f>SUMIF(FLOAT!$D:$D,FRONT!$B$3:$B$119,FLOAT!F:F)</f>
        <v>0</v>
      </c>
      <c r="V115" s="473">
        <f t="shared" si="26"/>
        <v>0</v>
      </c>
      <c r="W115" s="612"/>
      <c r="X115" s="62">
        <f>SUMIF(FLOAT!$D:$D,FRONT!$B$55:$B$85,FLOAT!G:G)</f>
        <v>0</v>
      </c>
      <c r="Y115" s="53">
        <f>SUMIF(FLOAT!$D:$D,FRONT!$B$55:$B$85,FLOAT!H:H)</f>
        <v>0</v>
      </c>
      <c r="Z115" s="53">
        <f>SUMIF(FLOAT!$D:$D,FRONT!$B$55:$B$85,FLOAT!I:I)</f>
        <v>0</v>
      </c>
      <c r="AA115" s="53">
        <f>SUMIF(FLOAT!$D:$D,FRONT!$B$55:$B$85,FLOAT!J:J)</f>
        <v>0</v>
      </c>
      <c r="AB115" s="53">
        <f>SUMIF(FLOAT!$D:$D,FRONT!$B$55:$B$85,FLOAT!K:K)</f>
        <v>0</v>
      </c>
      <c r="AC115" s="53">
        <f>SUMIF(FLOAT!$D:$D,FRONT!$B$55:$B$85,FLOAT!L:L)</f>
        <v>0</v>
      </c>
      <c r="AD115" s="53">
        <f>SUMIF(FLOAT!$D:$D,FRONT!$B$55:$B$85,FLOAT!M:M)</f>
        <v>0</v>
      </c>
      <c r="AE115" s="53">
        <f>SUMIF(FLOAT!$D:$D,FRONT!$B$55:$B$85,FLOAT!N:N)</f>
        <v>0</v>
      </c>
      <c r="AF115" s="53">
        <f>SUMIF(FLOAT!$D:$D,FRONT!$B$55:$B$85,FLOAT!O:O)</f>
        <v>0</v>
      </c>
      <c r="AG115" s="53">
        <f>SUMIF(FLOAT!$D:$D,FRONT!$B$55:$B$85,FLOAT!P:P)</f>
        <v>0</v>
      </c>
      <c r="AH115" s="632">
        <f t="shared" si="27"/>
        <v>0</v>
      </c>
    </row>
    <row r="116" spans="1:34" ht="16.5" x14ac:dyDescent="0.25">
      <c r="A116" s="781"/>
      <c r="B116" s="462"/>
      <c r="C116" s="733"/>
      <c r="D116" s="379">
        <v>0</v>
      </c>
      <c r="E116" s="374">
        <f t="shared" si="31"/>
        <v>0</v>
      </c>
      <c r="F116" s="530">
        <v>0</v>
      </c>
      <c r="G116" s="376">
        <f t="shared" si="29"/>
        <v>0</v>
      </c>
      <c r="H116" s="375">
        <f t="shared" si="30"/>
        <v>0</v>
      </c>
      <c r="I116" s="399">
        <f t="shared" si="28"/>
        <v>0</v>
      </c>
      <c r="J116" s="404">
        <f t="shared" si="32"/>
        <v>0</v>
      </c>
      <c r="K116" s="401">
        <f>SUMIF('3 D P'!D:D,FRONT!$B$55:$B$85,'3 D P'!L:L)</f>
        <v>0</v>
      </c>
      <c r="L116" s="401">
        <f>SUMIF('3 D P'!D:D,FRONT!$B$55:$B$85,'3 D P'!M:M)</f>
        <v>0</v>
      </c>
      <c r="M116" s="401">
        <f>SUMIF('3 D P'!D:D,FRONT!$B$55:$B$85,'3 D P'!N:N)</f>
        <v>0</v>
      </c>
      <c r="N116" s="373">
        <f>IFERROR(VLOOKUP($A116,'Front Dispatch'!$A:$B,2,FALSE),0)</f>
        <v>0</v>
      </c>
      <c r="O116" s="372">
        <f>SUMIF('Consumption MTD'!B:B,FRONT!$B$3:$B$129,'Consumption MTD'!C:C)</f>
        <v>0</v>
      </c>
      <c r="P116" s="372">
        <f>SUMIF('BIW Lifting A Shift'!$B:$B,FRONT!$B$89:$B$106,'BIW Lifting A Shift'!C:C)</f>
        <v>0</v>
      </c>
      <c r="Q116" s="407">
        <f>SUMIF('BIW Lifting B Shift'!$B:$B,FRONT!$B:$B,'BIW Lifting B Shift'!$C:$C)</f>
        <v>0</v>
      </c>
      <c r="R116" s="406">
        <f t="shared" si="33"/>
        <v>0</v>
      </c>
      <c r="S116" s="406">
        <f t="shared" si="34"/>
        <v>0</v>
      </c>
      <c r="T116" s="406">
        <f t="shared" si="35"/>
        <v>0</v>
      </c>
      <c r="U116" s="466">
        <f>SUMIF(FLOAT!$D:$D,FRONT!$B$3:$B$119,FLOAT!F:F)</f>
        <v>0</v>
      </c>
      <c r="V116" s="473">
        <f t="shared" si="26"/>
        <v>0</v>
      </c>
      <c r="W116" s="612"/>
      <c r="X116" s="62">
        <f>SUMIF(FLOAT!$D:$D,FRONT!$B$55:$B$85,FLOAT!G:G)</f>
        <v>0</v>
      </c>
      <c r="Y116" s="53">
        <f>SUMIF(FLOAT!$D:$D,FRONT!$B$55:$B$85,FLOAT!H:H)</f>
        <v>0</v>
      </c>
      <c r="Z116" s="53">
        <f>SUMIF(FLOAT!$D:$D,FRONT!$B$55:$B$85,FLOAT!I:I)</f>
        <v>0</v>
      </c>
      <c r="AA116" s="53">
        <f>SUMIF(FLOAT!$D:$D,FRONT!$B$55:$B$85,FLOAT!J:J)</f>
        <v>0</v>
      </c>
      <c r="AB116" s="53">
        <f>SUMIF(FLOAT!$D:$D,FRONT!$B$55:$B$85,FLOAT!K:K)</f>
        <v>0</v>
      </c>
      <c r="AC116" s="53">
        <f>SUMIF(FLOAT!$D:$D,FRONT!$B$55:$B$85,FLOAT!L:L)</f>
        <v>0</v>
      </c>
      <c r="AD116" s="53">
        <f>SUMIF(FLOAT!$D:$D,FRONT!$B$55:$B$85,FLOAT!M:M)</f>
        <v>0</v>
      </c>
      <c r="AE116" s="53">
        <f>SUMIF(FLOAT!$D:$D,FRONT!$B$55:$B$85,FLOAT!N:N)</f>
        <v>0</v>
      </c>
      <c r="AF116" s="53">
        <f>SUMIF(FLOAT!$D:$D,FRONT!$B$55:$B$85,FLOAT!O:O)</f>
        <v>0</v>
      </c>
      <c r="AG116" s="53">
        <f>SUMIF(FLOAT!$D:$D,FRONT!$B$55:$B$85,FLOAT!P:P)</f>
        <v>0</v>
      </c>
      <c r="AH116" s="632">
        <f t="shared" si="27"/>
        <v>0</v>
      </c>
    </row>
    <row r="117" spans="1:34" ht="16.5" x14ac:dyDescent="0.25">
      <c r="A117" s="781"/>
      <c r="B117" s="462"/>
      <c r="C117" s="733"/>
      <c r="D117" s="379">
        <v>0</v>
      </c>
      <c r="E117" s="374">
        <f t="shared" si="31"/>
        <v>0</v>
      </c>
      <c r="F117" s="410">
        <v>0</v>
      </c>
      <c r="G117" s="376">
        <f t="shared" si="29"/>
        <v>0</v>
      </c>
      <c r="H117" s="375">
        <f t="shared" si="30"/>
        <v>0</v>
      </c>
      <c r="I117" s="399">
        <f t="shared" si="28"/>
        <v>0</v>
      </c>
      <c r="J117" s="404">
        <f t="shared" si="32"/>
        <v>0</v>
      </c>
      <c r="K117" s="401">
        <f>SUMIF('3 D P'!D:D,FRONT!$B$55:$B$85,'3 D P'!L:L)</f>
        <v>0</v>
      </c>
      <c r="L117" s="401">
        <f>SUMIF('3 D P'!D:D,FRONT!$B$55:$B$85,'3 D P'!M:M)</f>
        <v>0</v>
      </c>
      <c r="M117" s="401">
        <f>SUMIF('3 D P'!D:D,FRONT!$B$55:$B$85,'3 D P'!N:N)</f>
        <v>0</v>
      </c>
      <c r="N117" s="373">
        <f>IFERROR(VLOOKUP($A117,'Front Dispatch'!$A:$B,2,FALSE),0)</f>
        <v>0</v>
      </c>
      <c r="O117" s="372">
        <f>SUMIF('Consumption MTD'!B:B,FRONT!$B$3:$B$129,'Consumption MTD'!C:C)</f>
        <v>0</v>
      </c>
      <c r="P117" s="372">
        <f>SUMIF('BIW Lifting A Shift'!$B:$B,FRONT!$B$89:$B$106,'BIW Lifting A Shift'!C:C)</f>
        <v>0</v>
      </c>
      <c r="Q117" s="407">
        <f>SUMIF('BIW Lifting B Shift'!$B:$B,FRONT!$B:$B,'BIW Lifting B Shift'!$C:$C)</f>
        <v>0</v>
      </c>
      <c r="R117" s="406">
        <f t="shared" si="33"/>
        <v>0</v>
      </c>
      <c r="S117" s="406">
        <f t="shared" si="34"/>
        <v>0</v>
      </c>
      <c r="T117" s="406">
        <f t="shared" si="35"/>
        <v>0</v>
      </c>
      <c r="U117" s="466">
        <f>SUMIF(FLOAT!$D:$D,FRONT!$B$3:$B$119,FLOAT!F:F)</f>
        <v>0</v>
      </c>
      <c r="V117" s="473">
        <f t="shared" si="26"/>
        <v>0</v>
      </c>
      <c r="W117" s="612"/>
      <c r="X117" s="62">
        <f>SUMIF(FLOAT!$D:$D,FRONT!$B$55:$B$85,FLOAT!G:G)</f>
        <v>0</v>
      </c>
      <c r="Y117" s="53">
        <f>SUMIF(FLOAT!$D:$D,FRONT!$B$55:$B$85,FLOAT!H:H)</f>
        <v>0</v>
      </c>
      <c r="Z117" s="53">
        <f>SUMIF(FLOAT!$D:$D,FRONT!$B$55:$B$85,FLOAT!I:I)</f>
        <v>0</v>
      </c>
      <c r="AA117" s="53">
        <f>SUMIF(FLOAT!$D:$D,FRONT!$B$55:$B$85,FLOAT!J:J)</f>
        <v>0</v>
      </c>
      <c r="AB117" s="53">
        <f>SUMIF(FLOAT!$D:$D,FRONT!$B$55:$B$85,FLOAT!K:K)</f>
        <v>0</v>
      </c>
      <c r="AC117" s="53">
        <f>SUMIF(FLOAT!$D:$D,FRONT!$B$55:$B$85,FLOAT!L:L)</f>
        <v>0</v>
      </c>
      <c r="AD117" s="53">
        <f>SUMIF(FLOAT!$D:$D,FRONT!$B$55:$B$85,FLOAT!M:M)</f>
        <v>0</v>
      </c>
      <c r="AE117" s="53">
        <f>SUMIF(FLOAT!$D:$D,FRONT!$B$55:$B$85,FLOAT!N:N)</f>
        <v>0</v>
      </c>
      <c r="AF117" s="53">
        <f>SUMIF(FLOAT!$D:$D,FRONT!$B$55:$B$85,FLOAT!O:O)</f>
        <v>0</v>
      </c>
      <c r="AG117" s="53">
        <f>SUMIF(FLOAT!$D:$D,FRONT!$B$55:$B$85,FLOAT!P:P)</f>
        <v>0</v>
      </c>
      <c r="AH117" s="632">
        <f t="shared" si="27"/>
        <v>0</v>
      </c>
    </row>
    <row r="118" spans="1:34" ht="16.5" x14ac:dyDescent="0.25">
      <c r="A118" s="780"/>
      <c r="B118" s="462"/>
      <c r="C118" s="733"/>
      <c r="D118" s="379">
        <v>0</v>
      </c>
      <c r="E118" s="374">
        <f t="shared" si="31"/>
        <v>0</v>
      </c>
      <c r="F118" s="410">
        <v>0</v>
      </c>
      <c r="G118" s="376">
        <f t="shared" si="29"/>
        <v>0</v>
      </c>
      <c r="H118" s="375">
        <f t="shared" si="30"/>
        <v>0</v>
      </c>
      <c r="I118" s="399">
        <f t="shared" si="28"/>
        <v>0</v>
      </c>
      <c r="J118" s="404">
        <f t="shared" si="32"/>
        <v>0</v>
      </c>
      <c r="K118" s="401">
        <f>SUMIF('3 D P'!D:D,FRONT!$B$55:$B$85,'3 D P'!L:L)</f>
        <v>0</v>
      </c>
      <c r="L118" s="401">
        <f>SUMIF('3 D P'!D:D,FRONT!$B$55:$B$85,'3 D P'!M:M)</f>
        <v>0</v>
      </c>
      <c r="M118" s="401">
        <f>SUMIF('3 D P'!D:D,FRONT!$B$55:$B$85,'3 D P'!N:N)</f>
        <v>0</v>
      </c>
      <c r="N118" s="373">
        <f>IFERROR(VLOOKUP($A118,'Front Dispatch'!$A:$B,2,FALSE),0)</f>
        <v>0</v>
      </c>
      <c r="O118" s="372">
        <f>SUMIF('Consumption MTD'!B:B,FRONT!$B$3:$B$129,'Consumption MTD'!C:C)</f>
        <v>0</v>
      </c>
      <c r="P118" s="372">
        <f>SUMIF('BIW Lifting A Shift'!$B:$B,FRONT!$B$89:$B$106,'BIW Lifting A Shift'!C:C)</f>
        <v>0</v>
      </c>
      <c r="Q118" s="407">
        <f>SUMIF('BIW Lifting B Shift'!$B:$B,FRONT!$B:$B,'BIW Lifting B Shift'!$C:$C)</f>
        <v>0</v>
      </c>
      <c r="R118" s="406">
        <f t="shared" si="33"/>
        <v>0</v>
      </c>
      <c r="S118" s="406">
        <f t="shared" si="34"/>
        <v>0</v>
      </c>
      <c r="T118" s="406">
        <f t="shared" si="35"/>
        <v>0</v>
      </c>
      <c r="U118" s="466">
        <f>SUMIF(FLOAT!$D:$D,FRONT!$B$3:$B$119,FLOAT!F:F)</f>
        <v>0</v>
      </c>
      <c r="V118" s="473">
        <f t="shared" si="26"/>
        <v>0</v>
      </c>
      <c r="W118" s="612"/>
      <c r="X118" s="62">
        <f>SUMIF(FLOAT!$D:$D,FRONT!$B$55:$B$85,FLOAT!G:G)</f>
        <v>0</v>
      </c>
      <c r="Y118" s="53">
        <f>SUMIF(FLOAT!$D:$D,FRONT!$B$55:$B$85,FLOAT!H:H)</f>
        <v>0</v>
      </c>
      <c r="Z118" s="53">
        <f>SUMIF(FLOAT!$D:$D,FRONT!$B$55:$B$85,FLOAT!I:I)</f>
        <v>0</v>
      </c>
      <c r="AA118" s="53">
        <f>SUMIF(FLOAT!$D:$D,FRONT!$B$55:$B$85,FLOAT!J:J)</f>
        <v>0</v>
      </c>
      <c r="AB118" s="53">
        <f>SUMIF(FLOAT!$D:$D,FRONT!$B$55:$B$85,FLOAT!K:K)</f>
        <v>0</v>
      </c>
      <c r="AC118" s="53">
        <f>SUMIF(FLOAT!$D:$D,FRONT!$B$55:$B$85,FLOAT!L:L)</f>
        <v>0</v>
      </c>
      <c r="AD118" s="53">
        <f>SUMIF(FLOAT!$D:$D,FRONT!$B$55:$B$85,FLOAT!M:M)</f>
        <v>0</v>
      </c>
      <c r="AE118" s="53">
        <f>SUMIF(FLOAT!$D:$D,FRONT!$B$55:$B$85,FLOAT!N:N)</f>
        <v>0</v>
      </c>
      <c r="AF118" s="53">
        <f>SUMIF(FLOAT!$D:$D,FRONT!$B$55:$B$85,FLOAT!O:O)</f>
        <v>0</v>
      </c>
      <c r="AG118" s="53">
        <f>SUMIF(FLOAT!$D:$D,FRONT!$B$55:$B$85,FLOAT!P:P)</f>
        <v>0</v>
      </c>
      <c r="AH118" s="632">
        <f t="shared" si="27"/>
        <v>0</v>
      </c>
    </row>
    <row r="119" spans="1:34" ht="16.5" x14ac:dyDescent="0.25">
      <c r="A119" s="780"/>
      <c r="B119" s="462"/>
      <c r="C119" s="733"/>
      <c r="D119" s="379">
        <v>0</v>
      </c>
      <c r="E119" s="374">
        <f t="shared" si="31"/>
        <v>0</v>
      </c>
      <c r="F119" s="530">
        <v>0</v>
      </c>
      <c r="G119" s="376">
        <f t="shared" si="29"/>
        <v>0</v>
      </c>
      <c r="H119" s="375">
        <f t="shared" si="30"/>
        <v>0</v>
      </c>
      <c r="I119" s="399">
        <f t="shared" si="28"/>
        <v>0</v>
      </c>
      <c r="J119" s="404">
        <f t="shared" si="32"/>
        <v>0</v>
      </c>
      <c r="K119" s="401">
        <f>SUMIF('3 D P'!D:D,FRONT!$B$55:$B$85,'3 D P'!L:L)</f>
        <v>0</v>
      </c>
      <c r="L119" s="401">
        <f>SUMIF('3 D P'!D:D,FRONT!$B$55:$B$85,'3 D P'!M:M)</f>
        <v>0</v>
      </c>
      <c r="M119" s="401">
        <f>SUMIF('3 D P'!D:D,FRONT!$B$55:$B$85,'3 D P'!N:N)</f>
        <v>0</v>
      </c>
      <c r="N119" s="373">
        <f>IFERROR(VLOOKUP($A119,'Front Dispatch'!$A:$B,2,FALSE),0)</f>
        <v>0</v>
      </c>
      <c r="O119" s="372">
        <f>SUMIF('Consumption MTD'!B:B,FRONT!$B$3:$B$129,'Consumption MTD'!C:C)</f>
        <v>0</v>
      </c>
      <c r="P119" s="372">
        <f>SUMIF('BIW Lifting A Shift'!$B:$B,FRONT!$B$89:$B$106,'BIW Lifting A Shift'!C:C)</f>
        <v>0</v>
      </c>
      <c r="Q119" s="407">
        <f>SUMIF('BIW Lifting B Shift'!$B:$B,FRONT!$B:$B,'BIW Lifting B Shift'!$C:$C)</f>
        <v>0</v>
      </c>
      <c r="R119" s="406">
        <f t="shared" si="33"/>
        <v>0</v>
      </c>
      <c r="S119" s="406">
        <f t="shared" si="34"/>
        <v>0</v>
      </c>
      <c r="T119" s="406">
        <f t="shared" si="35"/>
        <v>0</v>
      </c>
      <c r="U119" s="466">
        <f>SUMIF(FLOAT!$D:$D,FRONT!$B$3:$B$119,FLOAT!F:F)</f>
        <v>0</v>
      </c>
      <c r="V119" s="473">
        <f t="shared" si="26"/>
        <v>0</v>
      </c>
      <c r="W119" s="612"/>
      <c r="X119" s="62">
        <f>SUMIF(FLOAT!$D:$D,FRONT!$B$55:$B$85,FLOAT!G:G)</f>
        <v>0</v>
      </c>
      <c r="Y119" s="53">
        <f>SUMIF(FLOAT!$D:$D,FRONT!$B$55:$B$85,FLOAT!H:H)</f>
        <v>0</v>
      </c>
      <c r="Z119" s="53">
        <f>SUMIF(FLOAT!$D:$D,FRONT!$B$55:$B$85,FLOAT!I:I)</f>
        <v>0</v>
      </c>
      <c r="AA119" s="53">
        <f>SUMIF(FLOAT!$D:$D,FRONT!$B$55:$B$85,FLOAT!J:J)</f>
        <v>0</v>
      </c>
      <c r="AB119" s="53">
        <f>SUMIF(FLOAT!$D:$D,FRONT!$B$55:$B$85,FLOAT!K:K)</f>
        <v>0</v>
      </c>
      <c r="AC119" s="53">
        <f>SUMIF(FLOAT!$D:$D,FRONT!$B$55:$B$85,FLOAT!L:L)</f>
        <v>0</v>
      </c>
      <c r="AD119" s="53">
        <f>SUMIF(FLOAT!$D:$D,FRONT!$B$55:$B$85,FLOAT!M:M)</f>
        <v>0</v>
      </c>
      <c r="AE119" s="53">
        <f>SUMIF(FLOAT!$D:$D,FRONT!$B$55:$B$85,FLOAT!N:N)</f>
        <v>0</v>
      </c>
      <c r="AF119" s="53">
        <f>SUMIF(FLOAT!$D:$D,FRONT!$B$55:$B$85,FLOAT!O:O)</f>
        <v>0</v>
      </c>
      <c r="AG119" s="53">
        <f>SUMIF(FLOAT!$D:$D,FRONT!$B$55:$B$85,FLOAT!P:P)</f>
        <v>0</v>
      </c>
      <c r="AH119" s="632">
        <f t="shared" si="27"/>
        <v>0</v>
      </c>
    </row>
    <row r="120" spans="1:34" ht="16.5" thickBot="1" x14ac:dyDescent="0.3">
      <c r="A120" s="785" t="s">
        <v>29</v>
      </c>
      <c r="B120" s="490"/>
      <c r="C120" s="731"/>
      <c r="D120" s="154">
        <f>SUM(D89:D119)</f>
        <v>200</v>
      </c>
      <c r="E120" s="154">
        <f t="shared" ref="E120:P120" si="36">SUM(E89:E119)</f>
        <v>200</v>
      </c>
      <c r="F120" s="154">
        <f t="shared" si="36"/>
        <v>93</v>
      </c>
      <c r="G120" s="154">
        <f t="shared" si="36"/>
        <v>0</v>
      </c>
      <c r="H120" s="154">
        <f t="shared" si="36"/>
        <v>0</v>
      </c>
      <c r="I120" s="154">
        <f t="shared" si="36"/>
        <v>200</v>
      </c>
      <c r="J120" s="154">
        <f t="shared" si="36"/>
        <v>93</v>
      </c>
      <c r="K120" s="154">
        <f t="shared" si="36"/>
        <v>0</v>
      </c>
      <c r="L120" s="154">
        <f t="shared" si="36"/>
        <v>0</v>
      </c>
      <c r="M120" s="154">
        <f t="shared" si="36"/>
        <v>0</v>
      </c>
      <c r="N120" s="154">
        <f t="shared" si="36"/>
        <v>0</v>
      </c>
      <c r="O120" s="154">
        <f t="shared" si="36"/>
        <v>0</v>
      </c>
      <c r="P120" s="154">
        <f t="shared" si="36"/>
        <v>0</v>
      </c>
      <c r="Q120" s="154">
        <f>SUM(Q89:Q119)</f>
        <v>0</v>
      </c>
      <c r="R120" s="154"/>
      <c r="S120" s="154"/>
      <c r="T120" s="154"/>
      <c r="U120" s="469">
        <f>SUM(U89:U119)</f>
        <v>0</v>
      </c>
      <c r="V120" s="469">
        <f>SUM(V89:V119)</f>
        <v>200</v>
      </c>
      <c r="W120" s="469">
        <f>SUM(W89:W119)</f>
        <v>93</v>
      </c>
      <c r="X120" s="624">
        <f>SUM(X89:X119)</f>
        <v>0</v>
      </c>
      <c r="Y120" s="154">
        <f t="shared" ref="Y120:AG120" si="37">SUM(Y89:Y119)</f>
        <v>0</v>
      </c>
      <c r="Z120" s="154">
        <f t="shared" si="37"/>
        <v>0</v>
      </c>
      <c r="AA120" s="154">
        <f t="shared" si="37"/>
        <v>0</v>
      </c>
      <c r="AB120" s="154">
        <f t="shared" si="37"/>
        <v>0</v>
      </c>
      <c r="AC120" s="154">
        <f t="shared" si="37"/>
        <v>0</v>
      </c>
      <c r="AD120" s="154">
        <f t="shared" si="37"/>
        <v>0</v>
      </c>
      <c r="AE120" s="154">
        <f t="shared" si="37"/>
        <v>0</v>
      </c>
      <c r="AF120" s="154">
        <f t="shared" si="37"/>
        <v>0</v>
      </c>
      <c r="AG120" s="154">
        <f t="shared" si="37"/>
        <v>0</v>
      </c>
      <c r="AH120" s="622">
        <f>SUM(AH89:AH119)</f>
        <v>0</v>
      </c>
    </row>
  </sheetData>
  <autoFilter ref="A54:AI120" xr:uid="{00000000-0009-0000-0000-000006000000}"/>
  <mergeCells count="315">
    <mergeCell ref="W71:W72"/>
    <mergeCell ref="W73:W74"/>
    <mergeCell ref="W75:W76"/>
    <mergeCell ref="W14:W19"/>
    <mergeCell ref="W55:W56"/>
    <mergeCell ref="W57:W58"/>
    <mergeCell ref="W59:W60"/>
    <mergeCell ref="W61:W62"/>
    <mergeCell ref="W63:W64"/>
    <mergeCell ref="W65:W66"/>
    <mergeCell ref="W67:W68"/>
    <mergeCell ref="W69:W70"/>
    <mergeCell ref="E39:E43"/>
    <mergeCell ref="E44:E45"/>
    <mergeCell ref="E46:E49"/>
    <mergeCell ref="E63:E64"/>
    <mergeCell ref="E65:E66"/>
    <mergeCell ref="H55:H56"/>
    <mergeCell ref="H57:H58"/>
    <mergeCell ref="H59:H60"/>
    <mergeCell ref="H61:H62"/>
    <mergeCell ref="H63:H64"/>
    <mergeCell ref="H65:H66"/>
    <mergeCell ref="I63:I64"/>
    <mergeCell ref="I65:I66"/>
    <mergeCell ref="A63:A64"/>
    <mergeCell ref="F63:F64"/>
    <mergeCell ref="G63:G64"/>
    <mergeCell ref="J63:J64"/>
    <mergeCell ref="A65:A66"/>
    <mergeCell ref="F65:F66"/>
    <mergeCell ref="G65:G66"/>
    <mergeCell ref="J65:J66"/>
    <mergeCell ref="R63:R64"/>
    <mergeCell ref="S63:S64"/>
    <mergeCell ref="T63:T64"/>
    <mergeCell ref="R5:R6"/>
    <mergeCell ref="S5:S6"/>
    <mergeCell ref="T5:T6"/>
    <mergeCell ref="A14:A19"/>
    <mergeCell ref="J44:J45"/>
    <mergeCell ref="J46:J49"/>
    <mergeCell ref="F29:F38"/>
    <mergeCell ref="J29:J38"/>
    <mergeCell ref="A39:A43"/>
    <mergeCell ref="A44:A45"/>
    <mergeCell ref="F44:F45"/>
    <mergeCell ref="F39:F43"/>
    <mergeCell ref="J39:J43"/>
    <mergeCell ref="A46:A49"/>
    <mergeCell ref="F46:F49"/>
    <mergeCell ref="G39:G43"/>
    <mergeCell ref="G44:G45"/>
    <mergeCell ref="A29:A38"/>
    <mergeCell ref="G29:G38"/>
    <mergeCell ref="T14:T19"/>
    <mergeCell ref="A21:A28"/>
    <mergeCell ref="F21:F28"/>
    <mergeCell ref="J21:J28"/>
    <mergeCell ref="R21:R28"/>
    <mergeCell ref="S21:S28"/>
    <mergeCell ref="T8:T13"/>
    <mergeCell ref="E14:E19"/>
    <mergeCell ref="E21:E28"/>
    <mergeCell ref="E29:E38"/>
    <mergeCell ref="G14:G19"/>
    <mergeCell ref="S29:S38"/>
    <mergeCell ref="T29:T38"/>
    <mergeCell ref="J8:J13"/>
    <mergeCell ref="G21:G28"/>
    <mergeCell ref="F14:F19"/>
    <mergeCell ref="J14:J19"/>
    <mergeCell ref="R29:R38"/>
    <mergeCell ref="R8:R13"/>
    <mergeCell ref="S8:S13"/>
    <mergeCell ref="T21:T28"/>
    <mergeCell ref="R14:R19"/>
    <mergeCell ref="I14:I19"/>
    <mergeCell ref="A3:A4"/>
    <mergeCell ref="F3:F4"/>
    <mergeCell ref="J3:J4"/>
    <mergeCell ref="G3:G4"/>
    <mergeCell ref="F8:F13"/>
    <mergeCell ref="J5:J6"/>
    <mergeCell ref="A5:A6"/>
    <mergeCell ref="F5:F6"/>
    <mergeCell ref="G5:G6"/>
    <mergeCell ref="E3:E4"/>
    <mergeCell ref="E8:E13"/>
    <mergeCell ref="A8:A13"/>
    <mergeCell ref="G8:G13"/>
    <mergeCell ref="J55:J56"/>
    <mergeCell ref="R55:R56"/>
    <mergeCell ref="S55:S56"/>
    <mergeCell ref="T55:T56"/>
    <mergeCell ref="A57:A58"/>
    <mergeCell ref="F57:F58"/>
    <mergeCell ref="G57:G58"/>
    <mergeCell ref="J57:J58"/>
    <mergeCell ref="R57:R58"/>
    <mergeCell ref="S57:S58"/>
    <mergeCell ref="T57:T58"/>
    <mergeCell ref="A55:A56"/>
    <mergeCell ref="F55:F56"/>
    <mergeCell ref="G55:G56"/>
    <mergeCell ref="I55:I56"/>
    <mergeCell ref="E55:E56"/>
    <mergeCell ref="E57:E58"/>
    <mergeCell ref="I57:I58"/>
    <mergeCell ref="R65:R66"/>
    <mergeCell ref="S65:S66"/>
    <mergeCell ref="T65:T66"/>
    <mergeCell ref="A67:A68"/>
    <mergeCell ref="F67:F68"/>
    <mergeCell ref="G67:G68"/>
    <mergeCell ref="J67:J68"/>
    <mergeCell ref="R67:R68"/>
    <mergeCell ref="S67:S68"/>
    <mergeCell ref="T67:T68"/>
    <mergeCell ref="E67:E68"/>
    <mergeCell ref="H67:H68"/>
    <mergeCell ref="I67:I68"/>
    <mergeCell ref="R59:R60"/>
    <mergeCell ref="S59:S60"/>
    <mergeCell ref="T59:T60"/>
    <mergeCell ref="A61:A62"/>
    <mergeCell ref="F61:F62"/>
    <mergeCell ref="G61:G62"/>
    <mergeCell ref="J61:J62"/>
    <mergeCell ref="R61:R62"/>
    <mergeCell ref="S61:S62"/>
    <mergeCell ref="T61:T62"/>
    <mergeCell ref="E59:E60"/>
    <mergeCell ref="E61:E62"/>
    <mergeCell ref="I59:I60"/>
    <mergeCell ref="I61:I62"/>
    <mergeCell ref="A59:A60"/>
    <mergeCell ref="F59:F60"/>
    <mergeCell ref="G59:G60"/>
    <mergeCell ref="J59:J60"/>
    <mergeCell ref="S69:S70"/>
    <mergeCell ref="T69:T70"/>
    <mergeCell ref="A71:A72"/>
    <mergeCell ref="F71:F72"/>
    <mergeCell ref="G71:G72"/>
    <mergeCell ref="J71:J72"/>
    <mergeCell ref="R71:R72"/>
    <mergeCell ref="S71:S72"/>
    <mergeCell ref="T71:T72"/>
    <mergeCell ref="A69:A70"/>
    <mergeCell ref="F69:F70"/>
    <mergeCell ref="G69:G70"/>
    <mergeCell ref="J69:J70"/>
    <mergeCell ref="R69:R70"/>
    <mergeCell ref="E69:E70"/>
    <mergeCell ref="E71:E72"/>
    <mergeCell ref="H69:H70"/>
    <mergeCell ref="H71:H72"/>
    <mergeCell ref="I69:I70"/>
    <mergeCell ref="I71:I72"/>
    <mergeCell ref="A73:A74"/>
    <mergeCell ref="F73:F74"/>
    <mergeCell ref="G73:G74"/>
    <mergeCell ref="J73:J74"/>
    <mergeCell ref="R73:R74"/>
    <mergeCell ref="S73:S74"/>
    <mergeCell ref="T73:T74"/>
    <mergeCell ref="A75:A76"/>
    <mergeCell ref="F75:F76"/>
    <mergeCell ref="G75:G76"/>
    <mergeCell ref="J75:J76"/>
    <mergeCell ref="R75:R76"/>
    <mergeCell ref="S75:S76"/>
    <mergeCell ref="T75:T76"/>
    <mergeCell ref="E73:E74"/>
    <mergeCell ref="E75:E76"/>
    <mergeCell ref="H73:H74"/>
    <mergeCell ref="H75:H76"/>
    <mergeCell ref="I73:I74"/>
    <mergeCell ref="I75:I76"/>
    <mergeCell ref="V3:V4"/>
    <mergeCell ref="V5:V6"/>
    <mergeCell ref="V8:V13"/>
    <mergeCell ref="V14:V19"/>
    <mergeCell ref="V21:V28"/>
    <mergeCell ref="V29:V38"/>
    <mergeCell ref="V46:V49"/>
    <mergeCell ref="V44:V45"/>
    <mergeCell ref="V39:V43"/>
    <mergeCell ref="S46:S49"/>
    <mergeCell ref="T46:T49"/>
    <mergeCell ref="R44:R45"/>
    <mergeCell ref="R46:R49"/>
    <mergeCell ref="R39:R43"/>
    <mergeCell ref="S39:S43"/>
    <mergeCell ref="T39:T43"/>
    <mergeCell ref="G46:G49"/>
    <mergeCell ref="R3:R4"/>
    <mergeCell ref="S3:S4"/>
    <mergeCell ref="T3:T4"/>
    <mergeCell ref="S44:S45"/>
    <mergeCell ref="T44:T45"/>
    <mergeCell ref="S14:S19"/>
    <mergeCell ref="I46:I49"/>
    <mergeCell ref="I29:I38"/>
    <mergeCell ref="T89:T90"/>
    <mergeCell ref="A91:A92"/>
    <mergeCell ref="E91:E92"/>
    <mergeCell ref="F91:F92"/>
    <mergeCell ref="G91:G92"/>
    <mergeCell ref="H91:H92"/>
    <mergeCell ref="I91:I92"/>
    <mergeCell ref="J91:J92"/>
    <mergeCell ref="R91:R92"/>
    <mergeCell ref="S91:S92"/>
    <mergeCell ref="T91:T92"/>
    <mergeCell ref="A89:A90"/>
    <mergeCell ref="E89:E90"/>
    <mergeCell ref="F89:F90"/>
    <mergeCell ref="G89:G90"/>
    <mergeCell ref="H89:H90"/>
    <mergeCell ref="I89:I90"/>
    <mergeCell ref="J89:J90"/>
    <mergeCell ref="R89:R90"/>
    <mergeCell ref="S89:S90"/>
    <mergeCell ref="T93:T94"/>
    <mergeCell ref="A95:A96"/>
    <mergeCell ref="E95:E96"/>
    <mergeCell ref="F95:F96"/>
    <mergeCell ref="G95:G96"/>
    <mergeCell ref="H95:H96"/>
    <mergeCell ref="I95:I96"/>
    <mergeCell ref="J95:J96"/>
    <mergeCell ref="R95:R96"/>
    <mergeCell ref="S95:S96"/>
    <mergeCell ref="T95:T96"/>
    <mergeCell ref="A93:A94"/>
    <mergeCell ref="E93:E94"/>
    <mergeCell ref="F93:F94"/>
    <mergeCell ref="G93:G94"/>
    <mergeCell ref="H93:H94"/>
    <mergeCell ref="I93:I94"/>
    <mergeCell ref="J93:J94"/>
    <mergeCell ref="R93:R94"/>
    <mergeCell ref="S93:S94"/>
    <mergeCell ref="T97:T98"/>
    <mergeCell ref="A99:A100"/>
    <mergeCell ref="E99:E100"/>
    <mergeCell ref="F99:F100"/>
    <mergeCell ref="G99:G100"/>
    <mergeCell ref="H99:H100"/>
    <mergeCell ref="I99:I100"/>
    <mergeCell ref="J99:J100"/>
    <mergeCell ref="R99:R100"/>
    <mergeCell ref="S99:S100"/>
    <mergeCell ref="T99:T100"/>
    <mergeCell ref="A97:A98"/>
    <mergeCell ref="E97:E98"/>
    <mergeCell ref="F97:F98"/>
    <mergeCell ref="G97:G98"/>
    <mergeCell ref="H97:H98"/>
    <mergeCell ref="I97:I98"/>
    <mergeCell ref="J97:J98"/>
    <mergeCell ref="R97:R98"/>
    <mergeCell ref="S97:S98"/>
    <mergeCell ref="T101:T102"/>
    <mergeCell ref="A103:A104"/>
    <mergeCell ref="E103:E104"/>
    <mergeCell ref="F103:F104"/>
    <mergeCell ref="G103:G104"/>
    <mergeCell ref="H103:H104"/>
    <mergeCell ref="I103:I104"/>
    <mergeCell ref="J103:J104"/>
    <mergeCell ref="R103:R104"/>
    <mergeCell ref="S103:S104"/>
    <mergeCell ref="T103:T104"/>
    <mergeCell ref="A101:A102"/>
    <mergeCell ref="E101:E102"/>
    <mergeCell ref="F101:F102"/>
    <mergeCell ref="G101:G102"/>
    <mergeCell ref="H101:H102"/>
    <mergeCell ref="I101:I102"/>
    <mergeCell ref="J101:J102"/>
    <mergeCell ref="R101:R102"/>
    <mergeCell ref="S101:S102"/>
    <mergeCell ref="T105:T106"/>
    <mergeCell ref="A107:A108"/>
    <mergeCell ref="E107:E108"/>
    <mergeCell ref="F107:F108"/>
    <mergeCell ref="G107:G108"/>
    <mergeCell ref="H107:H108"/>
    <mergeCell ref="I107:I108"/>
    <mergeCell ref="J107:J108"/>
    <mergeCell ref="R107:R108"/>
    <mergeCell ref="S107:S108"/>
    <mergeCell ref="T107:T108"/>
    <mergeCell ref="A105:A106"/>
    <mergeCell ref="E105:E106"/>
    <mergeCell ref="F105:F106"/>
    <mergeCell ref="G105:G106"/>
    <mergeCell ref="H105:H106"/>
    <mergeCell ref="I105:I106"/>
    <mergeCell ref="J105:J106"/>
    <mergeCell ref="R105:R106"/>
    <mergeCell ref="S105:S106"/>
    <mergeCell ref="T109:T110"/>
    <mergeCell ref="A109:A110"/>
    <mergeCell ref="E109:E110"/>
    <mergeCell ref="F109:F110"/>
    <mergeCell ref="G109:G110"/>
    <mergeCell ref="H109:H110"/>
    <mergeCell ref="I109:I110"/>
    <mergeCell ref="J109:J110"/>
    <mergeCell ref="R109:R110"/>
    <mergeCell ref="S109:S110"/>
  </mergeCells>
  <conditionalFormatting sqref="A77">
    <cfRule type="duplicateValues" dxfId="102" priority="44"/>
  </conditionalFormatting>
  <conditionalFormatting sqref="A78">
    <cfRule type="duplicateValues" dxfId="101" priority="43"/>
  </conditionalFormatting>
  <conditionalFormatting sqref="A79">
    <cfRule type="duplicateValues" dxfId="100" priority="4228"/>
  </conditionalFormatting>
  <conditionalFormatting sqref="A80">
    <cfRule type="duplicateValues" dxfId="99" priority="39"/>
  </conditionalFormatting>
  <conditionalFormatting sqref="A81:A85">
    <cfRule type="duplicateValues" dxfId="98" priority="40"/>
  </conditionalFormatting>
  <conditionalFormatting sqref="A111">
    <cfRule type="duplicateValues" dxfId="97" priority="9"/>
  </conditionalFormatting>
  <conditionalFormatting sqref="A112">
    <cfRule type="duplicateValues" dxfId="96" priority="8"/>
  </conditionalFormatting>
  <conditionalFormatting sqref="A113">
    <cfRule type="duplicateValues" dxfId="95" priority="21"/>
  </conditionalFormatting>
  <conditionalFormatting sqref="A114">
    <cfRule type="duplicateValues" dxfId="94" priority="6"/>
  </conditionalFormatting>
  <conditionalFormatting sqref="A115:A119">
    <cfRule type="duplicateValues" dxfId="93" priority="7"/>
  </conditionalFormatting>
  <conditionalFormatting sqref="I1:I14 I20:I1048576">
    <cfRule type="cellIs" dxfId="92" priority="1" operator="lessThan">
      <formula>0</formula>
    </cfRule>
  </conditionalFormatting>
  <conditionalFormatting sqref="N3:N49 Q121:S133">
    <cfRule type="cellIs" dxfId="91" priority="492" operator="lessThan">
      <formula>0</formula>
    </cfRule>
  </conditionalFormatting>
  <conditionalFormatting sqref="N55:N85">
    <cfRule type="cellIs" dxfId="90" priority="29" operator="lessThan">
      <formula>0</formula>
    </cfRule>
  </conditionalFormatting>
  <conditionalFormatting sqref="N89:N119">
    <cfRule type="cellIs" dxfId="89" priority="4" operator="lessThan">
      <formula>0</formula>
    </cfRule>
  </conditionalFormatting>
  <conditionalFormatting sqref="R7:R49 R51:R53">
    <cfRule type="cellIs" dxfId="88" priority="403" operator="lessThan">
      <formula>0</formula>
    </cfRule>
  </conditionalFormatting>
  <conditionalFormatting sqref="R1:T85">
    <cfRule type="cellIs" dxfId="87" priority="22" operator="lessThan">
      <formula>0</formula>
    </cfRule>
  </conditionalFormatting>
  <conditionalFormatting sqref="R87:T1048576">
    <cfRule type="cellIs" dxfId="86" priority="3" operator="lessThan">
      <formula>0</formula>
    </cfRule>
  </conditionalFormatting>
  <conditionalFormatting sqref="S7:T46">
    <cfRule type="cellIs" dxfId="85" priority="402" operator="lessThan">
      <formula>0</formula>
    </cfRule>
  </conditionalFormatting>
  <conditionalFormatting sqref="V2:W2">
    <cfRule type="cellIs" dxfId="84" priority="26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P36"/>
  <sheetViews>
    <sheetView tabSelected="1" topLeftCell="A22" zoomScale="90" zoomScaleNormal="90" zoomScaleSheetLayoutView="50" zoomScalePageLayoutView="90" workbookViewId="0">
      <selection activeCell="C25" sqref="C25"/>
    </sheetView>
  </sheetViews>
  <sheetFormatPr defaultColWidth="9.140625" defaultRowHeight="15.75" x14ac:dyDescent="0.25"/>
  <cols>
    <col min="1" max="1" width="9.140625" style="17"/>
    <col min="2" max="2" width="33.85546875" style="17" customWidth="1"/>
    <col min="3" max="3" width="9.7109375" style="17" customWidth="1"/>
    <col min="4" max="4" width="9.140625" style="17"/>
    <col min="5" max="5" width="33.42578125" style="17" customWidth="1"/>
    <col min="6" max="6" width="9.42578125" style="17" customWidth="1"/>
    <col min="7" max="16384" width="9.140625" style="17"/>
  </cols>
  <sheetData>
    <row r="1" spans="2:6" ht="16.5" hidden="1" thickBot="1" x14ac:dyDescent="0.3"/>
    <row r="2" spans="2:6" hidden="1" x14ac:dyDescent="0.25">
      <c r="B2" s="1019" t="s">
        <v>421</v>
      </c>
      <c r="C2" s="1020"/>
      <c r="E2" s="1019" t="s">
        <v>572</v>
      </c>
      <c r="F2" s="1020"/>
    </row>
    <row r="3" spans="2:6" hidden="1" x14ac:dyDescent="0.25">
      <c r="B3" s="591" t="s">
        <v>422</v>
      </c>
      <c r="C3" s="592">
        <f>Cockpit!$X$145</f>
        <v>0</v>
      </c>
      <c r="E3" s="591" t="s">
        <v>422</v>
      </c>
      <c r="F3" s="593">
        <f>FRONT!$U$50</f>
        <v>0</v>
      </c>
    </row>
    <row r="4" spans="2:6" hidden="1" x14ac:dyDescent="0.25">
      <c r="B4" s="594" t="s">
        <v>423</v>
      </c>
      <c r="C4" s="595">
        <f>Cockpit!$S$145+Cockpit!$T$145</f>
        <v>0</v>
      </c>
      <c r="E4" s="594" t="s">
        <v>423</v>
      </c>
      <c r="F4" s="596">
        <f>FRONT!$P$50+FRONT!$Q$50</f>
        <v>0</v>
      </c>
    </row>
    <row r="5" spans="2:6" hidden="1" x14ac:dyDescent="0.25">
      <c r="B5" s="594" t="s">
        <v>424</v>
      </c>
      <c r="C5" s="595">
        <f>C3+C4</f>
        <v>0</v>
      </c>
      <c r="E5" s="594" t="s">
        <v>424</v>
      </c>
      <c r="F5" s="595">
        <f>F3+F4</f>
        <v>0</v>
      </c>
    </row>
    <row r="6" spans="2:6" hidden="1" x14ac:dyDescent="0.25">
      <c r="B6" s="597" t="s">
        <v>425</v>
      </c>
      <c r="C6" s="598">
        <f>C5+C9</f>
        <v>0</v>
      </c>
      <c r="E6" s="597" t="s">
        <v>425</v>
      </c>
      <c r="F6" s="598">
        <f>F5+F9</f>
        <v>0</v>
      </c>
    </row>
    <row r="7" spans="2:6" hidden="1" x14ac:dyDescent="0.25">
      <c r="B7" s="594" t="s">
        <v>426</v>
      </c>
      <c r="C7" s="595">
        <f>SUMIF(Cockpit!$U$143:$U$144,"&lt;0")</f>
        <v>0</v>
      </c>
      <c r="E7" s="594" t="s">
        <v>426</v>
      </c>
      <c r="F7" s="595">
        <f>SUMIF(FRONT!$R$3:$R$49,"&lt;0")</f>
        <v>0</v>
      </c>
    </row>
    <row r="8" spans="2:6" hidden="1" x14ac:dyDescent="0.25">
      <c r="B8" s="594" t="s">
        <v>427</v>
      </c>
      <c r="C8" s="595">
        <f>SUMIF(Cockpit!$V$143:$V$144,"&lt;0")</f>
        <v>0</v>
      </c>
      <c r="E8" s="594" t="s">
        <v>427</v>
      </c>
      <c r="F8" s="595">
        <f>SUMIF(FRONT!$S$3:$S$49,"&lt;0")</f>
        <v>0</v>
      </c>
    </row>
    <row r="9" spans="2:6" hidden="1" x14ac:dyDescent="0.25">
      <c r="B9" s="594" t="s">
        <v>428</v>
      </c>
      <c r="C9" s="595">
        <f>SUMIF(Cockpit!$W$143:$W$144,"&lt;0")</f>
        <v>0</v>
      </c>
      <c r="E9" s="594" t="s">
        <v>428</v>
      </c>
      <c r="F9" s="595">
        <f>SUMIF(FRONT!$T$3:$T$49,"&lt;0")</f>
        <v>0</v>
      </c>
    </row>
    <row r="10" spans="2:6" ht="16.5" hidden="1" thickBot="1" x14ac:dyDescent="0.3">
      <c r="B10" s="599" t="s">
        <v>429</v>
      </c>
      <c r="C10" s="600"/>
      <c r="E10" s="599" t="s">
        <v>429</v>
      </c>
      <c r="F10" s="600"/>
    </row>
    <row r="11" spans="2:6" hidden="1" x14ac:dyDescent="0.25">
      <c r="D11" s="17" t="s">
        <v>149</v>
      </c>
    </row>
    <row r="12" spans="2:6" ht="16.5" hidden="1" thickBot="1" x14ac:dyDescent="0.3"/>
    <row r="13" spans="2:6" ht="16.5" hidden="1" thickBot="1" x14ac:dyDescent="0.3">
      <c r="B13" s="1021" t="s">
        <v>743</v>
      </c>
      <c r="C13" s="1022"/>
      <c r="E13" s="1021" t="s">
        <v>744</v>
      </c>
      <c r="F13" s="1022"/>
    </row>
    <row r="14" spans="2:6" hidden="1" x14ac:dyDescent="0.25">
      <c r="B14" s="601" t="s">
        <v>422</v>
      </c>
      <c r="C14" s="604">
        <f>Cockpit!$X$139</f>
        <v>0</v>
      </c>
      <c r="E14" s="601" t="s">
        <v>422</v>
      </c>
      <c r="F14" s="607">
        <f>FRONT!$U120</f>
        <v>0</v>
      </c>
    </row>
    <row r="15" spans="2:6" hidden="1" x14ac:dyDescent="0.25">
      <c r="B15" s="594" t="s">
        <v>423</v>
      </c>
      <c r="C15" s="605">
        <f>Cockpit!$S$139+Cockpit!$T$139</f>
        <v>0</v>
      </c>
      <c r="E15" s="594" t="s">
        <v>423</v>
      </c>
      <c r="F15" s="605">
        <f>FRONT!$P$120+FRONT!$Q$120</f>
        <v>0</v>
      </c>
    </row>
    <row r="16" spans="2:6" hidden="1" x14ac:dyDescent="0.25">
      <c r="B16" s="594" t="s">
        <v>424</v>
      </c>
      <c r="C16" s="60">
        <f>C14+C15</f>
        <v>0</v>
      </c>
      <c r="E16" s="594" t="s">
        <v>424</v>
      </c>
      <c r="F16" s="60">
        <f>F14+F15</f>
        <v>0</v>
      </c>
    </row>
    <row r="17" spans="2:6" hidden="1" x14ac:dyDescent="0.25">
      <c r="B17" s="602" t="s">
        <v>425</v>
      </c>
      <c r="C17" s="606">
        <f>C16+C20</f>
        <v>0</v>
      </c>
      <c r="E17" s="602" t="s">
        <v>425</v>
      </c>
      <c r="F17" s="606">
        <f>F16+F20</f>
        <v>0</v>
      </c>
    </row>
    <row r="18" spans="2:6" hidden="1" x14ac:dyDescent="0.25">
      <c r="B18" s="594" t="s">
        <v>426</v>
      </c>
      <c r="C18" s="60">
        <f>SUMIF(Cockpit!$U$5:$U$139,"&lt;0")</f>
        <v>0</v>
      </c>
      <c r="E18" s="594" t="s">
        <v>426</v>
      </c>
      <c r="F18" s="60">
        <f>SUMIF(FRONT!$R$89:$R$119,"&lt;0")</f>
        <v>0</v>
      </c>
    </row>
    <row r="19" spans="2:6" hidden="1" x14ac:dyDescent="0.25">
      <c r="B19" s="594" t="s">
        <v>427</v>
      </c>
      <c r="C19" s="60">
        <f>SUMIF(Cockpit!$V$5:$V$139,"&lt;0")</f>
        <v>0</v>
      </c>
      <c r="E19" s="594" t="s">
        <v>427</v>
      </c>
      <c r="F19" s="60">
        <f>SUMIF(FRONT!$S$89:$S$119,"&lt;0")</f>
        <v>0</v>
      </c>
    </row>
    <row r="20" spans="2:6" ht="16.5" hidden="1" thickBot="1" x14ac:dyDescent="0.3">
      <c r="B20" s="599" t="s">
        <v>428</v>
      </c>
      <c r="C20" s="240">
        <f>SUMIF(Cockpit!$W$5:$W$139,"&lt;0")</f>
        <v>0</v>
      </c>
      <c r="E20" s="599" t="s">
        <v>428</v>
      </c>
      <c r="F20" s="240">
        <f>SUMIF(FRONT!$T$89:$T$119,"&lt;0")</f>
        <v>0</v>
      </c>
    </row>
    <row r="21" spans="2:6" hidden="1" x14ac:dyDescent="0.25">
      <c r="B21" s="278"/>
      <c r="C21" s="603"/>
      <c r="E21" s="278"/>
      <c r="F21" s="603"/>
    </row>
    <row r="22" spans="2:6" ht="16.5" thickBot="1" x14ac:dyDescent="0.3"/>
    <row r="23" spans="2:6" ht="16.5" thickBot="1" x14ac:dyDescent="0.3">
      <c r="B23" s="1021" t="s">
        <v>745</v>
      </c>
      <c r="C23" s="1022"/>
      <c r="E23" s="1021" t="s">
        <v>746</v>
      </c>
      <c r="F23" s="1022"/>
    </row>
    <row r="24" spans="2:6" x14ac:dyDescent="0.25">
      <c r="B24" s="601" t="s">
        <v>422</v>
      </c>
      <c r="C24" s="607">
        <f>Cockpit!$X$179</f>
        <v>565</v>
      </c>
      <c r="E24" s="601" t="s">
        <v>422</v>
      </c>
      <c r="F24" s="607">
        <f>FRONT!$U$86</f>
        <v>565</v>
      </c>
    </row>
    <row r="25" spans="2:6" x14ac:dyDescent="0.25">
      <c r="B25" s="594" t="s">
        <v>423</v>
      </c>
      <c r="C25" s="605">
        <f>Cockpit!$S$179+Cockpit!$T$179</f>
        <v>0</v>
      </c>
      <c r="E25" s="594" t="s">
        <v>423</v>
      </c>
      <c r="F25" s="605">
        <f>FRONT!$P$86+FRONT!$Q$86</f>
        <v>0</v>
      </c>
    </row>
    <row r="26" spans="2:6" x14ac:dyDescent="0.25">
      <c r="B26" s="594" t="s">
        <v>424</v>
      </c>
      <c r="C26" s="60">
        <f>C24+C25</f>
        <v>565</v>
      </c>
      <c r="E26" s="594" t="s">
        <v>424</v>
      </c>
      <c r="F26" s="60">
        <f>F24+F25</f>
        <v>565</v>
      </c>
    </row>
    <row r="27" spans="2:6" x14ac:dyDescent="0.25">
      <c r="B27" s="602" t="s">
        <v>425</v>
      </c>
      <c r="C27" s="606">
        <f>C26+C30</f>
        <v>518</v>
      </c>
      <c r="E27" s="602" t="s">
        <v>425</v>
      </c>
      <c r="F27" s="606">
        <f>F26+F30</f>
        <v>495</v>
      </c>
    </row>
    <row r="28" spans="2:6" x14ac:dyDescent="0.25">
      <c r="B28" s="594" t="s">
        <v>426</v>
      </c>
      <c r="C28" s="60">
        <f>SUMIF(Cockpit!$U$151:$U$178,"&lt;0")</f>
        <v>-47</v>
      </c>
      <c r="E28" s="594" t="s">
        <v>426</v>
      </c>
      <c r="F28" s="60">
        <f>SUMIF(FRONT!$R$14:$R$85,"&lt;0")</f>
        <v>-70</v>
      </c>
    </row>
    <row r="29" spans="2:6" x14ac:dyDescent="0.25">
      <c r="B29" s="594" t="s">
        <v>427</v>
      </c>
      <c r="C29" s="60">
        <f>SUMIF(Cockpit!$V$151:$V$178,"&lt;0")</f>
        <v>-47</v>
      </c>
      <c r="E29" s="594" t="s">
        <v>427</v>
      </c>
      <c r="F29" s="60">
        <f>SUMIF(FRONT!$S$14:$S$85,"&lt;0")</f>
        <v>-70</v>
      </c>
    </row>
    <row r="30" spans="2:6" ht="16.5" thickBot="1" x14ac:dyDescent="0.3">
      <c r="B30" s="599" t="s">
        <v>428</v>
      </c>
      <c r="C30" s="240">
        <f>SUMIF(Cockpit!$W$151:$W$178,"&lt;0")</f>
        <v>-47</v>
      </c>
      <c r="E30" s="599" t="s">
        <v>428</v>
      </c>
      <c r="F30" s="240">
        <f>SUMIF(FRONT!$T$14:$T$85,"&lt;0")</f>
        <v>-70</v>
      </c>
    </row>
    <row r="36" spans="16:16" x14ac:dyDescent="0.25">
      <c r="P36" s="17" t="s">
        <v>779</v>
      </c>
    </row>
  </sheetData>
  <mergeCells count="6">
    <mergeCell ref="B2:C2"/>
    <mergeCell ref="B13:C13"/>
    <mergeCell ref="E2:F2"/>
    <mergeCell ref="E13:F13"/>
    <mergeCell ref="B23:C23"/>
    <mergeCell ref="E23:F23"/>
  </mergeCells>
  <conditionalFormatting sqref="C7:C9">
    <cfRule type="cellIs" dxfId="83" priority="8" operator="lessThan">
      <formula>0</formula>
    </cfRule>
  </conditionalFormatting>
  <conditionalFormatting sqref="C18:C21">
    <cfRule type="cellIs" dxfId="82" priority="5" operator="lessThan">
      <formula>0</formula>
    </cfRule>
  </conditionalFormatting>
  <conditionalFormatting sqref="C28:C30">
    <cfRule type="cellIs" dxfId="81" priority="2" operator="lessThan">
      <formula>0</formula>
    </cfRule>
  </conditionalFormatting>
  <conditionalFormatting sqref="F7:F9">
    <cfRule type="cellIs" dxfId="80" priority="4" operator="lessThan">
      <formula>0</formula>
    </cfRule>
  </conditionalFormatting>
  <conditionalFormatting sqref="F18:F21">
    <cfRule type="cellIs" dxfId="79" priority="3" operator="lessThan">
      <formula>0</formula>
    </cfRule>
  </conditionalFormatting>
  <conditionalFormatting sqref="F28:F30">
    <cfRule type="cellIs" dxfId="7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C29"/>
  <sheetViews>
    <sheetView zoomScaleNormal="100" workbookViewId="0">
      <selection sqref="A1:C25"/>
    </sheetView>
  </sheetViews>
  <sheetFormatPr defaultColWidth="9.140625" defaultRowHeight="15" x14ac:dyDescent="0.25"/>
  <cols>
    <col min="1" max="1" width="7.42578125" style="146" bestFit="1" customWidth="1"/>
    <col min="2" max="2" width="13.5703125" style="146" bestFit="1" customWidth="1"/>
    <col min="3" max="3" width="6.5703125" style="146" bestFit="1" customWidth="1"/>
  </cols>
  <sheetData>
    <row r="1" spans="1:3" s="85" customFormat="1" ht="16.5" customHeight="1" x14ac:dyDescent="0.25">
      <c r="A1" s="590"/>
      <c r="B1" s="590"/>
      <c r="C1" s="590"/>
    </row>
    <row r="2" spans="1:3" x14ac:dyDescent="0.25">
      <c r="A2" s="360"/>
      <c r="B2" s="360"/>
      <c r="C2" s="178"/>
    </row>
    <row r="3" spans="1:3" x14ac:dyDescent="0.25">
      <c r="A3" s="361"/>
      <c r="B3" s="361"/>
      <c r="C3" s="179"/>
    </row>
    <row r="4" spans="1:3" x14ac:dyDescent="0.25">
      <c r="A4" s="360"/>
      <c r="B4" s="360"/>
      <c r="C4" s="178"/>
    </row>
    <row r="5" spans="1:3" x14ac:dyDescent="0.25">
      <c r="A5" s="361"/>
      <c r="B5" s="361"/>
      <c r="C5" s="179"/>
    </row>
    <row r="6" spans="1:3" x14ac:dyDescent="0.25">
      <c r="A6" s="360"/>
      <c r="B6" s="360"/>
      <c r="C6" s="178"/>
    </row>
    <row r="7" spans="1:3" x14ac:dyDescent="0.25">
      <c r="A7" s="361"/>
      <c r="B7" s="361"/>
      <c r="C7" s="179"/>
    </row>
    <row r="8" spans="1:3" x14ac:dyDescent="0.25">
      <c r="A8" s="360"/>
      <c r="B8" s="360"/>
      <c r="C8" s="178"/>
    </row>
    <row r="9" spans="1:3" x14ac:dyDescent="0.25">
      <c r="A9" s="361"/>
      <c r="B9" s="361"/>
      <c r="C9" s="179"/>
    </row>
    <row r="10" spans="1:3" x14ac:dyDescent="0.25">
      <c r="A10" s="360"/>
      <c r="B10" s="360"/>
      <c r="C10" s="178"/>
    </row>
    <row r="11" spans="1:3" x14ac:dyDescent="0.25">
      <c r="A11" s="361"/>
      <c r="B11" s="361"/>
      <c r="C11" s="179"/>
    </row>
    <row r="12" spans="1:3" x14ac:dyDescent="0.25">
      <c r="A12" s="360"/>
      <c r="B12" s="360"/>
      <c r="C12" s="178"/>
    </row>
    <row r="13" spans="1:3" x14ac:dyDescent="0.25">
      <c r="A13" s="361"/>
      <c r="B13" s="361"/>
      <c r="C13" s="179"/>
    </row>
    <row r="14" spans="1:3" x14ac:dyDescent="0.25">
      <c r="A14" s="360"/>
      <c r="B14" s="360"/>
      <c r="C14" s="178"/>
    </row>
    <row r="15" spans="1:3" x14ac:dyDescent="0.25">
      <c r="A15" s="361"/>
      <c r="B15" s="361"/>
      <c r="C15" s="179"/>
    </row>
    <row r="16" spans="1:3" x14ac:dyDescent="0.25">
      <c r="A16" s="360"/>
      <c r="B16" s="360"/>
      <c r="C16" s="178"/>
    </row>
    <row r="17" spans="1:3" x14ac:dyDescent="0.25">
      <c r="A17" s="361"/>
      <c r="B17" s="361"/>
      <c r="C17" s="179"/>
    </row>
    <row r="18" spans="1:3" x14ac:dyDescent="0.25">
      <c r="A18" s="360"/>
      <c r="B18" s="360"/>
      <c r="C18" s="178"/>
    </row>
    <row r="19" spans="1:3" x14ac:dyDescent="0.25">
      <c r="A19" s="361"/>
      <c r="B19" s="361"/>
      <c r="C19" s="179"/>
    </row>
    <row r="20" spans="1:3" x14ac:dyDescent="0.25">
      <c r="A20" s="360"/>
      <c r="B20" s="360"/>
      <c r="C20" s="178"/>
    </row>
    <row r="21" spans="1:3" x14ac:dyDescent="0.25">
      <c r="A21" s="361"/>
      <c r="B21" s="361"/>
      <c r="C21" s="179"/>
    </row>
    <row r="22" spans="1:3" x14ac:dyDescent="0.25">
      <c r="A22" s="360"/>
      <c r="B22" s="360"/>
      <c r="C22" s="178"/>
    </row>
    <row r="23" spans="1:3" x14ac:dyDescent="0.25">
      <c r="A23" s="361"/>
      <c r="B23" s="361"/>
      <c r="C23" s="179"/>
    </row>
    <row r="24" spans="1:3" x14ac:dyDescent="0.25">
      <c r="A24" s="360"/>
      <c r="B24" s="360"/>
      <c r="C24" s="178"/>
    </row>
    <row r="25" spans="1:3" x14ac:dyDescent="0.25">
      <c r="A25" s="812"/>
      <c r="B25" s="361"/>
      <c r="C25" s="813"/>
    </row>
    <row r="26" spans="1:3" x14ac:dyDescent="0.25">
      <c r="A26" s="360"/>
      <c r="B26" s="360"/>
      <c r="C26" s="178"/>
    </row>
    <row r="27" spans="1:3" x14ac:dyDescent="0.25">
      <c r="A27" s="812"/>
      <c r="B27" s="361"/>
      <c r="C27" s="813"/>
    </row>
    <row r="28" spans="1:3" x14ac:dyDescent="0.25">
      <c r="A28" s="770"/>
      <c r="B28" s="360"/>
      <c r="C28" s="771"/>
    </row>
    <row r="29" spans="1:3" x14ac:dyDescent="0.25">
      <c r="A29" s="736"/>
      <c r="B29" s="735"/>
      <c r="C29" s="737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C29"/>
  <sheetViews>
    <sheetView zoomScaleNormal="100" workbookViewId="0">
      <selection activeCell="A2" sqref="A2:C23"/>
    </sheetView>
  </sheetViews>
  <sheetFormatPr defaultColWidth="9.140625" defaultRowHeight="15" x14ac:dyDescent="0.25"/>
  <cols>
    <col min="1" max="1" width="7.42578125" bestFit="1" customWidth="1"/>
    <col min="2" max="2" width="13.5703125" bestFit="1" customWidth="1"/>
    <col min="3" max="3" width="6.5703125" bestFit="1" customWidth="1"/>
  </cols>
  <sheetData>
    <row r="1" spans="1:3" s="85" customFormat="1" ht="15.75" thickBot="1" x14ac:dyDescent="0.3">
      <c r="A1" s="814" t="s">
        <v>756</v>
      </c>
      <c r="B1" s="814" t="s">
        <v>757</v>
      </c>
      <c r="C1" s="814" t="s">
        <v>29</v>
      </c>
    </row>
    <row r="2" spans="1:3" ht="15.75" thickBot="1" x14ac:dyDescent="0.3">
      <c r="A2" s="815"/>
      <c r="B2" s="815"/>
      <c r="C2" s="815"/>
    </row>
    <row r="3" spans="1:3" ht="15.75" thickBot="1" x14ac:dyDescent="0.3">
      <c r="A3" s="635"/>
      <c r="B3" s="635"/>
      <c r="C3" s="635"/>
    </row>
    <row r="4" spans="1:3" ht="15.75" thickBot="1" x14ac:dyDescent="0.3">
      <c r="A4" s="815"/>
      <c r="B4" s="815"/>
      <c r="C4" s="815"/>
    </row>
    <row r="5" spans="1:3" ht="15.75" thickBot="1" x14ac:dyDescent="0.3">
      <c r="A5" s="635"/>
      <c r="B5" s="635"/>
      <c r="C5" s="635"/>
    </row>
    <row r="6" spans="1:3" ht="15.75" thickBot="1" x14ac:dyDescent="0.3">
      <c r="A6" s="815"/>
      <c r="B6" s="815"/>
      <c r="C6" s="815"/>
    </row>
    <row r="7" spans="1:3" ht="15.75" thickBot="1" x14ac:dyDescent="0.3">
      <c r="A7" s="635"/>
      <c r="B7" s="635"/>
      <c r="C7" s="635"/>
    </row>
    <row r="8" spans="1:3" ht="15.75" thickBot="1" x14ac:dyDescent="0.3">
      <c r="A8" s="815"/>
      <c r="B8" s="815"/>
      <c r="C8" s="815"/>
    </row>
    <row r="9" spans="1:3" ht="15.75" thickBot="1" x14ac:dyDescent="0.3">
      <c r="A9" s="635"/>
      <c r="B9" s="635"/>
      <c r="C9" s="635"/>
    </row>
    <row r="10" spans="1:3" ht="15.75" thickBot="1" x14ac:dyDescent="0.3">
      <c r="A10" s="815"/>
      <c r="B10" s="815"/>
      <c r="C10" s="815"/>
    </row>
    <row r="11" spans="1:3" ht="15.75" thickBot="1" x14ac:dyDescent="0.3">
      <c r="A11" s="635"/>
      <c r="B11" s="635"/>
      <c r="C11" s="635"/>
    </row>
    <row r="12" spans="1:3" ht="15.75" thickBot="1" x14ac:dyDescent="0.3">
      <c r="A12" s="815"/>
      <c r="B12" s="815"/>
      <c r="C12" s="815"/>
    </row>
    <row r="13" spans="1:3" ht="15.75" thickBot="1" x14ac:dyDescent="0.3">
      <c r="A13" s="635"/>
      <c r="B13" s="635"/>
      <c r="C13" s="635"/>
    </row>
    <row r="14" spans="1:3" ht="15.75" thickBot="1" x14ac:dyDescent="0.3">
      <c r="A14" s="815"/>
      <c r="B14" s="815"/>
      <c r="C14" s="815"/>
    </row>
    <row r="15" spans="1:3" ht="15.75" thickBot="1" x14ac:dyDescent="0.3">
      <c r="A15" s="635"/>
      <c r="B15" s="635"/>
      <c r="C15" s="635"/>
    </row>
    <row r="16" spans="1:3" ht="15.75" thickBot="1" x14ac:dyDescent="0.3">
      <c r="A16" s="815"/>
      <c r="B16" s="815"/>
      <c r="C16" s="815"/>
    </row>
    <row r="17" spans="1:3" ht="15.75" thickBot="1" x14ac:dyDescent="0.3">
      <c r="A17" s="635"/>
      <c r="B17" s="635"/>
      <c r="C17" s="635"/>
    </row>
    <row r="18" spans="1:3" ht="15.75" thickBot="1" x14ac:dyDescent="0.3">
      <c r="A18" s="815"/>
      <c r="B18" s="815"/>
      <c r="C18" s="815"/>
    </row>
    <row r="19" spans="1:3" ht="15.75" thickBot="1" x14ac:dyDescent="0.3">
      <c r="A19" s="635"/>
      <c r="B19" s="635"/>
      <c r="C19" s="635"/>
    </row>
    <row r="20" spans="1:3" ht="15.75" thickBot="1" x14ac:dyDescent="0.3">
      <c r="A20" s="815"/>
      <c r="B20" s="815"/>
      <c r="C20" s="815"/>
    </row>
    <row r="21" spans="1:3" ht="15.75" customHeight="1" thickBot="1" x14ac:dyDescent="0.3">
      <c r="A21" s="635"/>
      <c r="B21" s="635"/>
      <c r="C21" s="635"/>
    </row>
    <row r="22" spans="1:3" ht="15.75" thickBot="1" x14ac:dyDescent="0.3">
      <c r="A22" s="815"/>
      <c r="B22" s="815"/>
      <c r="C22" s="815"/>
    </row>
    <row r="23" spans="1:3" ht="15.75" thickBot="1" x14ac:dyDescent="0.3">
      <c r="A23" s="636"/>
      <c r="B23" s="635"/>
      <c r="C23" s="636"/>
    </row>
    <row r="24" spans="1:3" x14ac:dyDescent="0.25">
      <c r="A24" s="360"/>
      <c r="B24" s="360"/>
      <c r="C24" s="178"/>
    </row>
    <row r="25" spans="1:3" x14ac:dyDescent="0.25">
      <c r="A25" s="361"/>
      <c r="B25" s="361"/>
      <c r="C25" s="179"/>
    </row>
    <row r="26" spans="1:3" ht="15.75" customHeight="1" x14ac:dyDescent="0.25">
      <c r="A26" s="360"/>
      <c r="B26" s="360"/>
      <c r="C26" s="178"/>
    </row>
    <row r="27" spans="1:3" x14ac:dyDescent="0.25">
      <c r="A27" s="361"/>
      <c r="B27" s="361"/>
      <c r="C27" s="179"/>
    </row>
    <row r="28" spans="1:3" x14ac:dyDescent="0.25">
      <c r="A28" s="770"/>
      <c r="B28" s="360"/>
      <c r="C28" s="771"/>
    </row>
    <row r="29" spans="1:3" ht="15.75" thickBot="1" x14ac:dyDescent="0.3">
      <c r="A29" s="636"/>
      <c r="B29" s="635"/>
      <c r="C29" s="63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A19"/>
  <sheetViews>
    <sheetView workbookViewId="0">
      <selection activeCell="G10" sqref="G10:I11"/>
    </sheetView>
  </sheetViews>
  <sheetFormatPr defaultRowHeight="15" x14ac:dyDescent="0.25"/>
  <cols>
    <col min="1" max="1" width="24.5703125" style="167" bestFit="1" customWidth="1"/>
    <col min="2" max="2" width="38.140625" bestFit="1" customWidth="1"/>
    <col min="7" max="7" width="21.140625" bestFit="1" customWidth="1"/>
    <col min="8" max="8" width="42" bestFit="1" customWidth="1"/>
    <col min="9" max="9" width="15.7109375" bestFit="1" customWidth="1"/>
  </cols>
  <sheetData>
    <row r="1" spans="1:105" ht="18.75" thickBot="1" x14ac:dyDescent="0.3">
      <c r="A1" s="787" t="s">
        <v>2060</v>
      </c>
      <c r="B1" s="787" t="s">
        <v>1141</v>
      </c>
      <c r="C1" s="787" t="s">
        <v>1142</v>
      </c>
      <c r="G1" s="802" t="s">
        <v>1894</v>
      </c>
      <c r="H1" s="803" t="s">
        <v>542</v>
      </c>
      <c r="I1" s="803" t="s">
        <v>1895</v>
      </c>
    </row>
    <row r="2" spans="1:105" ht="18.75" thickBot="1" x14ac:dyDescent="0.3">
      <c r="A2" s="788">
        <v>549754600127</v>
      </c>
      <c r="B2" s="788" t="s">
        <v>1143</v>
      </c>
      <c r="C2" s="788">
        <v>15</v>
      </c>
      <c r="G2" s="804">
        <v>549754600190</v>
      </c>
      <c r="H2" s="805" t="s">
        <v>1896</v>
      </c>
      <c r="I2" s="805">
        <v>5</v>
      </c>
    </row>
    <row r="3" spans="1:105" ht="18.75" thickBot="1" x14ac:dyDescent="0.3">
      <c r="A3" s="788">
        <v>549754600173</v>
      </c>
      <c r="B3" s="788" t="s">
        <v>1143</v>
      </c>
      <c r="C3" s="788">
        <v>50</v>
      </c>
      <c r="G3" s="804">
        <v>549754600133</v>
      </c>
      <c r="H3" s="805" t="s">
        <v>2219</v>
      </c>
      <c r="I3" s="805">
        <v>4</v>
      </c>
    </row>
    <row r="4" spans="1:105" ht="18.75" thickBot="1" x14ac:dyDescent="0.3">
      <c r="A4" s="788">
        <v>549754600231</v>
      </c>
      <c r="B4" s="788" t="s">
        <v>1143</v>
      </c>
      <c r="C4" s="788">
        <v>15</v>
      </c>
      <c r="G4" s="804">
        <v>549754600393</v>
      </c>
      <c r="H4" s="805" t="s">
        <v>2219</v>
      </c>
      <c r="I4" s="805">
        <v>6</v>
      </c>
    </row>
    <row r="5" spans="1:105" ht="18.75" thickBot="1" x14ac:dyDescent="0.3">
      <c r="A5" s="788">
        <v>549754600111</v>
      </c>
      <c r="B5" s="788" t="s">
        <v>1143</v>
      </c>
      <c r="C5" s="788">
        <v>12</v>
      </c>
      <c r="G5" s="804">
        <v>549754600392</v>
      </c>
      <c r="H5" s="805" t="s">
        <v>2219</v>
      </c>
      <c r="I5" s="805">
        <v>5</v>
      </c>
      <c r="DA5" t="e">
        <f>SUMIF(Sheet1!#REF!,'Front Dispatch'!A5,Sheet1!H)</f>
        <v>#REF!</v>
      </c>
    </row>
    <row r="6" spans="1:105" ht="18.75" thickBot="1" x14ac:dyDescent="0.3">
      <c r="A6" s="788">
        <v>549754600126</v>
      </c>
      <c r="B6" s="788" t="s">
        <v>1143</v>
      </c>
      <c r="C6" s="788">
        <v>13</v>
      </c>
      <c r="G6" s="804">
        <v>549754600138</v>
      </c>
      <c r="H6" s="805" t="s">
        <v>1896</v>
      </c>
      <c r="I6" s="805">
        <v>30</v>
      </c>
    </row>
    <row r="7" spans="1:105" ht="18.75" thickBot="1" x14ac:dyDescent="0.3">
      <c r="A7" s="788">
        <v>549754600110</v>
      </c>
      <c r="B7" s="788" t="s">
        <v>1143</v>
      </c>
      <c r="C7" s="788">
        <v>10</v>
      </c>
      <c r="G7" s="804">
        <v>549754600131</v>
      </c>
      <c r="H7" s="805" t="s">
        <v>1896</v>
      </c>
      <c r="I7" s="805">
        <v>20</v>
      </c>
    </row>
    <row r="8" spans="1:105" ht="18.75" thickBot="1" x14ac:dyDescent="0.3">
      <c r="A8" s="788">
        <v>549754600112</v>
      </c>
      <c r="B8" s="788" t="s">
        <v>1143</v>
      </c>
      <c r="C8" s="788">
        <v>15</v>
      </c>
      <c r="G8" s="804">
        <v>549754600239</v>
      </c>
      <c r="H8" s="805" t="s">
        <v>1896</v>
      </c>
      <c r="I8" s="805">
        <v>6</v>
      </c>
    </row>
    <row r="9" spans="1:105" ht="18.75" thickBot="1" x14ac:dyDescent="0.3">
      <c r="A9" s="788">
        <v>549754600109</v>
      </c>
      <c r="B9" s="788" t="s">
        <v>1143</v>
      </c>
      <c r="C9" s="788">
        <v>12</v>
      </c>
      <c r="G9" s="804">
        <v>549754600139</v>
      </c>
      <c r="H9" s="805" t="s">
        <v>1896</v>
      </c>
      <c r="I9" s="805">
        <v>42</v>
      </c>
    </row>
    <row r="10" spans="1:105" ht="18.75" thickBot="1" x14ac:dyDescent="0.3">
      <c r="A10" s="788">
        <v>549754600124</v>
      </c>
      <c r="B10" s="788" t="s">
        <v>1143</v>
      </c>
      <c r="C10" s="788">
        <v>14</v>
      </c>
      <c r="G10" s="804"/>
      <c r="H10" s="805"/>
      <c r="I10" s="805"/>
    </row>
    <row r="11" spans="1:105" ht="18.75" thickBot="1" x14ac:dyDescent="0.3">
      <c r="A11" s="788">
        <v>549754600108</v>
      </c>
      <c r="B11" s="788" t="s">
        <v>1143</v>
      </c>
      <c r="C11" s="788">
        <v>14</v>
      </c>
      <c r="G11" s="804"/>
      <c r="H11" s="805"/>
      <c r="I11" s="805"/>
    </row>
    <row r="12" spans="1:105" ht="18.75" thickBot="1" x14ac:dyDescent="0.3">
      <c r="A12" s="788">
        <v>549754600227</v>
      </c>
      <c r="B12" s="788" t="s">
        <v>1143</v>
      </c>
      <c r="C12" s="788">
        <v>1</v>
      </c>
      <c r="G12" s="804"/>
      <c r="H12" s="805"/>
      <c r="I12" s="805"/>
    </row>
    <row r="13" spans="1:105" ht="18.75" thickBot="1" x14ac:dyDescent="0.3">
      <c r="A13" s="788">
        <v>549754600128</v>
      </c>
      <c r="B13" s="788" t="s">
        <v>1143</v>
      </c>
      <c r="C13" s="788">
        <v>26</v>
      </c>
      <c r="G13" s="804"/>
      <c r="H13" s="805"/>
      <c r="I13" s="805"/>
    </row>
    <row r="14" spans="1:105" ht="18.75" thickBot="1" x14ac:dyDescent="0.3">
      <c r="A14" s="788"/>
      <c r="B14" s="788"/>
      <c r="C14" s="788"/>
      <c r="G14" s="804"/>
      <c r="H14" s="805"/>
      <c r="I14" s="805"/>
    </row>
    <row r="15" spans="1:105" ht="18.75" thickBot="1" x14ac:dyDescent="0.3">
      <c r="A15" s="788"/>
      <c r="B15" s="788"/>
      <c r="C15" s="788"/>
      <c r="G15" s="804"/>
      <c r="H15" s="805"/>
      <c r="I15" s="805"/>
    </row>
    <row r="16" spans="1:105" ht="18.75" thickBot="1" x14ac:dyDescent="0.3">
      <c r="A16" s="788"/>
      <c r="B16" s="788"/>
      <c r="C16" s="788"/>
      <c r="G16" s="804"/>
      <c r="H16" s="805"/>
      <c r="I16" s="805"/>
    </row>
    <row r="17" spans="1:3" ht="16.5" thickBot="1" x14ac:dyDescent="0.3">
      <c r="A17" s="788"/>
      <c r="B17" s="788"/>
      <c r="C17" s="788"/>
    </row>
    <row r="18" spans="1:3" ht="16.5" thickBot="1" x14ac:dyDescent="0.3">
      <c r="A18" s="788"/>
      <c r="B18" s="788"/>
      <c r="C18" s="788"/>
    </row>
    <row r="19" spans="1:3" ht="16.5" thickBot="1" x14ac:dyDescent="0.3">
      <c r="A19" s="788"/>
      <c r="B19" s="788"/>
      <c r="C19" s="788"/>
    </row>
  </sheetData>
  <conditionalFormatting sqref="A20:A1048576">
    <cfRule type="duplicateValues" dxfId="77" priority="5"/>
    <cfRule type="duplicateValues" dxfId="76" priority="9"/>
    <cfRule type="duplicateValues" dxfId="75" priority="4305"/>
    <cfRule type="duplicateValues" dxfId="74" priority="4306"/>
    <cfRule type="duplicateValues" dxfId="73" priority="4307"/>
    <cfRule type="duplicateValues" dxfId="72" priority="4308"/>
    <cfRule type="duplicateValues" dxfId="71" priority="4310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LB1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M6" sqref="FM6"/>
    </sheetView>
  </sheetViews>
  <sheetFormatPr defaultColWidth="4" defaultRowHeight="15" outlineLevelCol="1" x14ac:dyDescent="0.25"/>
  <cols>
    <col min="1" max="1" width="19.5703125" style="175" customWidth="1"/>
    <col min="2" max="2" width="10.28515625" customWidth="1"/>
    <col min="3" max="4" width="11.140625" hidden="1" customWidth="1"/>
    <col min="5" max="5" width="10.85546875" customWidth="1"/>
    <col min="6" max="7" width="4" hidden="1" customWidth="1" outlineLevel="1"/>
    <col min="8" max="8" width="4.7109375" hidden="1" customWidth="1" outlineLevel="1"/>
    <col min="9" max="34" width="4" hidden="1" customWidth="1" outlineLevel="1"/>
    <col min="35" max="35" width="4.5703125" hidden="1" customWidth="1" outlineLevel="1"/>
    <col min="36" max="36" width="4.42578125" hidden="1" customWidth="1" outlineLevel="1"/>
    <col min="37" max="44" width="4" hidden="1" customWidth="1" outlineLevel="1"/>
    <col min="45" max="45" width="3.42578125" hidden="1" customWidth="1" outlineLevel="1"/>
    <col min="46" max="46" width="4" hidden="1" customWidth="1" outlineLevel="1"/>
    <col min="47" max="50" width="4.28515625" hidden="1" customWidth="1" outlineLevel="1"/>
    <col min="51" max="54" width="4" hidden="1" customWidth="1" outlineLevel="1"/>
    <col min="55" max="55" width="3.140625" hidden="1" customWidth="1" outlineLevel="1"/>
    <col min="56" max="57" width="4" hidden="1" customWidth="1" outlineLevel="1"/>
    <col min="58" max="64" width="4.140625" hidden="1" customWidth="1" outlineLevel="1"/>
    <col min="65" max="65" width="3.42578125" hidden="1" customWidth="1" outlineLevel="1"/>
    <col min="66" max="67" width="4.140625" hidden="1" customWidth="1" outlineLevel="1"/>
    <col min="68" max="74" width="4" hidden="1" customWidth="1" outlineLevel="1"/>
    <col min="75" max="75" width="4.140625" hidden="1" customWidth="1" outlineLevel="1"/>
    <col min="76" max="84" width="4" hidden="1" customWidth="1" outlineLevel="1"/>
    <col min="85" max="85" width="3.85546875" hidden="1" customWidth="1" outlineLevel="1"/>
    <col min="86" max="87" width="4" hidden="1" customWidth="1" outlineLevel="1"/>
    <col min="88" max="90" width="4.140625" hidden="1" customWidth="1" outlineLevel="1"/>
    <col min="91" max="95" width="4" hidden="1" customWidth="1" outlineLevel="1"/>
    <col min="96" max="96" width="4.28515625" hidden="1" customWidth="1" outlineLevel="1"/>
    <col min="97" max="98" width="4" style="534" hidden="1" customWidth="1" outlineLevel="1"/>
    <col min="99" max="99" width="4" hidden="1" customWidth="1" outlineLevel="1"/>
    <col min="100" max="105" width="3.42578125" hidden="1" customWidth="1" outlineLevel="1"/>
    <col min="106" max="106" width="4" hidden="1" customWidth="1" outlineLevel="1"/>
    <col min="107" max="107" width="3.85546875" hidden="1" customWidth="1" outlineLevel="1"/>
    <col min="108" max="108" width="4" hidden="1" customWidth="1" outlineLevel="1"/>
    <col min="109" max="110" width="4.7109375" hidden="1" customWidth="1" outlineLevel="1"/>
    <col min="111" max="115" width="3.42578125" hidden="1" customWidth="1" outlineLevel="1"/>
    <col min="116" max="119" width="4" hidden="1" customWidth="1" outlineLevel="1"/>
    <col min="120" max="120" width="4.5703125" hidden="1" customWidth="1" outlineLevel="1"/>
    <col min="121" max="124" width="4" hidden="1" customWidth="1" outlineLevel="1"/>
    <col min="125" max="125" width="3.7109375" hidden="1" customWidth="1" outlineLevel="1"/>
    <col min="126" max="127" width="4" hidden="1" customWidth="1" outlineLevel="1"/>
    <col min="128" max="128" width="0.140625" customWidth="1" outlineLevel="1"/>
    <col min="129" max="134" width="4" hidden="1" customWidth="1" outlineLevel="1"/>
    <col min="135" max="135" width="3.42578125" hidden="1" customWidth="1" outlineLevel="1"/>
    <col min="136" max="136" width="4.140625" hidden="1" customWidth="1" outlineLevel="1"/>
    <col min="137" max="137" width="4.5703125" hidden="1" customWidth="1" outlineLevel="1"/>
    <col min="138" max="138" width="3.7109375" hidden="1" customWidth="1" outlineLevel="1"/>
    <col min="139" max="140" width="4.5703125" hidden="1" customWidth="1" outlineLevel="1"/>
    <col min="141" max="141" width="4" hidden="1" customWidth="1" outlineLevel="1"/>
    <col min="142" max="144" width="4.5703125" hidden="1" customWidth="1" outlineLevel="1"/>
    <col min="145" max="145" width="3.42578125" hidden="1" customWidth="1" outlineLevel="1"/>
    <col min="146" max="146" width="4" customWidth="1" outlineLevel="1"/>
    <col min="147" max="147" width="3.85546875" customWidth="1" outlineLevel="1"/>
    <col min="148" max="155" width="4" customWidth="1" outlineLevel="1"/>
    <col min="156" max="156" width="3.7109375" customWidth="1" outlineLevel="1"/>
    <col min="157" max="157" width="3.85546875" customWidth="1" outlineLevel="1"/>
    <col min="158" max="158" width="4.42578125" customWidth="1" outlineLevel="1"/>
    <col min="159" max="159" width="4.28515625" customWidth="1" outlineLevel="1"/>
    <col min="160" max="160" width="4.85546875" customWidth="1" outlineLevel="1"/>
    <col min="161" max="161" width="3.7109375" customWidth="1" outlineLevel="1"/>
    <col min="162" max="164" width="3.42578125" customWidth="1" outlineLevel="1"/>
    <col min="165" max="165" width="4.140625" customWidth="1" outlineLevel="1"/>
    <col min="166" max="172" width="4" customWidth="1" outlineLevel="1"/>
    <col min="173" max="175" width="3.42578125" customWidth="1" outlineLevel="1"/>
    <col min="176" max="187" width="4" customWidth="1" outlineLevel="1"/>
    <col min="188" max="188" width="4.5703125" customWidth="1" outlineLevel="1"/>
    <col min="189" max="194" width="4" customWidth="1" outlineLevel="1"/>
    <col min="195" max="195" width="3.85546875" customWidth="1" outlineLevel="1"/>
    <col min="196" max="196" width="4.85546875" customWidth="1" outlineLevel="1"/>
    <col min="197" max="207" width="4" customWidth="1" outlineLevel="1"/>
    <col min="208" max="208" width="4.85546875" customWidth="1" outlineLevel="1"/>
    <col min="209" max="215" width="3.42578125" customWidth="1" outlineLevel="1"/>
    <col min="216" max="225" width="4" customWidth="1" outlineLevel="1"/>
    <col min="226" max="226" width="3.85546875" customWidth="1"/>
    <col min="227" max="228" width="4" customWidth="1"/>
    <col min="229" max="234" width="3.85546875" customWidth="1"/>
    <col min="235" max="244" width="4" customWidth="1"/>
    <col min="245" max="245" width="4.140625" customWidth="1"/>
    <col min="246" max="246" width="4" customWidth="1"/>
    <col min="247" max="247" width="4.140625" customWidth="1"/>
    <col min="248" max="248" width="4.42578125" customWidth="1"/>
    <col min="249" max="249" width="4.140625" customWidth="1"/>
    <col min="250" max="251" width="3.85546875" customWidth="1"/>
    <col min="252" max="255" width="3.42578125" customWidth="1"/>
    <col min="256" max="264" width="4" customWidth="1"/>
    <col min="265" max="265" width="3.42578125" customWidth="1"/>
    <col min="266" max="273" width="4" customWidth="1"/>
    <col min="274" max="274" width="3.42578125" customWidth="1"/>
    <col min="275" max="294" width="4" customWidth="1"/>
    <col min="295" max="295" width="4.140625" customWidth="1"/>
    <col min="296" max="314" width="4" customWidth="1"/>
  </cols>
  <sheetData>
    <row r="1" spans="1:314" ht="15.75" x14ac:dyDescent="0.25">
      <c r="A1" s="106"/>
      <c r="B1" s="1026" t="s">
        <v>69</v>
      </c>
      <c r="C1" s="1029" t="s">
        <v>70</v>
      </c>
      <c r="D1" s="122"/>
      <c r="E1" s="1032" t="s">
        <v>68</v>
      </c>
      <c r="F1" s="1023">
        <v>46204</v>
      </c>
      <c r="G1" s="1024"/>
      <c r="H1" s="1024"/>
      <c r="I1" s="1024"/>
      <c r="J1" s="1024"/>
      <c r="K1" s="1024"/>
      <c r="L1" s="1024"/>
      <c r="M1" s="1024"/>
      <c r="N1" s="1024"/>
      <c r="O1" s="1025"/>
      <c r="P1" s="1023">
        <v>46205</v>
      </c>
      <c r="Q1" s="1024"/>
      <c r="R1" s="1024"/>
      <c r="S1" s="1024"/>
      <c r="T1" s="1024"/>
      <c r="U1" s="1024"/>
      <c r="V1" s="1024"/>
      <c r="W1" s="1024"/>
      <c r="X1" s="1024"/>
      <c r="Y1" s="1025"/>
      <c r="Z1" s="1023">
        <v>46206</v>
      </c>
      <c r="AA1" s="1024"/>
      <c r="AB1" s="1024"/>
      <c r="AC1" s="1024"/>
      <c r="AD1" s="1024"/>
      <c r="AE1" s="1024"/>
      <c r="AF1" s="1024"/>
      <c r="AG1" s="1024"/>
      <c r="AH1" s="1024"/>
      <c r="AI1" s="1025"/>
      <c r="AJ1" s="1023">
        <v>46207</v>
      </c>
      <c r="AK1" s="1024"/>
      <c r="AL1" s="1024"/>
      <c r="AM1" s="1024"/>
      <c r="AN1" s="1024"/>
      <c r="AO1" s="1024"/>
      <c r="AP1" s="1024"/>
      <c r="AQ1" s="1024"/>
      <c r="AR1" s="1024"/>
      <c r="AS1" s="1025"/>
      <c r="AT1" s="1023">
        <v>46208</v>
      </c>
      <c r="AU1" s="1024"/>
      <c r="AV1" s="1024"/>
      <c r="AW1" s="1024"/>
      <c r="AX1" s="1024"/>
      <c r="AY1" s="1024"/>
      <c r="AZ1" s="1024"/>
      <c r="BA1" s="1024"/>
      <c r="BB1" s="1024"/>
      <c r="BC1" s="1025"/>
      <c r="BD1" s="1023">
        <v>46209</v>
      </c>
      <c r="BE1" s="1024"/>
      <c r="BF1" s="1024"/>
      <c r="BG1" s="1024"/>
      <c r="BH1" s="1024"/>
      <c r="BI1" s="1024"/>
      <c r="BJ1" s="1024"/>
      <c r="BK1" s="1024"/>
      <c r="BL1" s="1024"/>
      <c r="BM1" s="1025"/>
      <c r="BN1" s="1023">
        <v>46210</v>
      </c>
      <c r="BO1" s="1024"/>
      <c r="BP1" s="1024"/>
      <c r="BQ1" s="1024"/>
      <c r="BR1" s="1024"/>
      <c r="BS1" s="1024"/>
      <c r="BT1" s="1024"/>
      <c r="BU1" s="1024"/>
      <c r="BV1" s="1024"/>
      <c r="BW1" s="1025"/>
      <c r="BX1" s="1023">
        <v>46211</v>
      </c>
      <c r="BY1" s="1024"/>
      <c r="BZ1" s="1024"/>
      <c r="CA1" s="1024"/>
      <c r="CB1" s="1024"/>
      <c r="CC1" s="1024"/>
      <c r="CD1" s="1024"/>
      <c r="CE1" s="1024"/>
      <c r="CF1" s="1024"/>
      <c r="CG1" s="1025"/>
      <c r="CH1" s="1023">
        <v>46212</v>
      </c>
      <c r="CI1" s="1024"/>
      <c r="CJ1" s="1024"/>
      <c r="CK1" s="1024"/>
      <c r="CL1" s="1024"/>
      <c r="CM1" s="1024"/>
      <c r="CN1" s="1024"/>
      <c r="CO1" s="1024"/>
      <c r="CP1" s="1024"/>
      <c r="CQ1" s="1025"/>
      <c r="CR1" s="1023">
        <v>46213</v>
      </c>
      <c r="CS1" s="1024"/>
      <c r="CT1" s="1024"/>
      <c r="CU1" s="1024"/>
      <c r="CV1" s="1024"/>
      <c r="CW1" s="1024"/>
      <c r="CX1" s="1024"/>
      <c r="CY1" s="1024"/>
      <c r="CZ1" s="1024"/>
      <c r="DA1" s="1025"/>
      <c r="DB1" s="1023">
        <v>46214</v>
      </c>
      <c r="DC1" s="1024"/>
      <c r="DD1" s="1024"/>
      <c r="DE1" s="1024"/>
      <c r="DF1" s="1024"/>
      <c r="DG1" s="1024"/>
      <c r="DH1" s="1024"/>
      <c r="DI1" s="1024"/>
      <c r="DJ1" s="1024"/>
      <c r="DK1" s="1025"/>
      <c r="DL1" s="1023">
        <v>46215</v>
      </c>
      <c r="DM1" s="1024"/>
      <c r="DN1" s="1024"/>
      <c r="DO1" s="1024"/>
      <c r="DP1" s="1024"/>
      <c r="DQ1" s="1024"/>
      <c r="DR1" s="1024"/>
      <c r="DS1" s="1024"/>
      <c r="DT1" s="1024"/>
      <c r="DU1" s="1025"/>
      <c r="DV1" s="1023">
        <v>46216</v>
      </c>
      <c r="DW1" s="1024"/>
      <c r="DX1" s="1024"/>
      <c r="DY1" s="1024"/>
      <c r="DZ1" s="1024"/>
      <c r="EA1" s="1024"/>
      <c r="EB1" s="1024"/>
      <c r="EC1" s="1024"/>
      <c r="ED1" s="1024"/>
      <c r="EE1" s="1025"/>
      <c r="EF1" s="1023">
        <v>46217</v>
      </c>
      <c r="EG1" s="1024"/>
      <c r="EH1" s="1024"/>
      <c r="EI1" s="1024"/>
      <c r="EJ1" s="1024"/>
      <c r="EK1" s="1024"/>
      <c r="EL1" s="1024"/>
      <c r="EM1" s="1024"/>
      <c r="EN1" s="1024"/>
      <c r="EO1" s="1025"/>
      <c r="EP1" s="1023">
        <v>46218</v>
      </c>
      <c r="EQ1" s="1024"/>
      <c r="ER1" s="1024"/>
      <c r="ES1" s="1024"/>
      <c r="ET1" s="1024"/>
      <c r="EU1" s="1024"/>
      <c r="EV1" s="1024"/>
      <c r="EW1" s="1024"/>
      <c r="EX1" s="1024"/>
      <c r="EY1" s="1025"/>
      <c r="EZ1" s="1023">
        <v>46219</v>
      </c>
      <c r="FA1" s="1024"/>
      <c r="FB1" s="1024"/>
      <c r="FC1" s="1024"/>
      <c r="FD1" s="1024"/>
      <c r="FE1" s="1024"/>
      <c r="FF1" s="1024"/>
      <c r="FG1" s="1024"/>
      <c r="FH1" s="1024"/>
      <c r="FI1" s="1025"/>
      <c r="FJ1" s="1023">
        <v>46220</v>
      </c>
      <c r="FK1" s="1024"/>
      <c r="FL1" s="1024"/>
      <c r="FM1" s="1024"/>
      <c r="FN1" s="1024"/>
      <c r="FO1" s="1024"/>
      <c r="FP1" s="1024"/>
      <c r="FQ1" s="1024"/>
      <c r="FR1" s="1024"/>
      <c r="FS1" s="1025"/>
      <c r="FT1" s="1023">
        <v>46221</v>
      </c>
      <c r="FU1" s="1024"/>
      <c r="FV1" s="1024"/>
      <c r="FW1" s="1024"/>
      <c r="FX1" s="1024"/>
      <c r="FY1" s="1024"/>
      <c r="FZ1" s="1024"/>
      <c r="GA1" s="1024"/>
      <c r="GB1" s="1024"/>
      <c r="GC1" s="1025"/>
      <c r="GD1" s="1023">
        <v>46222</v>
      </c>
      <c r="GE1" s="1024"/>
      <c r="GF1" s="1024"/>
      <c r="GG1" s="1024"/>
      <c r="GH1" s="1024"/>
      <c r="GI1" s="1024"/>
      <c r="GJ1" s="1024"/>
      <c r="GK1" s="1024"/>
      <c r="GL1" s="1024"/>
      <c r="GM1" s="1025"/>
      <c r="GN1" s="1023">
        <v>46223</v>
      </c>
      <c r="GO1" s="1024"/>
      <c r="GP1" s="1024"/>
      <c r="GQ1" s="1024"/>
      <c r="GR1" s="1024"/>
      <c r="GS1" s="1024"/>
      <c r="GT1" s="1024"/>
      <c r="GU1" s="1024"/>
      <c r="GV1" s="1024"/>
      <c r="GW1" s="1025"/>
      <c r="GX1" s="1023">
        <v>46224</v>
      </c>
      <c r="GY1" s="1024"/>
      <c r="GZ1" s="1024"/>
      <c r="HA1" s="1024"/>
      <c r="HB1" s="1024"/>
      <c r="HC1" s="1024"/>
      <c r="HD1" s="1024"/>
      <c r="HE1" s="1024"/>
      <c r="HF1" s="1024"/>
      <c r="HG1" s="1025"/>
      <c r="HH1" s="1023">
        <v>46225</v>
      </c>
      <c r="HI1" s="1024"/>
      <c r="HJ1" s="1024"/>
      <c r="HK1" s="1024"/>
      <c r="HL1" s="1024"/>
      <c r="HM1" s="1024"/>
      <c r="HN1" s="1024"/>
      <c r="HO1" s="1024"/>
      <c r="HP1" s="1024"/>
      <c r="HQ1" s="1025"/>
      <c r="HR1" s="1023">
        <v>46226</v>
      </c>
      <c r="HS1" s="1024"/>
      <c r="HT1" s="1024"/>
      <c r="HU1" s="1024"/>
      <c r="HV1" s="1024"/>
      <c r="HW1" s="1024"/>
      <c r="HX1" s="1024"/>
      <c r="HY1" s="1024"/>
      <c r="HZ1" s="1024"/>
      <c r="IA1" s="1025"/>
      <c r="IB1" s="1023">
        <v>46227</v>
      </c>
      <c r="IC1" s="1024"/>
      <c r="ID1" s="1024"/>
      <c r="IE1" s="1024"/>
      <c r="IF1" s="1024"/>
      <c r="IG1" s="1024"/>
      <c r="IH1" s="1024"/>
      <c r="II1" s="1024"/>
      <c r="IJ1" s="1024"/>
      <c r="IK1" s="1025"/>
      <c r="IL1" s="1023">
        <v>46228</v>
      </c>
      <c r="IM1" s="1024"/>
      <c r="IN1" s="1024"/>
      <c r="IO1" s="1024"/>
      <c r="IP1" s="1024"/>
      <c r="IQ1" s="1024"/>
      <c r="IR1" s="1024"/>
      <c r="IS1" s="1024"/>
      <c r="IT1" s="1024"/>
      <c r="IU1" s="1025"/>
      <c r="IV1" s="1023">
        <v>46229</v>
      </c>
      <c r="IW1" s="1024"/>
      <c r="IX1" s="1024"/>
      <c r="IY1" s="1024"/>
      <c r="IZ1" s="1024"/>
      <c r="JA1" s="1024"/>
      <c r="JB1" s="1024"/>
      <c r="JC1" s="1024"/>
      <c r="JD1" s="1024"/>
      <c r="JE1" s="1025"/>
      <c r="JF1" s="1023">
        <v>46139</v>
      </c>
      <c r="JG1" s="1024"/>
      <c r="JH1" s="1024"/>
      <c r="JI1" s="1024"/>
      <c r="JJ1" s="1024"/>
      <c r="JK1" s="1024"/>
      <c r="JL1" s="1024"/>
      <c r="JM1" s="1024"/>
      <c r="JN1" s="1025"/>
      <c r="JO1" s="1023">
        <v>46140</v>
      </c>
      <c r="JP1" s="1024"/>
      <c r="JQ1" s="1024"/>
      <c r="JR1" s="1024"/>
      <c r="JS1" s="1024"/>
      <c r="JT1" s="1024"/>
      <c r="JU1" s="1024"/>
      <c r="JV1" s="1024"/>
      <c r="JW1" s="1024"/>
      <c r="JX1" s="1025"/>
      <c r="JY1" s="1023">
        <v>46141</v>
      </c>
      <c r="JZ1" s="1024"/>
      <c r="KA1" s="1024"/>
      <c r="KB1" s="1024"/>
      <c r="KC1" s="1024"/>
      <c r="KD1" s="1024"/>
      <c r="KE1" s="1024"/>
      <c r="KF1" s="1024"/>
      <c r="KG1" s="1024"/>
      <c r="KH1" s="1025"/>
      <c r="KI1" s="1023">
        <v>46142</v>
      </c>
      <c r="KJ1" s="1024"/>
      <c r="KK1" s="1024"/>
      <c r="KL1" s="1024"/>
      <c r="KM1" s="1024"/>
      <c r="KN1" s="1024"/>
      <c r="KO1" s="1024"/>
      <c r="KP1" s="1024"/>
      <c r="KQ1" s="1024"/>
      <c r="KR1" s="1025"/>
      <c r="KS1" s="1023">
        <v>46143</v>
      </c>
      <c r="KT1" s="1024"/>
      <c r="KU1" s="1024"/>
      <c r="KV1" s="1024"/>
      <c r="KW1" s="1024"/>
      <c r="KX1" s="1024"/>
      <c r="KY1" s="1024"/>
      <c r="KZ1" s="1024"/>
      <c r="LA1" s="1024"/>
      <c r="LB1" s="1025"/>
    </row>
    <row r="2" spans="1:314" ht="30" customHeight="1" x14ac:dyDescent="0.25">
      <c r="A2" s="107"/>
      <c r="B2" s="1027"/>
      <c r="C2" s="1030"/>
      <c r="D2" s="123"/>
      <c r="E2" s="1033"/>
      <c r="F2" s="108">
        <v>277</v>
      </c>
      <c r="G2" s="46">
        <v>6035</v>
      </c>
      <c r="H2" s="46"/>
      <c r="I2" s="46"/>
      <c r="J2" s="46"/>
      <c r="K2" s="46"/>
      <c r="L2" s="46"/>
      <c r="M2" s="46"/>
      <c r="N2" s="46"/>
      <c r="O2" s="46"/>
      <c r="P2" s="46">
        <v>1916</v>
      </c>
      <c r="Q2" s="46">
        <v>4139</v>
      </c>
      <c r="R2" s="46">
        <v>6035</v>
      </c>
      <c r="S2" s="46">
        <v>1559</v>
      </c>
      <c r="T2" s="46">
        <v>792</v>
      </c>
      <c r="U2" s="46">
        <v>8720</v>
      </c>
      <c r="V2" s="46">
        <v>277</v>
      </c>
      <c r="W2" s="46">
        <v>6035</v>
      </c>
      <c r="X2" s="46"/>
      <c r="Y2" s="46"/>
      <c r="Z2" s="46">
        <v>1732</v>
      </c>
      <c r="AA2" s="46">
        <v>1916</v>
      </c>
      <c r="AB2" s="46">
        <v>6035</v>
      </c>
      <c r="AC2" s="46">
        <v>277</v>
      </c>
      <c r="AD2" s="46">
        <v>6035</v>
      </c>
      <c r="AE2" s="46"/>
      <c r="AF2" s="46"/>
      <c r="AG2" s="46"/>
      <c r="AH2" s="46"/>
      <c r="AI2" s="46"/>
      <c r="AJ2" s="108">
        <v>277</v>
      </c>
      <c r="AK2" s="46">
        <v>1916</v>
      </c>
      <c r="AL2" s="46">
        <v>792</v>
      </c>
      <c r="AM2" s="46">
        <v>277</v>
      </c>
      <c r="AN2" s="46">
        <v>6035</v>
      </c>
      <c r="AO2" s="46"/>
      <c r="AP2" s="46"/>
      <c r="AQ2" s="46"/>
      <c r="AR2" s="46"/>
      <c r="AS2" s="46"/>
      <c r="AT2" s="46">
        <v>6035</v>
      </c>
      <c r="AU2" s="46"/>
      <c r="AV2" s="46"/>
      <c r="AW2" s="46"/>
      <c r="AX2" s="46"/>
      <c r="AY2" s="46"/>
      <c r="AZ2" s="46"/>
      <c r="BA2" s="46"/>
      <c r="BB2" s="46"/>
      <c r="BC2" s="46"/>
      <c r="BD2" s="46">
        <v>277</v>
      </c>
      <c r="BE2" s="46">
        <v>6035</v>
      </c>
      <c r="BF2" s="46">
        <v>9113</v>
      </c>
      <c r="BG2" s="46">
        <v>277</v>
      </c>
      <c r="BI2" s="46"/>
      <c r="BJ2" s="46"/>
      <c r="BK2" s="46"/>
      <c r="BL2" s="46"/>
      <c r="BM2" s="46"/>
      <c r="BN2" s="46">
        <v>1732</v>
      </c>
      <c r="BO2" s="46">
        <v>277</v>
      </c>
      <c r="BQ2" s="46"/>
      <c r="BR2" s="46"/>
      <c r="BS2" s="46"/>
      <c r="BT2" s="46"/>
      <c r="BU2" s="46"/>
      <c r="BV2" s="46"/>
      <c r="BW2" s="46"/>
      <c r="BX2" s="46">
        <v>1732</v>
      </c>
      <c r="BY2" s="46">
        <v>6035</v>
      </c>
      <c r="BZ2" s="46"/>
      <c r="CA2" s="46"/>
      <c r="CB2" s="46"/>
      <c r="CC2" s="46"/>
      <c r="CD2" s="46"/>
      <c r="CE2" s="46"/>
      <c r="CF2" s="46"/>
      <c r="CG2" s="46"/>
      <c r="CH2" s="46">
        <v>277</v>
      </c>
      <c r="CI2" s="46">
        <v>9116</v>
      </c>
      <c r="CJ2" s="46">
        <v>1913</v>
      </c>
      <c r="CK2" s="46">
        <v>277</v>
      </c>
      <c r="CL2" s="46"/>
      <c r="CM2" s="46"/>
      <c r="CN2" s="46"/>
      <c r="CO2" s="46"/>
      <c r="CP2" s="46"/>
      <c r="CQ2" s="46"/>
      <c r="CR2" s="46">
        <v>6035</v>
      </c>
      <c r="CS2" s="46">
        <v>277</v>
      </c>
      <c r="CT2" s="46">
        <v>6033</v>
      </c>
      <c r="CU2" s="46">
        <v>6035</v>
      </c>
      <c r="CV2" s="46"/>
      <c r="CW2" s="46"/>
      <c r="CX2" s="46"/>
      <c r="CY2" s="46"/>
      <c r="CZ2" s="46"/>
      <c r="DA2" s="46"/>
      <c r="DB2" s="46">
        <v>277</v>
      </c>
      <c r="DC2" s="46">
        <v>6035</v>
      </c>
      <c r="DD2" s="46">
        <v>277</v>
      </c>
      <c r="DE2" s="46">
        <v>6035</v>
      </c>
      <c r="DF2" s="46"/>
      <c r="DG2" s="46"/>
      <c r="DH2" s="633"/>
      <c r="DI2" s="535"/>
      <c r="DJ2" s="535"/>
      <c r="DK2" s="46"/>
      <c r="DL2" s="46">
        <v>1732</v>
      </c>
      <c r="DM2" s="69"/>
      <c r="DN2" s="46"/>
      <c r="DO2" s="46"/>
      <c r="DP2" s="46"/>
      <c r="DQ2" s="46"/>
      <c r="DR2" s="46"/>
      <c r="DS2" s="46"/>
      <c r="DT2" s="46"/>
      <c r="DU2" s="46"/>
      <c r="DV2" s="46">
        <v>6033</v>
      </c>
      <c r="DW2" s="46">
        <v>277</v>
      </c>
      <c r="DX2" s="46">
        <v>6033</v>
      </c>
      <c r="DY2" s="46">
        <v>6035</v>
      </c>
      <c r="DZ2" s="806">
        <v>6035</v>
      </c>
      <c r="EA2" s="46"/>
      <c r="EB2" s="46"/>
      <c r="EC2" s="46"/>
      <c r="ED2" s="46"/>
      <c r="EE2" s="46"/>
      <c r="EF2" s="46">
        <v>1732</v>
      </c>
      <c r="EG2" s="46">
        <v>6035</v>
      </c>
      <c r="EH2" s="46">
        <v>1732</v>
      </c>
      <c r="EI2" s="46">
        <v>6033</v>
      </c>
      <c r="EJ2" s="46"/>
      <c r="EK2" s="46"/>
      <c r="EL2" s="46"/>
      <c r="EM2" s="46"/>
      <c r="EN2" s="46"/>
      <c r="EO2" s="46"/>
      <c r="EP2" s="46">
        <v>277</v>
      </c>
      <c r="EQ2" s="46">
        <v>6035</v>
      </c>
      <c r="ER2" s="46">
        <v>277</v>
      </c>
      <c r="ES2" s="46">
        <v>6033</v>
      </c>
      <c r="ET2" s="46">
        <v>6035</v>
      </c>
      <c r="EU2" s="46"/>
      <c r="EV2" s="46"/>
      <c r="EW2" s="46"/>
      <c r="EX2" s="46"/>
      <c r="EY2" s="46"/>
      <c r="EZ2" s="46">
        <v>277</v>
      </c>
      <c r="FA2" s="46">
        <v>6035</v>
      </c>
      <c r="FB2" s="46">
        <v>6033</v>
      </c>
      <c r="FC2" s="46">
        <v>277</v>
      </c>
      <c r="FD2" s="46"/>
      <c r="FE2" s="46"/>
      <c r="FF2" s="46"/>
      <c r="FG2" s="46"/>
      <c r="FH2" s="46"/>
      <c r="FI2" s="46"/>
      <c r="FJ2" s="46">
        <v>6033</v>
      </c>
      <c r="FK2" s="46">
        <v>6033</v>
      </c>
      <c r="FL2" s="46">
        <v>6035</v>
      </c>
      <c r="FM2" s="46">
        <v>277</v>
      </c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554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</row>
    <row r="3" spans="1:314" s="146" customFormat="1" ht="21.75" customHeight="1" x14ac:dyDescent="0.25">
      <c r="A3" s="110"/>
      <c r="B3" s="1027"/>
      <c r="C3" s="1030"/>
      <c r="D3" s="123"/>
      <c r="E3" s="1033"/>
      <c r="F3" s="144" t="s">
        <v>749</v>
      </c>
      <c r="G3" s="145" t="s">
        <v>749</v>
      </c>
      <c r="H3" s="145"/>
      <c r="I3" s="145"/>
      <c r="J3" s="145"/>
      <c r="K3" s="145"/>
      <c r="L3" s="145"/>
      <c r="M3" s="145"/>
      <c r="N3" s="145"/>
      <c r="O3" s="145"/>
      <c r="P3" s="145" t="s">
        <v>749</v>
      </c>
      <c r="Q3" s="145" t="s">
        <v>749</v>
      </c>
      <c r="R3" s="145" t="s">
        <v>749</v>
      </c>
      <c r="S3" s="145" t="s">
        <v>748</v>
      </c>
      <c r="T3" s="145" t="s">
        <v>748</v>
      </c>
      <c r="U3" s="145" t="s">
        <v>748</v>
      </c>
      <c r="V3" s="145" t="s">
        <v>748</v>
      </c>
      <c r="W3" s="145" t="s">
        <v>750</v>
      </c>
      <c r="X3" s="145"/>
      <c r="Y3" s="145"/>
      <c r="Z3" s="145" t="s">
        <v>749</v>
      </c>
      <c r="AA3" s="145" t="s">
        <v>749</v>
      </c>
      <c r="AB3" s="145" t="s">
        <v>748</v>
      </c>
      <c r="AC3" s="145" t="s">
        <v>748</v>
      </c>
      <c r="AD3" s="145" t="s">
        <v>750</v>
      </c>
      <c r="AE3" s="145"/>
      <c r="AF3" s="145"/>
      <c r="AG3" s="145"/>
      <c r="AH3" s="145"/>
      <c r="AI3" s="145"/>
      <c r="AJ3" s="144" t="s">
        <v>749</v>
      </c>
      <c r="AK3" s="145" t="s">
        <v>749</v>
      </c>
      <c r="AL3" s="145" t="s">
        <v>748</v>
      </c>
      <c r="AM3" s="145" t="s">
        <v>750</v>
      </c>
      <c r="AN3" s="145" t="s">
        <v>750</v>
      </c>
      <c r="AO3" s="145"/>
      <c r="AP3" s="145"/>
      <c r="AQ3" s="145"/>
      <c r="AR3" s="145"/>
      <c r="AS3" s="145"/>
      <c r="AT3" s="145" t="s">
        <v>749</v>
      </c>
      <c r="AU3" s="145"/>
      <c r="AV3" s="145"/>
      <c r="AW3" s="145"/>
      <c r="AX3" s="145"/>
      <c r="AY3" s="145"/>
      <c r="AZ3" s="145"/>
      <c r="BA3" s="145"/>
      <c r="BB3" s="145"/>
      <c r="BC3" s="145"/>
      <c r="BD3" s="145" t="s">
        <v>749</v>
      </c>
      <c r="BE3" s="145" t="s">
        <v>748</v>
      </c>
      <c r="BF3" s="145" t="s">
        <v>748</v>
      </c>
      <c r="BG3" s="145" t="s">
        <v>750</v>
      </c>
      <c r="BI3" s="145"/>
      <c r="BJ3" s="145"/>
      <c r="BK3" s="145"/>
      <c r="BL3" s="145"/>
      <c r="BM3" s="145"/>
      <c r="BN3" s="145" t="s">
        <v>748</v>
      </c>
      <c r="BO3" s="145" t="s">
        <v>748</v>
      </c>
      <c r="BQ3" s="145"/>
      <c r="BR3" s="145"/>
      <c r="BS3" s="145"/>
      <c r="BT3" s="145"/>
      <c r="BU3" s="145"/>
      <c r="BV3" s="145"/>
      <c r="BW3" s="145"/>
      <c r="BX3" s="145" t="s">
        <v>749</v>
      </c>
      <c r="BY3" s="145" t="s">
        <v>750</v>
      </c>
      <c r="BZ3" s="145"/>
      <c r="CA3" s="145"/>
      <c r="CB3" s="145"/>
      <c r="CC3" s="145"/>
      <c r="CD3" s="145"/>
      <c r="CE3" s="145"/>
      <c r="CF3" s="145"/>
      <c r="CG3" s="145"/>
      <c r="CH3" s="145" t="s">
        <v>749</v>
      </c>
      <c r="CI3" s="145" t="s">
        <v>750</v>
      </c>
      <c r="CJ3" s="145" t="s">
        <v>750</v>
      </c>
      <c r="CK3" s="145" t="s">
        <v>750</v>
      </c>
      <c r="CL3" s="145"/>
      <c r="CM3" s="145"/>
      <c r="CN3" s="145"/>
      <c r="CO3" s="145"/>
      <c r="CP3" s="145"/>
      <c r="CQ3" s="145"/>
      <c r="CR3" s="145" t="s">
        <v>749</v>
      </c>
      <c r="CS3" s="145" t="s">
        <v>750</v>
      </c>
      <c r="CT3" s="145" t="s">
        <v>750</v>
      </c>
      <c r="CU3" s="145" t="s">
        <v>750</v>
      </c>
      <c r="CV3" s="145"/>
      <c r="CW3" s="145"/>
      <c r="CX3" s="145"/>
      <c r="CY3" s="145"/>
      <c r="CZ3" s="145"/>
      <c r="DA3" s="145"/>
      <c r="DB3" s="145" t="s">
        <v>1586</v>
      </c>
      <c r="DC3" s="145" t="s">
        <v>750</v>
      </c>
      <c r="DD3" s="145" t="s">
        <v>750</v>
      </c>
      <c r="DE3" s="145" t="s">
        <v>750</v>
      </c>
      <c r="DF3" s="145"/>
      <c r="DG3" s="145"/>
      <c r="DH3" s="145"/>
      <c r="DI3" s="145"/>
      <c r="DJ3" s="145"/>
      <c r="DK3" s="145"/>
      <c r="DL3" s="145" t="s">
        <v>749</v>
      </c>
      <c r="DM3" s="145"/>
      <c r="DN3" s="145"/>
      <c r="DO3" s="145"/>
      <c r="DP3" s="145"/>
      <c r="DQ3" s="145"/>
      <c r="DR3" s="145"/>
      <c r="DS3" s="145"/>
      <c r="DT3" s="145"/>
      <c r="DU3" s="145"/>
      <c r="DV3" s="145" t="s">
        <v>750</v>
      </c>
      <c r="DW3" s="145" t="s">
        <v>750</v>
      </c>
      <c r="DX3" s="145" t="s">
        <v>749</v>
      </c>
      <c r="DY3" s="145" t="s">
        <v>749</v>
      </c>
      <c r="DZ3" s="807" t="s">
        <v>750</v>
      </c>
      <c r="EA3" s="145"/>
      <c r="EB3" s="145"/>
      <c r="EC3" s="145"/>
      <c r="ED3" s="145"/>
      <c r="EE3" s="145"/>
      <c r="EF3" s="145" t="s">
        <v>1395</v>
      </c>
      <c r="EG3" s="145" t="s">
        <v>750</v>
      </c>
      <c r="EH3" s="145" t="s">
        <v>749</v>
      </c>
      <c r="EI3" s="145" t="s">
        <v>749</v>
      </c>
      <c r="EJ3" s="145"/>
      <c r="EK3" s="145"/>
      <c r="EL3" s="145"/>
      <c r="EM3" s="145"/>
      <c r="EN3" s="145"/>
      <c r="EO3" s="46"/>
      <c r="EP3" s="46" t="s">
        <v>1395</v>
      </c>
      <c r="EQ3" s="145" t="s">
        <v>749</v>
      </c>
      <c r="ER3" s="145" t="s">
        <v>749</v>
      </c>
      <c r="ES3" s="145" t="s">
        <v>749</v>
      </c>
      <c r="ET3" s="145" t="s">
        <v>749</v>
      </c>
      <c r="EU3" s="145"/>
      <c r="EV3" s="145"/>
      <c r="EW3" s="145"/>
      <c r="EX3" s="145"/>
      <c r="EY3" s="145"/>
      <c r="EZ3" s="145" t="s">
        <v>1395</v>
      </c>
      <c r="FA3" s="145" t="s">
        <v>749</v>
      </c>
      <c r="FB3" s="145" t="s">
        <v>749</v>
      </c>
      <c r="FC3" s="145" t="s">
        <v>749</v>
      </c>
      <c r="FD3" s="145"/>
      <c r="FE3" s="145"/>
      <c r="FF3" s="145"/>
      <c r="FG3" s="145"/>
      <c r="FH3" s="145"/>
      <c r="FI3" s="145"/>
      <c r="FJ3" s="145" t="s">
        <v>1395</v>
      </c>
      <c r="FK3" s="145" t="s">
        <v>749</v>
      </c>
      <c r="FL3" s="145" t="s">
        <v>749</v>
      </c>
      <c r="FM3" s="145" t="s">
        <v>749</v>
      </c>
      <c r="FN3" s="145"/>
      <c r="FO3" s="145"/>
      <c r="FP3" s="145"/>
      <c r="FQ3" s="145"/>
      <c r="FR3" s="145"/>
      <c r="FS3" s="145"/>
      <c r="FT3" s="145"/>
      <c r="FU3" s="145"/>
      <c r="FV3" s="145"/>
      <c r="FW3" s="145"/>
      <c r="FX3" s="145"/>
      <c r="FY3" s="145"/>
      <c r="FZ3" s="145"/>
      <c r="GA3" s="145"/>
      <c r="GB3" s="145"/>
      <c r="GC3" s="145"/>
      <c r="GD3" s="145"/>
      <c r="GE3" s="145"/>
      <c r="GF3" s="145"/>
      <c r="GG3" s="145"/>
      <c r="GH3" s="145"/>
      <c r="GI3" s="145"/>
      <c r="GJ3" s="145"/>
      <c r="GK3" s="145"/>
      <c r="GL3" s="145"/>
      <c r="GM3" s="145"/>
      <c r="GN3" s="145"/>
      <c r="GO3" s="145"/>
      <c r="GP3" s="145"/>
      <c r="GQ3" s="145"/>
      <c r="GR3" s="145"/>
      <c r="GS3" s="145"/>
      <c r="GT3" s="145"/>
      <c r="GU3" s="145"/>
      <c r="GV3" s="145"/>
      <c r="GW3" s="145"/>
      <c r="GX3" s="145"/>
      <c r="GY3" s="145"/>
      <c r="GZ3" s="145"/>
      <c r="HA3" s="145"/>
      <c r="HB3" s="145"/>
      <c r="HC3" s="145"/>
      <c r="HD3" s="145"/>
      <c r="HE3" s="145"/>
      <c r="HF3" s="145"/>
      <c r="HG3" s="145"/>
      <c r="HH3" s="145"/>
      <c r="HI3" s="145"/>
      <c r="HJ3" s="145"/>
      <c r="HK3" s="145"/>
      <c r="HL3" s="145"/>
      <c r="HM3" s="145"/>
      <c r="HN3" s="145"/>
      <c r="HO3" s="145"/>
      <c r="HP3" s="145"/>
      <c r="HQ3" s="145"/>
      <c r="HR3" s="145"/>
      <c r="HS3" s="145"/>
      <c r="HT3" s="145"/>
      <c r="HU3" s="145"/>
      <c r="HV3" s="145"/>
      <c r="HW3" s="145"/>
      <c r="HX3" s="145"/>
      <c r="HY3" s="145"/>
      <c r="HZ3" s="145"/>
      <c r="IA3" s="145"/>
      <c r="IB3" s="145"/>
      <c r="IC3" s="145"/>
      <c r="ID3" s="145"/>
      <c r="IE3" s="145"/>
      <c r="IF3" s="145"/>
      <c r="IG3" s="145"/>
      <c r="IH3" s="145"/>
      <c r="II3" s="145"/>
      <c r="IJ3" s="145"/>
      <c r="IK3" s="145"/>
      <c r="IL3" s="145"/>
      <c r="IM3" s="145"/>
      <c r="IN3" s="145"/>
      <c r="IO3" s="145"/>
      <c r="IP3" s="145"/>
      <c r="IQ3" s="145"/>
      <c r="IR3" s="145"/>
      <c r="IS3" s="145"/>
      <c r="IT3" s="145"/>
      <c r="IU3" s="145"/>
      <c r="IV3" s="145"/>
      <c r="IW3" s="145"/>
      <c r="IX3" s="145"/>
      <c r="IY3" s="145"/>
      <c r="IZ3" s="145"/>
      <c r="JA3" s="145"/>
      <c r="JB3" s="145"/>
      <c r="JC3" s="145"/>
      <c r="JD3" s="145"/>
      <c r="JE3" s="145"/>
      <c r="JF3" s="145"/>
      <c r="JG3" s="145"/>
      <c r="JH3" s="145"/>
      <c r="JI3" s="145"/>
      <c r="JJ3" s="145"/>
      <c r="JK3" s="145"/>
      <c r="JL3" s="145"/>
      <c r="JM3" s="145"/>
      <c r="JN3" s="145"/>
      <c r="JO3" s="145"/>
      <c r="JP3" s="145"/>
      <c r="JQ3" s="145"/>
      <c r="JR3" s="145"/>
      <c r="JS3" s="145"/>
      <c r="JT3" s="145"/>
      <c r="JU3" s="145"/>
      <c r="JV3" s="145"/>
      <c r="JW3" s="145"/>
      <c r="JX3" s="145"/>
      <c r="JY3" s="145"/>
      <c r="JZ3" s="145"/>
      <c r="KA3" s="145"/>
      <c r="KB3" s="145"/>
      <c r="KC3" s="145"/>
      <c r="KD3" s="145"/>
      <c r="KE3" s="145"/>
      <c r="KF3" s="145"/>
      <c r="KG3" s="145"/>
      <c r="KH3" s="145"/>
      <c r="KI3" s="145"/>
      <c r="KJ3" s="145"/>
      <c r="KK3" s="145"/>
      <c r="KL3" s="145"/>
      <c r="KM3" s="145"/>
      <c r="KN3" s="145"/>
      <c r="KO3" s="145"/>
      <c r="KP3" s="145"/>
      <c r="KQ3" s="145"/>
      <c r="KR3" s="145"/>
      <c r="KS3" s="145"/>
      <c r="KT3" s="145"/>
      <c r="KU3" s="145"/>
      <c r="KV3" s="145"/>
      <c r="KW3" s="145"/>
      <c r="KX3" s="145"/>
      <c r="KY3" s="145"/>
      <c r="KZ3" s="145"/>
      <c r="LA3" s="145"/>
      <c r="LB3" s="145"/>
    </row>
    <row r="4" spans="1:314" ht="14.45" customHeight="1" thickBot="1" x14ac:dyDescent="0.3">
      <c r="A4" s="107" t="s">
        <v>149</v>
      </c>
      <c r="B4" s="1028"/>
      <c r="C4" s="1031"/>
      <c r="D4" s="124" t="s">
        <v>276</v>
      </c>
      <c r="E4" s="1034"/>
      <c r="F4" s="356">
        <v>1</v>
      </c>
      <c r="G4" s="10">
        <v>2</v>
      </c>
      <c r="H4" s="10">
        <v>3</v>
      </c>
      <c r="I4" s="10">
        <v>4</v>
      </c>
      <c r="J4" s="10">
        <v>5</v>
      </c>
      <c r="K4" s="10">
        <v>6</v>
      </c>
      <c r="L4" s="10">
        <v>7</v>
      </c>
      <c r="M4" s="10">
        <v>8</v>
      </c>
      <c r="N4" s="10">
        <v>9</v>
      </c>
      <c r="O4" s="10">
        <v>10</v>
      </c>
      <c r="P4" s="356">
        <v>1</v>
      </c>
      <c r="Q4" s="10">
        <v>2</v>
      </c>
      <c r="R4" s="10">
        <v>4</v>
      </c>
      <c r="S4" s="10"/>
      <c r="T4" s="10"/>
      <c r="U4" s="10">
        <v>7</v>
      </c>
      <c r="V4" s="10">
        <v>8</v>
      </c>
      <c r="W4" s="10"/>
      <c r="X4" s="10">
        <v>9</v>
      </c>
      <c r="Y4" s="10">
        <v>10</v>
      </c>
      <c r="Z4" s="356">
        <v>1</v>
      </c>
      <c r="AA4" s="10">
        <v>2</v>
      </c>
      <c r="AB4" s="10" t="s">
        <v>895</v>
      </c>
      <c r="AC4" s="10">
        <v>4</v>
      </c>
      <c r="AD4" s="10">
        <v>5</v>
      </c>
      <c r="AE4" s="10">
        <v>6</v>
      </c>
      <c r="AF4" s="10">
        <v>7</v>
      </c>
      <c r="AG4" s="10">
        <v>8</v>
      </c>
      <c r="AH4" s="10">
        <v>9</v>
      </c>
      <c r="AI4" s="10">
        <v>10</v>
      </c>
      <c r="AJ4" s="356">
        <v>1</v>
      </c>
      <c r="AK4" s="10">
        <v>2</v>
      </c>
      <c r="AL4" s="10">
        <v>3</v>
      </c>
      <c r="AM4" s="10">
        <v>4</v>
      </c>
      <c r="AN4" s="10">
        <v>5</v>
      </c>
      <c r="AO4" s="10">
        <v>6</v>
      </c>
      <c r="AP4" s="10">
        <v>7</v>
      </c>
      <c r="AQ4" s="10">
        <v>8</v>
      </c>
      <c r="AR4" s="10">
        <v>9</v>
      </c>
      <c r="AS4" s="10">
        <v>10</v>
      </c>
      <c r="AT4" s="356">
        <v>1</v>
      </c>
      <c r="AU4" s="10">
        <v>2</v>
      </c>
      <c r="AV4" s="10">
        <v>3</v>
      </c>
      <c r="AW4" s="10">
        <v>4</v>
      </c>
      <c r="AX4" s="10">
        <v>5</v>
      </c>
      <c r="AY4" s="10">
        <v>6</v>
      </c>
      <c r="AZ4" s="10">
        <v>7</v>
      </c>
      <c r="BA4" s="10">
        <v>8</v>
      </c>
      <c r="BB4" s="10">
        <v>9</v>
      </c>
      <c r="BC4" s="10">
        <v>10</v>
      </c>
      <c r="BD4" s="356">
        <v>1</v>
      </c>
      <c r="BE4" s="10">
        <v>2</v>
      </c>
      <c r="BF4" s="10">
        <v>3</v>
      </c>
      <c r="BG4" s="10">
        <v>4</v>
      </c>
      <c r="BH4" s="10">
        <v>5</v>
      </c>
      <c r="BI4" s="10"/>
      <c r="BJ4" s="10">
        <v>7</v>
      </c>
      <c r="BK4" s="10">
        <v>8</v>
      </c>
      <c r="BL4" s="10">
        <v>9</v>
      </c>
      <c r="BM4" s="10">
        <v>10</v>
      </c>
      <c r="BN4" s="356">
        <v>1</v>
      </c>
      <c r="BO4" s="10">
        <v>2</v>
      </c>
      <c r="BP4" s="10">
        <v>3</v>
      </c>
      <c r="BQ4" s="10">
        <v>4</v>
      </c>
      <c r="BR4" s="10">
        <v>6</v>
      </c>
      <c r="BS4" s="10">
        <v>7</v>
      </c>
      <c r="BT4" s="10"/>
      <c r="BU4" s="10">
        <v>8</v>
      </c>
      <c r="BV4" s="10">
        <v>9</v>
      </c>
      <c r="BW4" s="10">
        <v>10</v>
      </c>
      <c r="BX4" s="356">
        <v>1</v>
      </c>
      <c r="BY4" s="10">
        <v>2</v>
      </c>
      <c r="BZ4" s="10">
        <v>4</v>
      </c>
      <c r="CA4" s="10">
        <v>5</v>
      </c>
      <c r="CB4" s="10">
        <v>6</v>
      </c>
      <c r="CC4" s="10">
        <v>7</v>
      </c>
      <c r="CD4" s="10"/>
      <c r="CE4" s="10">
        <v>8</v>
      </c>
      <c r="CF4" s="10">
        <v>9</v>
      </c>
      <c r="CG4" s="10">
        <v>10</v>
      </c>
      <c r="CH4" s="356">
        <v>1</v>
      </c>
      <c r="CI4" s="10"/>
      <c r="CJ4" s="10">
        <v>3</v>
      </c>
      <c r="CK4" s="10">
        <v>4</v>
      </c>
      <c r="CL4" s="10">
        <v>5</v>
      </c>
      <c r="CM4" s="10">
        <v>6</v>
      </c>
      <c r="CN4" s="10">
        <v>7</v>
      </c>
      <c r="CO4" s="10">
        <v>8</v>
      </c>
      <c r="CP4" s="10">
        <v>9</v>
      </c>
      <c r="CQ4" s="10">
        <v>10</v>
      </c>
      <c r="CR4" s="356">
        <v>1</v>
      </c>
      <c r="CS4" s="10">
        <v>2</v>
      </c>
      <c r="CU4" s="10">
        <v>3</v>
      </c>
      <c r="CV4" s="10">
        <v>4</v>
      </c>
      <c r="CW4" s="10">
        <v>5</v>
      </c>
      <c r="CX4" s="10">
        <v>6</v>
      </c>
      <c r="CY4" s="10">
        <v>8</v>
      </c>
      <c r="CZ4" s="10">
        <v>9</v>
      </c>
      <c r="DA4" s="10">
        <v>10</v>
      </c>
      <c r="DB4" s="356">
        <v>1</v>
      </c>
      <c r="DC4" s="10">
        <v>2</v>
      </c>
      <c r="DD4" s="10">
        <v>4</v>
      </c>
      <c r="DE4" s="10">
        <v>5</v>
      </c>
      <c r="DF4" s="10"/>
      <c r="DG4" s="10">
        <v>6</v>
      </c>
      <c r="DH4" s="10">
        <v>7</v>
      </c>
      <c r="DI4" s="10">
        <v>8</v>
      </c>
      <c r="DJ4" s="10">
        <v>9</v>
      </c>
      <c r="DK4" s="10">
        <v>10</v>
      </c>
      <c r="DL4" s="356">
        <v>1</v>
      </c>
      <c r="DM4" s="10">
        <v>2</v>
      </c>
      <c r="DN4" s="10">
        <v>3</v>
      </c>
      <c r="DO4" s="10"/>
      <c r="DP4" s="10">
        <v>5</v>
      </c>
      <c r="DQ4" s="10">
        <v>6</v>
      </c>
      <c r="DR4" s="10">
        <v>7</v>
      </c>
      <c r="DS4" s="10">
        <v>8</v>
      </c>
      <c r="DT4" s="10">
        <v>9</v>
      </c>
      <c r="DU4" s="10">
        <v>10</v>
      </c>
      <c r="DV4" s="10">
        <v>4</v>
      </c>
      <c r="DW4" s="10">
        <v>2</v>
      </c>
      <c r="DX4" s="10"/>
      <c r="DY4" s="10">
        <v>4</v>
      </c>
      <c r="DZ4" s="10">
        <v>5</v>
      </c>
      <c r="EA4" s="10"/>
      <c r="EB4" s="10">
        <v>7</v>
      </c>
      <c r="EC4" s="10">
        <v>8</v>
      </c>
      <c r="ED4" s="10">
        <v>9</v>
      </c>
      <c r="EE4" s="10">
        <v>10</v>
      </c>
      <c r="EF4" s="356">
        <v>1</v>
      </c>
      <c r="EG4" s="10">
        <v>2</v>
      </c>
      <c r="EH4" s="10">
        <v>3</v>
      </c>
      <c r="EI4" s="10"/>
      <c r="EJ4" s="10">
        <v>5</v>
      </c>
      <c r="EK4" s="10">
        <v>6</v>
      </c>
      <c r="EL4" s="10">
        <v>7</v>
      </c>
      <c r="EM4" s="10">
        <v>8</v>
      </c>
      <c r="EN4" s="10">
        <v>9</v>
      </c>
      <c r="EO4" s="10">
        <v>10</v>
      </c>
      <c r="EP4" s="356">
        <v>1</v>
      </c>
      <c r="EQ4" s="10">
        <v>2</v>
      </c>
      <c r="ER4" s="10">
        <v>3</v>
      </c>
      <c r="ES4" s="10">
        <v>4</v>
      </c>
      <c r="ET4" s="10">
        <v>5</v>
      </c>
      <c r="EU4" s="10">
        <v>6</v>
      </c>
      <c r="EV4" s="10">
        <v>7</v>
      </c>
      <c r="EW4" s="10">
        <v>8</v>
      </c>
      <c r="EX4" s="10">
        <v>9</v>
      </c>
      <c r="EY4" s="10">
        <v>10</v>
      </c>
      <c r="EZ4" s="356">
        <v>1</v>
      </c>
      <c r="FA4" s="10"/>
      <c r="FB4" s="10">
        <v>3</v>
      </c>
      <c r="FC4" s="10">
        <v>4</v>
      </c>
      <c r="FD4" s="10">
        <v>5</v>
      </c>
      <c r="FE4" s="10">
        <v>6</v>
      </c>
      <c r="FF4" s="10">
        <v>7</v>
      </c>
      <c r="FG4" s="10">
        <v>8</v>
      </c>
      <c r="FH4" s="10">
        <v>9</v>
      </c>
      <c r="FI4" s="10">
        <v>10</v>
      </c>
      <c r="FJ4" s="356">
        <v>1</v>
      </c>
      <c r="FK4" s="10">
        <v>2</v>
      </c>
      <c r="FL4" s="10">
        <v>3</v>
      </c>
      <c r="FM4" s="10">
        <v>4</v>
      </c>
      <c r="FN4" s="10">
        <v>5</v>
      </c>
      <c r="FO4" s="10">
        <v>6</v>
      </c>
      <c r="FP4" s="10">
        <v>7</v>
      </c>
      <c r="FQ4" s="10">
        <v>8</v>
      </c>
      <c r="FR4" s="10">
        <v>9</v>
      </c>
      <c r="FS4" s="10">
        <v>10</v>
      </c>
      <c r="FT4" s="356">
        <v>1</v>
      </c>
      <c r="FU4" s="10">
        <v>2</v>
      </c>
      <c r="FV4" s="10">
        <v>3</v>
      </c>
      <c r="FW4" s="10">
        <v>4</v>
      </c>
      <c r="FX4" s="10">
        <v>5</v>
      </c>
      <c r="FY4" s="10">
        <v>6</v>
      </c>
      <c r="FZ4" s="10">
        <v>7</v>
      </c>
      <c r="GA4" s="10">
        <v>8</v>
      </c>
      <c r="GB4" s="10">
        <v>9</v>
      </c>
      <c r="GC4" s="10">
        <v>10</v>
      </c>
      <c r="GD4" s="356">
        <v>1</v>
      </c>
      <c r="GE4" s="10">
        <v>2</v>
      </c>
      <c r="GF4" s="10">
        <v>3</v>
      </c>
      <c r="GG4" s="10">
        <v>4</v>
      </c>
      <c r="GH4" s="10">
        <v>5</v>
      </c>
      <c r="GI4" s="10">
        <v>6</v>
      </c>
      <c r="GJ4" s="10">
        <v>7</v>
      </c>
      <c r="GK4" s="10">
        <v>8</v>
      </c>
      <c r="GL4" s="10">
        <v>9</v>
      </c>
      <c r="GM4" s="10">
        <v>10</v>
      </c>
      <c r="GN4" s="356">
        <v>1</v>
      </c>
      <c r="GO4" s="10"/>
      <c r="GP4" s="10"/>
      <c r="GQ4" s="10">
        <v>4</v>
      </c>
      <c r="GR4" s="10">
        <v>5</v>
      </c>
      <c r="GS4" s="10">
        <v>6</v>
      </c>
      <c r="GT4" s="10">
        <v>7</v>
      </c>
      <c r="GU4" s="10">
        <v>8</v>
      </c>
      <c r="GV4" s="10">
        <v>9</v>
      </c>
      <c r="GW4" s="10">
        <v>10</v>
      </c>
      <c r="GX4" s="356">
        <v>1</v>
      </c>
      <c r="GY4" s="10">
        <v>2</v>
      </c>
      <c r="GZ4" s="10">
        <v>3</v>
      </c>
      <c r="HA4" s="10">
        <v>4</v>
      </c>
      <c r="HB4" s="10">
        <v>5</v>
      </c>
      <c r="HC4" s="10">
        <v>6</v>
      </c>
      <c r="HD4" s="10">
        <v>7</v>
      </c>
      <c r="HE4" s="10">
        <v>8</v>
      </c>
      <c r="HF4" s="10">
        <v>9</v>
      </c>
      <c r="HG4" s="10">
        <v>10</v>
      </c>
      <c r="HH4" s="356">
        <v>1</v>
      </c>
      <c r="HI4" s="10">
        <v>2</v>
      </c>
      <c r="HJ4" s="10">
        <v>3</v>
      </c>
      <c r="HK4" s="10">
        <v>4</v>
      </c>
      <c r="HL4" s="10">
        <v>5</v>
      </c>
      <c r="HM4" s="10">
        <v>6</v>
      </c>
      <c r="HN4" s="10">
        <v>7</v>
      </c>
      <c r="HO4" s="10">
        <v>8</v>
      </c>
      <c r="HP4" s="10">
        <v>9</v>
      </c>
      <c r="HQ4" s="10">
        <v>10</v>
      </c>
      <c r="HR4" s="356">
        <v>1</v>
      </c>
      <c r="HS4" s="10">
        <v>2</v>
      </c>
      <c r="HT4" s="10">
        <v>3</v>
      </c>
      <c r="HU4" s="10">
        <v>4</v>
      </c>
      <c r="HV4" s="10">
        <v>5</v>
      </c>
      <c r="HW4" s="10">
        <v>6</v>
      </c>
      <c r="HX4" s="10">
        <v>7</v>
      </c>
      <c r="HY4" s="10">
        <v>8</v>
      </c>
      <c r="HZ4" s="10">
        <v>9</v>
      </c>
      <c r="IA4" s="10">
        <v>10</v>
      </c>
      <c r="IB4" s="356">
        <v>1</v>
      </c>
      <c r="IC4" s="10">
        <v>2</v>
      </c>
      <c r="ID4" s="10">
        <v>3</v>
      </c>
      <c r="IE4" s="10">
        <v>4</v>
      </c>
      <c r="IF4" s="10">
        <v>5</v>
      </c>
      <c r="IG4" s="10">
        <v>6</v>
      </c>
      <c r="IH4" s="10">
        <v>7</v>
      </c>
      <c r="II4" s="10">
        <v>8</v>
      </c>
      <c r="IJ4" s="10">
        <v>9</v>
      </c>
      <c r="IK4" s="10">
        <v>10</v>
      </c>
      <c r="IL4" s="356">
        <v>1</v>
      </c>
      <c r="IM4" s="10">
        <v>2</v>
      </c>
      <c r="IN4" s="10">
        <v>3</v>
      </c>
      <c r="IO4" s="10">
        <v>4</v>
      </c>
      <c r="IP4" s="10">
        <v>5</v>
      </c>
      <c r="IQ4" s="10">
        <v>6</v>
      </c>
      <c r="IR4" s="10">
        <v>7</v>
      </c>
      <c r="IS4" s="10">
        <v>8</v>
      </c>
      <c r="IT4" s="10">
        <v>9</v>
      </c>
      <c r="IU4" s="10">
        <v>10</v>
      </c>
      <c r="IV4" s="356">
        <v>1</v>
      </c>
      <c r="IW4" s="10">
        <v>2</v>
      </c>
      <c r="IX4" s="10">
        <v>3</v>
      </c>
      <c r="IY4" s="10">
        <v>4</v>
      </c>
      <c r="IZ4" s="10">
        <v>5</v>
      </c>
      <c r="JA4" s="10">
        <v>6</v>
      </c>
      <c r="JB4" s="10">
        <v>7</v>
      </c>
      <c r="JC4" s="10">
        <v>8</v>
      </c>
      <c r="JD4" s="10">
        <v>9</v>
      </c>
      <c r="JE4" s="10">
        <v>10</v>
      </c>
      <c r="JF4" s="356">
        <v>1</v>
      </c>
      <c r="JG4" s="10">
        <v>3</v>
      </c>
      <c r="JH4" s="10">
        <v>4</v>
      </c>
      <c r="JI4" s="10">
        <v>5</v>
      </c>
      <c r="JJ4" s="10">
        <v>6</v>
      </c>
      <c r="JK4" s="10">
        <v>7</v>
      </c>
      <c r="JL4" s="10">
        <v>8</v>
      </c>
      <c r="JM4" s="10">
        <v>9</v>
      </c>
      <c r="JN4" s="10">
        <v>10</v>
      </c>
      <c r="JO4" s="356">
        <v>1</v>
      </c>
      <c r="JP4" s="10">
        <v>2</v>
      </c>
      <c r="JQ4" s="10">
        <v>3</v>
      </c>
      <c r="JR4" s="10">
        <v>4</v>
      </c>
      <c r="JS4" s="10">
        <v>5</v>
      </c>
      <c r="JT4" s="10">
        <v>6</v>
      </c>
      <c r="JU4" s="10">
        <v>7</v>
      </c>
      <c r="JV4" s="10">
        <v>8</v>
      </c>
      <c r="JW4" s="10">
        <v>9</v>
      </c>
      <c r="JX4" s="10">
        <v>10</v>
      </c>
      <c r="JY4" s="356">
        <v>1</v>
      </c>
      <c r="JZ4" s="10">
        <v>2</v>
      </c>
      <c r="KA4" s="10">
        <v>3</v>
      </c>
      <c r="KB4" s="10">
        <v>4</v>
      </c>
      <c r="KC4" s="10">
        <v>5</v>
      </c>
      <c r="KD4" s="10">
        <v>6</v>
      </c>
      <c r="KE4" s="10">
        <v>7</v>
      </c>
      <c r="KF4" s="10">
        <v>8</v>
      </c>
      <c r="KG4" s="10">
        <v>9</v>
      </c>
      <c r="KH4" s="10">
        <v>10</v>
      </c>
      <c r="KI4" s="356">
        <v>1</v>
      </c>
      <c r="KJ4" s="10">
        <v>2</v>
      </c>
      <c r="KK4" s="10">
        <v>3</v>
      </c>
      <c r="KL4" s="10">
        <v>4</v>
      </c>
      <c r="KM4" s="10">
        <v>5</v>
      </c>
      <c r="KN4" s="10">
        <v>6</v>
      </c>
      <c r="KO4" s="10">
        <v>7</v>
      </c>
      <c r="KP4" s="10">
        <v>8</v>
      </c>
      <c r="KQ4" s="10">
        <v>9</v>
      </c>
      <c r="KR4" s="10">
        <v>10</v>
      </c>
      <c r="KS4" s="356">
        <v>1</v>
      </c>
      <c r="KT4" s="10">
        <v>2</v>
      </c>
      <c r="KU4" s="10"/>
      <c r="KV4" s="10">
        <v>4</v>
      </c>
      <c r="KW4" s="10">
        <v>5</v>
      </c>
      <c r="KX4" s="10">
        <v>6</v>
      </c>
      <c r="KY4" s="10">
        <v>7</v>
      </c>
      <c r="KZ4" s="10">
        <v>8</v>
      </c>
      <c r="LA4" s="10">
        <v>9</v>
      </c>
      <c r="LB4" s="10">
        <v>10</v>
      </c>
    </row>
    <row r="5" spans="1:314" ht="15" customHeight="1" x14ac:dyDescent="0.25">
      <c r="A5" s="418">
        <v>549754600102</v>
      </c>
      <c r="B5" s="10">
        <f t="shared" ref="B5:B35" si="0">SUM(F5:LB5)</f>
        <v>1052</v>
      </c>
      <c r="C5" s="10">
        <v>0</v>
      </c>
      <c r="D5" s="10" t="b">
        <f>B5=C5</f>
        <v>0</v>
      </c>
      <c r="E5" s="10">
        <f>C5-B5</f>
        <v>-1052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>
        <v>5</v>
      </c>
      <c r="X5" s="8"/>
      <c r="Y5" s="8"/>
      <c r="Z5" s="8">
        <v>18</v>
      </c>
      <c r="AA5" s="8"/>
      <c r="AB5" s="8">
        <v>1</v>
      </c>
      <c r="AC5" s="8">
        <v>38</v>
      </c>
      <c r="AD5" s="8"/>
      <c r="AE5" s="8"/>
      <c r="AF5" s="8"/>
      <c r="AG5" s="8"/>
      <c r="AH5" s="8"/>
      <c r="AI5" s="8"/>
      <c r="AJ5" s="8">
        <v>35</v>
      </c>
      <c r="AK5" s="8"/>
      <c r="AL5" s="8"/>
      <c r="AM5" s="8">
        <v>10</v>
      </c>
      <c r="AN5" s="8">
        <v>40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>
        <v>16</v>
      </c>
      <c r="BE5" s="8"/>
      <c r="BF5" s="8"/>
      <c r="BG5" s="8">
        <v>30</v>
      </c>
      <c r="BH5" s="8"/>
      <c r="BI5" s="8"/>
      <c r="BJ5" s="8"/>
      <c r="BK5" s="8"/>
      <c r="BL5" s="8"/>
      <c r="BM5" s="8"/>
      <c r="BN5" s="8">
        <v>12</v>
      </c>
      <c r="BO5" s="8">
        <v>32</v>
      </c>
      <c r="BP5" s="8"/>
      <c r="BQ5" s="8"/>
      <c r="BR5" s="8"/>
      <c r="BS5" s="8"/>
      <c r="BT5" s="8"/>
      <c r="BU5" s="8"/>
      <c r="BV5" s="8"/>
      <c r="BW5" s="8"/>
      <c r="BX5" s="8">
        <v>30</v>
      </c>
      <c r="BY5" s="8">
        <v>10</v>
      </c>
      <c r="BZ5" s="8"/>
      <c r="CA5" s="8"/>
      <c r="CB5" s="8"/>
      <c r="CC5" s="8"/>
      <c r="CD5" s="8"/>
      <c r="CE5" s="8"/>
      <c r="CF5" s="8"/>
      <c r="CG5" s="8"/>
      <c r="CH5" s="8">
        <v>20</v>
      </c>
      <c r="CI5" s="8">
        <v>22</v>
      </c>
      <c r="CJ5" s="8"/>
      <c r="CK5" s="8">
        <v>66</v>
      </c>
      <c r="CL5" s="8"/>
      <c r="CM5" s="8"/>
      <c r="CN5" s="8"/>
      <c r="CO5" s="8"/>
      <c r="CP5" s="8"/>
      <c r="CQ5" s="8"/>
      <c r="CR5" s="8"/>
      <c r="CS5" s="65">
        <v>36</v>
      </c>
      <c r="CT5" s="65">
        <v>63</v>
      </c>
      <c r="CU5" s="8"/>
      <c r="CV5" s="8"/>
      <c r="CW5" s="8"/>
      <c r="CX5" s="8"/>
      <c r="CY5" s="8"/>
      <c r="CZ5" s="8"/>
      <c r="DA5" s="8"/>
      <c r="DB5" s="8">
        <v>18</v>
      </c>
      <c r="DC5" s="8">
        <v>30</v>
      </c>
      <c r="DD5" s="8">
        <v>4</v>
      </c>
      <c r="DE5" s="8">
        <v>42</v>
      </c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>
        <v>41</v>
      </c>
      <c r="DY5" s="8">
        <v>7</v>
      </c>
      <c r="DZ5" s="8">
        <v>15</v>
      </c>
      <c r="EA5" s="8"/>
      <c r="EB5" s="8"/>
      <c r="EC5" s="8"/>
      <c r="ED5" s="8"/>
      <c r="EE5" s="8"/>
      <c r="EF5" s="8">
        <v>49</v>
      </c>
      <c r="EG5" s="8"/>
      <c r="EH5" s="8">
        <v>70</v>
      </c>
      <c r="EI5" s="8">
        <v>30</v>
      </c>
      <c r="EJ5" s="8"/>
      <c r="EK5" s="8"/>
      <c r="EL5" s="8"/>
      <c r="EM5" s="8"/>
      <c r="EN5" s="8"/>
      <c r="EO5" s="8"/>
      <c r="EP5" s="8"/>
      <c r="EQ5" s="8"/>
      <c r="ER5" s="8">
        <v>100</v>
      </c>
      <c r="ES5" s="8"/>
      <c r="ET5" s="8">
        <v>25</v>
      </c>
      <c r="EU5" s="8"/>
      <c r="EV5" s="8"/>
      <c r="EW5" s="8"/>
      <c r="EX5" s="8"/>
      <c r="EY5" s="8"/>
      <c r="EZ5" s="8">
        <v>20</v>
      </c>
      <c r="FA5" s="8"/>
      <c r="FB5" s="8">
        <v>15</v>
      </c>
      <c r="FC5" s="8">
        <v>37</v>
      </c>
      <c r="FD5" s="8"/>
      <c r="FE5" s="8"/>
      <c r="FF5" s="8"/>
      <c r="FG5" s="8"/>
      <c r="FH5" s="8"/>
      <c r="FI5" s="8"/>
      <c r="FJ5" s="8"/>
      <c r="FK5" s="8">
        <v>24</v>
      </c>
      <c r="FL5" s="8">
        <v>41</v>
      </c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</row>
    <row r="6" spans="1:314" ht="15" customHeight="1" x14ac:dyDescent="0.25">
      <c r="A6" s="418">
        <v>549754600124</v>
      </c>
      <c r="B6" s="10">
        <f t="shared" si="0"/>
        <v>567</v>
      </c>
      <c r="C6" s="10">
        <v>0</v>
      </c>
      <c r="D6" s="10" t="b">
        <f t="shared" ref="D6:D32" si="1">B6=C6</f>
        <v>0</v>
      </c>
      <c r="E6" s="10">
        <f t="shared" ref="E6:E32" si="2">C6-B6</f>
        <v>-567</v>
      </c>
      <c r="F6" s="8">
        <v>15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v>11</v>
      </c>
      <c r="W6" s="8"/>
      <c r="X6" s="8"/>
      <c r="Y6" s="8"/>
      <c r="Z6" s="8">
        <v>16</v>
      </c>
      <c r="AA6" s="8"/>
      <c r="AB6" s="8"/>
      <c r="AC6" s="8">
        <v>4</v>
      </c>
      <c r="AD6" s="8"/>
      <c r="AE6" s="8"/>
      <c r="AF6" s="8"/>
      <c r="AG6" s="8"/>
      <c r="AH6" s="8"/>
      <c r="AI6" s="8"/>
      <c r="AJ6" s="8">
        <v>6</v>
      </c>
      <c r="AK6" s="8"/>
      <c r="AL6" s="8"/>
      <c r="AM6" s="8">
        <v>31</v>
      </c>
      <c r="AN6" s="9"/>
      <c r="AO6" s="9"/>
      <c r="AP6" s="9"/>
      <c r="AQ6" s="9"/>
      <c r="AR6" s="9"/>
      <c r="AS6" s="9"/>
      <c r="AT6" s="8">
        <v>12</v>
      </c>
      <c r="AU6" s="8"/>
      <c r="AV6" s="8"/>
      <c r="AW6" s="8"/>
      <c r="AX6" s="8"/>
      <c r="AY6" s="8"/>
      <c r="AZ6" s="8"/>
      <c r="BA6" s="8"/>
      <c r="BB6" s="8"/>
      <c r="BC6" s="8"/>
      <c r="BD6" s="8">
        <v>35</v>
      </c>
      <c r="BE6" s="8">
        <v>10</v>
      </c>
      <c r="BF6" s="65"/>
      <c r="BG6" s="8">
        <v>21</v>
      </c>
      <c r="BH6" s="8"/>
      <c r="BI6" s="65"/>
      <c r="BJ6" s="65"/>
      <c r="BK6" s="65"/>
      <c r="BL6" s="65"/>
      <c r="BM6" s="65"/>
      <c r="BN6" s="8">
        <v>4</v>
      </c>
      <c r="BO6" s="8">
        <v>2</v>
      </c>
      <c r="BP6" s="8"/>
      <c r="BQ6" s="8"/>
      <c r="BR6" s="8"/>
      <c r="BS6" s="8"/>
      <c r="BT6" s="8"/>
      <c r="BU6" s="8"/>
      <c r="BV6" s="8"/>
      <c r="BW6" s="8"/>
      <c r="BX6" s="8">
        <v>16</v>
      </c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>
        <v>4</v>
      </c>
      <c r="CK6" s="8">
        <v>16</v>
      </c>
      <c r="CL6" s="8"/>
      <c r="CM6" s="8"/>
      <c r="CN6" s="8"/>
      <c r="CO6" s="8"/>
      <c r="CP6" s="8"/>
      <c r="CQ6" s="8"/>
      <c r="CR6" s="8"/>
      <c r="CS6" s="65">
        <v>25</v>
      </c>
      <c r="CT6" s="65">
        <v>6</v>
      </c>
      <c r="CU6" s="8"/>
      <c r="CV6" s="8"/>
      <c r="CW6" s="8"/>
      <c r="CX6" s="8"/>
      <c r="CY6" s="8"/>
      <c r="CZ6" s="8"/>
      <c r="DA6" s="8"/>
      <c r="DB6" s="8">
        <v>20</v>
      </c>
      <c r="DC6" s="8">
        <v>10</v>
      </c>
      <c r="DD6" s="8">
        <v>8</v>
      </c>
      <c r="DE6" s="8"/>
      <c r="DF6" s="8"/>
      <c r="DG6" s="8"/>
      <c r="DH6" s="8"/>
      <c r="DI6" s="8"/>
      <c r="DJ6" s="8"/>
      <c r="DK6" s="8"/>
      <c r="DL6" s="8">
        <v>50</v>
      </c>
      <c r="DM6" s="8"/>
      <c r="DN6" s="8"/>
      <c r="DO6" s="8"/>
      <c r="DP6" s="8"/>
      <c r="DQ6" s="8"/>
      <c r="DR6" s="8"/>
      <c r="DS6" s="8"/>
      <c r="DT6" s="8"/>
      <c r="DU6" s="8"/>
      <c r="DV6" s="8"/>
      <c r="DW6" s="8">
        <v>35</v>
      </c>
      <c r="DX6" s="8"/>
      <c r="DY6" s="8">
        <v>16</v>
      </c>
      <c r="DZ6" s="8"/>
      <c r="EA6" s="8"/>
      <c r="EB6" s="8"/>
      <c r="EC6" s="8"/>
      <c r="ED6" s="8"/>
      <c r="EE6" s="8"/>
      <c r="EF6" s="8">
        <v>4</v>
      </c>
      <c r="EG6" s="8">
        <v>27</v>
      </c>
      <c r="EH6" s="8">
        <v>8</v>
      </c>
      <c r="EI6" s="8"/>
      <c r="EJ6" s="8"/>
      <c r="EK6" s="8"/>
      <c r="EL6" s="8"/>
      <c r="EM6" s="8"/>
      <c r="EN6" s="8"/>
      <c r="EO6" s="8"/>
      <c r="EP6" s="8"/>
      <c r="EQ6" s="8">
        <v>51</v>
      </c>
      <c r="ER6" s="8"/>
      <c r="ES6" s="8"/>
      <c r="ET6" s="8">
        <v>2</v>
      </c>
      <c r="EU6" s="8"/>
      <c r="EV6" s="8"/>
      <c r="EW6" s="8"/>
      <c r="EX6" s="8"/>
      <c r="EY6" s="8"/>
      <c r="EZ6" s="8">
        <v>18</v>
      </c>
      <c r="FA6" s="8">
        <v>30</v>
      </c>
      <c r="FB6" s="8">
        <v>4</v>
      </c>
      <c r="FC6" s="8">
        <v>5</v>
      </c>
      <c r="FD6" s="8"/>
      <c r="FE6" s="8"/>
      <c r="FF6" s="8"/>
      <c r="FG6" s="8"/>
      <c r="FH6" s="8"/>
      <c r="FI6" s="8"/>
      <c r="FJ6" s="8">
        <v>25</v>
      </c>
      <c r="FK6" s="8">
        <v>6</v>
      </c>
      <c r="FL6" s="8"/>
      <c r="FM6" s="8">
        <v>14</v>
      </c>
      <c r="FN6" s="8"/>
      <c r="FO6" s="8"/>
      <c r="FP6" s="8"/>
      <c r="FQ6" s="8"/>
      <c r="FR6" s="8"/>
      <c r="FS6" s="8"/>
      <c r="FT6" s="8"/>
      <c r="FU6" s="9"/>
      <c r="FV6" s="8"/>
      <c r="FW6" s="8"/>
      <c r="FX6" s="9"/>
      <c r="FY6" s="9"/>
      <c r="FZ6" s="9"/>
      <c r="GA6" s="9"/>
      <c r="GB6" s="9"/>
      <c r="GC6" s="9"/>
      <c r="GD6" s="9"/>
      <c r="GE6" s="9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9"/>
      <c r="GS6" s="8"/>
      <c r="GT6" s="9"/>
      <c r="GU6" s="9"/>
      <c r="GV6" s="9"/>
      <c r="GW6" s="9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9"/>
      <c r="HJ6" s="9"/>
      <c r="HK6" s="9"/>
      <c r="HL6" s="8"/>
      <c r="HM6" s="9"/>
      <c r="HN6" s="9"/>
      <c r="HO6" s="9"/>
      <c r="HP6" s="9"/>
      <c r="HQ6" s="9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9"/>
      <c r="IE6" s="9"/>
      <c r="IF6" s="9"/>
      <c r="IG6" s="9"/>
      <c r="IH6" s="9"/>
      <c r="II6" s="9"/>
      <c r="IJ6" s="9"/>
      <c r="IK6" s="9"/>
      <c r="IL6" s="8"/>
      <c r="IM6" s="8"/>
      <c r="IN6" s="8"/>
      <c r="IO6" s="8"/>
      <c r="IP6" s="8"/>
      <c r="IQ6" s="8"/>
      <c r="IR6" s="8"/>
      <c r="IS6" s="8"/>
      <c r="IT6" s="8"/>
      <c r="IU6" s="8"/>
      <c r="IV6" s="9"/>
      <c r="IW6" s="8"/>
      <c r="IX6" s="8"/>
      <c r="IY6" s="9"/>
      <c r="IZ6" s="9"/>
      <c r="JA6" s="9"/>
      <c r="JB6" s="9"/>
      <c r="JC6" s="9"/>
      <c r="JD6" s="9"/>
      <c r="JE6" s="9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9"/>
      <c r="KM6" s="9"/>
      <c r="KN6" s="9"/>
      <c r="KO6" s="9"/>
      <c r="KP6" s="9"/>
      <c r="KQ6" s="9"/>
      <c r="KR6" s="9"/>
      <c r="KS6" s="8"/>
      <c r="KT6" s="9"/>
      <c r="KU6" s="9"/>
      <c r="KV6" s="9"/>
      <c r="KW6" s="9"/>
      <c r="KX6" s="9"/>
      <c r="KY6" s="9"/>
      <c r="KZ6" s="9"/>
      <c r="LA6" s="9"/>
      <c r="LB6" s="9"/>
    </row>
    <row r="7" spans="1:314" ht="15" customHeight="1" x14ac:dyDescent="0.25">
      <c r="A7" s="418">
        <v>549754600104</v>
      </c>
      <c r="B7" s="10">
        <f t="shared" si="0"/>
        <v>189</v>
      </c>
      <c r="C7" s="10">
        <v>0</v>
      </c>
      <c r="D7" s="10" t="b">
        <f t="shared" si="1"/>
        <v>0</v>
      </c>
      <c r="E7" s="10">
        <f t="shared" si="2"/>
        <v>-189</v>
      </c>
      <c r="F7" s="8">
        <v>20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>
        <v>1</v>
      </c>
      <c r="AK7" s="8"/>
      <c r="AL7" s="8"/>
      <c r="AM7" s="8">
        <v>10</v>
      </c>
      <c r="AN7" s="9"/>
      <c r="AO7" s="9"/>
      <c r="AP7" s="9"/>
      <c r="AQ7" s="9"/>
      <c r="AR7" s="9"/>
      <c r="AS7" s="9"/>
      <c r="AT7" s="8"/>
      <c r="AU7" s="8"/>
      <c r="AV7" s="8"/>
      <c r="AW7" s="8"/>
      <c r="AX7" s="8"/>
      <c r="AY7" s="8"/>
      <c r="AZ7" s="8"/>
      <c r="BA7" s="8"/>
      <c r="BB7" s="8"/>
      <c r="BC7" s="8"/>
      <c r="BD7" s="8">
        <v>15</v>
      </c>
      <c r="BE7" s="8">
        <v>10</v>
      </c>
      <c r="BF7" s="65"/>
      <c r="BG7" s="8">
        <v>13</v>
      </c>
      <c r="BH7" s="8"/>
      <c r="BI7" s="65"/>
      <c r="BJ7" s="65"/>
      <c r="BK7" s="65"/>
      <c r="BL7" s="65"/>
      <c r="BM7" s="65"/>
      <c r="BN7" s="8">
        <v>15</v>
      </c>
      <c r="BO7" s="8"/>
      <c r="BP7" s="8"/>
      <c r="BQ7" s="8"/>
      <c r="BR7" s="8"/>
      <c r="BS7" s="8"/>
      <c r="BT7" s="8"/>
      <c r="BU7" s="8"/>
      <c r="BV7" s="8"/>
      <c r="BW7" s="8"/>
      <c r="BX7" s="8">
        <v>15</v>
      </c>
      <c r="BY7" s="8">
        <v>10</v>
      </c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65">
        <v>1</v>
      </c>
      <c r="CT7" s="65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>
        <v>11</v>
      </c>
      <c r="EG7" s="8"/>
      <c r="EH7" s="8">
        <v>40</v>
      </c>
      <c r="EI7" s="8"/>
      <c r="EJ7" s="8"/>
      <c r="EK7" s="8"/>
      <c r="EL7" s="8"/>
      <c r="EM7" s="8"/>
      <c r="EN7" s="8"/>
      <c r="EO7" s="8"/>
      <c r="EP7" s="8"/>
      <c r="EQ7" s="8"/>
      <c r="ER7" s="8">
        <v>24</v>
      </c>
      <c r="ES7" s="8"/>
      <c r="ET7" s="8">
        <v>4</v>
      </c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9"/>
      <c r="FV7" s="8"/>
      <c r="FW7" s="8"/>
      <c r="FX7" s="9"/>
      <c r="FY7" s="9"/>
      <c r="FZ7" s="9"/>
      <c r="GA7" s="9"/>
      <c r="GB7" s="9"/>
      <c r="GC7" s="9"/>
      <c r="GD7" s="9"/>
      <c r="GE7" s="9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9"/>
      <c r="GS7" s="8"/>
      <c r="GT7" s="9"/>
      <c r="GU7" s="9"/>
      <c r="GV7" s="9"/>
      <c r="GW7" s="9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9"/>
      <c r="HJ7" s="9"/>
      <c r="HK7" s="9"/>
      <c r="HL7" s="8"/>
      <c r="HM7" s="9"/>
      <c r="HN7" s="9"/>
      <c r="HO7" s="9"/>
      <c r="HP7" s="9"/>
      <c r="HQ7" s="9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9"/>
      <c r="IE7" s="9"/>
      <c r="IF7" s="9"/>
      <c r="IG7" s="9"/>
      <c r="IH7" s="9"/>
      <c r="II7" s="9"/>
      <c r="IJ7" s="9"/>
      <c r="IK7" s="9"/>
      <c r="IL7" s="8"/>
      <c r="IM7" s="8"/>
      <c r="IN7" s="8"/>
      <c r="IO7" s="8"/>
      <c r="IP7" s="8"/>
      <c r="IQ7" s="8"/>
      <c r="IR7" s="8"/>
      <c r="IS7" s="8"/>
      <c r="IT7" s="8"/>
      <c r="IU7" s="8"/>
      <c r="IV7" s="9"/>
      <c r="IW7" s="8"/>
      <c r="IX7" s="8"/>
      <c r="IY7" s="9"/>
      <c r="IZ7" s="9"/>
      <c r="JA7" s="9"/>
      <c r="JB7" s="9"/>
      <c r="JC7" s="9"/>
      <c r="JD7" s="9"/>
      <c r="JE7" s="9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9"/>
      <c r="KM7" s="9"/>
      <c r="KN7" s="9"/>
      <c r="KO7" s="9"/>
      <c r="KP7" s="9"/>
      <c r="KQ7" s="9"/>
      <c r="KR7" s="9"/>
      <c r="KS7" s="8"/>
      <c r="KT7" s="9"/>
      <c r="KU7" s="9"/>
      <c r="KV7" s="9"/>
      <c r="KW7" s="9"/>
      <c r="KX7" s="9"/>
      <c r="KY7" s="9"/>
      <c r="KZ7" s="9"/>
      <c r="LA7" s="9"/>
      <c r="LB7" s="9"/>
    </row>
    <row r="8" spans="1:314" ht="14.25" customHeight="1" x14ac:dyDescent="0.25">
      <c r="A8" s="418">
        <v>549754600126</v>
      </c>
      <c r="B8" s="10">
        <f t="shared" si="0"/>
        <v>246</v>
      </c>
      <c r="C8" s="10">
        <v>0</v>
      </c>
      <c r="D8" s="10" t="b">
        <f t="shared" si="1"/>
        <v>0</v>
      </c>
      <c r="E8" s="10">
        <f t="shared" si="2"/>
        <v>-246</v>
      </c>
      <c r="F8" s="8">
        <v>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9"/>
      <c r="AP8" s="9"/>
      <c r="AQ8" s="9"/>
      <c r="AR8" s="9"/>
      <c r="AS8" s="9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65"/>
      <c r="BG8" s="8"/>
      <c r="BH8" s="8"/>
      <c r="BI8" s="65"/>
      <c r="BJ8" s="65"/>
      <c r="BK8" s="65"/>
      <c r="BL8" s="65"/>
      <c r="BM8" s="65"/>
      <c r="BN8" s="8">
        <v>3</v>
      </c>
      <c r="BO8" s="8">
        <v>4</v>
      </c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>
        <v>23</v>
      </c>
      <c r="CJ8" s="8"/>
      <c r="CK8" s="8">
        <v>15</v>
      </c>
      <c r="CL8" s="8"/>
      <c r="CM8" s="8"/>
      <c r="CN8" s="8"/>
      <c r="CO8" s="8"/>
      <c r="CP8" s="8"/>
      <c r="CQ8" s="8"/>
      <c r="CR8" s="8"/>
      <c r="CS8" s="65">
        <v>5</v>
      </c>
      <c r="CT8" s="65">
        <v>8</v>
      </c>
      <c r="CU8" s="8"/>
      <c r="CV8" s="8"/>
      <c r="CW8" s="8"/>
      <c r="CX8" s="8"/>
      <c r="CY8" s="8"/>
      <c r="CZ8" s="8"/>
      <c r="DA8" s="8"/>
      <c r="DB8" s="8">
        <v>6</v>
      </c>
      <c r="DC8" s="8"/>
      <c r="DD8" s="8">
        <v>6</v>
      </c>
      <c r="DE8" s="8"/>
      <c r="DF8" s="8"/>
      <c r="DG8" s="8"/>
      <c r="DH8" s="8"/>
      <c r="DI8" s="8"/>
      <c r="DJ8" s="8"/>
      <c r="DK8" s="8"/>
      <c r="DL8" s="8">
        <v>53</v>
      </c>
      <c r="DM8" s="8"/>
      <c r="DN8" s="8"/>
      <c r="DO8" s="8"/>
      <c r="DP8" s="8"/>
      <c r="DQ8" s="8"/>
      <c r="DR8" s="8"/>
      <c r="DS8" s="8"/>
      <c r="DT8" s="8"/>
      <c r="DU8" s="8"/>
      <c r="DV8" s="8"/>
      <c r="DW8" s="8">
        <v>12</v>
      </c>
      <c r="DX8" s="8"/>
      <c r="DY8" s="8">
        <v>1</v>
      </c>
      <c r="DZ8" s="8"/>
      <c r="EA8" s="8"/>
      <c r="EB8" s="8"/>
      <c r="EC8" s="8"/>
      <c r="ED8" s="8"/>
      <c r="EE8" s="8"/>
      <c r="EF8" s="8">
        <v>3</v>
      </c>
      <c r="EG8" s="8">
        <v>19</v>
      </c>
      <c r="EH8" s="8">
        <v>25</v>
      </c>
      <c r="EI8" s="8"/>
      <c r="EJ8" s="8"/>
      <c r="EK8" s="8"/>
      <c r="EL8" s="8"/>
      <c r="EM8" s="8"/>
      <c r="EN8" s="8"/>
      <c r="EO8" s="8"/>
      <c r="EP8" s="8"/>
      <c r="EQ8" s="8"/>
      <c r="ER8" s="8"/>
      <c r="ES8" s="8">
        <v>38</v>
      </c>
      <c r="ET8" s="8"/>
      <c r="EU8" s="8"/>
      <c r="EV8" s="8"/>
      <c r="EW8" s="8"/>
      <c r="EX8" s="8"/>
      <c r="EY8" s="8"/>
      <c r="EZ8" s="8">
        <v>7</v>
      </c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>
        <v>13</v>
      </c>
      <c r="FN8" s="8"/>
      <c r="FO8" s="8"/>
      <c r="FP8" s="8"/>
      <c r="FQ8" s="8"/>
      <c r="FR8" s="8"/>
      <c r="FS8" s="8"/>
      <c r="FT8" s="8"/>
      <c r="FU8" s="9"/>
      <c r="FV8" s="8"/>
      <c r="FW8" s="8"/>
      <c r="FX8" s="9"/>
      <c r="FY8" s="9"/>
      <c r="FZ8" s="9"/>
      <c r="GA8" s="9"/>
      <c r="GB8" s="9"/>
      <c r="GC8" s="9"/>
      <c r="GD8" s="9"/>
      <c r="GE8" s="9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9"/>
      <c r="GS8" s="8"/>
      <c r="GT8" s="9"/>
      <c r="GU8" s="9"/>
      <c r="GV8" s="9"/>
      <c r="GW8" s="9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9"/>
      <c r="HJ8" s="9"/>
      <c r="HK8" s="9"/>
      <c r="HL8" s="8"/>
      <c r="HM8" s="9"/>
      <c r="HN8" s="9"/>
      <c r="HO8" s="9"/>
      <c r="HP8" s="9"/>
      <c r="HQ8" s="9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9"/>
      <c r="IE8" s="9"/>
      <c r="IF8" s="9"/>
      <c r="IG8" s="9"/>
      <c r="IH8" s="9"/>
      <c r="II8" s="9"/>
      <c r="IJ8" s="9"/>
      <c r="IK8" s="9"/>
      <c r="IL8" s="8"/>
      <c r="IM8" s="8"/>
      <c r="IN8" s="8"/>
      <c r="IO8" s="8"/>
      <c r="IP8" s="8"/>
      <c r="IQ8" s="8"/>
      <c r="IR8" s="8"/>
      <c r="IS8" s="8"/>
      <c r="IT8" s="8"/>
      <c r="IU8" s="8"/>
      <c r="IV8" s="9"/>
      <c r="IW8" s="8"/>
      <c r="IX8" s="8"/>
      <c r="IY8" s="9"/>
      <c r="IZ8" s="9"/>
      <c r="JA8" s="9"/>
      <c r="JB8" s="9"/>
      <c r="JC8" s="9"/>
      <c r="JD8" s="9"/>
      <c r="JE8" s="9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9"/>
      <c r="KM8" s="9"/>
      <c r="KN8" s="9"/>
      <c r="KO8" s="9"/>
      <c r="KP8" s="9"/>
      <c r="KQ8" s="9"/>
      <c r="KR8" s="9"/>
      <c r="KS8" s="8"/>
      <c r="KT8" s="9"/>
      <c r="KU8" s="9"/>
      <c r="KV8" s="9"/>
      <c r="KW8" s="9"/>
      <c r="KX8" s="9"/>
      <c r="KY8" s="9"/>
      <c r="KZ8" s="9"/>
      <c r="LA8" s="9"/>
      <c r="LB8" s="9"/>
    </row>
    <row r="9" spans="1:314" ht="15" customHeight="1" x14ac:dyDescent="0.25">
      <c r="A9" s="445">
        <v>549754600106</v>
      </c>
      <c r="B9" s="10">
        <f t="shared" si="0"/>
        <v>1411</v>
      </c>
      <c r="C9" s="10">
        <v>0</v>
      </c>
      <c r="D9" s="10" t="b">
        <f t="shared" si="1"/>
        <v>0</v>
      </c>
      <c r="E9" s="10">
        <f t="shared" si="2"/>
        <v>-1411</v>
      </c>
      <c r="F9" s="8"/>
      <c r="G9" s="8">
        <v>21</v>
      </c>
      <c r="H9" s="8"/>
      <c r="I9" s="8"/>
      <c r="J9" s="8"/>
      <c r="K9" s="8"/>
      <c r="L9" s="8"/>
      <c r="M9" s="8"/>
      <c r="N9" s="8"/>
      <c r="O9" s="8"/>
      <c r="P9" s="8">
        <v>35</v>
      </c>
      <c r="Q9" s="8">
        <v>20</v>
      </c>
      <c r="R9" s="8">
        <v>20</v>
      </c>
      <c r="S9" s="8">
        <v>25</v>
      </c>
      <c r="T9" s="8">
        <v>30</v>
      </c>
      <c r="U9" s="8">
        <v>15</v>
      </c>
      <c r="V9" s="8">
        <v>31</v>
      </c>
      <c r="W9" s="8">
        <v>49</v>
      </c>
      <c r="X9" s="8"/>
      <c r="Y9" s="8"/>
      <c r="Z9" s="8">
        <v>60</v>
      </c>
      <c r="AA9" s="8">
        <v>56</v>
      </c>
      <c r="AB9" s="8">
        <v>4</v>
      </c>
      <c r="AC9" s="8">
        <v>2</v>
      </c>
      <c r="AD9" s="8">
        <v>46</v>
      </c>
      <c r="AE9" s="8"/>
      <c r="AF9" s="8"/>
      <c r="AG9" s="8"/>
      <c r="AH9" s="8"/>
      <c r="AI9" s="8"/>
      <c r="AJ9" s="8">
        <v>41</v>
      </c>
      <c r="AK9" s="8">
        <v>13</v>
      </c>
      <c r="AL9" s="8"/>
      <c r="AM9" s="8">
        <v>3</v>
      </c>
      <c r="AN9" s="9"/>
      <c r="AO9" s="9"/>
      <c r="AP9" s="9"/>
      <c r="AQ9" s="9"/>
      <c r="AR9" s="9"/>
      <c r="AS9" s="9"/>
      <c r="AT9" s="8">
        <v>1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>
        <v>3</v>
      </c>
      <c r="BF9" s="65">
        <v>27</v>
      </c>
      <c r="BG9" s="8">
        <v>42</v>
      </c>
      <c r="BH9" s="8"/>
      <c r="BI9" s="65"/>
      <c r="BJ9" s="65"/>
      <c r="BK9" s="65"/>
      <c r="BL9" s="65"/>
      <c r="BM9" s="65"/>
      <c r="BN9" s="8">
        <v>50</v>
      </c>
      <c r="BO9" s="8">
        <v>20</v>
      </c>
      <c r="BP9" s="8"/>
      <c r="BQ9" s="8"/>
      <c r="BR9" s="8"/>
      <c r="BS9" s="8"/>
      <c r="BT9" s="8"/>
      <c r="BU9" s="8"/>
      <c r="BV9" s="8"/>
      <c r="BW9" s="8"/>
      <c r="BX9" s="8">
        <v>8</v>
      </c>
      <c r="BY9" s="8">
        <v>10</v>
      </c>
      <c r="BZ9" s="8"/>
      <c r="CA9" s="8"/>
      <c r="CB9" s="8"/>
      <c r="CC9" s="8"/>
      <c r="CD9" s="8"/>
      <c r="CE9" s="8"/>
      <c r="CF9" s="8"/>
      <c r="CG9" s="8"/>
      <c r="CH9" s="8">
        <v>70</v>
      </c>
      <c r="CI9" s="8"/>
      <c r="CJ9" s="8">
        <v>15</v>
      </c>
      <c r="CK9" s="8">
        <v>35</v>
      </c>
      <c r="CL9" s="8"/>
      <c r="CM9" s="8"/>
      <c r="CN9" s="8"/>
      <c r="CO9" s="8"/>
      <c r="CP9" s="8"/>
      <c r="CQ9" s="8"/>
      <c r="CR9" s="8"/>
      <c r="CS9" s="65">
        <v>35</v>
      </c>
      <c r="CT9" s="65">
        <v>5</v>
      </c>
      <c r="CU9" s="8">
        <v>69</v>
      </c>
      <c r="CV9" s="8"/>
      <c r="CW9" s="8"/>
      <c r="CX9" s="8"/>
      <c r="CY9" s="8"/>
      <c r="CZ9" s="8"/>
      <c r="DA9" s="8"/>
      <c r="DB9" s="8"/>
      <c r="DC9" s="8"/>
      <c r="DD9" s="8">
        <v>66</v>
      </c>
      <c r="DE9" s="8"/>
      <c r="DF9" s="8"/>
      <c r="DG9" s="8"/>
      <c r="DH9" s="8"/>
      <c r="DI9" s="8"/>
      <c r="DJ9" s="8"/>
      <c r="DK9" s="8"/>
      <c r="DL9" s="8">
        <v>111</v>
      </c>
      <c r="DM9" s="8"/>
      <c r="DN9" s="8"/>
      <c r="DO9" s="8"/>
      <c r="DP9" s="65"/>
      <c r="DQ9" s="8"/>
      <c r="DR9" s="8"/>
      <c r="DS9" s="8"/>
      <c r="DT9" s="8"/>
      <c r="DU9" s="8"/>
      <c r="DV9" s="8">
        <v>55</v>
      </c>
      <c r="DW9" s="8"/>
      <c r="DX9" s="8">
        <v>2</v>
      </c>
      <c r="DY9" s="8">
        <v>24</v>
      </c>
      <c r="DZ9" s="8">
        <v>16</v>
      </c>
      <c r="EA9" s="8"/>
      <c r="EB9" s="8"/>
      <c r="EC9" s="8"/>
      <c r="ED9" s="8"/>
      <c r="EE9" s="8"/>
      <c r="EF9" s="8">
        <v>32</v>
      </c>
      <c r="EG9" s="8">
        <v>1</v>
      </c>
      <c r="EH9" s="8">
        <v>2</v>
      </c>
      <c r="EI9" s="8"/>
      <c r="EJ9" s="8"/>
      <c r="EK9" s="8"/>
      <c r="EL9" s="8"/>
      <c r="EM9" s="8"/>
      <c r="EN9" s="8"/>
      <c r="EO9" s="8"/>
      <c r="EP9" s="8">
        <v>32</v>
      </c>
      <c r="EQ9" s="8">
        <v>20</v>
      </c>
      <c r="ER9" s="8"/>
      <c r="ES9" s="8">
        <v>29</v>
      </c>
      <c r="ET9" s="8">
        <v>2</v>
      </c>
      <c r="EU9" s="8"/>
      <c r="EV9" s="8"/>
      <c r="EW9" s="8"/>
      <c r="EX9" s="8"/>
      <c r="EY9" s="8"/>
      <c r="EZ9" s="8">
        <v>46</v>
      </c>
      <c r="FA9" s="8">
        <v>2</v>
      </c>
      <c r="FB9" s="8">
        <v>29</v>
      </c>
      <c r="FC9" s="8"/>
      <c r="FD9" s="8"/>
      <c r="FE9" s="8"/>
      <c r="FF9" s="8"/>
      <c r="FG9" s="8"/>
      <c r="FH9" s="8"/>
      <c r="FI9" s="8"/>
      <c r="FJ9" s="8">
        <v>25</v>
      </c>
      <c r="FK9" s="8">
        <v>11</v>
      </c>
      <c r="FL9" s="8">
        <v>45</v>
      </c>
      <c r="FM9" s="8"/>
      <c r="FN9" s="8"/>
      <c r="FO9" s="8"/>
      <c r="FP9" s="8"/>
      <c r="FQ9" s="8"/>
      <c r="FR9" s="8"/>
      <c r="FS9" s="8"/>
      <c r="FT9" s="8"/>
      <c r="FU9" s="9"/>
      <c r="FV9" s="8"/>
      <c r="FW9" s="8"/>
      <c r="FX9" s="9"/>
      <c r="FY9" s="9"/>
      <c r="FZ9" s="9"/>
      <c r="GA9" s="9"/>
      <c r="GB9" s="9"/>
      <c r="GC9" s="9"/>
      <c r="GD9" s="9"/>
      <c r="GE9" s="9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9"/>
      <c r="GS9" s="8"/>
      <c r="GT9" s="9"/>
      <c r="GU9" s="9"/>
      <c r="GV9" s="9"/>
      <c r="GW9" s="9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9"/>
      <c r="HJ9" s="9"/>
      <c r="HK9" s="9"/>
      <c r="HL9" s="8"/>
      <c r="HM9" s="9"/>
      <c r="HN9" s="9"/>
      <c r="HO9" s="9"/>
      <c r="HP9" s="9"/>
      <c r="HQ9" s="9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9"/>
      <c r="IE9" s="9"/>
      <c r="IF9" s="9"/>
      <c r="IG9" s="9"/>
      <c r="IH9" s="9"/>
      <c r="II9" s="9"/>
      <c r="IJ9" s="9"/>
      <c r="IK9" s="9"/>
      <c r="IL9" s="8"/>
      <c r="IM9" s="8"/>
      <c r="IN9" s="8"/>
      <c r="IO9" s="8"/>
      <c r="IP9" s="8"/>
      <c r="IQ9" s="8"/>
      <c r="IR9" s="8"/>
      <c r="IS9" s="8"/>
      <c r="IT9" s="8"/>
      <c r="IU9" s="8"/>
      <c r="IV9" s="9"/>
      <c r="IW9" s="8"/>
      <c r="IX9" s="8"/>
      <c r="IY9" s="9"/>
      <c r="IZ9" s="9"/>
      <c r="JA9" s="9"/>
      <c r="JB9" s="9"/>
      <c r="JC9" s="9"/>
      <c r="JD9" s="9"/>
      <c r="JE9" s="9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9"/>
      <c r="KM9" s="9"/>
      <c r="KN9" s="9"/>
      <c r="KO9" s="9"/>
      <c r="KP9" s="9"/>
      <c r="KQ9" s="9"/>
      <c r="KR9" s="9"/>
      <c r="KS9" s="8"/>
      <c r="KT9" s="9"/>
      <c r="KU9" s="9"/>
      <c r="KV9" s="9"/>
      <c r="KW9" s="9"/>
      <c r="KX9" s="9"/>
      <c r="KY9" s="9"/>
      <c r="KZ9" s="9"/>
      <c r="LA9" s="9"/>
      <c r="LB9" s="9"/>
    </row>
    <row r="10" spans="1:314" ht="15" customHeight="1" x14ac:dyDescent="0.25">
      <c r="A10" s="418">
        <v>549754600108</v>
      </c>
      <c r="B10" s="10">
        <f t="shared" si="0"/>
        <v>288</v>
      </c>
      <c r="C10" s="10">
        <v>0</v>
      </c>
      <c r="D10" s="10" t="b">
        <f t="shared" si="1"/>
        <v>0</v>
      </c>
      <c r="E10" s="10">
        <f t="shared" si="2"/>
        <v>-288</v>
      </c>
      <c r="F10" s="8">
        <v>30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>
        <v>5</v>
      </c>
      <c r="AK10" s="8"/>
      <c r="AL10" s="8"/>
      <c r="AM10" s="8">
        <v>14</v>
      </c>
      <c r="AN10" s="9"/>
      <c r="AO10" s="9"/>
      <c r="AP10" s="9"/>
      <c r="AQ10" s="9"/>
      <c r="AR10" s="9"/>
      <c r="AS10" s="9"/>
      <c r="AT10" s="8">
        <v>17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65">
        <v>8</v>
      </c>
      <c r="BG10" s="8">
        <v>26</v>
      </c>
      <c r="BH10" s="8"/>
      <c r="BI10" s="65"/>
      <c r="BJ10" s="65"/>
      <c r="BK10" s="65"/>
      <c r="BL10" s="65"/>
      <c r="BM10" s="65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>
        <v>10</v>
      </c>
      <c r="BY10" s="8">
        <v>5</v>
      </c>
      <c r="BZ10" s="8"/>
      <c r="CA10" s="8"/>
      <c r="CB10" s="8"/>
      <c r="CC10" s="8"/>
      <c r="CD10" s="8"/>
      <c r="CE10" s="8"/>
      <c r="CF10" s="8"/>
      <c r="CG10" s="8"/>
      <c r="CH10" s="8">
        <v>10</v>
      </c>
      <c r="CI10" s="8"/>
      <c r="CJ10" s="8">
        <v>3</v>
      </c>
      <c r="CK10" s="8">
        <v>20</v>
      </c>
      <c r="CL10" s="8"/>
      <c r="CM10" s="8"/>
      <c r="CN10" s="8"/>
      <c r="CO10" s="8"/>
      <c r="CP10" s="8"/>
      <c r="CQ10" s="8"/>
      <c r="CR10" s="8"/>
      <c r="CS10" s="65">
        <v>10</v>
      </c>
      <c r="CT10" s="65">
        <v>1</v>
      </c>
      <c r="CU10" s="8"/>
      <c r="CV10" s="8"/>
      <c r="CW10" s="8"/>
      <c r="CX10" s="8"/>
      <c r="CY10" s="8"/>
      <c r="CZ10" s="8"/>
      <c r="DA10" s="8"/>
      <c r="DB10" s="8">
        <v>6</v>
      </c>
      <c r="DC10" s="8"/>
      <c r="DD10" s="8">
        <v>6</v>
      </c>
      <c r="DE10" s="8"/>
      <c r="DF10" s="8"/>
      <c r="DG10" s="8"/>
      <c r="DH10" s="8"/>
      <c r="DI10" s="8"/>
      <c r="DJ10" s="8"/>
      <c r="DK10" s="8"/>
      <c r="DL10" s="8">
        <v>27</v>
      </c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>
        <v>18</v>
      </c>
      <c r="DX10" s="8">
        <v>9</v>
      </c>
      <c r="DY10" s="8">
        <v>1</v>
      </c>
      <c r="DZ10" s="8">
        <v>9</v>
      </c>
      <c r="EA10" s="8"/>
      <c r="EB10" s="8"/>
      <c r="EC10" s="8"/>
      <c r="ED10" s="8"/>
      <c r="EE10" s="8"/>
      <c r="EF10" s="8">
        <v>7</v>
      </c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>
        <v>8</v>
      </c>
      <c r="ET10" s="8"/>
      <c r="EU10" s="8"/>
      <c r="EV10" s="8"/>
      <c r="EW10" s="8"/>
      <c r="EX10" s="8"/>
      <c r="EY10" s="8"/>
      <c r="EZ10" s="8">
        <v>4</v>
      </c>
      <c r="FA10" s="8"/>
      <c r="FB10" s="8">
        <v>4</v>
      </c>
      <c r="FC10" s="8">
        <v>10</v>
      </c>
      <c r="FD10" s="8"/>
      <c r="FE10" s="8"/>
      <c r="FF10" s="8"/>
      <c r="FG10" s="8"/>
      <c r="FH10" s="8"/>
      <c r="FI10" s="8"/>
      <c r="FJ10" s="8"/>
      <c r="FK10" s="8">
        <v>6</v>
      </c>
      <c r="FL10" s="8"/>
      <c r="FM10" s="8">
        <v>14</v>
      </c>
      <c r="FN10" s="8"/>
      <c r="FO10" s="8"/>
      <c r="FP10" s="8"/>
      <c r="FQ10" s="8"/>
      <c r="FR10" s="8"/>
      <c r="FS10" s="8"/>
      <c r="FT10" s="8"/>
      <c r="FU10" s="9"/>
      <c r="FV10" s="8"/>
      <c r="FW10" s="8"/>
      <c r="FX10" s="9"/>
      <c r="FY10" s="9"/>
      <c r="FZ10" s="9"/>
      <c r="GA10" s="9"/>
      <c r="GB10" s="9"/>
      <c r="GC10" s="9"/>
      <c r="GD10" s="9"/>
      <c r="GE10" s="9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9"/>
      <c r="GS10" s="8"/>
      <c r="GT10" s="9"/>
      <c r="GU10" s="9"/>
      <c r="GV10" s="9"/>
      <c r="GW10" s="9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9"/>
      <c r="HJ10" s="9"/>
      <c r="HK10" s="9"/>
      <c r="HL10" s="8"/>
      <c r="HM10" s="9"/>
      <c r="HN10" s="9"/>
      <c r="HO10" s="9"/>
      <c r="HP10" s="9"/>
      <c r="HQ10" s="9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9"/>
      <c r="IE10" s="9"/>
      <c r="IF10" s="9"/>
      <c r="IG10" s="9"/>
      <c r="IH10" s="9"/>
      <c r="II10" s="9"/>
      <c r="IJ10" s="9"/>
      <c r="IK10" s="9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9"/>
      <c r="IW10" s="8"/>
      <c r="IX10" s="8"/>
      <c r="IY10" s="9"/>
      <c r="IZ10" s="9"/>
      <c r="JA10" s="9"/>
      <c r="JB10" s="9"/>
      <c r="JC10" s="9"/>
      <c r="JD10" s="9"/>
      <c r="JE10" s="9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9"/>
      <c r="KM10" s="9"/>
      <c r="KN10" s="9"/>
      <c r="KO10" s="9"/>
      <c r="KP10" s="9"/>
      <c r="KQ10" s="9"/>
      <c r="KR10" s="9"/>
      <c r="KS10" s="8"/>
      <c r="KT10" s="9"/>
      <c r="KU10" s="9"/>
      <c r="KV10" s="9"/>
      <c r="KW10" s="9"/>
      <c r="KX10" s="9"/>
      <c r="KY10" s="9"/>
      <c r="KZ10" s="9"/>
      <c r="LA10" s="9"/>
      <c r="LB10" s="9"/>
    </row>
    <row r="11" spans="1:314" ht="15" customHeight="1" x14ac:dyDescent="0.25">
      <c r="A11" s="539">
        <v>549754600173</v>
      </c>
      <c r="B11" s="10">
        <f t="shared" si="0"/>
        <v>1384</v>
      </c>
      <c r="C11" s="10">
        <v>0</v>
      </c>
      <c r="D11" s="10" t="b">
        <f t="shared" si="1"/>
        <v>0</v>
      </c>
      <c r="E11" s="10">
        <f t="shared" si="2"/>
        <v>-1384</v>
      </c>
      <c r="F11" s="8">
        <v>30</v>
      </c>
      <c r="G11" s="8">
        <v>31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>
        <v>5</v>
      </c>
      <c r="V11" s="8">
        <v>78</v>
      </c>
      <c r="W11" s="8"/>
      <c r="X11" s="8"/>
      <c r="Y11" s="8"/>
      <c r="Z11" s="8">
        <v>19</v>
      </c>
      <c r="AA11" s="8"/>
      <c r="AB11" s="8"/>
      <c r="AC11" s="8">
        <v>71</v>
      </c>
      <c r="AD11" s="8">
        <v>45</v>
      </c>
      <c r="AE11" s="8"/>
      <c r="AF11" s="8"/>
      <c r="AG11" s="8"/>
      <c r="AH11" s="8"/>
      <c r="AI11" s="8"/>
      <c r="AJ11" s="8">
        <v>50</v>
      </c>
      <c r="AK11" s="8"/>
      <c r="AL11" s="8"/>
      <c r="AM11" s="8">
        <v>66</v>
      </c>
      <c r="AN11" s="9"/>
      <c r="AO11" s="9"/>
      <c r="AP11" s="9"/>
      <c r="AQ11" s="9"/>
      <c r="AR11" s="9"/>
      <c r="AS11" s="9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>
        <v>50</v>
      </c>
      <c r="BE11" s="8">
        <v>40</v>
      </c>
      <c r="BF11" s="65"/>
      <c r="BG11" s="8">
        <v>10</v>
      </c>
      <c r="BH11" s="8"/>
      <c r="BI11" s="65"/>
      <c r="BJ11" s="65"/>
      <c r="BK11" s="65"/>
      <c r="BL11" s="65"/>
      <c r="BM11" s="65"/>
      <c r="BN11" s="8">
        <v>50</v>
      </c>
      <c r="BO11" s="8"/>
      <c r="BP11" s="8"/>
      <c r="BQ11" s="8"/>
      <c r="BR11" s="8"/>
      <c r="BS11" s="8"/>
      <c r="BT11" s="8"/>
      <c r="BU11" s="8"/>
      <c r="BV11" s="8"/>
      <c r="BW11" s="8"/>
      <c r="BX11" s="8">
        <v>40</v>
      </c>
      <c r="BY11" s="8">
        <v>8</v>
      </c>
      <c r="BZ11" s="8"/>
      <c r="CA11" s="8"/>
      <c r="CB11" s="8"/>
      <c r="CC11" s="8"/>
      <c r="CD11" s="8"/>
      <c r="CE11" s="8"/>
      <c r="CF11" s="8"/>
      <c r="CG11" s="8"/>
      <c r="CH11" s="8">
        <v>10</v>
      </c>
      <c r="CI11" s="8">
        <v>15</v>
      </c>
      <c r="CJ11" s="8">
        <v>9</v>
      </c>
      <c r="CK11" s="8">
        <v>60</v>
      </c>
      <c r="CL11" s="8"/>
      <c r="CM11" s="8"/>
      <c r="CN11" s="8"/>
      <c r="CO11" s="8"/>
      <c r="CP11" s="8"/>
      <c r="CQ11" s="8"/>
      <c r="CR11" s="8"/>
      <c r="CS11" s="65">
        <v>48</v>
      </c>
      <c r="CT11" s="65">
        <v>16</v>
      </c>
      <c r="CU11" s="8"/>
      <c r="CV11" s="8"/>
      <c r="CW11" s="8"/>
      <c r="CX11" s="8"/>
      <c r="CY11" s="8"/>
      <c r="CZ11" s="8"/>
      <c r="DA11" s="8"/>
      <c r="DB11" s="8">
        <v>36</v>
      </c>
      <c r="DC11" s="8">
        <v>22</v>
      </c>
      <c r="DD11" s="8">
        <v>27</v>
      </c>
      <c r="DE11" s="8">
        <v>6</v>
      </c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>
        <v>55</v>
      </c>
      <c r="DW11" s="8">
        <v>55</v>
      </c>
      <c r="DX11" s="8">
        <v>11</v>
      </c>
      <c r="DY11" s="8">
        <v>10</v>
      </c>
      <c r="DZ11" s="8"/>
      <c r="EA11" s="8"/>
      <c r="EB11" s="8"/>
      <c r="EC11" s="8"/>
      <c r="ED11" s="8"/>
      <c r="EE11" s="8"/>
      <c r="EF11" s="8">
        <v>50</v>
      </c>
      <c r="EG11" s="8">
        <v>20</v>
      </c>
      <c r="EH11" s="8"/>
      <c r="EI11" s="8">
        <v>80</v>
      </c>
      <c r="EJ11" s="8"/>
      <c r="EK11" s="8"/>
      <c r="EL11" s="8"/>
      <c r="EM11" s="8"/>
      <c r="EN11" s="8"/>
      <c r="EO11" s="8"/>
      <c r="EP11" s="8"/>
      <c r="EQ11" s="8"/>
      <c r="ER11" s="8">
        <v>67</v>
      </c>
      <c r="ES11" s="8"/>
      <c r="ET11" s="8"/>
      <c r="EU11" s="8"/>
      <c r="EV11" s="8"/>
      <c r="EW11" s="8"/>
      <c r="EX11" s="8"/>
      <c r="EY11" s="8"/>
      <c r="EZ11" s="8">
        <v>28</v>
      </c>
      <c r="FA11" s="8">
        <v>20</v>
      </c>
      <c r="FB11" s="8">
        <v>56</v>
      </c>
      <c r="FC11" s="8">
        <v>20</v>
      </c>
      <c r="FD11" s="8"/>
      <c r="FE11" s="8"/>
      <c r="FF11" s="8"/>
      <c r="FG11" s="8"/>
      <c r="FH11" s="8"/>
      <c r="FI11" s="8"/>
      <c r="FJ11" s="8"/>
      <c r="FK11" s="8">
        <v>20</v>
      </c>
      <c r="FL11" s="8"/>
      <c r="FM11" s="8">
        <v>50</v>
      </c>
      <c r="FN11" s="8"/>
      <c r="FO11" s="8"/>
      <c r="FP11" s="8"/>
      <c r="FQ11" s="8"/>
      <c r="FR11" s="8"/>
      <c r="FS11" s="8"/>
      <c r="FT11" s="8"/>
      <c r="FU11" s="9"/>
      <c r="FV11" s="8"/>
      <c r="FW11" s="8"/>
      <c r="FX11" s="9"/>
      <c r="FY11" s="9"/>
      <c r="FZ11" s="9"/>
      <c r="GA11" s="9"/>
      <c r="GB11" s="9"/>
      <c r="GC11" s="9"/>
      <c r="GD11" s="9"/>
      <c r="GE11" s="9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9"/>
      <c r="GS11" s="8"/>
      <c r="GT11" s="9"/>
      <c r="GU11" s="9"/>
      <c r="GV11" s="9"/>
      <c r="GW11" s="9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9"/>
      <c r="HJ11" s="9"/>
      <c r="HK11" s="9"/>
      <c r="HL11" s="8"/>
      <c r="HM11" s="9"/>
      <c r="HN11" s="9"/>
      <c r="HO11" s="9"/>
      <c r="HP11" s="9"/>
      <c r="HQ11" s="9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9"/>
      <c r="IE11" s="9"/>
      <c r="IF11" s="9"/>
      <c r="IG11" s="9"/>
      <c r="IH11" s="9"/>
      <c r="II11" s="9"/>
      <c r="IJ11" s="9"/>
      <c r="IK11" s="9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9"/>
      <c r="IW11" s="8"/>
      <c r="IX11" s="8"/>
      <c r="IY11" s="9"/>
      <c r="IZ11" s="9"/>
      <c r="JA11" s="9"/>
      <c r="JB11" s="9"/>
      <c r="JC11" s="9"/>
      <c r="JD11" s="9"/>
      <c r="JE11" s="9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9"/>
      <c r="KM11" s="9"/>
      <c r="KN11" s="9"/>
      <c r="KO11" s="9"/>
      <c r="KP11" s="9"/>
      <c r="KQ11" s="9"/>
      <c r="KR11" s="9"/>
      <c r="KS11" s="8"/>
      <c r="KT11" s="9"/>
      <c r="KU11" s="9"/>
      <c r="KV11" s="9"/>
      <c r="KW11" s="9"/>
      <c r="KX11" s="9"/>
      <c r="KY11" s="9"/>
      <c r="KZ11" s="9"/>
      <c r="LA11" s="9"/>
      <c r="LB11" s="9"/>
    </row>
    <row r="12" spans="1:314" ht="15" customHeight="1" x14ac:dyDescent="0.25">
      <c r="A12" s="442">
        <v>549754600227</v>
      </c>
      <c r="B12" s="10">
        <f t="shared" si="0"/>
        <v>305</v>
      </c>
      <c r="C12" s="10">
        <v>0</v>
      </c>
      <c r="D12" s="10" t="b">
        <f t="shared" si="1"/>
        <v>0</v>
      </c>
      <c r="E12" s="10">
        <f t="shared" si="2"/>
        <v>-305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>
        <v>29</v>
      </c>
      <c r="W12" s="8"/>
      <c r="X12" s="8"/>
      <c r="Y12" s="8"/>
      <c r="Z12" s="8">
        <v>3</v>
      </c>
      <c r="AA12" s="8"/>
      <c r="AB12" s="8"/>
      <c r="AC12" s="8">
        <v>11</v>
      </c>
      <c r="AD12" s="8"/>
      <c r="AE12" s="8"/>
      <c r="AF12" s="8"/>
      <c r="AG12" s="8"/>
      <c r="AH12" s="8"/>
      <c r="AI12" s="8"/>
      <c r="AJ12" s="8">
        <v>8</v>
      </c>
      <c r="AK12" s="8"/>
      <c r="AL12" s="8"/>
      <c r="AM12" s="8">
        <v>19</v>
      </c>
      <c r="AN12" s="9"/>
      <c r="AO12" s="9"/>
      <c r="AP12" s="9"/>
      <c r="AQ12" s="9"/>
      <c r="AR12" s="9"/>
      <c r="AS12" s="9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>
        <v>16</v>
      </c>
      <c r="BE12" s="8">
        <v>10</v>
      </c>
      <c r="BF12" s="65"/>
      <c r="BG12" s="8">
        <v>10</v>
      </c>
      <c r="BH12" s="8"/>
      <c r="BI12" s="65"/>
      <c r="BJ12" s="65"/>
      <c r="BK12" s="65"/>
      <c r="BL12" s="65"/>
      <c r="BM12" s="65"/>
      <c r="BN12" s="8">
        <v>18</v>
      </c>
      <c r="BO12" s="8">
        <v>9</v>
      </c>
      <c r="BP12" s="8"/>
      <c r="BQ12" s="8"/>
      <c r="BR12" s="8"/>
      <c r="BS12" s="8"/>
      <c r="BT12" s="8"/>
      <c r="BU12" s="8"/>
      <c r="BV12" s="8"/>
      <c r="BW12" s="8"/>
      <c r="BX12" s="8">
        <v>5</v>
      </c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>
        <v>4</v>
      </c>
      <c r="CJ12" s="8">
        <v>9</v>
      </c>
      <c r="CK12" s="8">
        <v>20</v>
      </c>
      <c r="CL12" s="8"/>
      <c r="CM12" s="8"/>
      <c r="CN12" s="8"/>
      <c r="CO12" s="8"/>
      <c r="CP12" s="8"/>
      <c r="CQ12" s="8"/>
      <c r="CR12" s="8"/>
      <c r="CS12" s="65">
        <v>5</v>
      </c>
      <c r="CT12" s="65">
        <v>6</v>
      </c>
      <c r="CU12" s="8"/>
      <c r="CV12" s="8"/>
      <c r="CW12" s="8"/>
      <c r="CX12" s="8"/>
      <c r="CY12" s="8"/>
      <c r="CZ12" s="8"/>
      <c r="DA12" s="8"/>
      <c r="DB12" s="8">
        <v>7</v>
      </c>
      <c r="DC12" s="8">
        <v>5</v>
      </c>
      <c r="DD12" s="8">
        <v>26</v>
      </c>
      <c r="DE12" s="8"/>
      <c r="DF12" s="8"/>
      <c r="DG12" s="8"/>
      <c r="DH12" s="8"/>
      <c r="DI12" s="8"/>
      <c r="DJ12" s="8"/>
      <c r="DK12" s="8"/>
      <c r="DL12" s="8">
        <v>19</v>
      </c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>
        <v>1</v>
      </c>
      <c r="EA12" s="8"/>
      <c r="EB12" s="8"/>
      <c r="EC12" s="8"/>
      <c r="ED12" s="8"/>
      <c r="EE12" s="8"/>
      <c r="EF12" s="8">
        <v>15</v>
      </c>
      <c r="EG12" s="8"/>
      <c r="EH12" s="8"/>
      <c r="EI12" s="8"/>
      <c r="EJ12" s="8"/>
      <c r="EK12" s="8"/>
      <c r="EL12" s="8"/>
      <c r="EM12" s="8"/>
      <c r="EN12" s="8"/>
      <c r="EO12" s="8"/>
      <c r="EP12" s="8">
        <v>17</v>
      </c>
      <c r="EQ12" s="8">
        <v>10</v>
      </c>
      <c r="ER12" s="8"/>
      <c r="ES12" s="8"/>
      <c r="ET12" s="8"/>
      <c r="EU12" s="8"/>
      <c r="EV12" s="8"/>
      <c r="EW12" s="8"/>
      <c r="EX12" s="8"/>
      <c r="EY12" s="8"/>
      <c r="EZ12" s="8">
        <v>10</v>
      </c>
      <c r="FA12" s="8">
        <v>10</v>
      </c>
      <c r="FB12" s="8"/>
      <c r="FC12" s="8"/>
      <c r="FD12" s="8"/>
      <c r="FE12" s="8"/>
      <c r="FF12" s="8"/>
      <c r="FG12" s="8"/>
      <c r="FH12" s="8"/>
      <c r="FI12" s="8"/>
      <c r="FJ12" s="8"/>
      <c r="FK12" s="8">
        <v>2</v>
      </c>
      <c r="FL12" s="8"/>
      <c r="FM12" s="8">
        <v>1</v>
      </c>
      <c r="FN12" s="8"/>
      <c r="FO12" s="8"/>
      <c r="FP12" s="8"/>
      <c r="FQ12" s="8"/>
      <c r="FR12" s="8"/>
      <c r="FS12" s="8"/>
      <c r="FT12" s="8"/>
      <c r="FU12" s="9"/>
      <c r="FV12" s="8"/>
      <c r="FW12" s="8"/>
      <c r="FX12" s="9"/>
      <c r="FY12" s="9"/>
      <c r="FZ12" s="9"/>
      <c r="GA12" s="9"/>
      <c r="GB12" s="9"/>
      <c r="GC12" s="9"/>
      <c r="GD12" s="9"/>
      <c r="GE12" s="9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9"/>
      <c r="GS12" s="8"/>
      <c r="GT12" s="9"/>
      <c r="GU12" s="9"/>
      <c r="GV12" s="9"/>
      <c r="GW12" s="9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9"/>
      <c r="HJ12" s="9"/>
      <c r="HK12" s="9"/>
      <c r="HL12" s="8"/>
      <c r="HM12" s="9"/>
      <c r="HN12" s="9"/>
      <c r="HO12" s="9"/>
      <c r="HP12" s="9"/>
      <c r="HQ12" s="9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9"/>
      <c r="IE12" s="9"/>
      <c r="IF12" s="9"/>
      <c r="IG12" s="9"/>
      <c r="IH12" s="9"/>
      <c r="II12" s="9"/>
      <c r="IJ12" s="9"/>
      <c r="IK12" s="9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9"/>
      <c r="IW12" s="8"/>
      <c r="IX12" s="8"/>
      <c r="IY12" s="9"/>
      <c r="IZ12" s="9"/>
      <c r="JA12" s="9"/>
      <c r="JB12" s="9"/>
      <c r="JC12" s="9"/>
      <c r="JD12" s="9"/>
      <c r="JE12" s="9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9"/>
      <c r="KM12" s="9"/>
      <c r="KN12" s="9"/>
      <c r="KO12" s="9"/>
      <c r="KP12" s="9"/>
      <c r="KQ12" s="9"/>
      <c r="KR12" s="9"/>
      <c r="KS12" s="8"/>
      <c r="KT12" s="9"/>
      <c r="KU12" s="9"/>
      <c r="KV12" s="9"/>
      <c r="KW12" s="9"/>
      <c r="KX12" s="9"/>
      <c r="KY12" s="9"/>
      <c r="KZ12" s="9"/>
      <c r="LA12" s="9"/>
      <c r="LB12" s="9"/>
    </row>
    <row r="13" spans="1:314" ht="15" customHeight="1" x14ac:dyDescent="0.25">
      <c r="A13" s="418">
        <v>549754600109</v>
      </c>
      <c r="B13" s="10">
        <f t="shared" si="0"/>
        <v>441</v>
      </c>
      <c r="C13" s="10">
        <v>0</v>
      </c>
      <c r="D13" s="10" t="b">
        <f t="shared" si="1"/>
        <v>0</v>
      </c>
      <c r="E13" s="10">
        <f t="shared" si="2"/>
        <v>-441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>
        <v>15</v>
      </c>
      <c r="V13" s="8">
        <v>24</v>
      </c>
      <c r="W13" s="8">
        <v>26</v>
      </c>
      <c r="X13" s="8"/>
      <c r="Y13" s="8"/>
      <c r="Z13" s="8">
        <v>10</v>
      </c>
      <c r="AA13" s="8"/>
      <c r="AB13" s="8"/>
      <c r="AC13" s="8">
        <v>15</v>
      </c>
      <c r="AD13" s="8"/>
      <c r="AE13" s="8"/>
      <c r="AF13" s="8"/>
      <c r="AG13" s="8"/>
      <c r="AH13" s="8"/>
      <c r="AI13" s="8"/>
      <c r="AJ13" s="8">
        <v>8</v>
      </c>
      <c r="AK13" s="8">
        <v>25</v>
      </c>
      <c r="AL13" s="8"/>
      <c r="AM13" s="8"/>
      <c r="AN13" s="9"/>
      <c r="AO13" s="9"/>
      <c r="AP13" s="9"/>
      <c r="AQ13" s="9"/>
      <c r="AR13" s="9"/>
      <c r="AS13" s="9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>
        <v>19</v>
      </c>
      <c r="BE13" s="8">
        <v>12</v>
      </c>
      <c r="BF13" s="65"/>
      <c r="BG13" s="8">
        <v>20</v>
      </c>
      <c r="BH13" s="8"/>
      <c r="BI13" s="65"/>
      <c r="BJ13" s="65"/>
      <c r="BK13" s="65"/>
      <c r="BL13" s="65"/>
      <c r="BM13" s="65"/>
      <c r="BN13" s="8">
        <v>1</v>
      </c>
      <c r="BO13" s="8">
        <v>21</v>
      </c>
      <c r="BP13" s="8"/>
      <c r="BQ13" s="8"/>
      <c r="BR13" s="8"/>
      <c r="BS13" s="8"/>
      <c r="BT13" s="8"/>
      <c r="BU13" s="8"/>
      <c r="BV13" s="8"/>
      <c r="BW13" s="8"/>
      <c r="BX13" s="8">
        <v>25</v>
      </c>
      <c r="BY13" s="8">
        <v>15</v>
      </c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>
        <v>18</v>
      </c>
      <c r="CS13" s="65">
        <v>15</v>
      </c>
      <c r="CT13" s="65">
        <v>4</v>
      </c>
      <c r="CU13" s="8"/>
      <c r="CV13" s="8"/>
      <c r="CW13" s="8"/>
      <c r="CX13" s="8"/>
      <c r="CY13" s="8"/>
      <c r="CZ13" s="8"/>
      <c r="DA13" s="8"/>
      <c r="DB13" s="8">
        <v>4</v>
      </c>
      <c r="DC13" s="8"/>
      <c r="DD13" s="8">
        <v>22</v>
      </c>
      <c r="DE13" s="8"/>
      <c r="DF13" s="8"/>
      <c r="DG13" s="8"/>
      <c r="DH13" s="8"/>
      <c r="DI13" s="8"/>
      <c r="DJ13" s="8"/>
      <c r="DK13" s="8"/>
      <c r="DL13" s="8">
        <v>8</v>
      </c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>
        <v>25</v>
      </c>
      <c r="DY13" s="8">
        <v>4</v>
      </c>
      <c r="DZ13" s="8">
        <v>8</v>
      </c>
      <c r="EA13" s="8"/>
      <c r="EB13" s="8"/>
      <c r="EC13" s="8"/>
      <c r="ED13" s="8"/>
      <c r="EE13" s="8"/>
      <c r="EF13" s="8">
        <v>16</v>
      </c>
      <c r="EG13" s="8"/>
      <c r="EH13" s="8">
        <v>20</v>
      </c>
      <c r="EI13" s="8"/>
      <c r="EJ13" s="8"/>
      <c r="EK13" s="8"/>
      <c r="EL13" s="8"/>
      <c r="EM13" s="8"/>
      <c r="EN13" s="8"/>
      <c r="EO13" s="8"/>
      <c r="EP13" s="8"/>
      <c r="EQ13" s="8"/>
      <c r="ER13" s="8">
        <v>9</v>
      </c>
      <c r="ES13" s="8"/>
      <c r="ET13" s="8">
        <v>3</v>
      </c>
      <c r="EU13" s="8"/>
      <c r="EV13" s="8"/>
      <c r="EW13" s="8"/>
      <c r="EX13" s="8"/>
      <c r="EY13" s="8"/>
      <c r="EZ13" s="8">
        <v>12</v>
      </c>
      <c r="FA13" s="8"/>
      <c r="FB13" s="8"/>
      <c r="FC13" s="8">
        <v>15</v>
      </c>
      <c r="FD13" s="8"/>
      <c r="FE13" s="8"/>
      <c r="FF13" s="8"/>
      <c r="FG13" s="8"/>
      <c r="FH13" s="8"/>
      <c r="FI13" s="8"/>
      <c r="FJ13" s="8"/>
      <c r="FK13" s="8">
        <v>10</v>
      </c>
      <c r="FL13" s="8"/>
      <c r="FM13" s="8">
        <v>12</v>
      </c>
      <c r="FN13" s="8"/>
      <c r="FO13" s="8"/>
      <c r="FP13" s="8"/>
      <c r="FQ13" s="8"/>
      <c r="FR13" s="8"/>
      <c r="FS13" s="8"/>
      <c r="FT13" s="8"/>
      <c r="FU13" s="9"/>
      <c r="FV13" s="8"/>
      <c r="FW13" s="8"/>
      <c r="FX13" s="9"/>
      <c r="FY13" s="9"/>
      <c r="FZ13" s="9"/>
      <c r="GA13" s="9"/>
      <c r="GB13" s="9"/>
      <c r="GC13" s="9"/>
      <c r="GD13" s="9"/>
      <c r="GE13" s="9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9"/>
      <c r="GS13" s="8"/>
      <c r="GT13" s="9"/>
      <c r="GU13" s="9"/>
      <c r="GV13" s="9"/>
      <c r="GW13" s="9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9"/>
      <c r="HJ13" s="9"/>
      <c r="HK13" s="9"/>
      <c r="HL13" s="8"/>
      <c r="HM13" s="9"/>
      <c r="HN13" s="9"/>
      <c r="HO13" s="9"/>
      <c r="HP13" s="9"/>
      <c r="HQ13" s="9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9"/>
      <c r="IE13" s="9"/>
      <c r="IF13" s="9"/>
      <c r="IG13" s="9"/>
      <c r="IH13" s="9"/>
      <c r="II13" s="9"/>
      <c r="IJ13" s="9"/>
      <c r="IK13" s="9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9"/>
      <c r="IW13" s="8"/>
      <c r="IX13" s="8"/>
      <c r="IY13" s="9"/>
      <c r="IZ13" s="9"/>
      <c r="JA13" s="9"/>
      <c r="JB13" s="9"/>
      <c r="JC13" s="9"/>
      <c r="JD13" s="9"/>
      <c r="JE13" s="9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9"/>
      <c r="KM13" s="9"/>
      <c r="KN13" s="9"/>
      <c r="KO13" s="9"/>
      <c r="KP13" s="9"/>
      <c r="KQ13" s="9"/>
      <c r="KR13" s="9"/>
      <c r="KS13" s="8"/>
      <c r="KT13" s="9"/>
      <c r="KU13" s="9"/>
      <c r="KV13" s="9"/>
      <c r="KW13" s="9"/>
      <c r="KX13" s="9"/>
      <c r="KY13" s="9"/>
      <c r="KZ13" s="9"/>
      <c r="LA13" s="9"/>
      <c r="LB13" s="9"/>
    </row>
    <row r="14" spans="1:314" ht="15" customHeight="1" x14ac:dyDescent="0.25">
      <c r="A14" s="418">
        <v>549754600110</v>
      </c>
      <c r="B14" s="10">
        <f t="shared" si="0"/>
        <v>127</v>
      </c>
      <c r="C14" s="10">
        <v>0</v>
      </c>
      <c r="D14" s="10" t="b">
        <f t="shared" si="1"/>
        <v>0</v>
      </c>
      <c r="E14" s="10">
        <f t="shared" si="2"/>
        <v>-127</v>
      </c>
      <c r="F14" s="8">
        <v>10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>
        <v>15</v>
      </c>
      <c r="AK14" s="8"/>
      <c r="AL14" s="8"/>
      <c r="AM14" s="8"/>
      <c r="AN14" s="9"/>
      <c r="AO14" s="9"/>
      <c r="AP14" s="9"/>
      <c r="AQ14" s="9"/>
      <c r="AR14" s="9"/>
      <c r="AS14" s="9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>
        <v>3</v>
      </c>
      <c r="BE14" s="8"/>
      <c r="BF14" s="65"/>
      <c r="BG14" s="8">
        <v>16</v>
      </c>
      <c r="BH14" s="8"/>
      <c r="BI14" s="65"/>
      <c r="BJ14" s="65"/>
      <c r="BK14" s="65"/>
      <c r="BL14" s="65"/>
      <c r="BM14" s="65"/>
      <c r="BN14" s="8">
        <v>7</v>
      </c>
      <c r="BO14" s="8">
        <v>3</v>
      </c>
      <c r="BP14" s="8"/>
      <c r="BQ14" s="8"/>
      <c r="BR14" s="8"/>
      <c r="BS14" s="8"/>
      <c r="BT14" s="8"/>
      <c r="BU14" s="8"/>
      <c r="BV14" s="8"/>
      <c r="BW14" s="8"/>
      <c r="BX14" s="8">
        <v>5</v>
      </c>
      <c r="BY14" s="8">
        <v>5</v>
      </c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>
        <v>6</v>
      </c>
      <c r="CS14" s="65"/>
      <c r="CT14" s="65"/>
      <c r="CU14" s="8"/>
      <c r="CV14" s="8"/>
      <c r="CW14" s="8"/>
      <c r="CX14" s="8"/>
      <c r="CY14" s="8"/>
      <c r="CZ14" s="8"/>
      <c r="DA14" s="8"/>
      <c r="DB14" s="8">
        <v>3</v>
      </c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>
        <v>20</v>
      </c>
      <c r="EI14" s="8"/>
      <c r="EJ14" s="8"/>
      <c r="EK14" s="8"/>
      <c r="EL14" s="8"/>
      <c r="EM14" s="8"/>
      <c r="EN14" s="8"/>
      <c r="EO14" s="8"/>
      <c r="EP14" s="8"/>
      <c r="EQ14" s="8"/>
      <c r="ER14" s="8">
        <v>13</v>
      </c>
      <c r="ES14" s="8"/>
      <c r="ET14" s="8">
        <v>6</v>
      </c>
      <c r="EU14" s="8"/>
      <c r="EV14" s="8"/>
      <c r="EW14" s="8"/>
      <c r="EX14" s="8"/>
      <c r="EY14" s="8"/>
      <c r="EZ14" s="8">
        <v>3</v>
      </c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>
        <v>2</v>
      </c>
      <c r="FL14" s="8"/>
      <c r="FM14" s="8">
        <v>10</v>
      </c>
      <c r="FN14" s="8"/>
      <c r="FO14" s="8"/>
      <c r="FP14" s="8"/>
      <c r="FQ14" s="8"/>
      <c r="FR14" s="8"/>
      <c r="FS14" s="8"/>
      <c r="FT14" s="8"/>
      <c r="FU14" s="9"/>
      <c r="FV14" s="8"/>
      <c r="FW14" s="8"/>
      <c r="FX14" s="9"/>
      <c r="FY14" s="9"/>
      <c r="FZ14" s="9"/>
      <c r="GA14" s="9"/>
      <c r="GB14" s="9"/>
      <c r="GC14" s="9"/>
      <c r="GD14" s="9"/>
      <c r="GE14" s="9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9"/>
      <c r="GS14" s="8"/>
      <c r="GT14" s="9"/>
      <c r="GU14" s="9"/>
      <c r="GV14" s="9"/>
      <c r="GW14" s="9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9"/>
      <c r="HJ14" s="9"/>
      <c r="HK14" s="9"/>
      <c r="HL14" s="8"/>
      <c r="HM14" s="9"/>
      <c r="HN14" s="9"/>
      <c r="HO14" s="9"/>
      <c r="HP14" s="9"/>
      <c r="HQ14" s="9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9"/>
      <c r="IE14" s="9"/>
      <c r="IF14" s="9"/>
      <c r="IG14" s="9"/>
      <c r="IH14" s="9"/>
      <c r="II14" s="9"/>
      <c r="IJ14" s="9"/>
      <c r="IK14" s="9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9"/>
      <c r="IW14" s="8"/>
      <c r="IX14" s="8"/>
      <c r="IY14" s="9"/>
      <c r="IZ14" s="9"/>
      <c r="JA14" s="9"/>
      <c r="JB14" s="9"/>
      <c r="JC14" s="9"/>
      <c r="JD14" s="9"/>
      <c r="JE14" s="9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9"/>
      <c r="KM14" s="9"/>
      <c r="KN14" s="9"/>
      <c r="KO14" s="9"/>
      <c r="KP14" s="9"/>
      <c r="KQ14" s="9"/>
      <c r="KR14" s="9"/>
      <c r="KS14" s="8"/>
      <c r="KT14" s="9"/>
      <c r="KU14" s="9"/>
      <c r="KV14" s="9"/>
      <c r="KW14" s="9"/>
      <c r="KX14" s="9"/>
      <c r="KY14" s="9"/>
      <c r="KZ14" s="9"/>
      <c r="LA14" s="9"/>
      <c r="LB14" s="9"/>
    </row>
    <row r="15" spans="1:314" ht="15" customHeight="1" x14ac:dyDescent="0.25">
      <c r="A15" s="418">
        <v>549754600127</v>
      </c>
      <c r="B15" s="10">
        <f t="shared" si="0"/>
        <v>350</v>
      </c>
      <c r="C15" s="10">
        <v>0</v>
      </c>
      <c r="D15" s="10" t="b">
        <f t="shared" si="1"/>
        <v>0</v>
      </c>
      <c r="E15" s="10">
        <f t="shared" si="2"/>
        <v>-350</v>
      </c>
      <c r="F15" s="8">
        <v>10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>
        <v>33</v>
      </c>
      <c r="W15" s="8"/>
      <c r="X15" s="8"/>
      <c r="Y15" s="8"/>
      <c r="Z15" s="8">
        <v>7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16</v>
      </c>
      <c r="AL15" s="8"/>
      <c r="AM15" s="8">
        <v>13</v>
      </c>
      <c r="AN15" s="8"/>
      <c r="AO15" s="8"/>
      <c r="AP15" s="8"/>
      <c r="AQ15" s="8"/>
      <c r="AR15" s="8"/>
      <c r="AS15" s="8"/>
      <c r="AT15" s="8">
        <v>2</v>
      </c>
      <c r="AU15" s="8"/>
      <c r="AV15" s="8"/>
      <c r="AW15" s="8"/>
      <c r="AX15" s="8"/>
      <c r="AY15" s="8"/>
      <c r="AZ15" s="8"/>
      <c r="BA15" s="8"/>
      <c r="BB15" s="8"/>
      <c r="BC15" s="8"/>
      <c r="BD15" s="8">
        <v>3</v>
      </c>
      <c r="BE15" s="8">
        <v>2</v>
      </c>
      <c r="BF15" s="65"/>
      <c r="BG15" s="8"/>
      <c r="BH15" s="8"/>
      <c r="BI15" s="65"/>
      <c r="BJ15" s="65"/>
      <c r="BK15" s="65"/>
      <c r="BL15" s="65"/>
      <c r="BM15" s="65"/>
      <c r="BN15" s="8">
        <v>15</v>
      </c>
      <c r="BO15" s="8">
        <v>41</v>
      </c>
      <c r="BP15" s="8"/>
      <c r="BQ15" s="8"/>
      <c r="BR15" s="8"/>
      <c r="BS15" s="8"/>
      <c r="BT15" s="8"/>
      <c r="BU15" s="8"/>
      <c r="BV15" s="8"/>
      <c r="BW15" s="8"/>
      <c r="BX15" s="8">
        <v>5</v>
      </c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>
        <v>10</v>
      </c>
      <c r="CK15" s="8"/>
      <c r="CL15" s="8"/>
      <c r="CM15" s="8"/>
      <c r="CN15" s="8"/>
      <c r="CO15" s="8"/>
      <c r="CP15" s="8"/>
      <c r="CQ15" s="8"/>
      <c r="CR15" s="8">
        <v>20</v>
      </c>
      <c r="CS15" s="65">
        <v>10</v>
      </c>
      <c r="CT15" s="65"/>
      <c r="CU15" s="8"/>
      <c r="CV15" s="8"/>
      <c r="CW15" s="8"/>
      <c r="CX15" s="8"/>
      <c r="CY15" s="8"/>
      <c r="CZ15" s="8"/>
      <c r="DA15" s="8"/>
      <c r="DB15" s="8">
        <v>9</v>
      </c>
      <c r="DC15" s="8">
        <v>3</v>
      </c>
      <c r="DD15" s="8">
        <v>1</v>
      </c>
      <c r="DE15" s="8">
        <v>10</v>
      </c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>
        <v>2</v>
      </c>
      <c r="EA15" s="8"/>
      <c r="EB15" s="8"/>
      <c r="EC15" s="8"/>
      <c r="ED15" s="8"/>
      <c r="EE15" s="8"/>
      <c r="EF15" s="8">
        <v>3</v>
      </c>
      <c r="EG15" s="8">
        <v>26</v>
      </c>
      <c r="EH15" s="8"/>
      <c r="EI15" s="8"/>
      <c r="EJ15" s="8"/>
      <c r="EK15" s="8"/>
      <c r="EL15" s="8"/>
      <c r="EM15" s="8"/>
      <c r="EN15" s="8"/>
      <c r="EO15" s="8"/>
      <c r="EP15" s="8">
        <v>40</v>
      </c>
      <c r="EQ15" s="8"/>
      <c r="ER15" s="8"/>
      <c r="ES15" s="8"/>
      <c r="ET15" s="8">
        <v>9</v>
      </c>
      <c r="EU15" s="8"/>
      <c r="EV15" s="8"/>
      <c r="EW15" s="8"/>
      <c r="EX15" s="8"/>
      <c r="EY15" s="8"/>
      <c r="EZ15" s="8">
        <v>15</v>
      </c>
      <c r="FA15" s="8">
        <v>15</v>
      </c>
      <c r="FB15" s="8"/>
      <c r="FC15" s="8">
        <v>10</v>
      </c>
      <c r="FD15" s="8"/>
      <c r="FE15" s="8"/>
      <c r="FF15" s="8"/>
      <c r="FG15" s="8"/>
      <c r="FH15" s="8"/>
      <c r="FI15" s="8"/>
      <c r="FJ15" s="8"/>
      <c r="FK15" s="8">
        <v>5</v>
      </c>
      <c r="FL15" s="8"/>
      <c r="FM15" s="8">
        <v>15</v>
      </c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</row>
    <row r="16" spans="1:314" ht="15" customHeight="1" x14ac:dyDescent="0.25">
      <c r="A16" s="418">
        <v>549754600111</v>
      </c>
      <c r="B16" s="10">
        <f t="shared" si="0"/>
        <v>409</v>
      </c>
      <c r="C16" s="10">
        <v>0</v>
      </c>
      <c r="D16" s="10" t="b">
        <f t="shared" si="1"/>
        <v>0</v>
      </c>
      <c r="E16" s="10">
        <f t="shared" si="2"/>
        <v>-409</v>
      </c>
      <c r="F16" s="8"/>
      <c r="G16" s="8">
        <v>14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>
        <v>6</v>
      </c>
      <c r="X16" s="8"/>
      <c r="Y16" s="8"/>
      <c r="Z16" s="8"/>
      <c r="AA16" s="8"/>
      <c r="AB16" s="8">
        <v>20</v>
      </c>
      <c r="AC16" s="8">
        <v>21</v>
      </c>
      <c r="AD16" s="8">
        <v>9</v>
      </c>
      <c r="AE16" s="8"/>
      <c r="AF16" s="8"/>
      <c r="AG16" s="8"/>
      <c r="AH16" s="8"/>
      <c r="AI16" s="8"/>
      <c r="AJ16" s="8">
        <v>14</v>
      </c>
      <c r="AK16" s="8">
        <v>18</v>
      </c>
      <c r="AL16" s="8">
        <v>34</v>
      </c>
      <c r="AM16" s="8"/>
      <c r="AN16" s="9"/>
      <c r="AO16" s="9"/>
      <c r="AP16" s="9"/>
      <c r="AQ16" s="9"/>
      <c r="AR16" s="9"/>
      <c r="AS16" s="9"/>
      <c r="AT16" s="8">
        <v>14</v>
      </c>
      <c r="AU16" s="8"/>
      <c r="AV16" s="8"/>
      <c r="AW16" s="8"/>
      <c r="AX16" s="8"/>
      <c r="AY16" s="8"/>
      <c r="AZ16" s="8"/>
      <c r="BA16" s="8"/>
      <c r="BB16" s="8"/>
      <c r="BC16" s="8"/>
      <c r="BD16" s="8">
        <v>18</v>
      </c>
      <c r="BE16" s="8"/>
      <c r="BF16" s="65"/>
      <c r="BG16" s="8">
        <v>20</v>
      </c>
      <c r="BH16" s="8"/>
      <c r="BI16" s="65"/>
      <c r="BJ16" s="65"/>
      <c r="BK16" s="65"/>
      <c r="BL16" s="65"/>
      <c r="BM16" s="65"/>
      <c r="BN16" s="8">
        <v>3</v>
      </c>
      <c r="BO16" s="8"/>
      <c r="BP16" s="8"/>
      <c r="BQ16" s="8"/>
      <c r="BR16" s="8"/>
      <c r="BS16" s="8"/>
      <c r="BT16" s="8"/>
      <c r="BU16" s="8"/>
      <c r="BV16" s="8"/>
      <c r="BW16" s="8"/>
      <c r="BX16" s="8">
        <v>10</v>
      </c>
      <c r="BY16" s="8"/>
      <c r="BZ16" s="8"/>
      <c r="CA16" s="8"/>
      <c r="CB16" s="8"/>
      <c r="CC16" s="8"/>
      <c r="CD16" s="8"/>
      <c r="CE16" s="8"/>
      <c r="CF16" s="8"/>
      <c r="CG16" s="8"/>
      <c r="CH16" s="8">
        <v>25</v>
      </c>
      <c r="CI16" s="8">
        <v>19</v>
      </c>
      <c r="CJ16" s="8"/>
      <c r="CK16" s="8"/>
      <c r="CL16" s="8"/>
      <c r="CM16" s="8"/>
      <c r="CN16" s="8"/>
      <c r="CO16" s="8"/>
      <c r="CP16" s="8"/>
      <c r="CQ16" s="8"/>
      <c r="CR16" s="8">
        <v>10</v>
      </c>
      <c r="CS16" s="65">
        <v>15</v>
      </c>
      <c r="CT16" s="65"/>
      <c r="CU16" s="8"/>
      <c r="CV16" s="8"/>
      <c r="CW16" s="8"/>
      <c r="CX16" s="8"/>
      <c r="CY16" s="8"/>
      <c r="CZ16" s="8"/>
      <c r="DA16" s="8"/>
      <c r="DB16" s="8">
        <v>6</v>
      </c>
      <c r="DC16" s="8"/>
      <c r="DD16" s="8">
        <v>5</v>
      </c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>
        <v>51</v>
      </c>
      <c r="DX16" s="8"/>
      <c r="DY16" s="8">
        <v>11</v>
      </c>
      <c r="DZ16" s="8"/>
      <c r="EA16" s="8"/>
      <c r="EB16" s="8"/>
      <c r="EC16" s="8"/>
      <c r="ED16" s="8"/>
      <c r="EE16" s="8"/>
      <c r="EF16" s="8">
        <v>6</v>
      </c>
      <c r="EG16" s="8"/>
      <c r="EH16" s="8"/>
      <c r="EI16" s="8"/>
      <c r="EJ16" s="8"/>
      <c r="EK16" s="8"/>
      <c r="EL16" s="8"/>
      <c r="EM16" s="8"/>
      <c r="EN16" s="8"/>
      <c r="EO16" s="8"/>
      <c r="EP16" s="8">
        <v>18</v>
      </c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>
        <v>10</v>
      </c>
      <c r="FB16" s="8"/>
      <c r="FC16" s="8">
        <v>20</v>
      </c>
      <c r="FD16" s="8"/>
      <c r="FE16" s="8"/>
      <c r="FF16" s="8"/>
      <c r="FG16" s="8"/>
      <c r="FH16" s="8"/>
      <c r="FI16" s="8"/>
      <c r="FJ16" s="8"/>
      <c r="FK16" s="8"/>
      <c r="FL16" s="8"/>
      <c r="FM16" s="8">
        <v>12</v>
      </c>
      <c r="FN16" s="8"/>
      <c r="FO16" s="8"/>
      <c r="FP16" s="8"/>
      <c r="FQ16" s="8"/>
      <c r="FR16" s="8"/>
      <c r="FS16" s="8"/>
      <c r="FT16" s="8"/>
      <c r="FU16" s="9"/>
      <c r="FV16" s="8"/>
      <c r="FW16" s="8"/>
      <c r="FX16" s="9"/>
      <c r="FY16" s="9"/>
      <c r="FZ16" s="9"/>
      <c r="GA16" s="9"/>
      <c r="GB16" s="9"/>
      <c r="GC16" s="9"/>
      <c r="GD16" s="9"/>
      <c r="GE16" s="9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9"/>
      <c r="GS16" s="8"/>
      <c r="GT16" s="9"/>
      <c r="GU16" s="9"/>
      <c r="GV16" s="9"/>
      <c r="GW16" s="9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9"/>
      <c r="HJ16" s="9"/>
      <c r="HK16" s="9"/>
      <c r="HL16" s="8"/>
      <c r="HM16" s="9"/>
      <c r="HN16" s="9"/>
      <c r="HO16" s="9"/>
      <c r="HP16" s="9"/>
      <c r="HQ16" s="9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9"/>
      <c r="IE16" s="9"/>
      <c r="IF16" s="9"/>
      <c r="IG16" s="9"/>
      <c r="IH16" s="9"/>
      <c r="II16" s="9"/>
      <c r="IJ16" s="9"/>
      <c r="IK16" s="9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9"/>
      <c r="IW16" s="8"/>
      <c r="IX16" s="8"/>
      <c r="IY16" s="9"/>
      <c r="IZ16" s="9"/>
      <c r="JA16" s="9"/>
      <c r="JB16" s="9"/>
      <c r="JC16" s="9"/>
      <c r="JD16" s="9"/>
      <c r="JE16" s="9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9"/>
      <c r="KM16" s="9"/>
      <c r="KN16" s="9"/>
      <c r="KO16" s="9"/>
      <c r="KP16" s="9"/>
      <c r="KQ16" s="9"/>
      <c r="KR16" s="9"/>
      <c r="KS16" s="8"/>
      <c r="KT16" s="9"/>
      <c r="KU16" s="9"/>
      <c r="KV16" s="9"/>
      <c r="KW16" s="9"/>
      <c r="KX16" s="9"/>
      <c r="KY16" s="9"/>
      <c r="KZ16" s="9"/>
      <c r="LA16" s="9"/>
      <c r="LB16" s="9"/>
    </row>
    <row r="17" spans="1:314" ht="15" customHeight="1" x14ac:dyDescent="0.25">
      <c r="A17" s="418">
        <v>549754600112</v>
      </c>
      <c r="B17" s="10">
        <f t="shared" si="0"/>
        <v>281</v>
      </c>
      <c r="C17" s="10">
        <v>0</v>
      </c>
      <c r="D17" s="10" t="b">
        <f t="shared" si="1"/>
        <v>0</v>
      </c>
      <c r="E17" s="10">
        <f t="shared" si="2"/>
        <v>-281</v>
      </c>
      <c r="F17" s="8">
        <v>20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>
        <v>39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>
        <v>3</v>
      </c>
      <c r="AO17" s="9"/>
      <c r="AP17" s="9"/>
      <c r="AQ17" s="9"/>
      <c r="AR17" s="9"/>
      <c r="AS17" s="9"/>
      <c r="AT17" s="8">
        <v>34</v>
      </c>
      <c r="AU17" s="8"/>
      <c r="AV17" s="8"/>
      <c r="AW17" s="8"/>
      <c r="AX17" s="8"/>
      <c r="AY17" s="8"/>
      <c r="AZ17" s="8"/>
      <c r="BA17" s="8"/>
      <c r="BB17" s="8"/>
      <c r="BC17" s="8"/>
      <c r="BD17" s="8">
        <v>1</v>
      </c>
      <c r="BE17" s="8"/>
      <c r="BF17" s="65">
        <v>1</v>
      </c>
      <c r="BG17" s="8"/>
      <c r="BH17" s="8"/>
      <c r="BI17" s="65"/>
      <c r="BJ17" s="65"/>
      <c r="BK17" s="65"/>
      <c r="BL17" s="65"/>
      <c r="BM17" s="65"/>
      <c r="BN17" s="8">
        <v>2</v>
      </c>
      <c r="BO17" s="8">
        <v>35</v>
      </c>
      <c r="BP17" s="8"/>
      <c r="BQ17" s="8"/>
      <c r="BR17" s="8"/>
      <c r="BS17" s="8"/>
      <c r="BT17" s="8"/>
      <c r="BU17" s="8"/>
      <c r="BV17" s="8"/>
      <c r="BW17" s="8"/>
      <c r="BX17" s="8">
        <v>5</v>
      </c>
      <c r="BY17" s="8">
        <v>12</v>
      </c>
      <c r="BZ17" s="8"/>
      <c r="CA17" s="8"/>
      <c r="CB17" s="8"/>
      <c r="CC17" s="8"/>
      <c r="CD17" s="8"/>
      <c r="CE17" s="8"/>
      <c r="CF17" s="8"/>
      <c r="CG17" s="8"/>
      <c r="CH17" s="8">
        <v>10</v>
      </c>
      <c r="CI17" s="8"/>
      <c r="CJ17" s="8"/>
      <c r="CK17" s="8"/>
      <c r="CL17" s="8"/>
      <c r="CM17" s="8"/>
      <c r="CN17" s="8"/>
      <c r="CO17" s="8"/>
      <c r="CP17" s="8"/>
      <c r="CQ17" s="8"/>
      <c r="CR17" s="8">
        <v>9</v>
      </c>
      <c r="CS17" s="65"/>
      <c r="CT17" s="65"/>
      <c r="CU17" s="8">
        <v>2</v>
      </c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>
        <v>4</v>
      </c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>
        <v>9</v>
      </c>
      <c r="EA17" s="8"/>
      <c r="EB17" s="8"/>
      <c r="EC17" s="8"/>
      <c r="ED17" s="8"/>
      <c r="EE17" s="8"/>
      <c r="EF17" s="8">
        <v>16</v>
      </c>
      <c r="EG17" s="8"/>
      <c r="EH17" s="8">
        <v>10</v>
      </c>
      <c r="EI17" s="8"/>
      <c r="EJ17" s="8"/>
      <c r="EK17" s="8"/>
      <c r="EL17" s="8"/>
      <c r="EM17" s="8"/>
      <c r="EN17" s="8"/>
      <c r="EO17" s="8"/>
      <c r="EP17" s="8">
        <v>11</v>
      </c>
      <c r="EQ17" s="8"/>
      <c r="ER17" s="8">
        <v>17</v>
      </c>
      <c r="ES17" s="8"/>
      <c r="ET17" s="8"/>
      <c r="EU17" s="8"/>
      <c r="EV17" s="8"/>
      <c r="EW17" s="8"/>
      <c r="EX17" s="8"/>
      <c r="EY17" s="8"/>
      <c r="EZ17" s="8">
        <v>12</v>
      </c>
      <c r="FA17" s="8"/>
      <c r="FB17" s="8"/>
      <c r="FC17" s="8">
        <v>10</v>
      </c>
      <c r="FD17" s="8"/>
      <c r="FE17" s="8"/>
      <c r="FF17" s="8"/>
      <c r="FG17" s="8"/>
      <c r="FH17" s="8"/>
      <c r="FI17" s="8"/>
      <c r="FJ17" s="8"/>
      <c r="FK17" s="8">
        <v>4</v>
      </c>
      <c r="FL17" s="8"/>
      <c r="FM17" s="8">
        <v>15</v>
      </c>
      <c r="FN17" s="8"/>
      <c r="FO17" s="8"/>
      <c r="FP17" s="8"/>
      <c r="FQ17" s="8"/>
      <c r="FR17" s="8"/>
      <c r="FS17" s="8"/>
      <c r="FT17" s="8"/>
      <c r="FU17" s="9"/>
      <c r="FV17" s="8"/>
      <c r="FW17" s="8"/>
      <c r="FX17" s="9"/>
      <c r="FY17" s="9"/>
      <c r="FZ17" s="9"/>
      <c r="GA17" s="9"/>
      <c r="GB17" s="9"/>
      <c r="GC17" s="9"/>
      <c r="GD17" s="9"/>
      <c r="GE17" s="9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9"/>
      <c r="GS17" s="8"/>
      <c r="GT17" s="9"/>
      <c r="GU17" s="9"/>
      <c r="GV17" s="9"/>
      <c r="GW17" s="9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9"/>
      <c r="HJ17" s="9"/>
      <c r="HK17" s="9"/>
      <c r="HL17" s="8"/>
      <c r="HM17" s="9"/>
      <c r="HN17" s="9"/>
      <c r="HO17" s="9"/>
      <c r="HP17" s="9"/>
      <c r="HQ17" s="9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9"/>
      <c r="IE17" s="9"/>
      <c r="IF17" s="9"/>
      <c r="IG17" s="9"/>
      <c r="IH17" s="9"/>
      <c r="II17" s="9"/>
      <c r="IJ17" s="9"/>
      <c r="IK17" s="9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9"/>
      <c r="IW17" s="8"/>
      <c r="IX17" s="8"/>
      <c r="IY17" s="9"/>
      <c r="IZ17" s="9"/>
      <c r="JA17" s="9"/>
      <c r="JB17" s="9"/>
      <c r="JC17" s="9"/>
      <c r="JD17" s="9"/>
      <c r="JE17" s="9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9"/>
      <c r="KM17" s="9"/>
      <c r="KN17" s="9"/>
      <c r="KO17" s="9"/>
      <c r="KP17" s="9"/>
      <c r="KQ17" s="9"/>
      <c r="KR17" s="9"/>
      <c r="KS17" s="8"/>
      <c r="KT17" s="9"/>
      <c r="KU17" s="9"/>
      <c r="KV17" s="9"/>
      <c r="KW17" s="9"/>
      <c r="KX17" s="9"/>
      <c r="KY17" s="9"/>
      <c r="KZ17" s="9"/>
      <c r="LA17" s="9"/>
      <c r="LB17" s="9"/>
    </row>
    <row r="18" spans="1:314" ht="15" customHeight="1" x14ac:dyDescent="0.25">
      <c r="A18" s="414">
        <v>549754600180</v>
      </c>
      <c r="B18" s="10">
        <f t="shared" si="0"/>
        <v>331</v>
      </c>
      <c r="C18" s="10">
        <v>0</v>
      </c>
      <c r="D18" s="10" t="b">
        <f t="shared" si="1"/>
        <v>0</v>
      </c>
      <c r="E18" s="10">
        <f t="shared" si="2"/>
        <v>-331</v>
      </c>
      <c r="F18" s="8">
        <v>25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>
        <v>5</v>
      </c>
      <c r="V18" s="8"/>
      <c r="W18" s="8"/>
      <c r="X18" s="8"/>
      <c r="Y18" s="8"/>
      <c r="Z18" s="8">
        <v>4</v>
      </c>
      <c r="AA18" s="8">
        <v>17</v>
      </c>
      <c r="AB18" s="8">
        <v>25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9"/>
      <c r="AP18" s="9"/>
      <c r="AQ18" s="9"/>
      <c r="AR18" s="9"/>
      <c r="AS18" s="9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65"/>
      <c r="BG18" s="8">
        <v>2</v>
      </c>
      <c r="BH18" s="8"/>
      <c r="BI18" s="65"/>
      <c r="BJ18" s="65"/>
      <c r="BK18" s="65"/>
      <c r="BL18" s="65"/>
      <c r="BM18" s="65"/>
      <c r="BN18" s="8">
        <v>6</v>
      </c>
      <c r="BO18" s="8"/>
      <c r="BP18" s="8"/>
      <c r="BQ18" s="8"/>
      <c r="BR18" s="8"/>
      <c r="BS18" s="8"/>
      <c r="BT18" s="8"/>
      <c r="BU18" s="8"/>
      <c r="BV18" s="8"/>
      <c r="BW18" s="8"/>
      <c r="BX18" s="8">
        <v>10</v>
      </c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>
        <v>12</v>
      </c>
      <c r="CS18" s="65">
        <v>1</v>
      </c>
      <c r="CT18" s="65"/>
      <c r="CU18" s="8">
        <v>40</v>
      </c>
      <c r="CV18" s="8"/>
      <c r="CW18" s="8"/>
      <c r="CX18" s="8"/>
      <c r="CY18" s="8"/>
      <c r="CZ18" s="8"/>
      <c r="DA18" s="8"/>
      <c r="DB18" s="8"/>
      <c r="DC18" s="8"/>
      <c r="DD18" s="8">
        <v>30</v>
      </c>
      <c r="DE18" s="8">
        <v>53</v>
      </c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>
        <v>21</v>
      </c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>
        <v>10</v>
      </c>
      <c r="EI18" s="8"/>
      <c r="EJ18" s="8"/>
      <c r="EK18" s="8"/>
      <c r="EL18" s="8"/>
      <c r="EM18" s="8"/>
      <c r="EN18" s="8"/>
      <c r="EO18" s="8"/>
      <c r="EP18" s="8">
        <v>7</v>
      </c>
      <c r="EQ18" s="8"/>
      <c r="ER18" s="8"/>
      <c r="ES18" s="8">
        <v>12</v>
      </c>
      <c r="ET18" s="8">
        <v>20</v>
      </c>
      <c r="EU18" s="8"/>
      <c r="EV18" s="8"/>
      <c r="EW18" s="8"/>
      <c r="EX18" s="8"/>
      <c r="EY18" s="8"/>
      <c r="EZ18" s="8">
        <v>11</v>
      </c>
      <c r="FA18" s="8"/>
      <c r="FB18" s="8"/>
      <c r="FC18" s="8">
        <v>20</v>
      </c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9"/>
      <c r="FV18" s="8"/>
      <c r="FW18" s="8"/>
      <c r="FX18" s="9"/>
      <c r="FY18" s="9"/>
      <c r="FZ18" s="9"/>
      <c r="GA18" s="9"/>
      <c r="GB18" s="9"/>
      <c r="GC18" s="9"/>
      <c r="GD18" s="9"/>
      <c r="GE18" s="9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9"/>
      <c r="GS18" s="8"/>
      <c r="GT18" s="9"/>
      <c r="GU18" s="9"/>
      <c r="GV18" s="9"/>
      <c r="GW18" s="9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9"/>
      <c r="HJ18" s="9"/>
      <c r="HK18" s="9"/>
      <c r="HL18" s="8"/>
      <c r="HM18" s="9"/>
      <c r="HN18" s="9"/>
      <c r="HO18" s="9"/>
      <c r="HP18" s="9"/>
      <c r="HQ18" s="9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9"/>
      <c r="IE18" s="9"/>
      <c r="IF18" s="9"/>
      <c r="IG18" s="9"/>
      <c r="IH18" s="9"/>
      <c r="II18" s="9"/>
      <c r="IJ18" s="9"/>
      <c r="IK18" s="9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9"/>
      <c r="IW18" s="8"/>
      <c r="IX18" s="8"/>
      <c r="IY18" s="9"/>
      <c r="IZ18" s="9"/>
      <c r="JA18" s="9"/>
      <c r="JB18" s="9"/>
      <c r="JC18" s="9"/>
      <c r="JD18" s="9"/>
      <c r="JE18" s="9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9"/>
      <c r="KM18" s="9"/>
      <c r="KN18" s="9"/>
      <c r="KO18" s="9"/>
      <c r="KP18" s="9"/>
      <c r="KQ18" s="9"/>
      <c r="KR18" s="9"/>
      <c r="KS18" s="8"/>
      <c r="KT18" s="9"/>
      <c r="KU18" s="9"/>
      <c r="KV18" s="9"/>
      <c r="KW18" s="9"/>
      <c r="KX18" s="9"/>
      <c r="KY18" s="9"/>
      <c r="KZ18" s="9"/>
      <c r="LA18" s="9"/>
      <c r="LB18" s="9"/>
    </row>
    <row r="19" spans="1:314" ht="15" customHeight="1" x14ac:dyDescent="0.25">
      <c r="A19" s="414">
        <v>549754600231</v>
      </c>
      <c r="B19" s="10">
        <f t="shared" si="0"/>
        <v>287</v>
      </c>
      <c r="C19" s="10">
        <v>0</v>
      </c>
      <c r="D19" s="10" t="b">
        <f t="shared" si="1"/>
        <v>0</v>
      </c>
      <c r="E19" s="10">
        <f t="shared" si="2"/>
        <v>-287</v>
      </c>
      <c r="F19" s="8">
        <v>10</v>
      </c>
      <c r="G19" s="8">
        <v>10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>
        <v>16</v>
      </c>
      <c r="W19" s="8"/>
      <c r="X19" s="8"/>
      <c r="Y19" s="8"/>
      <c r="Z19" s="8">
        <v>1</v>
      </c>
      <c r="AA19" s="8"/>
      <c r="AB19" s="8"/>
      <c r="AC19" s="8"/>
      <c r="AD19" s="8">
        <v>2</v>
      </c>
      <c r="AE19" s="8"/>
      <c r="AF19" s="8"/>
      <c r="AG19" s="8"/>
      <c r="AH19" s="8"/>
      <c r="AI19" s="8"/>
      <c r="AJ19" s="8">
        <v>20</v>
      </c>
      <c r="AK19" s="8">
        <v>6</v>
      </c>
      <c r="AL19" s="8">
        <v>11</v>
      </c>
      <c r="AM19" s="8"/>
      <c r="AN19" s="9">
        <v>10</v>
      </c>
      <c r="AO19" s="9"/>
      <c r="AP19" s="9"/>
      <c r="AQ19" s="9"/>
      <c r="AR19" s="9"/>
      <c r="AS19" s="9"/>
      <c r="AT19" s="8">
        <v>28</v>
      </c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65"/>
      <c r="BG19" s="8">
        <v>19</v>
      </c>
      <c r="BH19" s="8"/>
      <c r="BI19" s="65"/>
      <c r="BJ19" s="65"/>
      <c r="BK19" s="65"/>
      <c r="BL19" s="65"/>
      <c r="BM19" s="65"/>
      <c r="BN19" s="8">
        <v>12</v>
      </c>
      <c r="BO19" s="8"/>
      <c r="BP19" s="8"/>
      <c r="BQ19" s="8"/>
      <c r="BR19" s="8"/>
      <c r="BS19" s="8"/>
      <c r="BT19" s="8"/>
      <c r="BU19" s="8"/>
      <c r="BV19" s="8"/>
      <c r="BW19" s="8"/>
      <c r="BX19" s="8">
        <v>15</v>
      </c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>
        <v>5</v>
      </c>
      <c r="CK19" s="8"/>
      <c r="CL19" s="8"/>
      <c r="CM19" s="8"/>
      <c r="CN19" s="8"/>
      <c r="CO19" s="8"/>
      <c r="CP19" s="8"/>
      <c r="CQ19" s="8"/>
      <c r="CR19" s="8">
        <v>17</v>
      </c>
      <c r="CS19" s="65">
        <v>5</v>
      </c>
      <c r="CT19" s="65"/>
      <c r="CU19" s="8"/>
      <c r="CV19" s="8"/>
      <c r="CW19" s="8"/>
      <c r="CX19" s="8"/>
      <c r="CY19" s="8"/>
      <c r="CZ19" s="8"/>
      <c r="DA19" s="8"/>
      <c r="DB19" s="8">
        <v>11</v>
      </c>
      <c r="DC19" s="8"/>
      <c r="DD19" s="8">
        <v>5</v>
      </c>
      <c r="DE19" s="8"/>
      <c r="DF19" s="8"/>
      <c r="DG19" s="8"/>
      <c r="DH19" s="8"/>
      <c r="DI19" s="8"/>
      <c r="DJ19" s="8"/>
      <c r="DK19" s="8"/>
      <c r="DL19" s="8">
        <v>1</v>
      </c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>
        <v>12</v>
      </c>
      <c r="DX19" s="8"/>
      <c r="DY19" s="8">
        <v>5</v>
      </c>
      <c r="DZ19" s="8"/>
      <c r="EA19" s="8"/>
      <c r="EB19" s="8"/>
      <c r="EC19" s="8"/>
      <c r="ED19" s="8"/>
      <c r="EE19" s="8"/>
      <c r="EF19" s="8">
        <v>5</v>
      </c>
      <c r="EG19" s="8"/>
      <c r="EH19" s="8">
        <v>8</v>
      </c>
      <c r="EI19" s="8"/>
      <c r="EJ19" s="8"/>
      <c r="EK19" s="8"/>
      <c r="EL19" s="8"/>
      <c r="EM19" s="8"/>
      <c r="EN19" s="8"/>
      <c r="EO19" s="8"/>
      <c r="EP19" s="8">
        <v>12</v>
      </c>
      <c r="EQ19" s="8"/>
      <c r="ER19" s="8"/>
      <c r="ES19" s="8">
        <v>6</v>
      </c>
      <c r="ET19" s="8">
        <v>3</v>
      </c>
      <c r="EU19" s="8"/>
      <c r="EV19" s="8"/>
      <c r="EW19" s="8"/>
      <c r="EX19" s="8"/>
      <c r="EY19" s="8"/>
      <c r="EZ19" s="8"/>
      <c r="FA19" s="8"/>
      <c r="FB19" s="8"/>
      <c r="FC19" s="8">
        <v>15</v>
      </c>
      <c r="FD19" s="8"/>
      <c r="FE19" s="8"/>
      <c r="FF19" s="8"/>
      <c r="FG19" s="8"/>
      <c r="FH19" s="8"/>
      <c r="FI19" s="8"/>
      <c r="FJ19" s="8"/>
      <c r="FK19" s="8">
        <v>2</v>
      </c>
      <c r="FL19" s="8"/>
      <c r="FM19" s="8">
        <v>15</v>
      </c>
      <c r="FN19" s="8"/>
      <c r="FO19" s="8"/>
      <c r="FP19" s="8"/>
      <c r="FQ19" s="8"/>
      <c r="FR19" s="8"/>
      <c r="FS19" s="8"/>
      <c r="FT19" s="8"/>
      <c r="FU19" s="9"/>
      <c r="FV19" s="8"/>
      <c r="FW19" s="8"/>
      <c r="FX19" s="9"/>
      <c r="FY19" s="9"/>
      <c r="FZ19" s="9"/>
      <c r="GA19" s="9"/>
      <c r="GB19" s="9"/>
      <c r="GC19" s="9"/>
      <c r="GD19" s="9"/>
      <c r="GE19" s="9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9"/>
      <c r="GS19" s="8"/>
      <c r="GT19" s="9"/>
      <c r="GU19" s="9"/>
      <c r="GV19" s="9"/>
      <c r="GW19" s="9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9"/>
      <c r="HJ19" s="9"/>
      <c r="HK19" s="9"/>
      <c r="HL19" s="8"/>
      <c r="HM19" s="9"/>
      <c r="HN19" s="9"/>
      <c r="HO19" s="9"/>
      <c r="HP19" s="9"/>
      <c r="HQ19" s="9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9"/>
      <c r="IE19" s="9"/>
      <c r="IF19" s="9"/>
      <c r="IG19" s="9"/>
      <c r="IH19" s="9"/>
      <c r="II19" s="9"/>
      <c r="IJ19" s="9"/>
      <c r="IK19" s="9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9"/>
      <c r="IW19" s="8"/>
      <c r="IX19" s="8"/>
      <c r="IY19" s="9"/>
      <c r="IZ19" s="9"/>
      <c r="JA19" s="9"/>
      <c r="JB19" s="9"/>
      <c r="JC19" s="9"/>
      <c r="JD19" s="9"/>
      <c r="JE19" s="9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9"/>
      <c r="KM19" s="9"/>
      <c r="KN19" s="9"/>
      <c r="KO19" s="9"/>
      <c r="KP19" s="9"/>
      <c r="KQ19" s="9"/>
      <c r="KR19" s="9"/>
      <c r="KS19" s="8"/>
      <c r="KT19" s="9"/>
      <c r="KU19" s="9"/>
      <c r="KV19" s="9"/>
      <c r="KW19" s="9"/>
      <c r="KX19" s="9"/>
      <c r="KY19" s="9"/>
      <c r="KZ19" s="9"/>
      <c r="LA19" s="9"/>
      <c r="LB19" s="9"/>
    </row>
    <row r="20" spans="1:314" ht="15" customHeight="1" x14ac:dyDescent="0.25">
      <c r="A20" s="416">
        <v>549754610185</v>
      </c>
      <c r="B20" s="10">
        <f t="shared" si="0"/>
        <v>10</v>
      </c>
      <c r="C20" s="10">
        <v>0</v>
      </c>
      <c r="D20" s="10" t="b">
        <f t="shared" si="1"/>
        <v>0</v>
      </c>
      <c r="E20" s="10">
        <f t="shared" si="2"/>
        <v>-10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9"/>
      <c r="AO20" s="9"/>
      <c r="AP20" s="9"/>
      <c r="AQ20" s="9"/>
      <c r="AR20" s="9"/>
      <c r="AS20" s="9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65"/>
      <c r="BG20" s="8"/>
      <c r="BH20" s="8"/>
      <c r="BI20" s="65"/>
      <c r="BJ20" s="65"/>
      <c r="BK20" s="65"/>
      <c r="BL20" s="65"/>
      <c r="BM20" s="65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65"/>
      <c r="CT20" s="65"/>
      <c r="CU20" s="8"/>
      <c r="CV20" s="8"/>
      <c r="CW20" s="8"/>
      <c r="CX20" s="8"/>
      <c r="CY20" s="8"/>
      <c r="CZ20" s="8"/>
      <c r="DA20" s="8"/>
      <c r="DB20" s="8">
        <v>1</v>
      </c>
      <c r="DC20" s="8"/>
      <c r="DD20" s="8"/>
      <c r="DE20" s="8"/>
      <c r="DF20" s="8"/>
      <c r="DG20" s="8"/>
      <c r="DH20" s="8"/>
      <c r="DI20" s="8"/>
      <c r="DJ20" s="8"/>
      <c r="DK20" s="8"/>
      <c r="DL20" s="8">
        <v>1</v>
      </c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>
        <v>1</v>
      </c>
      <c r="EG20" s="8"/>
      <c r="EH20" s="8">
        <v>5</v>
      </c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>
        <v>2</v>
      </c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9"/>
      <c r="FV20" s="8"/>
      <c r="FW20" s="8"/>
      <c r="FX20" s="9"/>
      <c r="FY20" s="9"/>
      <c r="FZ20" s="9"/>
      <c r="GA20" s="9"/>
      <c r="GB20" s="9"/>
      <c r="GC20" s="9"/>
      <c r="GD20" s="9"/>
      <c r="GE20" s="9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9"/>
      <c r="GS20" s="8"/>
      <c r="GT20" s="9"/>
      <c r="GU20" s="9"/>
      <c r="GV20" s="9"/>
      <c r="GW20" s="9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9"/>
      <c r="HJ20" s="9"/>
      <c r="HK20" s="9"/>
      <c r="HL20" s="8"/>
      <c r="HM20" s="9"/>
      <c r="HN20" s="9"/>
      <c r="HO20" s="9"/>
      <c r="HP20" s="9"/>
      <c r="HQ20" s="9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9"/>
      <c r="IE20" s="9"/>
      <c r="IF20" s="9"/>
      <c r="IG20" s="9"/>
      <c r="IH20" s="9"/>
      <c r="II20" s="9"/>
      <c r="IJ20" s="9"/>
      <c r="IK20" s="9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9"/>
      <c r="IW20" s="8"/>
      <c r="IX20" s="8"/>
      <c r="IY20" s="9"/>
      <c r="IZ20" s="9"/>
      <c r="JA20" s="9"/>
      <c r="JB20" s="9"/>
      <c r="JC20" s="9"/>
      <c r="JD20" s="9"/>
      <c r="JE20" s="9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9"/>
      <c r="KM20" s="9"/>
      <c r="KN20" s="9"/>
      <c r="KO20" s="9"/>
      <c r="KP20" s="9"/>
      <c r="KQ20" s="9"/>
      <c r="KR20" s="9"/>
      <c r="KS20" s="8"/>
      <c r="KT20" s="9"/>
      <c r="KU20" s="9"/>
      <c r="KV20" s="9"/>
      <c r="KW20" s="9"/>
      <c r="KX20" s="9"/>
      <c r="KY20" s="9"/>
      <c r="KZ20" s="9"/>
      <c r="LA20" s="9"/>
      <c r="LB20" s="9"/>
    </row>
    <row r="21" spans="1:314" ht="15" customHeight="1" x14ac:dyDescent="0.25">
      <c r="A21" s="418">
        <v>549754600113</v>
      </c>
      <c r="B21" s="10">
        <f t="shared" si="0"/>
        <v>243</v>
      </c>
      <c r="C21" s="10">
        <v>0</v>
      </c>
      <c r="D21" s="10" t="b">
        <f t="shared" si="1"/>
        <v>0</v>
      </c>
      <c r="E21" s="10">
        <f t="shared" si="2"/>
        <v>-243</v>
      </c>
      <c r="F21" s="8">
        <v>20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>
        <v>8</v>
      </c>
      <c r="X21" s="8"/>
      <c r="Y21" s="8"/>
      <c r="Z21" s="8">
        <v>2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15</v>
      </c>
      <c r="AM21" s="8"/>
      <c r="AN21" s="9">
        <v>29</v>
      </c>
      <c r="AO21" s="9"/>
      <c r="AP21" s="9"/>
      <c r="AQ21" s="9"/>
      <c r="AR21" s="9"/>
      <c r="AS21" s="9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>
        <v>10</v>
      </c>
      <c r="BE21" s="8">
        <v>6</v>
      </c>
      <c r="BF21" s="65">
        <v>14</v>
      </c>
      <c r="BG21" s="8">
        <v>8</v>
      </c>
      <c r="BH21" s="8"/>
      <c r="BI21" s="65"/>
      <c r="BJ21" s="65"/>
      <c r="BK21" s="65"/>
      <c r="BL21" s="65"/>
      <c r="BM21" s="65"/>
      <c r="BN21" s="8">
        <v>2</v>
      </c>
      <c r="BO21" s="8"/>
      <c r="BP21" s="8"/>
      <c r="BQ21" s="8"/>
      <c r="BR21" s="8"/>
      <c r="BS21" s="8"/>
      <c r="BT21" s="8"/>
      <c r="BU21" s="8"/>
      <c r="BV21" s="8"/>
      <c r="BW21" s="8"/>
      <c r="BX21" s="8">
        <v>10</v>
      </c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>
        <v>10</v>
      </c>
      <c r="CJ21" s="8"/>
      <c r="CK21" s="8"/>
      <c r="CL21" s="8"/>
      <c r="CM21" s="8"/>
      <c r="CN21" s="8"/>
      <c r="CO21" s="8"/>
      <c r="CP21" s="8"/>
      <c r="CQ21" s="8"/>
      <c r="CR21" s="8">
        <v>3</v>
      </c>
      <c r="CS21" s="65"/>
      <c r="CT21" s="65"/>
      <c r="CU21" s="8"/>
      <c r="CV21" s="8"/>
      <c r="CW21" s="8"/>
      <c r="CX21" s="8"/>
      <c r="CY21" s="8"/>
      <c r="CZ21" s="8"/>
      <c r="DA21" s="8"/>
      <c r="DB21" s="8">
        <v>15</v>
      </c>
      <c r="DC21" s="8"/>
      <c r="DD21" s="8">
        <v>9</v>
      </c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>
        <v>15</v>
      </c>
      <c r="DX21" s="8"/>
      <c r="DY21" s="8">
        <v>18</v>
      </c>
      <c r="DZ21" s="8"/>
      <c r="EA21" s="8"/>
      <c r="EB21" s="8"/>
      <c r="EC21" s="8"/>
      <c r="ED21" s="8"/>
      <c r="EE21" s="8"/>
      <c r="EF21" s="8">
        <v>5</v>
      </c>
      <c r="EG21" s="8">
        <v>2</v>
      </c>
      <c r="EH21" s="8">
        <v>5</v>
      </c>
      <c r="EI21" s="8"/>
      <c r="EJ21" s="8"/>
      <c r="EK21" s="8"/>
      <c r="EL21" s="8"/>
      <c r="EM21" s="8"/>
      <c r="EN21" s="8"/>
      <c r="EO21" s="8"/>
      <c r="EP21" s="8"/>
      <c r="EQ21" s="8"/>
      <c r="ER21" s="8">
        <v>10</v>
      </c>
      <c r="ES21" s="8"/>
      <c r="ET21" s="8">
        <v>1</v>
      </c>
      <c r="EU21" s="8"/>
      <c r="EV21" s="8"/>
      <c r="EW21" s="8"/>
      <c r="EX21" s="8"/>
      <c r="EY21" s="8"/>
      <c r="EZ21" s="8">
        <v>2</v>
      </c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>
        <v>5</v>
      </c>
      <c r="FL21" s="8">
        <v>19</v>
      </c>
      <c r="FM21" s="8"/>
      <c r="FN21" s="8"/>
      <c r="FO21" s="8"/>
      <c r="FP21" s="8"/>
      <c r="FQ21" s="8"/>
      <c r="FR21" s="8"/>
      <c r="FS21" s="8"/>
      <c r="FT21" s="8"/>
      <c r="FU21" s="9"/>
      <c r="FV21" s="8"/>
      <c r="FW21" s="8"/>
      <c r="FX21" s="9"/>
      <c r="FY21" s="9"/>
      <c r="FZ21" s="9"/>
      <c r="GA21" s="9"/>
      <c r="GB21" s="9"/>
      <c r="GC21" s="9"/>
      <c r="GD21" s="9"/>
      <c r="GE21" s="9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9"/>
      <c r="GS21" s="8"/>
      <c r="GT21" s="9"/>
      <c r="GU21" s="9"/>
      <c r="GV21" s="9"/>
      <c r="GW21" s="9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9"/>
      <c r="HJ21" s="9"/>
      <c r="HK21" s="9"/>
      <c r="HL21" s="8"/>
      <c r="HM21" s="9"/>
      <c r="HN21" s="9"/>
      <c r="HO21" s="9"/>
      <c r="HP21" s="9"/>
      <c r="HQ21" s="9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9"/>
      <c r="IE21" s="9"/>
      <c r="IF21" s="9"/>
      <c r="IG21" s="9"/>
      <c r="IH21" s="9"/>
      <c r="II21" s="9"/>
      <c r="IJ21" s="9"/>
      <c r="IK21" s="9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9"/>
      <c r="IW21" s="8"/>
      <c r="IX21" s="8"/>
      <c r="IY21" s="9"/>
      <c r="IZ21" s="9"/>
      <c r="JA21" s="9"/>
      <c r="JB21" s="9"/>
      <c r="JC21" s="9"/>
      <c r="JD21" s="9"/>
      <c r="JE21" s="9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9"/>
      <c r="KM21" s="9"/>
      <c r="KN21" s="9"/>
      <c r="KO21" s="9"/>
      <c r="KP21" s="9"/>
      <c r="KQ21" s="9"/>
      <c r="KR21" s="9"/>
      <c r="KS21" s="8"/>
      <c r="KT21" s="9"/>
      <c r="KU21" s="9"/>
      <c r="KV21" s="9"/>
      <c r="KW21" s="9"/>
      <c r="KX21" s="9"/>
      <c r="KY21" s="9"/>
      <c r="KZ21" s="9"/>
      <c r="LA21" s="9"/>
      <c r="LB21" s="9"/>
    </row>
    <row r="22" spans="1:314" ht="15" customHeight="1" x14ac:dyDescent="0.25">
      <c r="A22" s="418">
        <v>549754600128</v>
      </c>
      <c r="B22" s="10">
        <f t="shared" si="0"/>
        <v>216</v>
      </c>
      <c r="C22" s="10">
        <v>0</v>
      </c>
      <c r="D22" s="10" t="b">
        <f t="shared" si="1"/>
        <v>0</v>
      </c>
      <c r="E22" s="10">
        <f t="shared" si="2"/>
        <v>-216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9"/>
      <c r="AO22" s="9"/>
      <c r="AP22" s="9"/>
      <c r="AQ22" s="9"/>
      <c r="AR22" s="9"/>
      <c r="AS22" s="9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65"/>
      <c r="BG22" s="8"/>
      <c r="BH22" s="8"/>
      <c r="BI22" s="65"/>
      <c r="BJ22" s="65"/>
      <c r="BK22" s="65"/>
      <c r="BL22" s="65"/>
      <c r="BM22" s="65"/>
      <c r="BN22" s="8">
        <v>3</v>
      </c>
      <c r="BO22" s="8">
        <v>10</v>
      </c>
      <c r="BP22" s="8"/>
      <c r="BQ22" s="8"/>
      <c r="BR22" s="8"/>
      <c r="BS22" s="8"/>
      <c r="BT22" s="8"/>
      <c r="BU22" s="8"/>
      <c r="BV22" s="8"/>
      <c r="BW22" s="8"/>
      <c r="BX22" s="8">
        <v>40</v>
      </c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>
        <v>5</v>
      </c>
      <c r="CK22" s="8"/>
      <c r="CL22" s="8"/>
      <c r="CM22" s="8"/>
      <c r="CN22" s="8"/>
      <c r="CO22" s="8"/>
      <c r="CP22" s="8"/>
      <c r="CQ22" s="8"/>
      <c r="CR22" s="8">
        <v>15</v>
      </c>
      <c r="CS22" s="65">
        <v>20</v>
      </c>
      <c r="CT22" s="65"/>
      <c r="CU22" s="8"/>
      <c r="CV22" s="8"/>
      <c r="CW22" s="8"/>
      <c r="CX22" s="8"/>
      <c r="CY22" s="8"/>
      <c r="CZ22" s="8"/>
      <c r="DA22" s="8"/>
      <c r="DB22" s="8">
        <v>6</v>
      </c>
      <c r="DC22" s="8">
        <v>30</v>
      </c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>
        <v>12</v>
      </c>
      <c r="EG22" s="8"/>
      <c r="EH22" s="8">
        <v>5</v>
      </c>
      <c r="EI22" s="8"/>
      <c r="EJ22" s="8"/>
      <c r="EK22" s="8"/>
      <c r="EL22" s="8"/>
      <c r="EM22" s="8"/>
      <c r="EN22" s="8"/>
      <c r="EO22" s="8"/>
      <c r="EP22" s="8"/>
      <c r="EQ22" s="8">
        <v>10</v>
      </c>
      <c r="ER22" s="8"/>
      <c r="ES22" s="8">
        <v>1</v>
      </c>
      <c r="ET22" s="8"/>
      <c r="EU22" s="8"/>
      <c r="EV22" s="8"/>
      <c r="EW22" s="8"/>
      <c r="EX22" s="8"/>
      <c r="EY22" s="8"/>
      <c r="EZ22" s="8">
        <v>12</v>
      </c>
      <c r="FA22" s="8">
        <v>1</v>
      </c>
      <c r="FB22" s="8"/>
      <c r="FC22" s="8">
        <v>15</v>
      </c>
      <c r="FD22" s="8"/>
      <c r="FE22" s="8"/>
      <c r="FF22" s="8"/>
      <c r="FG22" s="8"/>
      <c r="FH22" s="8"/>
      <c r="FI22" s="8"/>
      <c r="FJ22" s="8"/>
      <c r="FK22" s="8">
        <v>5</v>
      </c>
      <c r="FL22" s="8"/>
      <c r="FM22" s="8">
        <v>26</v>
      </c>
      <c r="FN22" s="8"/>
      <c r="FO22" s="8"/>
      <c r="FP22" s="8"/>
      <c r="FQ22" s="8"/>
      <c r="FR22" s="8"/>
      <c r="FS22" s="8"/>
      <c r="FT22" s="8"/>
      <c r="FU22" s="9"/>
      <c r="FV22" s="8"/>
      <c r="FW22" s="8"/>
      <c r="FX22" s="9"/>
      <c r="FY22" s="9"/>
      <c r="FZ22" s="9"/>
      <c r="GA22" s="9"/>
      <c r="GB22" s="9"/>
      <c r="GC22" s="9"/>
      <c r="GD22" s="9"/>
      <c r="GE22" s="9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9"/>
      <c r="GS22" s="8"/>
      <c r="GT22" s="9"/>
      <c r="GU22" s="9"/>
      <c r="GV22" s="9"/>
      <c r="GW22" s="9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9"/>
      <c r="HJ22" s="9"/>
      <c r="HK22" s="9"/>
      <c r="HL22" s="8"/>
      <c r="HM22" s="9"/>
      <c r="HN22" s="9"/>
      <c r="HO22" s="9"/>
      <c r="HP22" s="9"/>
      <c r="HQ22" s="9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9"/>
      <c r="IE22" s="9"/>
      <c r="IF22" s="9"/>
      <c r="IG22" s="9"/>
      <c r="IH22" s="9"/>
      <c r="II22" s="9"/>
      <c r="IJ22" s="9"/>
      <c r="IK22" s="9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9"/>
      <c r="IW22" s="8"/>
      <c r="IX22" s="8"/>
      <c r="IY22" s="9"/>
      <c r="IZ22" s="9"/>
      <c r="JA22" s="9"/>
      <c r="JB22" s="9"/>
      <c r="JC22" s="9"/>
      <c r="JD22" s="9"/>
      <c r="JE22" s="9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9"/>
      <c r="KM22" s="9"/>
      <c r="KN22" s="9"/>
      <c r="KO22" s="9"/>
      <c r="KP22" s="9"/>
      <c r="KQ22" s="9"/>
      <c r="KR22" s="9"/>
      <c r="KS22" s="8"/>
      <c r="KT22" s="9"/>
      <c r="KU22" s="9"/>
      <c r="KV22" s="9"/>
      <c r="KW22" s="9"/>
      <c r="KX22" s="9"/>
      <c r="KY22" s="9"/>
      <c r="KZ22" s="9"/>
      <c r="LA22" s="9"/>
      <c r="LB22" s="9"/>
    </row>
    <row r="23" spans="1:314" ht="15" customHeight="1" x14ac:dyDescent="0.25">
      <c r="A23" s="418">
        <v>549754600233</v>
      </c>
      <c r="B23" s="10">
        <f t="shared" si="0"/>
        <v>174</v>
      </c>
      <c r="C23" s="10">
        <v>0</v>
      </c>
      <c r="D23" s="10" t="b">
        <f t="shared" si="1"/>
        <v>0</v>
      </c>
      <c r="E23" s="10">
        <f t="shared" si="2"/>
        <v>-174</v>
      </c>
      <c r="F23" s="8">
        <v>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>
        <v>30</v>
      </c>
      <c r="AA23" s="8"/>
      <c r="AB23" s="8"/>
      <c r="AC23" s="8">
        <v>12</v>
      </c>
      <c r="AD23" s="8"/>
      <c r="AE23" s="8"/>
      <c r="AF23" s="8"/>
      <c r="AG23" s="8"/>
      <c r="AH23" s="8"/>
      <c r="AI23" s="8"/>
      <c r="AJ23" s="8">
        <v>13</v>
      </c>
      <c r="AK23" s="8">
        <v>2</v>
      </c>
      <c r="AL23" s="8"/>
      <c r="AM23" s="8">
        <v>2</v>
      </c>
      <c r="AN23" s="9"/>
      <c r="AO23" s="9"/>
      <c r="AP23" s="9"/>
      <c r="AQ23" s="9"/>
      <c r="AR23" s="9"/>
      <c r="AS23" s="9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>
        <v>8</v>
      </c>
      <c r="BE23" s="8"/>
      <c r="BF23" s="65"/>
      <c r="BG23" s="8"/>
      <c r="BH23" s="8"/>
      <c r="BI23" s="65"/>
      <c r="BJ23" s="65"/>
      <c r="BK23" s="65"/>
      <c r="BL23" s="65"/>
      <c r="BM23" s="65"/>
      <c r="BN23" s="8">
        <v>3</v>
      </c>
      <c r="BO23" s="8">
        <v>11</v>
      </c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>
        <v>8</v>
      </c>
      <c r="CL23" s="8"/>
      <c r="CM23" s="8"/>
      <c r="CN23" s="8"/>
      <c r="CO23" s="8"/>
      <c r="CP23" s="8"/>
      <c r="CQ23" s="8"/>
      <c r="CR23" s="8"/>
      <c r="CS23" s="65">
        <v>5</v>
      </c>
      <c r="CT23" s="65"/>
      <c r="CU23" s="8"/>
      <c r="CV23" s="8"/>
      <c r="CW23" s="8"/>
      <c r="CX23" s="8"/>
      <c r="CY23" s="8"/>
      <c r="CZ23" s="8"/>
      <c r="DA23" s="8"/>
      <c r="DB23" s="8">
        <v>6</v>
      </c>
      <c r="DC23" s="8">
        <v>5</v>
      </c>
      <c r="DD23" s="8">
        <v>3</v>
      </c>
      <c r="DE23" s="8"/>
      <c r="DF23" s="8"/>
      <c r="DG23" s="8"/>
      <c r="DH23" s="8"/>
      <c r="DI23" s="8"/>
      <c r="DJ23" s="8"/>
      <c r="DK23" s="8"/>
      <c r="DL23" s="8">
        <v>11</v>
      </c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>
        <v>8</v>
      </c>
      <c r="EA23" s="8"/>
      <c r="EB23" s="8"/>
      <c r="EC23" s="8"/>
      <c r="ED23" s="8"/>
      <c r="EE23" s="8"/>
      <c r="EF23" s="8">
        <v>4</v>
      </c>
      <c r="EG23" s="8"/>
      <c r="EH23" s="8"/>
      <c r="EI23" s="8"/>
      <c r="EJ23" s="8"/>
      <c r="EK23" s="8"/>
      <c r="EL23" s="8"/>
      <c r="EM23" s="8"/>
      <c r="EN23" s="8"/>
      <c r="EO23" s="8"/>
      <c r="EP23" s="8">
        <v>6</v>
      </c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>
        <v>5</v>
      </c>
      <c r="FB23" s="8"/>
      <c r="FC23" s="8">
        <v>20</v>
      </c>
      <c r="FD23" s="8"/>
      <c r="FE23" s="8"/>
      <c r="FF23" s="8"/>
      <c r="FG23" s="8"/>
      <c r="FH23" s="8"/>
      <c r="FI23" s="8"/>
      <c r="FJ23" s="8"/>
      <c r="FK23" s="8">
        <v>1</v>
      </c>
      <c r="FL23" s="8">
        <v>6</v>
      </c>
      <c r="FM23" s="8"/>
      <c r="FN23" s="8"/>
      <c r="FO23" s="8"/>
      <c r="FP23" s="8"/>
      <c r="FQ23" s="8"/>
      <c r="FR23" s="8"/>
      <c r="FS23" s="8"/>
      <c r="FT23" s="8"/>
      <c r="FU23" s="9"/>
      <c r="FV23" s="8"/>
      <c r="FW23" s="8"/>
      <c r="FX23" s="9"/>
      <c r="FY23" s="9"/>
      <c r="FZ23" s="9"/>
      <c r="GA23" s="9"/>
      <c r="GB23" s="9"/>
      <c r="GC23" s="9"/>
      <c r="GD23" s="9"/>
      <c r="GE23" s="9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9"/>
      <c r="GS23" s="8"/>
      <c r="GT23" s="9"/>
      <c r="GU23" s="9"/>
      <c r="GV23" s="9"/>
      <c r="GW23" s="9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9"/>
      <c r="HJ23" s="9"/>
      <c r="HK23" s="9"/>
      <c r="HL23" s="8"/>
      <c r="HM23" s="9"/>
      <c r="HN23" s="9"/>
      <c r="HO23" s="9"/>
      <c r="HP23" s="9"/>
      <c r="HQ23" s="9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9"/>
      <c r="IE23" s="9"/>
      <c r="IF23" s="9"/>
      <c r="IG23" s="9"/>
      <c r="IH23" s="9"/>
      <c r="II23" s="9"/>
      <c r="IJ23" s="9"/>
      <c r="IK23" s="9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9"/>
      <c r="IW23" s="8"/>
      <c r="IX23" s="8"/>
      <c r="IY23" s="9"/>
      <c r="IZ23" s="9"/>
      <c r="JA23" s="9"/>
      <c r="JB23" s="9"/>
      <c r="JC23" s="9"/>
      <c r="JD23" s="9"/>
      <c r="JE23" s="9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9"/>
      <c r="KM23" s="9"/>
      <c r="KN23" s="9"/>
      <c r="KO23" s="9"/>
      <c r="KP23" s="9"/>
      <c r="KQ23" s="9"/>
      <c r="KR23" s="9"/>
      <c r="KS23" s="8"/>
      <c r="KT23" s="9"/>
      <c r="KU23" s="9"/>
      <c r="KV23" s="9"/>
      <c r="KW23" s="9"/>
      <c r="KX23" s="9"/>
      <c r="KY23" s="9"/>
      <c r="KZ23" s="9"/>
      <c r="LA23" s="9"/>
      <c r="LB23" s="9"/>
    </row>
    <row r="24" spans="1:314" ht="15" customHeight="1" x14ac:dyDescent="0.25">
      <c r="A24" s="414">
        <v>549754600119</v>
      </c>
      <c r="B24" s="10">
        <f t="shared" si="0"/>
        <v>67</v>
      </c>
      <c r="C24" s="10">
        <v>0</v>
      </c>
      <c r="D24" s="10" t="b">
        <f t="shared" si="1"/>
        <v>0</v>
      </c>
      <c r="E24" s="10">
        <f t="shared" si="2"/>
        <v>-67</v>
      </c>
      <c r="F24" s="8">
        <v>5</v>
      </c>
      <c r="G24" s="8">
        <v>20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>
        <v>9</v>
      </c>
      <c r="W24" s="8"/>
      <c r="X24" s="8"/>
      <c r="Y24" s="8"/>
      <c r="Z24" s="8"/>
      <c r="AA24" s="8"/>
      <c r="AB24" s="8">
        <v>1</v>
      </c>
      <c r="AC24" s="8">
        <v>4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9"/>
      <c r="AO24" s="9"/>
      <c r="AP24" s="9"/>
      <c r="AQ24" s="9"/>
      <c r="AR24" s="9"/>
      <c r="AS24" s="9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65"/>
      <c r="BG24" s="8"/>
      <c r="BH24" s="8"/>
      <c r="BI24" s="65"/>
      <c r="BJ24" s="65"/>
      <c r="BK24" s="65"/>
      <c r="BL24" s="65"/>
      <c r="BM24" s="65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>
        <v>5</v>
      </c>
      <c r="BZ24" s="8"/>
      <c r="CA24" s="8"/>
      <c r="CB24" s="8"/>
      <c r="CC24" s="8"/>
      <c r="CD24" s="8"/>
      <c r="CE24" s="8"/>
      <c r="CF24" s="8"/>
      <c r="CG24" s="8"/>
      <c r="CH24" s="8">
        <v>10</v>
      </c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65"/>
      <c r="CT24" s="65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>
        <v>1</v>
      </c>
      <c r="EU24" s="8"/>
      <c r="EV24" s="8"/>
      <c r="EW24" s="8"/>
      <c r="EX24" s="8"/>
      <c r="EY24" s="8"/>
      <c r="EZ24" s="8"/>
      <c r="FA24" s="8">
        <v>10</v>
      </c>
      <c r="FB24" s="8"/>
      <c r="FC24" s="8"/>
      <c r="FD24" s="8"/>
      <c r="FE24" s="8"/>
      <c r="FF24" s="8"/>
      <c r="FG24" s="8"/>
      <c r="FH24" s="8"/>
      <c r="FI24" s="8"/>
      <c r="FJ24" s="8"/>
      <c r="FK24" s="8">
        <v>2</v>
      </c>
      <c r="FL24" s="8"/>
      <c r="FM24" s="8"/>
      <c r="FN24" s="8"/>
      <c r="FO24" s="8"/>
      <c r="FP24" s="8"/>
      <c r="FQ24" s="8"/>
      <c r="FR24" s="8"/>
      <c r="FS24" s="8"/>
      <c r="FT24" s="8"/>
      <c r="FU24" s="9"/>
      <c r="FV24" s="8"/>
      <c r="FW24" s="8"/>
      <c r="FX24" s="9"/>
      <c r="FY24" s="9"/>
      <c r="FZ24" s="9"/>
      <c r="GA24" s="9"/>
      <c r="GB24" s="9"/>
      <c r="GC24" s="9"/>
      <c r="GD24" s="9"/>
      <c r="GE24" s="9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9"/>
      <c r="GS24" s="8"/>
      <c r="GT24" s="9"/>
      <c r="GU24" s="9"/>
      <c r="GV24" s="9"/>
      <c r="GW24" s="9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9"/>
      <c r="HJ24" s="9"/>
      <c r="HK24" s="9"/>
      <c r="HL24" s="8"/>
      <c r="HM24" s="9"/>
      <c r="HN24" s="9"/>
      <c r="HO24" s="9"/>
      <c r="HP24" s="9"/>
      <c r="HQ24" s="9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9"/>
      <c r="IE24" s="9"/>
      <c r="IF24" s="9"/>
      <c r="IG24" s="9"/>
      <c r="IH24" s="9"/>
      <c r="II24" s="9"/>
      <c r="IJ24" s="9"/>
      <c r="IK24" s="9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9"/>
      <c r="IW24" s="8"/>
      <c r="IX24" s="8"/>
      <c r="IY24" s="9"/>
      <c r="IZ24" s="9"/>
      <c r="JA24" s="9"/>
      <c r="JB24" s="9"/>
      <c r="JC24" s="9"/>
      <c r="JD24" s="9"/>
      <c r="JE24" s="9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9"/>
      <c r="KM24" s="9"/>
      <c r="KN24" s="9"/>
      <c r="KO24" s="9"/>
      <c r="KP24" s="9"/>
      <c r="KQ24" s="9"/>
      <c r="KR24" s="9"/>
      <c r="KS24" s="8"/>
      <c r="KT24" s="9"/>
      <c r="KU24" s="9"/>
      <c r="KV24" s="9"/>
      <c r="KW24" s="9"/>
      <c r="KX24" s="9"/>
      <c r="KY24" s="9"/>
      <c r="KZ24" s="9"/>
      <c r="LA24" s="9"/>
      <c r="LB24" s="9"/>
    </row>
    <row r="25" spans="1:314" ht="15" customHeight="1" x14ac:dyDescent="0.25">
      <c r="A25" s="414">
        <v>549754600120</v>
      </c>
      <c r="B25" s="10">
        <f t="shared" si="0"/>
        <v>101</v>
      </c>
      <c r="C25" s="10">
        <v>0</v>
      </c>
      <c r="D25" s="10" t="b">
        <f t="shared" si="1"/>
        <v>0</v>
      </c>
      <c r="E25" s="10">
        <f t="shared" si="2"/>
        <v>-101</v>
      </c>
      <c r="F25" s="8">
        <v>20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9"/>
      <c r="AO25" s="9"/>
      <c r="AP25" s="9"/>
      <c r="AQ25" s="9"/>
      <c r="AR25" s="9"/>
      <c r="AS25" s="9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65"/>
      <c r="BG25" s="8"/>
      <c r="BH25" s="8"/>
      <c r="BI25" s="65"/>
      <c r="BJ25" s="65"/>
      <c r="BK25" s="65"/>
      <c r="BL25" s="65"/>
      <c r="BM25" s="65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>
        <v>10</v>
      </c>
      <c r="BZ25" s="8"/>
      <c r="CA25" s="8"/>
      <c r="CB25" s="8"/>
      <c r="CC25" s="8"/>
      <c r="CD25" s="8"/>
      <c r="CE25" s="8"/>
      <c r="CF25" s="8"/>
      <c r="CG25" s="8"/>
      <c r="CH25" s="8">
        <v>25</v>
      </c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65"/>
      <c r="CT25" s="65"/>
      <c r="CU25" s="8"/>
      <c r="CV25" s="8"/>
      <c r="CW25" s="8"/>
      <c r="CX25" s="8"/>
      <c r="CY25" s="8"/>
      <c r="CZ25" s="8"/>
      <c r="DA25" s="8"/>
      <c r="DB25" s="8">
        <v>7</v>
      </c>
      <c r="DC25" s="8">
        <v>5</v>
      </c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>
        <v>1</v>
      </c>
      <c r="EG25" s="8"/>
      <c r="EH25" s="8">
        <v>5</v>
      </c>
      <c r="EI25" s="8"/>
      <c r="EJ25" s="8"/>
      <c r="EK25" s="8"/>
      <c r="EL25" s="8"/>
      <c r="EM25" s="8"/>
      <c r="EN25" s="8"/>
      <c r="EO25" s="8"/>
      <c r="EP25" s="8">
        <v>14</v>
      </c>
      <c r="EQ25" s="8">
        <v>9</v>
      </c>
      <c r="ER25" s="8"/>
      <c r="ES25" s="8"/>
      <c r="ET25" s="8"/>
      <c r="EU25" s="8"/>
      <c r="EV25" s="8"/>
      <c r="EW25" s="8"/>
      <c r="EX25" s="8"/>
      <c r="EY25" s="8"/>
      <c r="EZ25" s="8"/>
      <c r="FA25" s="8">
        <v>2</v>
      </c>
      <c r="FB25" s="8"/>
      <c r="FC25" s="8">
        <v>3</v>
      </c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9"/>
      <c r="FV25" s="8"/>
      <c r="FW25" s="8"/>
      <c r="FX25" s="9"/>
      <c r="FY25" s="9"/>
      <c r="FZ25" s="9"/>
      <c r="GA25" s="9"/>
      <c r="GB25" s="9"/>
      <c r="GC25" s="9"/>
      <c r="GD25" s="9"/>
      <c r="GE25" s="9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9"/>
      <c r="GS25" s="8"/>
      <c r="GT25" s="9"/>
      <c r="GU25" s="9"/>
      <c r="GV25" s="9"/>
      <c r="GW25" s="9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9"/>
      <c r="HJ25" s="9"/>
      <c r="HK25" s="9"/>
      <c r="HL25" s="8"/>
      <c r="HM25" s="9"/>
      <c r="HN25" s="9"/>
      <c r="HO25" s="9"/>
      <c r="HP25" s="9"/>
      <c r="HQ25" s="9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9"/>
      <c r="IE25" s="9"/>
      <c r="IF25" s="9"/>
      <c r="IG25" s="9"/>
      <c r="IH25" s="9"/>
      <c r="II25" s="9"/>
      <c r="IJ25" s="9"/>
      <c r="IK25" s="9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9"/>
      <c r="IW25" s="8"/>
      <c r="IX25" s="8"/>
      <c r="IY25" s="9"/>
      <c r="IZ25" s="9"/>
      <c r="JA25" s="9"/>
      <c r="JB25" s="9"/>
      <c r="JC25" s="9"/>
      <c r="JD25" s="9"/>
      <c r="JE25" s="9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9"/>
      <c r="KM25" s="9"/>
      <c r="KN25" s="9"/>
      <c r="KO25" s="9"/>
      <c r="KP25" s="9"/>
      <c r="KQ25" s="9"/>
      <c r="KR25" s="9"/>
      <c r="KS25" s="8"/>
      <c r="KT25" s="9"/>
      <c r="KU25" s="9"/>
      <c r="KV25" s="9"/>
      <c r="KW25" s="9"/>
      <c r="KX25" s="9"/>
      <c r="KY25" s="9"/>
      <c r="KZ25" s="9"/>
      <c r="LA25" s="9"/>
      <c r="LB25" s="9"/>
    </row>
    <row r="26" spans="1:314" ht="15" customHeight="1" x14ac:dyDescent="0.25">
      <c r="A26" s="414">
        <v>549754600186</v>
      </c>
      <c r="B26" s="10">
        <f t="shared" si="0"/>
        <v>116</v>
      </c>
      <c r="C26" s="10">
        <v>0</v>
      </c>
      <c r="D26" s="10" t="b">
        <f t="shared" si="1"/>
        <v>0</v>
      </c>
      <c r="E26" s="10">
        <f t="shared" si="2"/>
        <v>-116</v>
      </c>
      <c r="F26" s="8">
        <v>15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>
        <v>11</v>
      </c>
      <c r="X26" s="8"/>
      <c r="Y26" s="8"/>
      <c r="Z26" s="8">
        <v>10</v>
      </c>
      <c r="AA26" s="8"/>
      <c r="AB26" s="8"/>
      <c r="AC26" s="8">
        <v>13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9"/>
      <c r="AO26" s="9"/>
      <c r="AP26" s="9"/>
      <c r="AQ26" s="9"/>
      <c r="AR26" s="9"/>
      <c r="AS26" s="9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65"/>
      <c r="BG26" s="8"/>
      <c r="BH26" s="8"/>
      <c r="BI26" s="65"/>
      <c r="BJ26" s="65"/>
      <c r="BK26" s="65"/>
      <c r="BL26" s="65"/>
      <c r="BM26" s="65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65"/>
      <c r="CT26" s="65"/>
      <c r="CU26" s="8"/>
      <c r="CV26" s="116"/>
      <c r="CW26" s="8"/>
      <c r="CX26" s="8"/>
      <c r="CY26" s="8"/>
      <c r="CZ26" s="8"/>
      <c r="DA26" s="8"/>
      <c r="DB26" s="8">
        <v>10</v>
      </c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>
        <v>22</v>
      </c>
      <c r="DY26" s="8"/>
      <c r="DZ26" s="8">
        <v>7</v>
      </c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>
        <v>8</v>
      </c>
      <c r="FA26" s="8"/>
      <c r="FB26" s="8"/>
      <c r="FC26" s="8">
        <v>20</v>
      </c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9"/>
      <c r="FV26" s="8"/>
      <c r="FW26" s="8"/>
      <c r="FX26" s="9"/>
      <c r="FY26" s="9"/>
      <c r="FZ26" s="9"/>
      <c r="GA26" s="9"/>
      <c r="GB26" s="9"/>
      <c r="GC26" s="9"/>
      <c r="GD26" s="9"/>
      <c r="GE26" s="9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9"/>
      <c r="GS26" s="8"/>
      <c r="GT26" s="9"/>
      <c r="GU26" s="9"/>
      <c r="GV26" s="9"/>
      <c r="GW26" s="9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9"/>
      <c r="HJ26" s="9"/>
      <c r="HK26" s="9"/>
      <c r="HL26" s="8"/>
      <c r="HM26" s="9"/>
      <c r="HN26" s="9"/>
      <c r="HO26" s="9"/>
      <c r="HP26" s="9"/>
      <c r="HQ26" s="9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9"/>
      <c r="IE26" s="9"/>
      <c r="IF26" s="9"/>
      <c r="IG26" s="9"/>
      <c r="IH26" s="9"/>
      <c r="II26" s="9"/>
      <c r="IJ26" s="9"/>
      <c r="IK26" s="9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9"/>
      <c r="IW26" s="8"/>
      <c r="IX26" s="8"/>
      <c r="IY26" s="9"/>
      <c r="IZ26" s="9"/>
      <c r="JA26" s="9"/>
      <c r="JB26" s="9"/>
      <c r="JC26" s="9"/>
      <c r="JD26" s="9"/>
      <c r="JE26" s="9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9"/>
      <c r="KM26" s="9"/>
      <c r="KN26" s="9"/>
      <c r="KO26" s="9"/>
      <c r="KP26" s="9"/>
      <c r="KQ26" s="9"/>
      <c r="KR26" s="9"/>
      <c r="KS26" s="8"/>
      <c r="KT26" s="9"/>
      <c r="KU26" s="9"/>
      <c r="KV26" s="9"/>
      <c r="KW26" s="9"/>
      <c r="KX26" s="9"/>
      <c r="KY26" s="9"/>
      <c r="KZ26" s="9"/>
      <c r="LA26" s="9"/>
      <c r="LB26" s="9"/>
    </row>
    <row r="27" spans="1:314" ht="15" customHeight="1" x14ac:dyDescent="0.25">
      <c r="A27" s="443">
        <v>549754600188</v>
      </c>
      <c r="B27" s="10">
        <f t="shared" si="0"/>
        <v>97</v>
      </c>
      <c r="C27" s="10">
        <v>0</v>
      </c>
      <c r="D27" s="10" t="b">
        <f t="shared" si="1"/>
        <v>0</v>
      </c>
      <c r="E27" s="10">
        <f t="shared" si="2"/>
        <v>-97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v>7</v>
      </c>
      <c r="Q27" s="8"/>
      <c r="R27" s="8"/>
      <c r="S27" s="8"/>
      <c r="T27" s="8">
        <v>20</v>
      </c>
      <c r="U27" s="8">
        <v>5</v>
      </c>
      <c r="V27" s="8"/>
      <c r="W27" s="8"/>
      <c r="X27" s="8"/>
      <c r="Y27" s="8"/>
      <c r="Z27" s="8">
        <v>6</v>
      </c>
      <c r="AA27" s="8"/>
      <c r="AB27" s="8">
        <v>20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9"/>
      <c r="AO27" s="9"/>
      <c r="AP27" s="9"/>
      <c r="AQ27" s="9"/>
      <c r="AR27" s="9"/>
      <c r="AS27" s="9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65"/>
      <c r="BG27" s="8"/>
      <c r="BH27" s="8"/>
      <c r="BI27" s="65"/>
      <c r="BJ27" s="65"/>
      <c r="BK27" s="65"/>
      <c r="BL27" s="65"/>
      <c r="BM27" s="65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>
        <v>15</v>
      </c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65"/>
      <c r="CT27" s="65"/>
      <c r="CU27" s="8"/>
      <c r="CV27" s="143"/>
      <c r="CW27" s="8"/>
      <c r="CX27" s="8"/>
      <c r="CY27" s="8"/>
      <c r="CZ27" s="8"/>
      <c r="DA27" s="8"/>
      <c r="DB27" s="8"/>
      <c r="DC27" s="8"/>
      <c r="DD27" s="8"/>
      <c r="DE27" s="65"/>
      <c r="DF27" s="65"/>
      <c r="DG27" s="65"/>
      <c r="DH27" s="65"/>
      <c r="DI27" s="65"/>
      <c r="DJ27" s="65"/>
      <c r="DK27" s="65"/>
      <c r="DL27" s="8"/>
      <c r="DM27" s="65"/>
      <c r="DN27" s="65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>
        <v>4</v>
      </c>
      <c r="EQ27" s="8">
        <v>10</v>
      </c>
      <c r="ER27" s="8"/>
      <c r="ES27" s="8">
        <v>10</v>
      </c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9"/>
      <c r="FV27" s="8"/>
      <c r="FW27" s="8"/>
      <c r="FX27" s="9"/>
      <c r="FY27" s="9"/>
      <c r="FZ27" s="9"/>
      <c r="GA27" s="9"/>
      <c r="GB27" s="9"/>
      <c r="GC27" s="9"/>
      <c r="GD27" s="9"/>
      <c r="GE27" s="9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9"/>
      <c r="GS27" s="8"/>
      <c r="GT27" s="9"/>
      <c r="GU27" s="9"/>
      <c r="GV27" s="9"/>
      <c r="GW27" s="9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9"/>
      <c r="HJ27" s="9"/>
      <c r="HK27" s="9"/>
      <c r="HL27" s="8"/>
      <c r="HM27" s="9"/>
      <c r="HN27" s="9"/>
      <c r="HO27" s="9"/>
      <c r="HP27" s="9"/>
      <c r="HQ27" s="9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9"/>
      <c r="IE27" s="9"/>
      <c r="IF27" s="9"/>
      <c r="IG27" s="9"/>
      <c r="IH27" s="9"/>
      <c r="II27" s="9"/>
      <c r="IJ27" s="9"/>
      <c r="IK27" s="9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9"/>
      <c r="IW27" s="8"/>
      <c r="IX27" s="8"/>
      <c r="IY27" s="9"/>
      <c r="IZ27" s="9"/>
      <c r="JA27" s="9"/>
      <c r="JB27" s="9"/>
      <c r="JC27" s="9"/>
      <c r="JD27" s="9"/>
      <c r="JE27" s="9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169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9"/>
      <c r="KM27" s="9"/>
      <c r="KN27" s="9"/>
      <c r="KO27" s="9"/>
      <c r="KP27" s="9"/>
      <c r="KQ27" s="9"/>
      <c r="KR27" s="9"/>
      <c r="KS27" s="8"/>
      <c r="KT27" s="9"/>
      <c r="KU27" s="9"/>
      <c r="KV27" s="9"/>
      <c r="KW27" s="9"/>
      <c r="KX27" s="9"/>
      <c r="KY27" s="9"/>
      <c r="KZ27" s="9"/>
      <c r="LA27" s="9"/>
      <c r="LB27" s="9"/>
    </row>
    <row r="28" spans="1:314" ht="15" customHeight="1" x14ac:dyDescent="0.25">
      <c r="A28" s="414">
        <v>549754600189</v>
      </c>
      <c r="B28" s="10">
        <f t="shared" si="0"/>
        <v>171</v>
      </c>
      <c r="C28" s="10">
        <v>0</v>
      </c>
      <c r="D28" s="10" t="b">
        <f t="shared" si="1"/>
        <v>0</v>
      </c>
      <c r="E28" s="10">
        <f t="shared" si="2"/>
        <v>-171</v>
      </c>
      <c r="F28" s="8">
        <v>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>
        <v>10</v>
      </c>
      <c r="U28" s="8">
        <v>10</v>
      </c>
      <c r="V28" s="8">
        <v>9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9"/>
      <c r="AO28" s="9"/>
      <c r="AP28" s="9"/>
      <c r="AQ28" s="9"/>
      <c r="AR28" s="9"/>
      <c r="AS28" s="9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65"/>
      <c r="BG28" s="8">
        <v>3</v>
      </c>
      <c r="BH28" s="8"/>
      <c r="BI28" s="65"/>
      <c r="BJ28" s="65"/>
      <c r="BK28" s="65"/>
      <c r="BL28" s="65"/>
      <c r="BM28" s="65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>
        <v>20</v>
      </c>
      <c r="BZ28" s="8"/>
      <c r="CA28" s="8"/>
      <c r="CB28" s="8"/>
      <c r="CC28" s="8"/>
      <c r="CD28" s="8"/>
      <c r="CE28" s="8"/>
      <c r="CF28" s="8"/>
      <c r="CG28" s="8"/>
      <c r="CH28" s="8">
        <v>35</v>
      </c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65"/>
      <c r="CT28" s="65"/>
      <c r="CU28" s="8"/>
      <c r="CV28" s="143"/>
      <c r="CW28" s="8"/>
      <c r="CX28" s="8"/>
      <c r="CY28" s="8"/>
      <c r="CZ28" s="8"/>
      <c r="DA28" s="8"/>
      <c r="DB28" s="8">
        <v>2</v>
      </c>
      <c r="DC28" s="8"/>
      <c r="DD28" s="8">
        <v>22</v>
      </c>
      <c r="DE28" s="8"/>
      <c r="DF28" s="8"/>
      <c r="DG28" s="8"/>
      <c r="DH28" s="8"/>
      <c r="DI28" s="8"/>
      <c r="DJ28" s="8"/>
      <c r="DK28" s="8"/>
      <c r="DL28" s="8">
        <v>1</v>
      </c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>
        <v>23</v>
      </c>
      <c r="EG28" s="8"/>
      <c r="EH28" s="8">
        <v>5</v>
      </c>
      <c r="EI28" s="8"/>
      <c r="EJ28" s="8"/>
      <c r="EK28" s="8"/>
      <c r="EL28" s="8"/>
      <c r="EM28" s="8"/>
      <c r="EN28" s="8"/>
      <c r="EO28" s="8"/>
      <c r="EP28" s="8">
        <v>4</v>
      </c>
      <c r="EQ28" s="8"/>
      <c r="ER28" s="8"/>
      <c r="ES28" s="8"/>
      <c r="ET28" s="8">
        <v>13</v>
      </c>
      <c r="EU28" s="8"/>
      <c r="EV28" s="8"/>
      <c r="EW28" s="8"/>
      <c r="EX28" s="8"/>
      <c r="EY28" s="8"/>
      <c r="EZ28" s="8">
        <v>4</v>
      </c>
      <c r="FA28" s="8"/>
      <c r="FB28" s="8">
        <v>2</v>
      </c>
      <c r="FC28" s="8">
        <v>5</v>
      </c>
      <c r="FD28" s="8"/>
      <c r="FE28" s="8"/>
      <c r="FF28" s="8"/>
      <c r="FG28" s="8"/>
      <c r="FH28" s="8"/>
      <c r="FI28" s="8"/>
      <c r="FJ28" s="8"/>
      <c r="FK28" s="8">
        <v>1</v>
      </c>
      <c r="FL28" s="8"/>
      <c r="FM28" s="8"/>
      <c r="FN28" s="8"/>
      <c r="FO28" s="8"/>
      <c r="FP28" s="8"/>
      <c r="FQ28" s="8"/>
      <c r="FR28" s="8"/>
      <c r="FS28" s="8"/>
      <c r="FT28" s="8"/>
      <c r="FU28" s="9"/>
      <c r="FV28" s="8"/>
      <c r="FW28" s="8"/>
      <c r="FX28" s="9"/>
      <c r="FY28" s="9"/>
      <c r="FZ28" s="9"/>
      <c r="GA28" s="9"/>
      <c r="GB28" s="9"/>
      <c r="GC28" s="9"/>
      <c r="GD28" s="9"/>
      <c r="GE28" s="9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9"/>
      <c r="GS28" s="8"/>
      <c r="GT28" s="9"/>
      <c r="GU28" s="9"/>
      <c r="GV28" s="9"/>
      <c r="GW28" s="9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9"/>
      <c r="HJ28" s="9"/>
      <c r="HK28" s="9"/>
      <c r="HL28" s="8"/>
      <c r="HM28" s="9"/>
      <c r="HN28" s="9"/>
      <c r="HO28" s="9"/>
      <c r="HP28" s="9"/>
      <c r="HQ28" s="9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9"/>
      <c r="IE28" s="9"/>
      <c r="IF28" s="9"/>
      <c r="IG28" s="9"/>
      <c r="IH28" s="9"/>
      <c r="II28" s="9"/>
      <c r="IJ28" s="9"/>
      <c r="IK28" s="9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9"/>
      <c r="IW28" s="8"/>
      <c r="IX28" s="8"/>
      <c r="IY28" s="9"/>
      <c r="IZ28" s="9"/>
      <c r="JA28" s="9"/>
      <c r="JB28" s="9"/>
      <c r="JC28" s="9"/>
      <c r="JD28" s="9"/>
      <c r="JE28" s="9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9"/>
      <c r="KM28" s="9"/>
      <c r="KN28" s="9"/>
      <c r="KO28" s="9"/>
      <c r="KP28" s="9"/>
      <c r="KQ28" s="9"/>
      <c r="KR28" s="9"/>
      <c r="KS28" s="8"/>
      <c r="KT28" s="9"/>
      <c r="KU28" s="9"/>
      <c r="KV28" s="9"/>
      <c r="KW28" s="9"/>
      <c r="KX28" s="9"/>
      <c r="KY28" s="9"/>
      <c r="KZ28" s="9"/>
      <c r="LA28" s="9"/>
      <c r="LB28" s="9"/>
    </row>
    <row r="29" spans="1:314" ht="15" customHeight="1" x14ac:dyDescent="0.25">
      <c r="A29" s="416">
        <v>549754610173</v>
      </c>
      <c r="B29" s="10">
        <f t="shared" si="0"/>
        <v>10</v>
      </c>
      <c r="C29" s="10">
        <v>0</v>
      </c>
      <c r="D29" s="10" t="b">
        <f t="shared" si="1"/>
        <v>0</v>
      </c>
      <c r="E29" s="10">
        <f t="shared" si="2"/>
        <v>-10</v>
      </c>
      <c r="F29" s="8">
        <v>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9"/>
      <c r="AO29" s="9"/>
      <c r="AP29" s="9"/>
      <c r="AQ29" s="9"/>
      <c r="AR29" s="9"/>
      <c r="AS29" s="9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65"/>
      <c r="BG29" s="8"/>
      <c r="BH29" s="8"/>
      <c r="BI29" s="65"/>
      <c r="BJ29" s="65"/>
      <c r="BK29" s="65"/>
      <c r="BL29" s="65"/>
      <c r="BM29" s="65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65"/>
      <c r="CT29" s="65"/>
      <c r="CU29" s="8"/>
      <c r="CV29" s="143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>
        <v>2</v>
      </c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>
        <v>2</v>
      </c>
      <c r="FB29" s="8"/>
      <c r="FC29" s="8">
        <v>5</v>
      </c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9"/>
      <c r="FV29" s="8"/>
      <c r="FW29" s="8"/>
      <c r="FX29" s="9"/>
      <c r="FY29" s="9"/>
      <c r="FZ29" s="9"/>
      <c r="GA29" s="9"/>
      <c r="GB29" s="9"/>
      <c r="GC29" s="9"/>
      <c r="GD29" s="9"/>
      <c r="GE29" s="9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9"/>
      <c r="GS29" s="8"/>
      <c r="GT29" s="9"/>
      <c r="GU29" s="9"/>
      <c r="GV29" s="9"/>
      <c r="GW29" s="9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9"/>
      <c r="HJ29" s="9"/>
      <c r="HK29" s="9"/>
      <c r="HL29" s="8"/>
      <c r="HM29" s="9"/>
      <c r="HN29" s="9"/>
      <c r="HO29" s="9"/>
      <c r="HP29" s="9"/>
      <c r="HQ29" s="9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9"/>
      <c r="IE29" s="9"/>
      <c r="IF29" s="9"/>
      <c r="IG29" s="9"/>
      <c r="IH29" s="9"/>
      <c r="II29" s="9"/>
      <c r="IJ29" s="9"/>
      <c r="IK29" s="9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9"/>
      <c r="IW29" s="8"/>
      <c r="IX29" s="8"/>
      <c r="IY29" s="9"/>
      <c r="IZ29" s="9"/>
      <c r="JA29" s="9"/>
      <c r="JB29" s="9"/>
      <c r="JC29" s="9"/>
      <c r="JD29" s="9"/>
      <c r="JE29" s="9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9"/>
      <c r="KM29" s="9"/>
      <c r="KN29" s="9"/>
      <c r="KO29" s="9"/>
      <c r="KP29" s="9"/>
      <c r="KQ29" s="9"/>
      <c r="KR29" s="9"/>
      <c r="KS29" s="8"/>
      <c r="KT29" s="9"/>
      <c r="KU29" s="9"/>
      <c r="KV29" s="9"/>
      <c r="KW29" s="9"/>
      <c r="KX29" s="9"/>
      <c r="KY29" s="9"/>
      <c r="KZ29" s="9"/>
      <c r="LA29" s="9"/>
      <c r="LB29" s="9"/>
    </row>
    <row r="30" spans="1:314" ht="15" customHeight="1" x14ac:dyDescent="0.25">
      <c r="A30" s="416">
        <v>549754610188</v>
      </c>
      <c r="B30" s="10">
        <f t="shared" si="0"/>
        <v>156</v>
      </c>
      <c r="C30" s="10">
        <v>0</v>
      </c>
      <c r="D30" s="10" t="b">
        <f t="shared" si="1"/>
        <v>0</v>
      </c>
      <c r="E30" s="10">
        <f t="shared" si="2"/>
        <v>-156</v>
      </c>
      <c r="F30" s="8"/>
      <c r="G30" s="8">
        <v>14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5</v>
      </c>
      <c r="V30" s="8"/>
      <c r="W30" s="8">
        <v>5</v>
      </c>
      <c r="X30" s="8"/>
      <c r="Y30" s="8"/>
      <c r="Z30" s="8">
        <v>11</v>
      </c>
      <c r="AA30" s="8"/>
      <c r="AB30" s="8"/>
      <c r="AC30" s="8"/>
      <c r="AD30" s="8">
        <v>8</v>
      </c>
      <c r="AE30" s="8"/>
      <c r="AF30" s="8"/>
      <c r="AG30" s="8"/>
      <c r="AH30" s="8"/>
      <c r="AI30" s="8"/>
      <c r="AJ30" s="8">
        <v>7</v>
      </c>
      <c r="AK30" s="8">
        <v>2</v>
      </c>
      <c r="AL30" s="8"/>
      <c r="AM30" s="8"/>
      <c r="AN30" s="9"/>
      <c r="AO30" s="9"/>
      <c r="AP30" s="9"/>
      <c r="AQ30" s="9"/>
      <c r="AR30" s="9"/>
      <c r="AS30" s="9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65">
        <v>10</v>
      </c>
      <c r="BG30" s="8"/>
      <c r="BH30" s="8"/>
      <c r="BI30" s="65"/>
      <c r="BJ30" s="65"/>
      <c r="BK30" s="65"/>
      <c r="BL30" s="65"/>
      <c r="BM30" s="65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65">
        <v>4</v>
      </c>
      <c r="CT30" s="65"/>
      <c r="CU30" s="8"/>
      <c r="CV30" s="143"/>
      <c r="CW30" s="8"/>
      <c r="CX30" s="8"/>
      <c r="CY30" s="8"/>
      <c r="CZ30" s="8"/>
      <c r="DA30" s="8"/>
      <c r="DB30" s="8">
        <v>15</v>
      </c>
      <c r="DC30" s="8"/>
      <c r="DD30" s="8"/>
      <c r="DE30" s="8"/>
      <c r="DF30" s="8"/>
      <c r="DG30" s="8"/>
      <c r="DH30" s="8"/>
      <c r="DI30" s="8"/>
      <c r="DJ30" s="8"/>
      <c r="DK30" s="8"/>
      <c r="DL30" s="8">
        <v>12</v>
      </c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>
        <v>21</v>
      </c>
      <c r="DX30" s="8"/>
      <c r="DY30" s="8">
        <v>2</v>
      </c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>
        <v>9</v>
      </c>
      <c r="EQ30" s="8"/>
      <c r="ER30" s="8"/>
      <c r="ES30" s="8">
        <v>9</v>
      </c>
      <c r="ET30" s="8"/>
      <c r="EU30" s="8"/>
      <c r="EV30" s="8"/>
      <c r="EW30" s="8"/>
      <c r="EX30" s="8"/>
      <c r="EY30" s="8"/>
      <c r="EZ30" s="8">
        <v>6</v>
      </c>
      <c r="FA30" s="8">
        <v>2</v>
      </c>
      <c r="FB30" s="8"/>
      <c r="FC30" s="8">
        <v>10</v>
      </c>
      <c r="FD30" s="8"/>
      <c r="FE30" s="8"/>
      <c r="FF30" s="8"/>
      <c r="FG30" s="8"/>
      <c r="FH30" s="8"/>
      <c r="FI30" s="8"/>
      <c r="FJ30" s="8"/>
      <c r="FK30" s="8">
        <v>4</v>
      </c>
      <c r="FL30" s="8"/>
      <c r="FM30" s="8"/>
      <c r="FN30" s="8"/>
      <c r="FO30" s="8"/>
      <c r="FP30" s="8"/>
      <c r="FQ30" s="8"/>
      <c r="FR30" s="8"/>
      <c r="FS30" s="8"/>
      <c r="FT30" s="8"/>
      <c r="FU30" s="9"/>
      <c r="FV30" s="8"/>
      <c r="FW30" s="8"/>
      <c r="FX30" s="9"/>
      <c r="FY30" s="9"/>
      <c r="FZ30" s="9"/>
      <c r="GA30" s="9"/>
      <c r="GB30" s="9"/>
      <c r="GC30" s="9"/>
      <c r="GD30" s="9"/>
      <c r="GE30" s="9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9"/>
      <c r="GS30" s="8"/>
      <c r="GT30" s="9"/>
      <c r="GU30" s="9"/>
      <c r="GV30" s="9"/>
      <c r="GW30" s="9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9"/>
      <c r="HJ30" s="9"/>
      <c r="HK30" s="9"/>
      <c r="HL30" s="8"/>
      <c r="HM30" s="9"/>
      <c r="HN30" s="9"/>
      <c r="HO30" s="9"/>
      <c r="HP30" s="9"/>
      <c r="HQ30" s="9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9"/>
      <c r="IE30" s="9"/>
      <c r="IF30" s="9"/>
      <c r="IG30" s="9"/>
      <c r="IH30" s="9"/>
      <c r="II30" s="9"/>
      <c r="IJ30" s="9"/>
      <c r="IK30" s="9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9"/>
      <c r="IW30" s="8"/>
      <c r="IX30" s="8"/>
      <c r="IY30" s="9"/>
      <c r="IZ30" s="9"/>
      <c r="JA30" s="9"/>
      <c r="JB30" s="9"/>
      <c r="JC30" s="9"/>
      <c r="JD30" s="9"/>
      <c r="JE30" s="9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9"/>
      <c r="KM30" s="9"/>
      <c r="KN30" s="9"/>
      <c r="KO30" s="9"/>
      <c r="KP30" s="9"/>
      <c r="KQ30" s="9"/>
      <c r="KR30" s="9"/>
      <c r="KS30" s="8"/>
      <c r="KT30" s="9"/>
      <c r="KU30" s="9"/>
      <c r="KV30" s="9"/>
      <c r="KW30" s="9"/>
      <c r="KX30" s="9"/>
      <c r="KY30" s="9"/>
      <c r="KZ30" s="9"/>
      <c r="LA30" s="9"/>
      <c r="LB30" s="9"/>
    </row>
    <row r="31" spans="1:314" ht="15" customHeight="1" x14ac:dyDescent="0.25">
      <c r="A31" s="285"/>
      <c r="B31" s="10">
        <f t="shared" si="0"/>
        <v>0</v>
      </c>
      <c r="C31" s="10">
        <v>0</v>
      </c>
      <c r="D31" s="10" t="b">
        <f t="shared" si="1"/>
        <v>1</v>
      </c>
      <c r="E31" s="10">
        <f t="shared" si="2"/>
        <v>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9"/>
      <c r="AO31" s="9"/>
      <c r="AP31" s="9"/>
      <c r="AQ31" s="9"/>
      <c r="AR31" s="9"/>
      <c r="AS31" s="9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65"/>
      <c r="BG31" s="8"/>
      <c r="BH31" s="8"/>
      <c r="BI31" s="65"/>
      <c r="BJ31" s="65"/>
      <c r="BK31" s="65"/>
      <c r="BL31" s="65"/>
      <c r="BM31" s="65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65"/>
      <c r="CT31" s="65"/>
      <c r="CU31" s="8"/>
      <c r="CV31" s="143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9"/>
      <c r="FV31" s="8"/>
      <c r="FW31" s="8"/>
      <c r="FX31" s="9"/>
      <c r="FY31" s="9"/>
      <c r="FZ31" s="9"/>
      <c r="GA31" s="9"/>
      <c r="GB31" s="9"/>
      <c r="GC31" s="9"/>
      <c r="GD31" s="9"/>
      <c r="GE31" s="9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9"/>
      <c r="GS31" s="8"/>
      <c r="GT31" s="9"/>
      <c r="GU31" s="9"/>
      <c r="GV31" s="9"/>
      <c r="GW31" s="9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9"/>
      <c r="HJ31" s="9"/>
      <c r="HK31" s="9"/>
      <c r="HL31" s="8"/>
      <c r="HM31" s="9"/>
      <c r="HN31" s="9"/>
      <c r="HO31" s="9"/>
      <c r="HP31" s="9"/>
      <c r="HQ31" s="9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9"/>
      <c r="IE31" s="9"/>
      <c r="IF31" s="9"/>
      <c r="IG31" s="9"/>
      <c r="IH31" s="9"/>
      <c r="II31" s="9"/>
      <c r="IJ31" s="9"/>
      <c r="IK31" s="9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9"/>
      <c r="IW31" s="8"/>
      <c r="IX31" s="8"/>
      <c r="IY31" s="9"/>
      <c r="IZ31" s="9"/>
      <c r="JA31" s="9"/>
      <c r="JB31" s="9"/>
      <c r="JC31" s="9"/>
      <c r="JD31" s="9"/>
      <c r="JE31" s="9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9"/>
      <c r="KM31" s="9"/>
      <c r="KN31" s="9"/>
      <c r="KO31" s="9"/>
      <c r="KP31" s="9"/>
      <c r="KQ31" s="9"/>
      <c r="KR31" s="9"/>
      <c r="KS31" s="8"/>
      <c r="KT31" s="9"/>
      <c r="KU31" s="9"/>
      <c r="KV31" s="9"/>
      <c r="KW31" s="9"/>
      <c r="KX31" s="9"/>
      <c r="KY31" s="9"/>
      <c r="KZ31" s="9"/>
      <c r="LA31" s="9"/>
      <c r="LB31" s="9"/>
    </row>
    <row r="32" spans="1:314" ht="15" customHeight="1" x14ac:dyDescent="0.25">
      <c r="A32" s="285"/>
      <c r="B32" s="10">
        <f t="shared" si="0"/>
        <v>0</v>
      </c>
      <c r="C32" s="10">
        <v>0</v>
      </c>
      <c r="D32" s="10" t="b">
        <f t="shared" si="1"/>
        <v>1</v>
      </c>
      <c r="E32" s="10">
        <f t="shared" si="2"/>
        <v>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9"/>
      <c r="AO32" s="9"/>
      <c r="AP32" s="9"/>
      <c r="AQ32" s="9"/>
      <c r="AR32" s="9"/>
      <c r="AS32" s="9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65"/>
      <c r="BG32" s="8"/>
      <c r="BH32" s="8"/>
      <c r="BI32" s="65"/>
      <c r="BJ32" s="65"/>
      <c r="BK32" s="65"/>
      <c r="BL32" s="65"/>
      <c r="BM32" s="65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65"/>
      <c r="CT32" s="65"/>
      <c r="CU32" s="8"/>
      <c r="CV32" s="143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9"/>
      <c r="FV32" s="8"/>
      <c r="FW32" s="8"/>
      <c r="FX32" s="9"/>
      <c r="FY32" s="9"/>
      <c r="FZ32" s="9"/>
      <c r="GA32" s="9"/>
      <c r="GB32" s="9"/>
      <c r="GC32" s="9"/>
      <c r="GD32" s="9"/>
      <c r="GE32" s="9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9"/>
      <c r="GS32" s="8"/>
      <c r="GT32" s="9"/>
      <c r="GU32" s="9"/>
      <c r="GV32" s="9"/>
      <c r="GW32" s="9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9"/>
      <c r="HJ32" s="9"/>
      <c r="HK32" s="9"/>
      <c r="HL32" s="8"/>
      <c r="HM32" s="9"/>
      <c r="HN32" s="9"/>
      <c r="HO32" s="9"/>
      <c r="HP32" s="9"/>
      <c r="HQ32" s="9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9"/>
      <c r="IE32" s="9"/>
      <c r="IF32" s="9"/>
      <c r="IG32" s="9"/>
      <c r="IH32" s="9"/>
      <c r="II32" s="9"/>
      <c r="IJ32" s="9"/>
      <c r="IK32" s="9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9"/>
      <c r="IW32" s="8"/>
      <c r="IX32" s="8"/>
      <c r="IY32" s="9"/>
      <c r="IZ32" s="9"/>
      <c r="JA32" s="9"/>
      <c r="JB32" s="9"/>
      <c r="JC32" s="9"/>
      <c r="JD32" s="9"/>
      <c r="JE32" s="9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9"/>
      <c r="KM32" s="9"/>
      <c r="KN32" s="9"/>
      <c r="KO32" s="9"/>
      <c r="KP32" s="9"/>
      <c r="KQ32" s="9"/>
      <c r="KR32" s="9"/>
      <c r="KS32" s="8"/>
      <c r="KT32" s="9"/>
      <c r="KU32" s="9"/>
      <c r="KV32" s="9"/>
      <c r="KW32" s="9"/>
      <c r="KX32" s="9"/>
      <c r="KY32" s="9"/>
      <c r="KZ32" s="9"/>
      <c r="LA32" s="9"/>
      <c r="LB32" s="9"/>
    </row>
    <row r="33" spans="1:314" ht="15" customHeight="1" x14ac:dyDescent="0.25">
      <c r="A33" s="522"/>
      <c r="B33" s="10">
        <f t="shared" si="0"/>
        <v>0</v>
      </c>
      <c r="C33" s="10">
        <v>0</v>
      </c>
      <c r="D33" s="10"/>
      <c r="E33" s="10">
        <f>C33-B33</f>
        <v>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9"/>
      <c r="AO33" s="9"/>
      <c r="AP33" s="9"/>
      <c r="AQ33" s="9"/>
      <c r="AR33" s="9"/>
      <c r="AS33" s="9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65"/>
      <c r="BG33" s="8"/>
      <c r="BH33" s="8"/>
      <c r="BI33" s="65"/>
      <c r="BJ33" s="65"/>
      <c r="BK33" s="65"/>
      <c r="BL33" s="65"/>
      <c r="BM33" s="65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65"/>
      <c r="CT33" s="65"/>
      <c r="CU33" s="8"/>
      <c r="CV33" s="143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9"/>
      <c r="FV33" s="8"/>
      <c r="FW33" s="8"/>
      <c r="FX33" s="9"/>
      <c r="FY33" s="9"/>
      <c r="FZ33" s="9"/>
      <c r="GA33" s="9"/>
      <c r="GB33" s="9"/>
      <c r="GC33" s="9"/>
      <c r="GD33" s="9"/>
      <c r="GE33" s="9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9"/>
      <c r="GS33" s="8"/>
      <c r="GT33" s="9"/>
      <c r="GU33" s="9"/>
      <c r="GV33" s="9"/>
      <c r="GW33" s="9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9"/>
      <c r="HJ33" s="9"/>
      <c r="HK33" s="9"/>
      <c r="HL33" s="8"/>
      <c r="HM33" s="9"/>
      <c r="HN33" s="9"/>
      <c r="HO33" s="9"/>
      <c r="HP33" s="9"/>
      <c r="HQ33" s="9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9"/>
      <c r="IE33" s="9"/>
      <c r="IF33" s="9"/>
      <c r="IG33" s="9"/>
      <c r="IH33" s="9"/>
      <c r="II33" s="9"/>
      <c r="IJ33" s="9"/>
      <c r="IK33" s="9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9"/>
      <c r="IW33" s="8"/>
      <c r="IX33" s="8"/>
      <c r="IY33" s="9"/>
      <c r="IZ33" s="9"/>
      <c r="JA33" s="9"/>
      <c r="JB33" s="9"/>
      <c r="JC33" s="9"/>
      <c r="JD33" s="9"/>
      <c r="JE33" s="9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9"/>
      <c r="KM33" s="9"/>
      <c r="KN33" s="9"/>
      <c r="KO33" s="9"/>
      <c r="KP33" s="9"/>
      <c r="KQ33" s="9"/>
      <c r="KR33" s="9"/>
      <c r="KS33" s="8"/>
      <c r="KT33" s="9"/>
      <c r="KU33" s="9"/>
      <c r="KV33" s="9"/>
      <c r="KW33" s="9"/>
      <c r="KX33" s="9"/>
      <c r="KY33" s="9"/>
      <c r="KZ33" s="9"/>
      <c r="LA33" s="9"/>
      <c r="LB33" s="9"/>
    </row>
    <row r="34" spans="1:314" ht="15" customHeight="1" x14ac:dyDescent="0.25">
      <c r="A34" s="522"/>
      <c r="B34" s="10">
        <f t="shared" si="0"/>
        <v>0</v>
      </c>
      <c r="C34" s="10">
        <v>0</v>
      </c>
      <c r="D34" s="10"/>
      <c r="E34" s="10">
        <f>C34-B34</f>
        <v>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9"/>
      <c r="AO34" s="9"/>
      <c r="AP34" s="9"/>
      <c r="AQ34" s="9"/>
      <c r="AR34" s="9"/>
      <c r="AS34" s="9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65"/>
      <c r="BG34" s="8"/>
      <c r="BH34" s="8"/>
      <c r="BI34" s="65"/>
      <c r="BJ34" s="65"/>
      <c r="BK34" s="65"/>
      <c r="BL34" s="65"/>
      <c r="BM34" s="65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65"/>
      <c r="CT34" s="65"/>
      <c r="CU34" s="8"/>
      <c r="CV34" s="143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9"/>
      <c r="FV34" s="8"/>
      <c r="FW34" s="8"/>
      <c r="FX34" s="9"/>
      <c r="FY34" s="9"/>
      <c r="FZ34" s="9"/>
      <c r="GA34" s="9"/>
      <c r="GB34" s="9"/>
      <c r="GC34" s="9"/>
      <c r="GD34" s="9"/>
      <c r="GE34" s="9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9"/>
      <c r="GS34" s="8"/>
      <c r="GT34" s="9"/>
      <c r="GU34" s="9"/>
      <c r="GV34" s="9"/>
      <c r="GW34" s="9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9"/>
      <c r="HJ34" s="9"/>
      <c r="HK34" s="9"/>
      <c r="HL34" s="8"/>
      <c r="HM34" s="9"/>
      <c r="HN34" s="9"/>
      <c r="HO34" s="9"/>
      <c r="HP34" s="9"/>
      <c r="HQ34" s="9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9"/>
      <c r="IE34" s="9"/>
      <c r="IF34" s="9"/>
      <c r="IG34" s="9"/>
      <c r="IH34" s="9"/>
      <c r="II34" s="9"/>
      <c r="IJ34" s="9"/>
      <c r="IK34" s="9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9"/>
      <c r="IW34" s="8"/>
      <c r="IX34" s="8"/>
      <c r="IY34" s="9"/>
      <c r="IZ34" s="9"/>
      <c r="JA34" s="9"/>
      <c r="JB34" s="9"/>
      <c r="JC34" s="9"/>
      <c r="JD34" s="9"/>
      <c r="JE34" s="9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9"/>
      <c r="KM34" s="9"/>
      <c r="KN34" s="9"/>
      <c r="KO34" s="9"/>
      <c r="KP34" s="9"/>
      <c r="KQ34" s="9"/>
      <c r="KR34" s="9"/>
      <c r="KS34" s="8"/>
      <c r="KT34" s="9"/>
      <c r="KU34" s="9"/>
      <c r="KV34" s="9"/>
      <c r="KW34" s="9"/>
      <c r="KX34" s="9"/>
      <c r="KY34" s="9"/>
      <c r="KZ34" s="9"/>
      <c r="LA34" s="9"/>
      <c r="LB34" s="9"/>
    </row>
    <row r="35" spans="1:314" ht="15" customHeight="1" x14ac:dyDescent="0.25">
      <c r="A35" s="277"/>
      <c r="B35" s="10">
        <f t="shared" si="0"/>
        <v>0</v>
      </c>
      <c r="C35" s="10">
        <v>0</v>
      </c>
      <c r="D35" s="10"/>
      <c r="E35" s="10">
        <f>C35-B35</f>
        <v>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9"/>
      <c r="AO35" s="9"/>
      <c r="AP35" s="9"/>
      <c r="AQ35" s="9"/>
      <c r="AR35" s="9"/>
      <c r="AS35" s="9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65"/>
      <c r="BG35" s="8"/>
      <c r="BH35" s="8"/>
      <c r="BI35" s="65"/>
      <c r="BJ35" s="65"/>
      <c r="BK35" s="65"/>
      <c r="BL35" s="65"/>
      <c r="BM35" s="65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65"/>
      <c r="CT35" s="65"/>
      <c r="CU35" s="8"/>
      <c r="CV35" s="76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9"/>
      <c r="FV35" s="8"/>
      <c r="FW35" s="8"/>
      <c r="FX35" s="9"/>
      <c r="FY35" s="9"/>
      <c r="FZ35" s="9"/>
      <c r="GA35" s="9"/>
      <c r="GB35" s="9"/>
      <c r="GC35" s="9"/>
      <c r="GD35" s="9"/>
      <c r="GE35" s="9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9"/>
      <c r="GS35" s="8"/>
      <c r="GT35" s="9"/>
      <c r="GU35" s="9"/>
      <c r="GV35" s="9"/>
      <c r="GW35" s="9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9"/>
      <c r="HJ35" s="9"/>
      <c r="HK35" s="9"/>
      <c r="HL35" s="8"/>
      <c r="HM35" s="9"/>
      <c r="HN35" s="9"/>
      <c r="HO35" s="9"/>
      <c r="HP35" s="9"/>
      <c r="HQ35" s="9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9"/>
      <c r="IE35" s="9"/>
      <c r="IF35" s="9"/>
      <c r="IG35" s="9"/>
      <c r="IH35" s="9"/>
      <c r="II35" s="9"/>
      <c r="IJ35" s="9"/>
      <c r="IK35" s="9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9"/>
      <c r="IW35" s="8"/>
      <c r="IX35" s="8"/>
      <c r="IY35" s="9"/>
      <c r="IZ35" s="9"/>
      <c r="JA35" s="9"/>
      <c r="JB35" s="9"/>
      <c r="JC35" s="9"/>
      <c r="JD35" s="9"/>
      <c r="JE35" s="9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9"/>
      <c r="KM35" s="9"/>
      <c r="KN35" s="9"/>
      <c r="KO35" s="9"/>
      <c r="KP35" s="9"/>
      <c r="KQ35" s="9"/>
      <c r="KR35" s="9"/>
      <c r="KS35" s="8"/>
      <c r="KT35" s="9"/>
      <c r="KU35" s="9"/>
      <c r="KV35" s="9"/>
      <c r="KW35" s="9"/>
      <c r="KX35" s="9"/>
      <c r="KY35" s="9"/>
      <c r="KZ35" s="9"/>
      <c r="LA35" s="9"/>
      <c r="LB35" s="9"/>
    </row>
    <row r="36" spans="1:314" ht="14.45" customHeight="1" x14ac:dyDescent="0.25">
      <c r="A36" s="47"/>
      <c r="B36" s="10">
        <f>SUM(F36:KR36)</f>
        <v>8856</v>
      </c>
      <c r="C36" s="11">
        <f>SUM(C5:C35)</f>
        <v>0</v>
      </c>
      <c r="D36" s="11"/>
      <c r="E36" s="177">
        <f t="shared" ref="E36:BP36" si="3">SUM(E5:E35)</f>
        <v>-9029</v>
      </c>
      <c r="F36" s="11">
        <f t="shared" si="3"/>
        <v>243</v>
      </c>
      <c r="G36" s="11">
        <f t="shared" si="3"/>
        <v>110</v>
      </c>
      <c r="H36" s="11">
        <f t="shared" si="3"/>
        <v>0</v>
      </c>
      <c r="I36" s="11">
        <f t="shared" si="3"/>
        <v>0</v>
      </c>
      <c r="J36" s="11">
        <f t="shared" si="3"/>
        <v>0</v>
      </c>
      <c r="K36" s="11">
        <f t="shared" si="3"/>
        <v>0</v>
      </c>
      <c r="L36" s="11">
        <f t="shared" si="3"/>
        <v>0</v>
      </c>
      <c r="M36" s="11">
        <f t="shared" si="3"/>
        <v>0</v>
      </c>
      <c r="N36" s="11">
        <f t="shared" si="3"/>
        <v>0</v>
      </c>
      <c r="O36" s="11">
        <f t="shared" si="3"/>
        <v>0</v>
      </c>
      <c r="P36" s="11">
        <f t="shared" si="3"/>
        <v>42</v>
      </c>
      <c r="Q36" s="11">
        <f t="shared" si="3"/>
        <v>20</v>
      </c>
      <c r="R36" s="11">
        <f t="shared" si="3"/>
        <v>20</v>
      </c>
      <c r="S36" s="11">
        <f t="shared" si="3"/>
        <v>25</v>
      </c>
      <c r="T36" s="11">
        <f t="shared" si="3"/>
        <v>60</v>
      </c>
      <c r="U36" s="11">
        <f t="shared" si="3"/>
        <v>60</v>
      </c>
      <c r="V36" s="11">
        <f t="shared" si="3"/>
        <v>240</v>
      </c>
      <c r="W36" s="8"/>
      <c r="X36" s="11">
        <f t="shared" si="3"/>
        <v>0</v>
      </c>
      <c r="Y36" s="11">
        <f t="shared" si="3"/>
        <v>0</v>
      </c>
      <c r="Z36" s="11">
        <f t="shared" si="3"/>
        <v>197</v>
      </c>
      <c r="AA36" s="11">
        <f t="shared" si="3"/>
        <v>73</v>
      </c>
      <c r="AB36" s="11">
        <v>71</v>
      </c>
      <c r="AC36" s="11">
        <f t="shared" si="3"/>
        <v>230</v>
      </c>
      <c r="AD36" s="11">
        <f t="shared" si="3"/>
        <v>110</v>
      </c>
      <c r="AE36" s="11">
        <f t="shared" si="3"/>
        <v>0</v>
      </c>
      <c r="AF36" s="11">
        <f t="shared" si="3"/>
        <v>0</v>
      </c>
      <c r="AG36" s="11">
        <f t="shared" si="3"/>
        <v>0</v>
      </c>
      <c r="AH36" s="11">
        <f t="shared" si="3"/>
        <v>0</v>
      </c>
      <c r="AI36" s="11">
        <f t="shared" si="3"/>
        <v>0</v>
      </c>
      <c r="AJ36" s="11">
        <f t="shared" si="3"/>
        <v>223</v>
      </c>
      <c r="AK36" s="11">
        <f t="shared" si="3"/>
        <v>82</v>
      </c>
      <c r="AL36" s="11">
        <f t="shared" si="3"/>
        <v>60</v>
      </c>
      <c r="AM36" s="11">
        <f t="shared" si="3"/>
        <v>168</v>
      </c>
      <c r="AN36" s="11">
        <f t="shared" si="3"/>
        <v>82</v>
      </c>
      <c r="AO36" s="11">
        <f t="shared" si="3"/>
        <v>0</v>
      </c>
      <c r="AP36" s="11">
        <f t="shared" si="3"/>
        <v>0</v>
      </c>
      <c r="AQ36" s="11">
        <f t="shared" si="3"/>
        <v>0</v>
      </c>
      <c r="AR36" s="11">
        <f t="shared" si="3"/>
        <v>0</v>
      </c>
      <c r="AS36" s="11">
        <f t="shared" si="3"/>
        <v>0</v>
      </c>
      <c r="AT36" s="11">
        <f t="shared" si="3"/>
        <v>108</v>
      </c>
      <c r="AU36" s="11">
        <f t="shared" si="3"/>
        <v>0</v>
      </c>
      <c r="AV36" s="11">
        <f t="shared" si="3"/>
        <v>0</v>
      </c>
      <c r="AW36" s="11">
        <f t="shared" si="3"/>
        <v>0</v>
      </c>
      <c r="AX36" s="11">
        <f t="shared" si="3"/>
        <v>0</v>
      </c>
      <c r="AY36" s="11">
        <f t="shared" si="3"/>
        <v>0</v>
      </c>
      <c r="AZ36" s="11">
        <f t="shared" si="3"/>
        <v>0</v>
      </c>
      <c r="BA36" s="11">
        <f t="shared" si="3"/>
        <v>0</v>
      </c>
      <c r="BB36" s="11">
        <f t="shared" si="3"/>
        <v>0</v>
      </c>
      <c r="BC36" s="11">
        <f t="shared" si="3"/>
        <v>0</v>
      </c>
      <c r="BD36" s="11">
        <f t="shared" si="3"/>
        <v>194</v>
      </c>
      <c r="BE36" s="11">
        <f t="shared" si="3"/>
        <v>93</v>
      </c>
      <c r="BF36" s="11">
        <f t="shared" si="3"/>
        <v>60</v>
      </c>
      <c r="BG36" s="11">
        <f t="shared" si="3"/>
        <v>240</v>
      </c>
      <c r="BH36" s="8"/>
      <c r="BI36" s="11">
        <f t="shared" si="3"/>
        <v>0</v>
      </c>
      <c r="BJ36" s="11">
        <f t="shared" si="3"/>
        <v>0</v>
      </c>
      <c r="BK36" s="11">
        <f t="shared" si="3"/>
        <v>0</v>
      </c>
      <c r="BL36" s="11">
        <f t="shared" si="3"/>
        <v>0</v>
      </c>
      <c r="BM36" s="11">
        <f t="shared" si="3"/>
        <v>0</v>
      </c>
      <c r="BN36" s="11">
        <f t="shared" si="3"/>
        <v>206</v>
      </c>
      <c r="BO36" s="11">
        <f t="shared" si="3"/>
        <v>188</v>
      </c>
      <c r="BP36" s="11">
        <f t="shared" si="3"/>
        <v>0</v>
      </c>
      <c r="BQ36" s="11">
        <f>SUM(BQ5:BQ35)</f>
        <v>0</v>
      </c>
      <c r="BR36" s="11">
        <f>SUM(BR5:BR35)</f>
        <v>0</v>
      </c>
      <c r="BS36" s="11">
        <f>SUM(BS5:BS35)</f>
        <v>0</v>
      </c>
      <c r="BT36" s="11"/>
      <c r="BU36" s="11">
        <f t="shared" ref="BU36:CC36" si="4">SUM(BU5:BU35)</f>
        <v>0</v>
      </c>
      <c r="BV36" s="11">
        <f t="shared" si="4"/>
        <v>0</v>
      </c>
      <c r="BW36" s="11">
        <f t="shared" si="4"/>
        <v>0</v>
      </c>
      <c r="BX36" s="11">
        <f t="shared" si="4"/>
        <v>249</v>
      </c>
      <c r="BY36" s="11">
        <f t="shared" si="4"/>
        <v>110</v>
      </c>
      <c r="BZ36" s="11">
        <f t="shared" si="4"/>
        <v>0</v>
      </c>
      <c r="CA36" s="11">
        <f t="shared" si="4"/>
        <v>0</v>
      </c>
      <c r="CB36" s="11">
        <f t="shared" si="4"/>
        <v>0</v>
      </c>
      <c r="CC36" s="11">
        <f t="shared" si="4"/>
        <v>0</v>
      </c>
      <c r="CD36" s="11"/>
      <c r="CE36" s="11">
        <f t="shared" ref="CE36:CS36" si="5">SUM(CE5:CE35)</f>
        <v>0</v>
      </c>
      <c r="CF36" s="11">
        <f t="shared" si="5"/>
        <v>0</v>
      </c>
      <c r="CG36" s="11">
        <f t="shared" si="5"/>
        <v>0</v>
      </c>
      <c r="CH36" s="11">
        <f t="shared" si="5"/>
        <v>230</v>
      </c>
      <c r="CI36" s="11">
        <f t="shared" si="5"/>
        <v>93</v>
      </c>
      <c r="CJ36" s="11">
        <f t="shared" si="5"/>
        <v>60</v>
      </c>
      <c r="CK36" s="11">
        <f t="shared" si="5"/>
        <v>240</v>
      </c>
      <c r="CL36" s="11">
        <f t="shared" si="5"/>
        <v>0</v>
      </c>
      <c r="CM36" s="11">
        <f t="shared" si="5"/>
        <v>0</v>
      </c>
      <c r="CN36" s="11">
        <f t="shared" si="5"/>
        <v>0</v>
      </c>
      <c r="CO36" s="11">
        <f t="shared" si="5"/>
        <v>0</v>
      </c>
      <c r="CP36" s="11">
        <f t="shared" si="5"/>
        <v>0</v>
      </c>
      <c r="CQ36" s="11">
        <f t="shared" si="5"/>
        <v>0</v>
      </c>
      <c r="CR36" s="11">
        <f t="shared" si="5"/>
        <v>110</v>
      </c>
      <c r="CS36" s="11">
        <f t="shared" si="5"/>
        <v>240</v>
      </c>
      <c r="CT36" s="11">
        <f>SUM(CT6:CT35)</f>
        <v>46</v>
      </c>
      <c r="CU36" s="11">
        <f t="shared" ref="CU36:DF36" si="6">SUM(CU5:CU35)</f>
        <v>111</v>
      </c>
      <c r="CV36" s="11">
        <f t="shared" si="6"/>
        <v>0</v>
      </c>
      <c r="CW36" s="11">
        <f t="shared" si="6"/>
        <v>0</v>
      </c>
      <c r="CX36" s="11">
        <f t="shared" si="6"/>
        <v>0</v>
      </c>
      <c r="CY36" s="11">
        <f t="shared" si="6"/>
        <v>0</v>
      </c>
      <c r="CZ36" s="11">
        <f t="shared" si="6"/>
        <v>0</v>
      </c>
      <c r="DA36" s="11">
        <f t="shared" si="6"/>
        <v>0</v>
      </c>
      <c r="DB36" s="11">
        <f t="shared" si="6"/>
        <v>188</v>
      </c>
      <c r="DC36" s="11">
        <f t="shared" si="6"/>
        <v>110</v>
      </c>
      <c r="DD36" s="11">
        <f t="shared" si="6"/>
        <v>240</v>
      </c>
      <c r="DE36" s="11">
        <f t="shared" si="6"/>
        <v>111</v>
      </c>
      <c r="DF36" s="11">
        <f t="shared" si="6"/>
        <v>0</v>
      </c>
      <c r="DG36" s="11">
        <f t="shared" ref="DG36:EB36" si="7">SUM(DG5:DG35)</f>
        <v>0</v>
      </c>
      <c r="DH36" s="11">
        <f t="shared" si="7"/>
        <v>0</v>
      </c>
      <c r="DI36" s="11">
        <f t="shared" si="7"/>
        <v>0</v>
      </c>
      <c r="DJ36" s="11">
        <f t="shared" si="7"/>
        <v>0</v>
      </c>
      <c r="DK36" s="11">
        <f t="shared" si="7"/>
        <v>0</v>
      </c>
      <c r="DL36" s="11">
        <f t="shared" si="7"/>
        <v>298</v>
      </c>
      <c r="DM36" s="11">
        <f t="shared" si="7"/>
        <v>0</v>
      </c>
      <c r="DN36" s="11">
        <f t="shared" si="7"/>
        <v>0</v>
      </c>
      <c r="DO36" s="11">
        <f t="shared" si="7"/>
        <v>0</v>
      </c>
      <c r="DP36" s="11">
        <f t="shared" si="7"/>
        <v>0</v>
      </c>
      <c r="DQ36" s="11">
        <f t="shared" si="7"/>
        <v>0</v>
      </c>
      <c r="DR36" s="11">
        <f t="shared" si="7"/>
        <v>0</v>
      </c>
      <c r="DS36" s="11">
        <f t="shared" si="7"/>
        <v>0</v>
      </c>
      <c r="DT36" s="11">
        <f t="shared" si="7"/>
        <v>0</v>
      </c>
      <c r="DU36" s="11">
        <f t="shared" si="7"/>
        <v>0</v>
      </c>
      <c r="DV36" s="11">
        <f t="shared" si="7"/>
        <v>110</v>
      </c>
      <c r="DW36" s="11">
        <f t="shared" si="7"/>
        <v>240</v>
      </c>
      <c r="DX36" s="11">
        <f t="shared" si="7"/>
        <v>110</v>
      </c>
      <c r="DY36" s="11">
        <f t="shared" si="7"/>
        <v>99</v>
      </c>
      <c r="DZ36" s="11">
        <f t="shared" si="7"/>
        <v>75</v>
      </c>
      <c r="EA36" s="11">
        <f t="shared" si="7"/>
        <v>0</v>
      </c>
      <c r="EB36" s="11">
        <f t="shared" si="7"/>
        <v>0</v>
      </c>
      <c r="EC36" s="11">
        <f t="shared" ref="EC36:GN36" si="8">SUM(EC5:EC35)</f>
        <v>0</v>
      </c>
      <c r="ED36" s="11">
        <f t="shared" si="8"/>
        <v>0</v>
      </c>
      <c r="EE36" s="11">
        <f t="shared" si="8"/>
        <v>0</v>
      </c>
      <c r="EF36" s="11">
        <f t="shared" si="8"/>
        <v>265</v>
      </c>
      <c r="EG36" s="11">
        <f t="shared" si="8"/>
        <v>95</v>
      </c>
      <c r="EH36" s="11">
        <f t="shared" si="8"/>
        <v>238</v>
      </c>
      <c r="EI36" s="11">
        <f t="shared" si="8"/>
        <v>110</v>
      </c>
      <c r="EJ36" s="11">
        <f t="shared" si="8"/>
        <v>0</v>
      </c>
      <c r="EK36" s="11">
        <f t="shared" si="8"/>
        <v>0</v>
      </c>
      <c r="EL36" s="11">
        <f t="shared" si="8"/>
        <v>0</v>
      </c>
      <c r="EM36" s="11">
        <f t="shared" si="8"/>
        <v>0</v>
      </c>
      <c r="EN36" s="11">
        <f t="shared" si="8"/>
        <v>0</v>
      </c>
      <c r="EO36" s="11">
        <f t="shared" si="8"/>
        <v>0</v>
      </c>
      <c r="EP36" s="11">
        <f t="shared" si="8"/>
        <v>174</v>
      </c>
      <c r="EQ36" s="11">
        <f t="shared" si="8"/>
        <v>110</v>
      </c>
      <c r="ER36" s="11">
        <f t="shared" si="8"/>
        <v>240</v>
      </c>
      <c r="ES36" s="11">
        <f t="shared" si="8"/>
        <v>113</v>
      </c>
      <c r="ET36" s="11">
        <f t="shared" si="8"/>
        <v>91</v>
      </c>
      <c r="EU36" s="11">
        <f t="shared" si="8"/>
        <v>0</v>
      </c>
      <c r="EV36" s="11">
        <f t="shared" si="8"/>
        <v>0</v>
      </c>
      <c r="EW36" s="11">
        <f t="shared" si="8"/>
        <v>0</v>
      </c>
      <c r="EX36" s="11">
        <f t="shared" si="8"/>
        <v>0</v>
      </c>
      <c r="EY36" s="11">
        <f t="shared" si="8"/>
        <v>0</v>
      </c>
      <c r="EZ36" s="11">
        <f t="shared" si="8"/>
        <v>218</v>
      </c>
      <c r="FA36" s="11">
        <f t="shared" si="8"/>
        <v>109</v>
      </c>
      <c r="FB36" s="11">
        <f t="shared" si="8"/>
        <v>110</v>
      </c>
      <c r="FC36" s="11">
        <f t="shared" si="8"/>
        <v>240</v>
      </c>
      <c r="FD36" s="11">
        <f t="shared" si="8"/>
        <v>0</v>
      </c>
      <c r="FE36" s="11">
        <f t="shared" si="8"/>
        <v>0</v>
      </c>
      <c r="FF36" s="11">
        <f t="shared" si="8"/>
        <v>0</v>
      </c>
      <c r="FG36" s="11">
        <f t="shared" si="8"/>
        <v>0</v>
      </c>
      <c r="FH36" s="11">
        <f t="shared" si="8"/>
        <v>0</v>
      </c>
      <c r="FI36" s="11">
        <f t="shared" si="8"/>
        <v>0</v>
      </c>
      <c r="FJ36" s="11">
        <f t="shared" si="8"/>
        <v>50</v>
      </c>
      <c r="FK36" s="11">
        <f t="shared" si="8"/>
        <v>110</v>
      </c>
      <c r="FL36" s="11">
        <f t="shared" si="8"/>
        <v>111</v>
      </c>
      <c r="FM36" s="11">
        <f t="shared" si="8"/>
        <v>197</v>
      </c>
      <c r="FN36" s="11">
        <f t="shared" si="8"/>
        <v>0</v>
      </c>
      <c r="FO36" s="11">
        <f t="shared" si="8"/>
        <v>0</v>
      </c>
      <c r="FP36" s="11">
        <f t="shared" si="8"/>
        <v>0</v>
      </c>
      <c r="FQ36" s="11">
        <f t="shared" si="8"/>
        <v>0</v>
      </c>
      <c r="FR36" s="11">
        <f t="shared" si="8"/>
        <v>0</v>
      </c>
      <c r="FS36" s="11">
        <f t="shared" si="8"/>
        <v>0</v>
      </c>
      <c r="FT36" s="11">
        <f t="shared" si="8"/>
        <v>0</v>
      </c>
      <c r="FU36" s="11">
        <f t="shared" si="8"/>
        <v>0</v>
      </c>
      <c r="FV36" s="11">
        <f t="shared" si="8"/>
        <v>0</v>
      </c>
      <c r="FW36" s="11">
        <f t="shared" si="8"/>
        <v>0</v>
      </c>
      <c r="FX36" s="11">
        <f t="shared" si="8"/>
        <v>0</v>
      </c>
      <c r="FY36" s="11">
        <f t="shared" si="8"/>
        <v>0</v>
      </c>
      <c r="FZ36" s="11">
        <f t="shared" si="8"/>
        <v>0</v>
      </c>
      <c r="GA36" s="11">
        <f t="shared" si="8"/>
        <v>0</v>
      </c>
      <c r="GB36" s="11">
        <f t="shared" si="8"/>
        <v>0</v>
      </c>
      <c r="GC36" s="11">
        <f t="shared" si="8"/>
        <v>0</v>
      </c>
      <c r="GD36" s="11">
        <f t="shared" si="8"/>
        <v>0</v>
      </c>
      <c r="GE36" s="11">
        <f t="shared" si="8"/>
        <v>0</v>
      </c>
      <c r="GF36" s="11">
        <f t="shared" si="8"/>
        <v>0</v>
      </c>
      <c r="GG36" s="11">
        <f t="shared" si="8"/>
        <v>0</v>
      </c>
      <c r="GH36" s="11">
        <f t="shared" si="8"/>
        <v>0</v>
      </c>
      <c r="GI36" s="11">
        <f t="shared" si="8"/>
        <v>0</v>
      </c>
      <c r="GJ36" s="11">
        <f t="shared" si="8"/>
        <v>0</v>
      </c>
      <c r="GK36" s="11">
        <f t="shared" si="8"/>
        <v>0</v>
      </c>
      <c r="GL36" s="11">
        <f t="shared" si="8"/>
        <v>0</v>
      </c>
      <c r="GM36" s="11">
        <f t="shared" si="8"/>
        <v>0</v>
      </c>
      <c r="GN36" s="11">
        <f t="shared" si="8"/>
        <v>0</v>
      </c>
      <c r="GO36" s="11">
        <f t="shared" ref="GO36:HM36" si="9">SUM(GO5:GO35)</f>
        <v>0</v>
      </c>
      <c r="GP36" s="11">
        <f t="shared" si="9"/>
        <v>0</v>
      </c>
      <c r="GQ36" s="11">
        <f t="shared" si="9"/>
        <v>0</v>
      </c>
      <c r="GR36" s="11">
        <f t="shared" si="9"/>
        <v>0</v>
      </c>
      <c r="GS36" s="11">
        <f t="shared" si="9"/>
        <v>0</v>
      </c>
      <c r="GT36" s="11">
        <f t="shared" si="9"/>
        <v>0</v>
      </c>
      <c r="GU36" s="11">
        <f t="shared" si="9"/>
        <v>0</v>
      </c>
      <c r="GV36" s="11">
        <f t="shared" si="9"/>
        <v>0</v>
      </c>
      <c r="GW36" s="11">
        <f t="shared" si="9"/>
        <v>0</v>
      </c>
      <c r="GX36" s="11">
        <f t="shared" si="9"/>
        <v>0</v>
      </c>
      <c r="GY36" s="11">
        <f t="shared" si="9"/>
        <v>0</v>
      </c>
      <c r="GZ36" s="11">
        <f t="shared" si="9"/>
        <v>0</v>
      </c>
      <c r="HA36" s="11">
        <f t="shared" si="9"/>
        <v>0</v>
      </c>
      <c r="HB36" s="11">
        <f t="shared" si="9"/>
        <v>0</v>
      </c>
      <c r="HC36" s="11">
        <f t="shared" si="9"/>
        <v>0</v>
      </c>
      <c r="HD36" s="11">
        <f t="shared" si="9"/>
        <v>0</v>
      </c>
      <c r="HE36" s="11">
        <f t="shared" si="9"/>
        <v>0</v>
      </c>
      <c r="HF36" s="11">
        <f t="shared" si="9"/>
        <v>0</v>
      </c>
      <c r="HG36" s="11">
        <f t="shared" si="9"/>
        <v>0</v>
      </c>
      <c r="HH36" s="11">
        <f t="shared" si="9"/>
        <v>0</v>
      </c>
      <c r="HI36" s="11">
        <f t="shared" si="9"/>
        <v>0</v>
      </c>
      <c r="HJ36" s="11">
        <f t="shared" si="9"/>
        <v>0</v>
      </c>
      <c r="HK36" s="11">
        <f t="shared" si="9"/>
        <v>0</v>
      </c>
      <c r="HL36" s="11">
        <f t="shared" si="9"/>
        <v>0</v>
      </c>
      <c r="HM36" s="11">
        <f t="shared" si="9"/>
        <v>0</v>
      </c>
      <c r="HN36" s="11"/>
      <c r="HO36" s="11"/>
      <c r="HP36" s="11"/>
      <c r="HQ36" s="11">
        <f t="shared" ref="HQ36:IV36" si="10">SUM(HQ5:HQ35)</f>
        <v>0</v>
      </c>
      <c r="HR36" s="11">
        <f t="shared" si="10"/>
        <v>0</v>
      </c>
      <c r="HS36" s="11">
        <f t="shared" si="10"/>
        <v>0</v>
      </c>
      <c r="HT36" s="11">
        <f t="shared" si="10"/>
        <v>0</v>
      </c>
      <c r="HU36" s="11">
        <f t="shared" si="10"/>
        <v>0</v>
      </c>
      <c r="HV36" s="11">
        <f t="shared" si="10"/>
        <v>0</v>
      </c>
      <c r="HW36" s="11">
        <f t="shared" si="10"/>
        <v>0</v>
      </c>
      <c r="HX36" s="11">
        <f t="shared" si="10"/>
        <v>0</v>
      </c>
      <c r="HY36" s="11">
        <f t="shared" si="10"/>
        <v>0</v>
      </c>
      <c r="HZ36" s="11">
        <f t="shared" si="10"/>
        <v>0</v>
      </c>
      <c r="IA36" s="11">
        <f t="shared" si="10"/>
        <v>0</v>
      </c>
      <c r="IB36" s="11">
        <f t="shared" si="10"/>
        <v>0</v>
      </c>
      <c r="IC36" s="11">
        <f t="shared" si="10"/>
        <v>0</v>
      </c>
      <c r="ID36" s="11">
        <f t="shared" si="10"/>
        <v>0</v>
      </c>
      <c r="IE36" s="11">
        <f t="shared" si="10"/>
        <v>0</v>
      </c>
      <c r="IF36" s="11">
        <f t="shared" si="10"/>
        <v>0</v>
      </c>
      <c r="IG36" s="11">
        <f t="shared" si="10"/>
        <v>0</v>
      </c>
      <c r="IH36" s="11">
        <f t="shared" si="10"/>
        <v>0</v>
      </c>
      <c r="II36" s="11">
        <f t="shared" si="10"/>
        <v>0</v>
      </c>
      <c r="IJ36" s="11">
        <f t="shared" si="10"/>
        <v>0</v>
      </c>
      <c r="IK36" s="11">
        <f t="shared" si="10"/>
        <v>0</v>
      </c>
      <c r="IL36" s="11">
        <f t="shared" si="10"/>
        <v>0</v>
      </c>
      <c r="IM36" s="11">
        <f t="shared" si="10"/>
        <v>0</v>
      </c>
      <c r="IN36" s="11">
        <f t="shared" si="10"/>
        <v>0</v>
      </c>
      <c r="IO36" s="11">
        <f t="shared" si="10"/>
        <v>0</v>
      </c>
      <c r="IP36" s="11">
        <f t="shared" si="10"/>
        <v>0</v>
      </c>
      <c r="IQ36" s="11">
        <f t="shared" si="10"/>
        <v>0</v>
      </c>
      <c r="IR36" s="11">
        <f t="shared" si="10"/>
        <v>0</v>
      </c>
      <c r="IS36" s="11">
        <f t="shared" si="10"/>
        <v>0</v>
      </c>
      <c r="IT36" s="11">
        <f t="shared" si="10"/>
        <v>0</v>
      </c>
      <c r="IU36" s="11">
        <f t="shared" si="10"/>
        <v>0</v>
      </c>
      <c r="IV36" s="11">
        <f t="shared" si="10"/>
        <v>0</v>
      </c>
      <c r="IW36" s="11">
        <f t="shared" ref="IW36:KA36" si="11">SUM(IW5:IW35)</f>
        <v>0</v>
      </c>
      <c r="IX36" s="11">
        <f t="shared" si="11"/>
        <v>0</v>
      </c>
      <c r="IY36" s="11">
        <f t="shared" si="11"/>
        <v>0</v>
      </c>
      <c r="IZ36" s="11">
        <f t="shared" si="11"/>
        <v>0</v>
      </c>
      <c r="JA36" s="11">
        <f t="shared" si="11"/>
        <v>0</v>
      </c>
      <c r="JB36" s="11">
        <f t="shared" si="11"/>
        <v>0</v>
      </c>
      <c r="JC36" s="11">
        <f t="shared" si="11"/>
        <v>0</v>
      </c>
      <c r="JD36" s="11">
        <f t="shared" si="11"/>
        <v>0</v>
      </c>
      <c r="JE36" s="11">
        <f t="shared" si="11"/>
        <v>0</v>
      </c>
      <c r="JF36" s="11">
        <f t="shared" si="11"/>
        <v>0</v>
      </c>
      <c r="JG36" s="11">
        <f t="shared" si="11"/>
        <v>0</v>
      </c>
      <c r="JH36" s="11">
        <f t="shared" si="11"/>
        <v>0</v>
      </c>
      <c r="JI36" s="11">
        <f t="shared" si="11"/>
        <v>0</v>
      </c>
      <c r="JJ36" s="11">
        <f t="shared" si="11"/>
        <v>0</v>
      </c>
      <c r="JK36" s="11">
        <f t="shared" si="11"/>
        <v>0</v>
      </c>
      <c r="JL36" s="11">
        <f t="shared" si="11"/>
        <v>0</v>
      </c>
      <c r="JM36" s="11">
        <f t="shared" si="11"/>
        <v>0</v>
      </c>
      <c r="JN36" s="11">
        <f t="shared" si="11"/>
        <v>0</v>
      </c>
      <c r="JO36" s="11">
        <f t="shared" si="11"/>
        <v>0</v>
      </c>
      <c r="JP36" s="11">
        <f t="shared" si="11"/>
        <v>0</v>
      </c>
      <c r="JQ36" s="11">
        <f t="shared" si="11"/>
        <v>0</v>
      </c>
      <c r="JR36" s="11">
        <f t="shared" si="11"/>
        <v>0</v>
      </c>
      <c r="JS36" s="11">
        <f t="shared" si="11"/>
        <v>0</v>
      </c>
      <c r="JT36" s="11">
        <f t="shared" si="11"/>
        <v>0</v>
      </c>
      <c r="JU36" s="11">
        <f t="shared" si="11"/>
        <v>0</v>
      </c>
      <c r="JV36" s="11">
        <f t="shared" si="11"/>
        <v>0</v>
      </c>
      <c r="JW36" s="11">
        <f t="shared" si="11"/>
        <v>0</v>
      </c>
      <c r="JX36" s="11">
        <f t="shared" si="11"/>
        <v>0</v>
      </c>
      <c r="JY36" s="11">
        <f t="shared" si="11"/>
        <v>0</v>
      </c>
      <c r="JZ36" s="11">
        <f t="shared" si="11"/>
        <v>0</v>
      </c>
      <c r="KA36" s="11">
        <f t="shared" si="11"/>
        <v>0</v>
      </c>
      <c r="KB36" s="11">
        <f t="shared" ref="KB36:LB36" si="12">SUM(KB5:KB35)</f>
        <v>0</v>
      </c>
      <c r="KC36" s="11">
        <f t="shared" si="12"/>
        <v>0</v>
      </c>
      <c r="KD36" s="11">
        <f t="shared" si="12"/>
        <v>0</v>
      </c>
      <c r="KE36" s="11">
        <f t="shared" si="12"/>
        <v>0</v>
      </c>
      <c r="KF36" s="11">
        <f t="shared" si="12"/>
        <v>0</v>
      </c>
      <c r="KG36" s="11">
        <f t="shared" si="12"/>
        <v>0</v>
      </c>
      <c r="KH36" s="11">
        <f t="shared" si="12"/>
        <v>0</v>
      </c>
      <c r="KI36" s="11">
        <f t="shared" si="12"/>
        <v>0</v>
      </c>
      <c r="KJ36" s="11">
        <f t="shared" si="12"/>
        <v>0</v>
      </c>
      <c r="KK36" s="11">
        <f t="shared" si="12"/>
        <v>0</v>
      </c>
      <c r="KL36" s="11">
        <f t="shared" si="12"/>
        <v>0</v>
      </c>
      <c r="KM36" s="11">
        <f t="shared" si="12"/>
        <v>0</v>
      </c>
      <c r="KN36" s="11">
        <f t="shared" si="12"/>
        <v>0</v>
      </c>
      <c r="KO36" s="11">
        <f t="shared" si="12"/>
        <v>0</v>
      </c>
      <c r="KP36" s="11">
        <f t="shared" si="12"/>
        <v>0</v>
      </c>
      <c r="KQ36" s="11">
        <f t="shared" si="12"/>
        <v>0</v>
      </c>
      <c r="KR36" s="11">
        <f t="shared" si="12"/>
        <v>0</v>
      </c>
      <c r="KS36" s="11">
        <f t="shared" si="12"/>
        <v>0</v>
      </c>
      <c r="KT36" s="11">
        <f t="shared" si="12"/>
        <v>0</v>
      </c>
      <c r="KU36" s="11">
        <f t="shared" si="12"/>
        <v>0</v>
      </c>
      <c r="KV36" s="11">
        <f t="shared" si="12"/>
        <v>0</v>
      </c>
      <c r="KW36" s="11">
        <f t="shared" si="12"/>
        <v>0</v>
      </c>
      <c r="KX36" s="11">
        <f t="shared" si="12"/>
        <v>0</v>
      </c>
      <c r="KY36" s="11">
        <f t="shared" si="12"/>
        <v>0</v>
      </c>
      <c r="KZ36" s="11">
        <f t="shared" si="12"/>
        <v>0</v>
      </c>
      <c r="LA36" s="11">
        <f t="shared" si="12"/>
        <v>0</v>
      </c>
      <c r="LB36" s="11">
        <f t="shared" si="12"/>
        <v>0</v>
      </c>
    </row>
    <row r="37" spans="1:314" ht="18" customHeight="1" thickBot="1" x14ac:dyDescent="0.3">
      <c r="A37" s="174"/>
      <c r="B37" s="8"/>
      <c r="C37" s="8"/>
      <c r="D37" s="8"/>
      <c r="E37" s="176" t="s">
        <v>145</v>
      </c>
      <c r="F37" s="1037">
        <f>SUM(F36:J36)</f>
        <v>353</v>
      </c>
      <c r="G37" s="1038"/>
      <c r="H37" s="1038"/>
      <c r="I37" s="1038"/>
      <c r="J37" s="1038"/>
      <c r="K37" s="545"/>
      <c r="L37" s="545"/>
      <c r="M37" s="545"/>
      <c r="N37" s="545"/>
      <c r="O37" s="545"/>
      <c r="P37" s="1036">
        <f>SUM(P36:Y36)</f>
        <v>467</v>
      </c>
      <c r="Q37" s="1036"/>
      <c r="R37" s="1036"/>
      <c r="S37" s="1036"/>
      <c r="T37" s="1036"/>
      <c r="U37" s="1036"/>
      <c r="V37" s="1036"/>
      <c r="W37" s="1036"/>
      <c r="X37" s="1036"/>
      <c r="Y37" s="1036"/>
      <c r="Z37" s="1036">
        <f>SUM(Z36:AI36)</f>
        <v>681</v>
      </c>
      <c r="AA37" s="1036"/>
      <c r="AB37" s="1036"/>
      <c r="AC37" s="1036"/>
      <c r="AD37" s="1036"/>
      <c r="AE37" s="1036"/>
      <c r="AF37" s="1036"/>
      <c r="AG37" s="1036"/>
      <c r="AH37" s="1036"/>
      <c r="AI37" s="1036"/>
      <c r="AJ37" s="1035">
        <f>SUM(AJ36:AS36)</f>
        <v>615</v>
      </c>
      <c r="AK37" s="1036"/>
      <c r="AL37" s="1036"/>
      <c r="AM37" s="1036"/>
      <c r="AN37" s="1036"/>
      <c r="AO37" s="1036"/>
      <c r="AP37" s="1036"/>
      <c r="AQ37" s="1036"/>
      <c r="AR37" s="1036"/>
      <c r="AS37" s="1036"/>
      <c r="AT37" s="1036">
        <f>SUM(AT36:BC36)</f>
        <v>108</v>
      </c>
      <c r="AU37" s="1036"/>
      <c r="AV37" s="1036"/>
      <c r="AW37" s="1036"/>
      <c r="AX37" s="1036"/>
      <c r="AY37" s="1036"/>
      <c r="AZ37" s="1036"/>
      <c r="BA37" s="1036"/>
      <c r="BB37" s="1036"/>
      <c r="BC37" s="1036"/>
      <c r="BD37" s="1035">
        <f>SUM(BD36:BM36)</f>
        <v>587</v>
      </c>
      <c r="BE37" s="1036"/>
      <c r="BF37" s="1036"/>
      <c r="BG37" s="1036"/>
      <c r="BH37" s="1036"/>
      <c r="BI37" s="1036"/>
      <c r="BJ37" s="1036"/>
      <c r="BK37" s="1036"/>
      <c r="BL37" s="1036"/>
      <c r="BM37" s="1036"/>
      <c r="BN37" s="1036">
        <f>SUM(BN36:BW36)</f>
        <v>394</v>
      </c>
      <c r="BO37" s="1036"/>
      <c r="BP37" s="1036"/>
      <c r="BQ37" s="1036"/>
      <c r="BR37" s="1036"/>
      <c r="BS37" s="1036"/>
      <c r="BT37" s="1036"/>
      <c r="BU37" s="1036"/>
      <c r="BV37" s="1036"/>
      <c r="BW37" s="1036"/>
      <c r="BX37" s="1035">
        <f>SUM(BX36:CG36)</f>
        <v>359</v>
      </c>
      <c r="BY37" s="1036"/>
      <c r="BZ37" s="1036"/>
      <c r="CA37" s="1036"/>
      <c r="CB37" s="1036"/>
      <c r="CC37" s="1036"/>
      <c r="CD37" s="1036"/>
      <c r="CE37" s="1036"/>
      <c r="CF37" s="1036"/>
      <c r="CG37" s="1036"/>
      <c r="CH37" s="1036">
        <f>SUM(CH36:CM36)</f>
        <v>623</v>
      </c>
      <c r="CI37" s="1036"/>
      <c r="CJ37" s="1036"/>
      <c r="CK37" s="1036"/>
      <c r="CL37" s="1036"/>
      <c r="CM37" s="1036"/>
      <c r="CN37" s="440"/>
      <c r="CO37" s="440"/>
      <c r="CP37" s="440"/>
      <c r="CQ37" s="440"/>
      <c r="CR37" s="1035">
        <f>SUM(CR36:DA36)</f>
        <v>507</v>
      </c>
      <c r="CS37" s="1036"/>
      <c r="CT37" s="1036"/>
      <c r="CU37" s="1036"/>
      <c r="CV37" s="1036"/>
      <c r="CW37" s="1036"/>
      <c r="CX37" s="1036"/>
      <c r="CY37" s="1036"/>
      <c r="CZ37" s="1036"/>
      <c r="DA37" s="1036"/>
      <c r="DB37" s="1036">
        <f>SUM(DB36:DE36)</f>
        <v>649</v>
      </c>
      <c r="DC37" s="1036"/>
      <c r="DD37" s="1036"/>
      <c r="DE37" s="1036"/>
      <c r="DF37" s="440"/>
      <c r="DG37" s="440"/>
      <c r="DH37" s="440"/>
      <c r="DI37" s="440"/>
      <c r="DJ37" s="440"/>
      <c r="DK37" s="440"/>
      <c r="DL37" s="1035">
        <f>SUM(DL36:DU36)</f>
        <v>298</v>
      </c>
      <c r="DM37" s="1036"/>
      <c r="DN37" s="1036"/>
      <c r="DO37" s="1036"/>
      <c r="DP37" s="1036"/>
      <c r="DQ37" s="1036"/>
      <c r="DR37" s="1036"/>
      <c r="DS37" s="1036"/>
      <c r="DT37" s="1036"/>
      <c r="DU37" s="1036"/>
      <c r="DV37" s="1036">
        <f>SUM(DV36:EE36)</f>
        <v>634</v>
      </c>
      <c r="DW37" s="1036"/>
      <c r="DX37" s="1036"/>
      <c r="DY37" s="1036"/>
      <c r="DZ37" s="1036"/>
      <c r="EA37" s="1036"/>
      <c r="EB37" s="1036"/>
      <c r="EC37" s="1036"/>
      <c r="ED37" s="1036"/>
      <c r="EE37" s="1036"/>
      <c r="EF37" s="1035">
        <f>SUM(EF36:EO36)</f>
        <v>708</v>
      </c>
      <c r="EG37" s="1036"/>
      <c r="EH37" s="1036"/>
      <c r="EI37" s="1036"/>
      <c r="EJ37" s="1036"/>
      <c r="EK37" s="1036"/>
      <c r="EL37" s="1036"/>
      <c r="EM37" s="1036"/>
      <c r="EN37" s="1036"/>
      <c r="EO37" s="1036"/>
      <c r="EP37" s="1036">
        <f>SUM(EP36:EU36)</f>
        <v>728</v>
      </c>
      <c r="EQ37" s="1036"/>
      <c r="ER37" s="1036"/>
      <c r="ES37" s="1036"/>
      <c r="ET37" s="1036"/>
      <c r="EU37" s="1036"/>
      <c r="EV37" s="531"/>
      <c r="EW37" s="531"/>
      <c r="EX37" s="531"/>
      <c r="EY37" s="531"/>
      <c r="EZ37" s="1039">
        <f>SUM(EZ36:FI36)</f>
        <v>677</v>
      </c>
      <c r="FA37" s="1040"/>
      <c r="FB37" s="1040"/>
      <c r="FC37" s="1040"/>
      <c r="FD37" s="1040"/>
      <c r="FE37" s="1040"/>
      <c r="FF37" s="1040"/>
      <c r="FG37" s="1040"/>
      <c r="FH37" s="1040"/>
      <c r="FI37" s="1040"/>
      <c r="FJ37" s="1036">
        <f>SUM(FJ36:FS36)</f>
        <v>468</v>
      </c>
      <c r="FK37" s="1036"/>
      <c r="FL37" s="1036"/>
      <c r="FM37" s="1036"/>
      <c r="FN37" s="1036"/>
      <c r="FO37" s="1036"/>
      <c r="FP37" s="1036"/>
      <c r="FQ37" s="1036"/>
      <c r="FR37" s="1036"/>
      <c r="FS37" s="1036"/>
      <c r="FT37" s="1035">
        <f>SUM(FT36:GC36)</f>
        <v>0</v>
      </c>
      <c r="FU37" s="1036"/>
      <c r="FV37" s="1036"/>
      <c r="FW37" s="1036"/>
      <c r="FX37" s="1036"/>
      <c r="FY37" s="1036"/>
      <c r="FZ37" s="1036"/>
      <c r="GA37" s="1036"/>
      <c r="GB37" s="1036"/>
      <c r="GC37" s="1036"/>
      <c r="GD37" s="1036">
        <f>SUM(GD36:GM36)</f>
        <v>0</v>
      </c>
      <c r="GE37" s="1036"/>
      <c r="GF37" s="1036"/>
      <c r="GG37" s="1036"/>
      <c r="GH37" s="1036"/>
      <c r="GI37" s="1036"/>
      <c r="GJ37" s="1036"/>
      <c r="GK37" s="1036"/>
      <c r="GL37" s="1036"/>
      <c r="GM37" s="1036"/>
      <c r="GN37" s="1035">
        <f>SUM(GN36:GW36)</f>
        <v>0</v>
      </c>
      <c r="GO37" s="1036"/>
      <c r="GP37" s="1036"/>
      <c r="GQ37" s="1036"/>
      <c r="GR37" s="1036"/>
      <c r="GS37" s="1036"/>
      <c r="GT37" s="1036"/>
      <c r="GU37" s="1036"/>
      <c r="GV37" s="1036"/>
      <c r="GW37" s="1036"/>
      <c r="GX37" s="1036">
        <f>SUM(GX36:HG36)</f>
        <v>0</v>
      </c>
      <c r="GY37" s="1036"/>
      <c r="GZ37" s="1036"/>
      <c r="HA37" s="1036"/>
      <c r="HB37" s="1036"/>
      <c r="HC37" s="1036"/>
      <c r="HD37" s="1036"/>
      <c r="HE37" s="1036"/>
      <c r="HF37" s="1036"/>
      <c r="HG37" s="1036"/>
      <c r="HH37" s="1035">
        <f>SUM(HH36:HL36)</f>
        <v>0</v>
      </c>
      <c r="HI37" s="1036"/>
      <c r="HJ37" s="1036"/>
      <c r="HK37" s="1036"/>
      <c r="HL37" s="1036"/>
      <c r="HM37" s="536"/>
      <c r="HN37" s="536"/>
      <c r="HO37" s="536"/>
      <c r="HP37" s="536"/>
      <c r="HQ37" s="536"/>
      <c r="HR37" s="1036">
        <f>SUM(HR36:HU36)</f>
        <v>0</v>
      </c>
      <c r="HS37" s="1036"/>
      <c r="HT37" s="1036"/>
      <c r="HU37" s="1036"/>
      <c r="HV37" s="440"/>
      <c r="HW37" s="440"/>
      <c r="HX37" s="440"/>
      <c r="HY37" s="440"/>
      <c r="HZ37" s="440"/>
      <c r="IA37" s="440"/>
      <c r="IB37" s="1035">
        <f>SUM(IB36:IK36)</f>
        <v>0</v>
      </c>
      <c r="IC37" s="1036"/>
      <c r="ID37" s="1036"/>
      <c r="IE37" s="1036"/>
      <c r="IF37" s="1036"/>
      <c r="IG37" s="1036"/>
      <c r="IH37" s="1036"/>
      <c r="II37" s="1036"/>
      <c r="IJ37" s="1036"/>
      <c r="IK37" s="1036"/>
      <c r="IL37" s="1036">
        <f>SUM(IL36:IU36)</f>
        <v>0</v>
      </c>
      <c r="IM37" s="1036"/>
      <c r="IN37" s="1036"/>
      <c r="IO37" s="1036"/>
      <c r="IP37" s="1036"/>
      <c r="IQ37" s="1036"/>
      <c r="IR37" s="1036"/>
      <c r="IS37" s="1036"/>
      <c r="IT37" s="1036"/>
      <c r="IU37" s="1036"/>
      <c r="IV37" s="1035">
        <f>SUM(IV36:JE36)</f>
        <v>0</v>
      </c>
      <c r="IW37" s="1036"/>
      <c r="IX37" s="1036"/>
      <c r="IY37" s="1036"/>
      <c r="IZ37" s="1036"/>
      <c r="JA37" s="1036"/>
      <c r="JB37" s="1036"/>
      <c r="JC37" s="1036"/>
      <c r="JD37" s="1036"/>
      <c r="JE37" s="1036"/>
      <c r="JF37" s="1036">
        <f>SUM(JF36:JN36)</f>
        <v>0</v>
      </c>
      <c r="JG37" s="1036"/>
      <c r="JH37" s="1036"/>
      <c r="JI37" s="1036"/>
      <c r="JJ37" s="1036"/>
      <c r="JK37" s="1036"/>
      <c r="JL37" s="1036"/>
      <c r="JM37" s="1036"/>
      <c r="JN37" s="1036"/>
      <c r="JO37" s="1036">
        <f>SUM(JO36:JX36)</f>
        <v>0</v>
      </c>
      <c r="JP37" s="1036"/>
      <c r="JQ37" s="1036"/>
      <c r="JR37" s="1036"/>
      <c r="JS37" s="1036"/>
      <c r="JT37" s="1036"/>
      <c r="JU37" s="1036"/>
      <c r="JV37" s="1036"/>
      <c r="JW37" s="1036"/>
      <c r="JX37" s="1036"/>
      <c r="JY37" s="1035">
        <f>SUM(JY36:KD36)</f>
        <v>0</v>
      </c>
      <c r="JZ37" s="1036"/>
      <c r="KA37" s="1036"/>
      <c r="KB37" s="1036"/>
      <c r="KC37" s="1036"/>
      <c r="KD37" s="1036"/>
      <c r="KE37" s="1036"/>
      <c r="KF37" s="1036"/>
      <c r="KG37" s="1036"/>
      <c r="KH37" s="1036"/>
      <c r="KI37" s="1035">
        <f>SUM(KI36:KR36)</f>
        <v>0</v>
      </c>
      <c r="KJ37" s="1036"/>
      <c r="KK37" s="1036"/>
      <c r="KL37" s="1036"/>
      <c r="KM37" s="1036"/>
      <c r="KN37" s="1036"/>
      <c r="KO37" s="1036"/>
      <c r="KP37" s="1036"/>
      <c r="KQ37" s="1036"/>
      <c r="KR37" s="1036"/>
      <c r="KS37" s="1035">
        <f>SUM(KS36:LB36)</f>
        <v>0</v>
      </c>
      <c r="KT37" s="1036"/>
      <c r="KU37" s="1036"/>
      <c r="KV37" s="1036"/>
      <c r="KW37" s="1036"/>
      <c r="KX37" s="1036"/>
      <c r="KY37" s="1036"/>
      <c r="KZ37" s="1036"/>
      <c r="LA37" s="1036"/>
      <c r="LB37" s="1036"/>
    </row>
    <row r="38" spans="1:314" ht="14.45" customHeight="1" x14ac:dyDescent="0.25"/>
    <row r="39" spans="1:314" x14ac:dyDescent="0.25">
      <c r="CQ39" s="534"/>
      <c r="CS39"/>
      <c r="CT39"/>
    </row>
    <row r="40" spans="1:314" x14ac:dyDescent="0.25">
      <c r="CQ40" s="534"/>
      <c r="CS40"/>
      <c r="CT40"/>
      <c r="EP40" s="85"/>
    </row>
    <row r="41" spans="1:314" x14ac:dyDescent="0.25">
      <c r="CQ41" s="534"/>
      <c r="CS41"/>
      <c r="CT41"/>
    </row>
    <row r="42" spans="1:314" x14ac:dyDescent="0.25">
      <c r="CQ42" s="534"/>
      <c r="CS42"/>
      <c r="CT42"/>
    </row>
    <row r="43" spans="1:314" x14ac:dyDescent="0.25">
      <c r="CQ43" s="534"/>
      <c r="CS43"/>
      <c r="CT43"/>
    </row>
    <row r="44" spans="1:314" x14ac:dyDescent="0.25">
      <c r="CQ44" s="534"/>
      <c r="CS44"/>
      <c r="CT44"/>
    </row>
    <row r="45" spans="1:314" x14ac:dyDescent="0.25">
      <c r="CQ45" s="534"/>
      <c r="CS45"/>
      <c r="CT45"/>
    </row>
    <row r="46" spans="1:314" x14ac:dyDescent="0.25">
      <c r="CQ46" s="534"/>
      <c r="CS46"/>
      <c r="CT46"/>
    </row>
    <row r="47" spans="1:314" ht="15.75" x14ac:dyDescent="0.25">
      <c r="CQ47" s="534"/>
      <c r="CS47"/>
      <c r="CT47"/>
      <c r="EY47" s="589"/>
    </row>
    <row r="48" spans="1:314" x14ac:dyDescent="0.25">
      <c r="CQ48" s="534"/>
      <c r="CS48"/>
      <c r="CT48"/>
    </row>
    <row r="49" spans="95:98" x14ac:dyDescent="0.25">
      <c r="CQ49" s="534"/>
      <c r="CS49"/>
      <c r="CT49"/>
    </row>
    <row r="50" spans="95:98" x14ac:dyDescent="0.25">
      <c r="CQ50" s="534"/>
      <c r="CS50"/>
      <c r="CT50"/>
    </row>
    <row r="51" spans="95:98" x14ac:dyDescent="0.25">
      <c r="CQ51" s="534"/>
      <c r="CS51"/>
      <c r="CT51"/>
    </row>
    <row r="52" spans="95:98" x14ac:dyDescent="0.25">
      <c r="CQ52" s="534"/>
      <c r="CS52"/>
      <c r="CT52"/>
    </row>
    <row r="53" spans="95:98" x14ac:dyDescent="0.25">
      <c r="CQ53" s="534"/>
      <c r="CS53"/>
      <c r="CT53"/>
    </row>
    <row r="54" spans="95:98" x14ac:dyDescent="0.25">
      <c r="CQ54" s="534"/>
      <c r="CS54"/>
      <c r="CT54"/>
    </row>
    <row r="55" spans="95:98" x14ac:dyDescent="0.25">
      <c r="CQ55" s="534"/>
      <c r="CS55"/>
      <c r="CT55"/>
    </row>
    <row r="56" spans="95:98" x14ac:dyDescent="0.25">
      <c r="CQ56" s="534"/>
      <c r="CS56"/>
      <c r="CT56"/>
    </row>
    <row r="57" spans="95:98" x14ac:dyDescent="0.25">
      <c r="CQ57" s="534"/>
      <c r="CS57"/>
      <c r="CT57"/>
    </row>
    <row r="58" spans="95:98" x14ac:dyDescent="0.25">
      <c r="CQ58" s="534"/>
      <c r="CS58"/>
      <c r="CT58"/>
    </row>
    <row r="59" spans="95:98" x14ac:dyDescent="0.25">
      <c r="CQ59" s="534"/>
      <c r="CS59"/>
      <c r="CT59"/>
    </row>
    <row r="60" spans="95:98" x14ac:dyDescent="0.25">
      <c r="CQ60" s="534"/>
      <c r="CS60"/>
      <c r="CT60"/>
    </row>
    <row r="61" spans="95:98" x14ac:dyDescent="0.25">
      <c r="CQ61" s="534"/>
      <c r="CS61"/>
      <c r="CT61"/>
    </row>
    <row r="62" spans="95:98" x14ac:dyDescent="0.25">
      <c r="CQ62" s="534"/>
      <c r="CS62"/>
      <c r="CT62"/>
    </row>
    <row r="63" spans="95:98" x14ac:dyDescent="0.25">
      <c r="CQ63" s="534"/>
      <c r="CS63"/>
      <c r="CT63"/>
    </row>
    <row r="64" spans="95:98" x14ac:dyDescent="0.25">
      <c r="CQ64" s="534"/>
      <c r="CS64"/>
      <c r="CT64"/>
    </row>
    <row r="65" spans="95:98" x14ac:dyDescent="0.25">
      <c r="CQ65" s="534"/>
      <c r="CS65"/>
      <c r="CT65"/>
    </row>
    <row r="66" spans="95:98" x14ac:dyDescent="0.25">
      <c r="CQ66" s="534"/>
      <c r="CS66"/>
      <c r="CT66"/>
    </row>
    <row r="67" spans="95:98" x14ac:dyDescent="0.25">
      <c r="CQ67" s="534"/>
      <c r="CS67"/>
      <c r="CT67"/>
    </row>
    <row r="68" spans="95:98" x14ac:dyDescent="0.25">
      <c r="CQ68" s="534"/>
      <c r="CS68"/>
      <c r="CT68"/>
    </row>
    <row r="69" spans="95:98" x14ac:dyDescent="0.25">
      <c r="CQ69" s="534"/>
      <c r="CS69"/>
      <c r="CT69"/>
    </row>
    <row r="70" spans="95:98" x14ac:dyDescent="0.25">
      <c r="CQ70" s="534"/>
      <c r="CS70"/>
      <c r="CT70"/>
    </row>
    <row r="71" spans="95:98" x14ac:dyDescent="0.25">
      <c r="CQ71" s="534"/>
      <c r="CS71"/>
      <c r="CT71"/>
    </row>
    <row r="72" spans="95:98" x14ac:dyDescent="0.25">
      <c r="CQ72" s="534"/>
      <c r="CS72"/>
      <c r="CT72"/>
    </row>
    <row r="73" spans="95:98" x14ac:dyDescent="0.25">
      <c r="CQ73" s="534"/>
      <c r="CS73"/>
      <c r="CT73"/>
    </row>
    <row r="74" spans="95:98" x14ac:dyDescent="0.25">
      <c r="CQ74" s="534"/>
      <c r="CS74"/>
      <c r="CT74"/>
    </row>
    <row r="75" spans="95:98" x14ac:dyDescent="0.25">
      <c r="CQ75" s="534"/>
      <c r="CS75"/>
      <c r="CT75"/>
    </row>
    <row r="76" spans="95:98" x14ac:dyDescent="0.25">
      <c r="CQ76" s="534"/>
      <c r="CS76"/>
      <c r="CT76"/>
    </row>
    <row r="77" spans="95:98" x14ac:dyDescent="0.25">
      <c r="CQ77" s="534"/>
      <c r="CS77"/>
      <c r="CT77"/>
    </row>
    <row r="78" spans="95:98" x14ac:dyDescent="0.25">
      <c r="CQ78" s="534"/>
      <c r="CS78"/>
      <c r="CT78"/>
    </row>
    <row r="79" spans="95:98" x14ac:dyDescent="0.25">
      <c r="CQ79" s="534"/>
      <c r="CS79"/>
      <c r="CT79"/>
    </row>
    <row r="80" spans="95:98" x14ac:dyDescent="0.25">
      <c r="CQ80" s="534"/>
      <c r="CS80"/>
      <c r="CT80"/>
    </row>
    <row r="81" spans="95:98" x14ac:dyDescent="0.25">
      <c r="CQ81" s="534"/>
      <c r="CS81"/>
      <c r="CT81"/>
    </row>
    <row r="82" spans="95:98" x14ac:dyDescent="0.25">
      <c r="CQ82" s="534"/>
      <c r="CS82"/>
      <c r="CT82"/>
    </row>
    <row r="83" spans="95:98" x14ac:dyDescent="0.25">
      <c r="CQ83" s="534"/>
      <c r="CS83"/>
      <c r="CT83"/>
    </row>
    <row r="84" spans="95:98" x14ac:dyDescent="0.25">
      <c r="CQ84" s="534"/>
      <c r="CS84"/>
      <c r="CT84"/>
    </row>
    <row r="85" spans="95:98" x14ac:dyDescent="0.25">
      <c r="CQ85" s="534"/>
      <c r="CS85"/>
      <c r="CT85"/>
    </row>
    <row r="86" spans="95:98" x14ac:dyDescent="0.25">
      <c r="CQ86" s="534"/>
      <c r="CS86"/>
      <c r="CT86"/>
    </row>
    <row r="87" spans="95:98" x14ac:dyDescent="0.25">
      <c r="CQ87" s="534"/>
      <c r="CS87"/>
      <c r="CT87"/>
    </row>
    <row r="88" spans="95:98" x14ac:dyDescent="0.25">
      <c r="CQ88" s="534"/>
      <c r="CS88"/>
      <c r="CT88"/>
    </row>
    <row r="89" spans="95:98" x14ac:dyDescent="0.25">
      <c r="CQ89" s="534"/>
      <c r="CS89"/>
      <c r="CT89"/>
    </row>
    <row r="90" spans="95:98" x14ac:dyDescent="0.25">
      <c r="CQ90" s="534"/>
      <c r="CS90"/>
      <c r="CT90"/>
    </row>
    <row r="91" spans="95:98" x14ac:dyDescent="0.25">
      <c r="CQ91" s="534"/>
      <c r="CS91"/>
      <c r="CT91"/>
    </row>
    <row r="92" spans="95:98" x14ac:dyDescent="0.25">
      <c r="CQ92" s="534"/>
      <c r="CS92"/>
      <c r="CT92"/>
    </row>
    <row r="93" spans="95:98" x14ac:dyDescent="0.25">
      <c r="CQ93" s="534"/>
      <c r="CS93"/>
      <c r="CT93"/>
    </row>
    <row r="94" spans="95:98" x14ac:dyDescent="0.25">
      <c r="CQ94" s="534"/>
      <c r="CS94"/>
      <c r="CT94"/>
    </row>
    <row r="95" spans="95:98" x14ac:dyDescent="0.25">
      <c r="CQ95" s="534"/>
      <c r="CS95"/>
      <c r="CT95"/>
    </row>
    <row r="96" spans="95:98" x14ac:dyDescent="0.25">
      <c r="CQ96" s="534"/>
      <c r="CS96"/>
      <c r="CT96"/>
    </row>
    <row r="97" spans="95:98" x14ac:dyDescent="0.25">
      <c r="CQ97" s="534"/>
      <c r="CS97"/>
      <c r="CT97"/>
    </row>
    <row r="98" spans="95:98" x14ac:dyDescent="0.25">
      <c r="CQ98" s="534"/>
      <c r="CS98"/>
      <c r="CT98"/>
    </row>
    <row r="99" spans="95:98" x14ac:dyDescent="0.25">
      <c r="CQ99" s="534"/>
      <c r="CS99"/>
      <c r="CT99"/>
    </row>
    <row r="100" spans="95:98" x14ac:dyDescent="0.25">
      <c r="CQ100" s="534"/>
      <c r="CS100"/>
      <c r="CT100"/>
    </row>
    <row r="101" spans="95:98" x14ac:dyDescent="0.25">
      <c r="CQ101" s="534"/>
      <c r="CS101"/>
      <c r="CT101"/>
    </row>
    <row r="102" spans="95:98" x14ac:dyDescent="0.25">
      <c r="CQ102" s="534"/>
      <c r="CS102"/>
      <c r="CT102"/>
    </row>
    <row r="103" spans="95:98" x14ac:dyDescent="0.25">
      <c r="CQ103" s="534"/>
      <c r="CS103"/>
      <c r="CT103"/>
    </row>
    <row r="104" spans="95:98" x14ac:dyDescent="0.25">
      <c r="CQ104" s="534"/>
      <c r="CS104"/>
      <c r="CT104"/>
    </row>
    <row r="105" spans="95:98" x14ac:dyDescent="0.25">
      <c r="CQ105" s="534"/>
      <c r="CS105"/>
      <c r="CT105"/>
    </row>
    <row r="106" spans="95:98" x14ac:dyDescent="0.25">
      <c r="CQ106" s="534"/>
      <c r="CS106"/>
      <c r="CT106"/>
    </row>
    <row r="107" spans="95:98" x14ac:dyDescent="0.25">
      <c r="CQ107" s="534"/>
      <c r="CS107"/>
      <c r="CT107"/>
    </row>
    <row r="108" spans="95:98" x14ac:dyDescent="0.25">
      <c r="CQ108" s="534"/>
      <c r="CS108"/>
      <c r="CT108"/>
    </row>
    <row r="109" spans="95:98" x14ac:dyDescent="0.25">
      <c r="CQ109" s="534"/>
      <c r="CS109"/>
      <c r="CT109"/>
    </row>
    <row r="110" spans="95:98" x14ac:dyDescent="0.25">
      <c r="CQ110" s="534"/>
      <c r="CS110"/>
      <c r="CT110"/>
    </row>
    <row r="111" spans="95:98" x14ac:dyDescent="0.25">
      <c r="CQ111" s="534"/>
      <c r="CS111"/>
      <c r="CT111"/>
    </row>
    <row r="112" spans="95:98" x14ac:dyDescent="0.25">
      <c r="CQ112" s="534"/>
      <c r="CS112"/>
      <c r="CT112"/>
    </row>
    <row r="113" spans="95:98" x14ac:dyDescent="0.25">
      <c r="CQ113" s="534"/>
      <c r="CS113"/>
      <c r="CT113"/>
    </row>
  </sheetData>
  <autoFilter ref="A4:LB37" xr:uid="{00000000-0009-0000-0000-00000B000000}"/>
  <mergeCells count="65">
    <mergeCell ref="KI1:KR1"/>
    <mergeCell ref="KS1:LB1"/>
    <mergeCell ref="KS37:LB37"/>
    <mergeCell ref="IL37:IU37"/>
    <mergeCell ref="IV37:JE37"/>
    <mergeCell ref="JF37:JN37"/>
    <mergeCell ref="JO37:JX37"/>
    <mergeCell ref="JY37:KH37"/>
    <mergeCell ref="KI37:KR37"/>
    <mergeCell ref="JO1:JX1"/>
    <mergeCell ref="JY1:KH1"/>
    <mergeCell ref="IV1:JE1"/>
    <mergeCell ref="JF1:JN1"/>
    <mergeCell ref="EP1:EY1"/>
    <mergeCell ref="BN37:BW37"/>
    <mergeCell ref="BX37:CG37"/>
    <mergeCell ref="CH37:CM37"/>
    <mergeCell ref="CR37:DA37"/>
    <mergeCell ref="DB37:DE37"/>
    <mergeCell ref="DB1:DK1"/>
    <mergeCell ref="CH1:CQ1"/>
    <mergeCell ref="BX1:CG1"/>
    <mergeCell ref="DV37:EE37"/>
    <mergeCell ref="EF37:EO37"/>
    <mergeCell ref="EP37:EU37"/>
    <mergeCell ref="HH1:HQ1"/>
    <mergeCell ref="IB37:IK37"/>
    <mergeCell ref="HR1:IA1"/>
    <mergeCell ref="EZ37:FI37"/>
    <mergeCell ref="FJ37:FS37"/>
    <mergeCell ref="FT37:GC37"/>
    <mergeCell ref="GD37:GM37"/>
    <mergeCell ref="GN37:GW37"/>
    <mergeCell ref="HR37:HU37"/>
    <mergeCell ref="F37:J37"/>
    <mergeCell ref="P37:Y37"/>
    <mergeCell ref="Z37:AI37"/>
    <mergeCell ref="AJ37:AS37"/>
    <mergeCell ref="AT37:BC37"/>
    <mergeCell ref="BD37:BM37"/>
    <mergeCell ref="IB1:IK1"/>
    <mergeCell ref="IL1:IU1"/>
    <mergeCell ref="EZ1:FI1"/>
    <mergeCell ref="FJ1:FS1"/>
    <mergeCell ref="FT1:GC1"/>
    <mergeCell ref="GD1:GM1"/>
    <mergeCell ref="GN1:GW1"/>
    <mergeCell ref="GX1:HG1"/>
    <mergeCell ref="CR1:DA1"/>
    <mergeCell ref="DL1:DU1"/>
    <mergeCell ref="DV1:EE1"/>
    <mergeCell ref="EF1:EO1"/>
    <mergeCell ref="DL37:DU37"/>
    <mergeCell ref="GX37:HG37"/>
    <mergeCell ref="HH37:HL37"/>
    <mergeCell ref="B1:B4"/>
    <mergeCell ref="C1:C4"/>
    <mergeCell ref="E1:E4"/>
    <mergeCell ref="P1:Y1"/>
    <mergeCell ref="F1:O1"/>
    <mergeCell ref="Z1:AI1"/>
    <mergeCell ref="AJ1:AS1"/>
    <mergeCell ref="AT1:BC1"/>
    <mergeCell ref="BD1:BM1"/>
    <mergeCell ref="BN1:BW1"/>
  </mergeCells>
  <phoneticPr fontId="92" type="noConversion"/>
  <conditionalFormatting sqref="A31:A32">
    <cfRule type="duplicateValues" dxfId="70" priority="4249"/>
    <cfRule type="duplicateValues" dxfId="69" priority="4278"/>
  </conditionalFormatting>
  <conditionalFormatting sqref="A31:A34">
    <cfRule type="duplicateValues" dxfId="68" priority="4282"/>
  </conditionalFormatting>
  <conditionalFormatting sqref="A33:A34">
    <cfRule type="duplicateValues" dxfId="67" priority="4284"/>
  </conditionalFormatting>
  <conditionalFormatting sqref="A35">
    <cfRule type="duplicateValues" dxfId="66" priority="4279"/>
  </conditionalFormatting>
  <conditionalFormatting sqref="A36:A1048576 A1:A4 A31:A32">
    <cfRule type="duplicateValues" dxfId="65" priority="22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PG47"/>
  <sheetViews>
    <sheetView zoomScaleNormal="100" workbookViewId="0">
      <pane xSplit="4" topLeftCell="E1" activePane="topRight" state="frozen"/>
      <selection activeCell="A28" sqref="A28"/>
      <selection pane="topRight" activeCell="HU4" sqref="HU4"/>
    </sheetView>
  </sheetViews>
  <sheetFormatPr defaultColWidth="3.42578125" defaultRowHeight="15" outlineLevelCol="1" x14ac:dyDescent="0.25"/>
  <cols>
    <col min="1" max="1" width="20" bestFit="1" customWidth="1"/>
    <col min="2" max="2" width="9" customWidth="1"/>
    <col min="3" max="3" width="7.28515625" customWidth="1"/>
    <col min="4" max="4" width="13.140625" customWidth="1"/>
    <col min="5" max="5" width="8" customWidth="1"/>
    <col min="6" max="6" width="4.140625" hidden="1" customWidth="1" outlineLevel="1"/>
    <col min="7" max="7" width="3.42578125" hidden="1" customWidth="1" outlineLevel="1"/>
    <col min="8" max="8" width="4.28515625" hidden="1" customWidth="1" outlineLevel="1"/>
    <col min="9" max="9" width="4.5703125" hidden="1" customWidth="1" outlineLevel="1"/>
    <col min="10" max="20" width="3.42578125" hidden="1" customWidth="1" outlineLevel="1"/>
    <col min="21" max="26" width="4.28515625" hidden="1" customWidth="1" outlineLevel="1"/>
    <col min="27" max="33" width="3.42578125" hidden="1" customWidth="1" outlineLevel="1"/>
    <col min="34" max="43" width="3.7109375" hidden="1" customWidth="1" outlineLevel="1"/>
    <col min="44" max="46" width="3.42578125" hidden="1" customWidth="1" outlineLevel="1"/>
    <col min="47" max="55" width="3.7109375" hidden="1" customWidth="1" outlineLevel="1"/>
    <col min="56" max="74" width="3.42578125" hidden="1" customWidth="1" outlineLevel="1"/>
    <col min="75" max="85" width="3.7109375" hidden="1" customWidth="1" outlineLevel="1"/>
    <col min="86" max="86" width="3.42578125" hidden="1" customWidth="1" outlineLevel="1"/>
    <col min="87" max="87" width="4.28515625" hidden="1" customWidth="1" outlineLevel="1"/>
    <col min="88" max="88" width="3.42578125" hidden="1" customWidth="1" outlineLevel="1"/>
    <col min="89" max="96" width="3.7109375" hidden="1" customWidth="1" outlineLevel="1"/>
    <col min="97" max="97" width="3.5703125" hidden="1" customWidth="1" outlineLevel="1"/>
    <col min="98" max="102" width="3.42578125" hidden="1" customWidth="1" outlineLevel="1"/>
    <col min="103" max="110" width="3.7109375" hidden="1" customWidth="1" outlineLevel="1"/>
    <col min="111" max="114" width="3.42578125" hidden="1" customWidth="1" outlineLevel="1"/>
    <col min="115" max="116" width="3.7109375" hidden="1" customWidth="1" outlineLevel="1"/>
    <col min="117" max="117" width="4" hidden="1" customWidth="1" outlineLevel="1"/>
    <col min="118" max="119" width="3.7109375" hidden="1" customWidth="1" outlineLevel="1"/>
    <col min="120" max="120" width="3.28515625" hidden="1" customWidth="1" outlineLevel="1"/>
    <col min="121" max="122" width="3.7109375" hidden="1" customWidth="1" outlineLevel="1"/>
    <col min="123" max="126" width="3.42578125" hidden="1" customWidth="1" outlineLevel="1"/>
    <col min="127" max="135" width="3.7109375" hidden="1" customWidth="1" outlineLevel="1"/>
    <col min="136" max="139" width="3.42578125" hidden="1" customWidth="1" outlineLevel="1"/>
    <col min="140" max="148" width="3.7109375" hidden="1" customWidth="1" outlineLevel="1"/>
    <col min="149" max="151" width="3.42578125" hidden="1" customWidth="1" outlineLevel="1"/>
    <col min="152" max="156" width="3.7109375" hidden="1" customWidth="1" outlineLevel="1"/>
    <col min="157" max="163" width="3.42578125" hidden="1" customWidth="1" outlineLevel="1"/>
    <col min="164" max="166" width="3.7109375" hidden="1" customWidth="1" outlineLevel="1"/>
    <col min="167" max="167" width="4.28515625" hidden="1" customWidth="1" outlineLevel="1"/>
    <col min="168" max="170" width="3.7109375" hidden="1" customWidth="1" outlineLevel="1"/>
    <col min="171" max="175" width="3.42578125" hidden="1" customWidth="1" outlineLevel="1"/>
    <col min="176" max="178" width="3.7109375" hidden="1" customWidth="1" outlineLevel="1"/>
    <col min="179" max="179" width="4.42578125" hidden="1" customWidth="1" outlineLevel="1"/>
    <col min="180" max="181" width="3.7109375" hidden="1" customWidth="1" outlineLevel="1"/>
    <col min="182" max="187" width="3.42578125" hidden="1" customWidth="1" outlineLevel="1"/>
    <col min="188" max="190" width="3.7109375" hidden="1" customWidth="1" outlineLevel="1"/>
    <col min="191" max="191" width="3.85546875" hidden="1" customWidth="1" outlineLevel="1"/>
    <col min="192" max="193" width="3.7109375" hidden="1" customWidth="1" outlineLevel="1"/>
    <col min="194" max="194" width="4.5703125" hidden="1" customWidth="1" outlineLevel="1"/>
    <col min="195" max="200" width="3.42578125" hidden="1" customWidth="1" outlineLevel="1"/>
    <col min="201" max="204" width="3.7109375" customWidth="1" outlineLevel="1"/>
    <col min="205" max="205" width="3.42578125" customWidth="1" outlineLevel="1"/>
    <col min="206" max="208" width="3.7109375" customWidth="1" outlineLevel="1"/>
    <col min="209" max="214" width="3.42578125" customWidth="1" outlineLevel="1"/>
    <col min="215" max="222" width="3.7109375" customWidth="1" outlineLevel="1"/>
    <col min="223" max="228" width="3.42578125" customWidth="1" outlineLevel="1"/>
    <col min="229" max="235" width="3.7109375" customWidth="1" outlineLevel="1"/>
    <col min="236" max="242" width="3.42578125" customWidth="1" outlineLevel="1"/>
    <col min="243" max="250" width="3.7109375" customWidth="1" outlineLevel="1"/>
    <col min="251" max="251" width="3.42578125" customWidth="1" outlineLevel="1"/>
    <col min="252" max="252" width="3.7109375" customWidth="1" outlineLevel="1"/>
    <col min="253" max="256" width="3.42578125" customWidth="1" outlineLevel="1"/>
    <col min="257" max="262" width="3.7109375" customWidth="1" outlineLevel="1"/>
    <col min="263" max="263" width="3.42578125" customWidth="1" outlineLevel="1"/>
    <col min="264" max="265" width="3.7109375" customWidth="1" outlineLevel="1"/>
    <col min="266" max="269" width="3.42578125" customWidth="1" outlineLevel="1"/>
    <col min="270" max="270" width="3.7109375" customWidth="1" outlineLevel="1"/>
    <col min="271" max="271" width="5.140625" customWidth="1" outlineLevel="1"/>
    <col min="272" max="272" width="4" customWidth="1" outlineLevel="1"/>
    <col min="273" max="273" width="3.42578125" customWidth="1" outlineLevel="1"/>
    <col min="274" max="274" width="3.28515625" customWidth="1" outlineLevel="1"/>
    <col min="275" max="285" width="3.42578125" customWidth="1" outlineLevel="1"/>
    <col min="286" max="286" width="4" customWidth="1" outlineLevel="1"/>
    <col min="287" max="289" width="3.7109375" customWidth="1" outlineLevel="1"/>
    <col min="290" max="297" width="3.42578125" customWidth="1" outlineLevel="1"/>
    <col min="298" max="301" width="3.7109375" customWidth="1" outlineLevel="1"/>
    <col min="302" max="302" width="3.42578125" customWidth="1" outlineLevel="1"/>
    <col min="303" max="308" width="3.7109375" customWidth="1" outlineLevel="1"/>
    <col min="309" max="312" width="3.42578125" customWidth="1" outlineLevel="1"/>
    <col min="313" max="318" width="3.7109375" customWidth="1" outlineLevel="1"/>
    <col min="319" max="319" width="3.42578125" customWidth="1" outlineLevel="1"/>
    <col min="320" max="321" width="3.7109375" customWidth="1" outlineLevel="1"/>
    <col min="322" max="326" width="3.42578125" customWidth="1" outlineLevel="1"/>
    <col min="327" max="328" width="3.7109375" customWidth="1" outlineLevel="1"/>
    <col min="329" max="329" width="3.42578125" customWidth="1" outlineLevel="1"/>
    <col min="330" max="333" width="3.7109375" customWidth="1" outlineLevel="1"/>
    <col min="334" max="340" width="3.42578125" customWidth="1" outlineLevel="1"/>
    <col min="341" max="341" width="3.7109375" customWidth="1" outlineLevel="1"/>
    <col min="342" max="342" width="3.42578125" customWidth="1" outlineLevel="1"/>
    <col min="343" max="346" width="3.7109375" customWidth="1" outlineLevel="1"/>
    <col min="347" max="354" width="3.42578125" customWidth="1" outlineLevel="1"/>
    <col min="355" max="356" width="3.7109375" customWidth="1" outlineLevel="1"/>
    <col min="357" max="357" width="4" customWidth="1" outlineLevel="1"/>
    <col min="358" max="358" width="4.28515625" customWidth="1" outlineLevel="1"/>
    <col min="359" max="362" width="3.7109375" customWidth="1" outlineLevel="1"/>
    <col min="363" max="363" width="4.42578125" customWidth="1" outlineLevel="1"/>
    <col min="364" max="368" width="3.42578125" customWidth="1" outlineLevel="1"/>
    <col min="369" max="374" width="3.7109375" customWidth="1" outlineLevel="1"/>
    <col min="375" max="382" width="3.42578125" customWidth="1" outlineLevel="1"/>
    <col min="383" max="392" width="3.7109375" customWidth="1" outlineLevel="1"/>
    <col min="393" max="395" width="3.42578125" customWidth="1" outlineLevel="1"/>
    <col min="396" max="398" width="3.7109375" customWidth="1" outlineLevel="1"/>
    <col min="399" max="399" width="4" customWidth="1" outlineLevel="1"/>
    <col min="400" max="402" width="3.7109375" customWidth="1" outlineLevel="1"/>
    <col min="403" max="409" width="3.42578125" customWidth="1" outlineLevel="1"/>
    <col min="410" max="410" width="3.7109375" bestFit="1" customWidth="1" outlineLevel="1"/>
    <col min="411" max="411" width="4" bestFit="1" customWidth="1" outlineLevel="1"/>
    <col min="412" max="415" width="3.7109375" bestFit="1" customWidth="1" outlineLevel="1"/>
    <col min="416" max="423" width="3.42578125" outlineLevel="1"/>
  </cols>
  <sheetData>
    <row r="1" spans="1:423" ht="15" customHeight="1" x14ac:dyDescent="0.25">
      <c r="A1" s="1041" t="s">
        <v>704</v>
      </c>
      <c r="B1" s="1044" t="s">
        <v>69</v>
      </c>
      <c r="C1" s="1047" t="s">
        <v>70</v>
      </c>
      <c r="D1" s="1055" t="s">
        <v>752</v>
      </c>
      <c r="E1" s="1050" t="s">
        <v>68</v>
      </c>
      <c r="F1" s="1053">
        <v>46204</v>
      </c>
      <c r="G1" s="1054"/>
      <c r="H1" s="1054"/>
      <c r="I1" s="1054"/>
      <c r="J1" s="1054"/>
      <c r="K1" s="1054"/>
      <c r="L1" s="1054"/>
      <c r="M1" s="1054"/>
      <c r="N1" s="1054"/>
      <c r="O1" s="1054"/>
      <c r="P1" s="1054"/>
      <c r="Q1" s="1054"/>
      <c r="R1" s="1054"/>
      <c r="S1" s="1054"/>
      <c r="T1" s="1053">
        <v>46205</v>
      </c>
      <c r="U1" s="1054"/>
      <c r="V1" s="1054"/>
      <c r="W1" s="1054"/>
      <c r="X1" s="1054"/>
      <c r="Y1" s="1054"/>
      <c r="Z1" s="1054"/>
      <c r="AA1" s="1054"/>
      <c r="AB1" s="1054"/>
      <c r="AC1" s="1054"/>
      <c r="AD1" s="1054"/>
      <c r="AE1" s="1054"/>
      <c r="AF1" s="1054"/>
      <c r="AG1" s="1054"/>
      <c r="AH1" s="1053">
        <v>46206</v>
      </c>
      <c r="AI1" s="1054"/>
      <c r="AJ1" s="1054"/>
      <c r="AK1" s="1054"/>
      <c r="AL1" s="1054"/>
      <c r="AM1" s="1054"/>
      <c r="AN1" s="1054"/>
      <c r="AO1" s="1054"/>
      <c r="AP1" s="1054"/>
      <c r="AQ1" s="1054"/>
      <c r="AR1" s="1054"/>
      <c r="AS1" s="1054"/>
      <c r="AT1" s="1054"/>
      <c r="AU1" s="1053">
        <v>46207</v>
      </c>
      <c r="AV1" s="1054"/>
      <c r="AW1" s="1054"/>
      <c r="AX1" s="1054"/>
      <c r="AY1" s="1054"/>
      <c r="AZ1" s="1054"/>
      <c r="BA1" s="1054"/>
      <c r="BB1" s="1054"/>
      <c r="BC1" s="1054"/>
      <c r="BD1" s="1054"/>
      <c r="BE1" s="1054"/>
      <c r="BF1" s="1054"/>
      <c r="BG1" s="1054"/>
      <c r="BH1" s="1054"/>
      <c r="BI1" s="1053">
        <v>46208</v>
      </c>
      <c r="BJ1" s="1054"/>
      <c r="BK1" s="1054"/>
      <c r="BL1" s="1054"/>
      <c r="BM1" s="1054"/>
      <c r="BN1" s="1054"/>
      <c r="BO1" s="1054"/>
      <c r="BP1" s="1054"/>
      <c r="BQ1" s="1054"/>
      <c r="BR1" s="1054"/>
      <c r="BS1" s="1054"/>
      <c r="BT1" s="1054"/>
      <c r="BU1" s="1054"/>
      <c r="BV1" s="1054"/>
      <c r="BW1" s="1053">
        <v>46209</v>
      </c>
      <c r="BX1" s="1054"/>
      <c r="BY1" s="1054"/>
      <c r="BZ1" s="1054"/>
      <c r="CA1" s="1054"/>
      <c r="CB1" s="1054"/>
      <c r="CC1" s="1054"/>
      <c r="CD1" s="1054"/>
      <c r="CE1" s="1054"/>
      <c r="CF1" s="1054"/>
      <c r="CG1" s="1054"/>
      <c r="CH1" s="1054"/>
      <c r="CI1" s="1054"/>
      <c r="CJ1" s="1054"/>
      <c r="CK1" s="1053">
        <v>46210</v>
      </c>
      <c r="CL1" s="1054"/>
      <c r="CM1" s="1054"/>
      <c r="CN1" s="1054"/>
      <c r="CO1" s="1054"/>
      <c r="CP1" s="1054"/>
      <c r="CQ1" s="1054"/>
      <c r="CR1" s="1054"/>
      <c r="CS1" s="1054"/>
      <c r="CT1" s="1054"/>
      <c r="CU1" s="1054"/>
      <c r="CV1" s="1054"/>
      <c r="CW1" s="1054"/>
      <c r="CX1" s="1053">
        <v>46211</v>
      </c>
      <c r="CY1" s="1054"/>
      <c r="CZ1" s="1054"/>
      <c r="DA1" s="1054"/>
      <c r="DB1" s="1054"/>
      <c r="DC1" s="1054"/>
      <c r="DD1" s="1054"/>
      <c r="DE1" s="1054"/>
      <c r="DF1" s="1054"/>
      <c r="DG1" s="1054"/>
      <c r="DH1" s="1054"/>
      <c r="DI1" s="1054"/>
      <c r="DJ1" s="1054"/>
      <c r="DK1" s="1053">
        <v>46212</v>
      </c>
      <c r="DL1" s="1054"/>
      <c r="DM1" s="1054"/>
      <c r="DN1" s="1054"/>
      <c r="DO1" s="1054"/>
      <c r="DP1" s="1054"/>
      <c r="DQ1" s="1054"/>
      <c r="DR1" s="1054"/>
      <c r="DS1" s="1054"/>
      <c r="DT1" s="1054"/>
      <c r="DU1" s="1054"/>
      <c r="DV1" s="1054"/>
      <c r="DW1" s="1053">
        <v>46213</v>
      </c>
      <c r="DX1" s="1054"/>
      <c r="DY1" s="1054"/>
      <c r="DZ1" s="1054"/>
      <c r="EA1" s="1054"/>
      <c r="EB1" s="1054"/>
      <c r="EC1" s="1054"/>
      <c r="ED1" s="1054"/>
      <c r="EE1" s="1054"/>
      <c r="EF1" s="1054"/>
      <c r="EG1" s="1054"/>
      <c r="EH1" s="1054"/>
      <c r="EI1" s="1054"/>
      <c r="EJ1" s="1053">
        <v>46214</v>
      </c>
      <c r="EK1" s="1054"/>
      <c r="EL1" s="1054"/>
      <c r="EM1" s="1054"/>
      <c r="EN1" s="1054"/>
      <c r="EO1" s="1054"/>
      <c r="EP1" s="1054"/>
      <c r="EQ1" s="1054"/>
      <c r="ER1" s="1054"/>
      <c r="ES1" s="1054"/>
      <c r="ET1" s="1054"/>
      <c r="EU1" s="1054"/>
      <c r="EV1" s="1053">
        <v>46215</v>
      </c>
      <c r="EW1" s="1054"/>
      <c r="EX1" s="1054"/>
      <c r="EY1" s="1054"/>
      <c r="EZ1" s="1054"/>
      <c r="FA1" s="1054"/>
      <c r="FB1" s="1054"/>
      <c r="FC1" s="1054"/>
      <c r="FD1" s="1054"/>
      <c r="FE1" s="1054"/>
      <c r="FF1" s="1054"/>
      <c r="FG1" s="1054"/>
      <c r="FH1" s="1053">
        <v>46216</v>
      </c>
      <c r="FI1" s="1054"/>
      <c r="FJ1" s="1054"/>
      <c r="FK1" s="1054"/>
      <c r="FL1" s="1054"/>
      <c r="FM1" s="1054"/>
      <c r="FN1" s="1054"/>
      <c r="FO1" s="1054"/>
      <c r="FP1" s="1054"/>
      <c r="FQ1" s="1054"/>
      <c r="FR1" s="1054"/>
      <c r="FS1" s="1054"/>
      <c r="FT1" s="1053">
        <v>46217</v>
      </c>
      <c r="FU1" s="1054"/>
      <c r="FV1" s="1054"/>
      <c r="FW1" s="1054"/>
      <c r="FX1" s="1054"/>
      <c r="FY1" s="1054"/>
      <c r="FZ1" s="1054"/>
      <c r="GA1" s="1054"/>
      <c r="GB1" s="1054"/>
      <c r="GC1" s="1054"/>
      <c r="GD1" s="1054"/>
      <c r="GE1" s="1054"/>
      <c r="GF1" s="1053">
        <v>46188</v>
      </c>
      <c r="GG1" s="1054"/>
      <c r="GH1" s="1054"/>
      <c r="GI1" s="1054"/>
      <c r="GJ1" s="1054"/>
      <c r="GK1" s="1054"/>
      <c r="GL1" s="1054"/>
      <c r="GM1" s="1054"/>
      <c r="GN1" s="1054"/>
      <c r="GO1" s="1054"/>
      <c r="GP1" s="1054"/>
      <c r="GQ1" s="1054"/>
      <c r="GR1" s="1054"/>
      <c r="GS1" s="1053">
        <v>46128</v>
      </c>
      <c r="GT1" s="1054"/>
      <c r="GU1" s="1054"/>
      <c r="GV1" s="1054"/>
      <c r="GW1" s="1054"/>
      <c r="GX1" s="1054"/>
      <c r="GY1" s="1054"/>
      <c r="GZ1" s="1054"/>
      <c r="HA1" s="1054"/>
      <c r="HB1" s="1054"/>
      <c r="HC1" s="1054"/>
      <c r="HD1" s="1054"/>
      <c r="HE1" s="1054"/>
      <c r="HF1" s="1054"/>
      <c r="HG1" s="1053" t="s">
        <v>762</v>
      </c>
      <c r="HH1" s="1054"/>
      <c r="HI1" s="1054"/>
      <c r="HJ1" s="1054"/>
      <c r="HK1" s="1054"/>
      <c r="HL1" s="1054"/>
      <c r="HM1" s="1054"/>
      <c r="HN1" s="1054"/>
      <c r="HO1" s="1054"/>
      <c r="HP1" s="1054"/>
      <c r="HQ1" s="1054"/>
      <c r="HR1" s="1054"/>
      <c r="HS1" s="1054"/>
      <c r="HT1" s="1054"/>
      <c r="HU1" s="1053" t="s">
        <v>761</v>
      </c>
      <c r="HV1" s="1054"/>
      <c r="HW1" s="1054"/>
      <c r="HX1" s="1054"/>
      <c r="HY1" s="1054"/>
      <c r="HZ1" s="1054"/>
      <c r="IA1" s="1054"/>
      <c r="IB1" s="1054"/>
      <c r="IC1" s="1054"/>
      <c r="ID1" s="1054"/>
      <c r="IE1" s="1054"/>
      <c r="IF1" s="1054"/>
      <c r="IG1" s="1054"/>
      <c r="IH1" s="1054"/>
      <c r="II1" s="1053">
        <v>46131</v>
      </c>
      <c r="IJ1" s="1054"/>
      <c r="IK1" s="1054"/>
      <c r="IL1" s="1054"/>
      <c r="IM1" s="1054"/>
      <c r="IN1" s="1054"/>
      <c r="IO1" s="1054"/>
      <c r="IP1" s="1054"/>
      <c r="IQ1" s="1054"/>
      <c r="IR1" s="1054"/>
      <c r="IS1" s="1054"/>
      <c r="IT1" s="1054"/>
      <c r="IU1" s="1054"/>
      <c r="IV1" s="1054"/>
      <c r="IW1" s="1053">
        <v>46132</v>
      </c>
      <c r="IX1" s="1054"/>
      <c r="IY1" s="1054"/>
      <c r="IZ1" s="1054"/>
      <c r="JA1" s="1054"/>
      <c r="JB1" s="1054"/>
      <c r="JC1" s="1054"/>
      <c r="JD1" s="1054"/>
      <c r="JE1" s="1054"/>
      <c r="JF1" s="1054"/>
      <c r="JG1" s="1054"/>
      <c r="JH1" s="1054"/>
      <c r="JI1" s="1054"/>
      <c r="JJ1" s="1053">
        <v>46133</v>
      </c>
      <c r="JK1" s="1054"/>
      <c r="JL1" s="1054"/>
      <c r="JM1" s="1054"/>
      <c r="JN1" s="1054"/>
      <c r="JO1" s="1054"/>
      <c r="JP1" s="1054"/>
      <c r="JQ1" s="1054"/>
      <c r="JR1" s="1054"/>
      <c r="JS1" s="1054"/>
      <c r="JT1" s="1054"/>
      <c r="JU1" s="1054"/>
      <c r="JV1" s="1054"/>
      <c r="JW1" s="1054"/>
      <c r="JX1" s="1053">
        <v>46195</v>
      </c>
      <c r="JY1" s="1054"/>
      <c r="JZ1" s="1054"/>
      <c r="KA1" s="1054"/>
      <c r="KB1" s="1054"/>
      <c r="KC1" s="1054"/>
      <c r="KD1" s="1054"/>
      <c r="KE1" s="1054"/>
      <c r="KF1" s="1054"/>
      <c r="KG1" s="1054"/>
      <c r="KH1" s="1054"/>
      <c r="KI1" s="1054"/>
      <c r="KJ1" s="1054"/>
      <c r="KK1" s="1054"/>
      <c r="KL1" s="1053">
        <v>46196</v>
      </c>
      <c r="KM1" s="1054"/>
      <c r="KN1" s="1054"/>
      <c r="KO1" s="1054"/>
      <c r="KP1" s="1054"/>
      <c r="KQ1" s="1054"/>
      <c r="KR1" s="1054"/>
      <c r="KS1" s="1054"/>
      <c r="KT1" s="1054"/>
      <c r="KU1" s="1054"/>
      <c r="KV1" s="1054"/>
      <c r="KW1" s="1054"/>
      <c r="KX1" s="1054"/>
      <c r="KY1" s="1054"/>
      <c r="KZ1" s="1054"/>
      <c r="LA1" s="1053">
        <v>46197</v>
      </c>
      <c r="LB1" s="1054"/>
      <c r="LC1" s="1054"/>
      <c r="LD1" s="1054"/>
      <c r="LE1" s="1054"/>
      <c r="LF1" s="1054"/>
      <c r="LG1" s="1054"/>
      <c r="LH1" s="1054"/>
      <c r="LI1" s="1054"/>
      <c r="LJ1" s="1054"/>
      <c r="LK1" s="1054"/>
      <c r="LL1" s="1054"/>
      <c r="LM1" s="1054"/>
      <c r="LN1" s="1054"/>
      <c r="LO1" s="1053">
        <v>46198</v>
      </c>
      <c r="LP1" s="1054"/>
      <c r="LQ1" s="1054"/>
      <c r="LR1" s="1054"/>
      <c r="LS1" s="1054"/>
      <c r="LT1" s="1054"/>
      <c r="LU1" s="1054"/>
      <c r="LV1" s="1054"/>
      <c r="LW1" s="1054"/>
      <c r="LX1" s="1054"/>
      <c r="LY1" s="1054"/>
      <c r="LZ1" s="1054"/>
      <c r="MA1" s="1054"/>
      <c r="MB1" s="1054"/>
      <c r="MC1" s="1053">
        <v>46199</v>
      </c>
      <c r="MD1" s="1054"/>
      <c r="ME1" s="1054"/>
      <c r="MF1" s="1054"/>
      <c r="MG1" s="1054"/>
      <c r="MH1" s="1054"/>
      <c r="MI1" s="1054"/>
      <c r="MJ1" s="1054"/>
      <c r="MK1" s="1054"/>
      <c r="ML1" s="1054"/>
      <c r="MM1" s="1054"/>
      <c r="MN1" s="1054"/>
      <c r="MO1" s="1054"/>
      <c r="MP1" s="1054"/>
      <c r="MQ1" s="1053">
        <v>46200</v>
      </c>
      <c r="MR1" s="1054"/>
      <c r="MS1" s="1054"/>
      <c r="MT1" s="1054"/>
      <c r="MU1" s="1054"/>
      <c r="MV1" s="1054"/>
      <c r="MW1" s="1054"/>
      <c r="MX1" s="1054"/>
      <c r="MY1" s="1054"/>
      <c r="MZ1" s="1054"/>
      <c r="NA1" s="1054"/>
      <c r="NB1" s="1054"/>
      <c r="NC1" s="1054"/>
      <c r="ND1" s="1054"/>
      <c r="NE1" s="1053">
        <v>46201</v>
      </c>
      <c r="NF1" s="1054"/>
      <c r="NG1" s="1054"/>
      <c r="NH1" s="1054"/>
      <c r="NI1" s="1054"/>
      <c r="NJ1" s="1054"/>
      <c r="NK1" s="1054"/>
      <c r="NL1" s="1054"/>
      <c r="NM1" s="1054"/>
      <c r="NN1" s="1054"/>
      <c r="NO1" s="1054"/>
      <c r="NP1" s="1054"/>
      <c r="NQ1" s="1054"/>
      <c r="NR1" s="1054"/>
      <c r="NS1" s="1053">
        <v>46141</v>
      </c>
      <c r="NT1" s="1054"/>
      <c r="NU1" s="1054"/>
      <c r="NV1" s="1054"/>
      <c r="NW1" s="1054"/>
      <c r="NX1" s="1054"/>
      <c r="NY1" s="1054"/>
      <c r="NZ1" s="1054"/>
      <c r="OA1" s="1054"/>
      <c r="OB1" s="1054"/>
      <c r="OC1" s="1054"/>
      <c r="OD1" s="1054"/>
      <c r="OE1" s="1054"/>
      <c r="OF1" s="1053">
        <v>46142</v>
      </c>
      <c r="OG1" s="1054"/>
      <c r="OH1" s="1054"/>
      <c r="OI1" s="1054"/>
      <c r="OJ1" s="1054"/>
      <c r="OK1" s="1054"/>
      <c r="OL1" s="1054"/>
      <c r="OM1" s="1054"/>
      <c r="ON1" s="1054"/>
      <c r="OO1" s="1054"/>
      <c r="OP1" s="1054"/>
      <c r="OQ1" s="1054"/>
      <c r="OR1" s="1054"/>
      <c r="OS1" s="1054"/>
      <c r="OT1" s="1053">
        <v>46173</v>
      </c>
      <c r="OU1" s="1054"/>
      <c r="OV1" s="1054"/>
      <c r="OW1" s="1054"/>
      <c r="OX1" s="1054"/>
      <c r="OY1" s="1054"/>
      <c r="OZ1" s="1054"/>
      <c r="PA1" s="1054"/>
      <c r="PB1" s="1054"/>
      <c r="PC1" s="1054"/>
      <c r="PD1" s="1054"/>
      <c r="PE1" s="1054"/>
      <c r="PF1" s="1054"/>
      <c r="PG1" s="1054"/>
    </row>
    <row r="2" spans="1:423" ht="41.25" customHeight="1" x14ac:dyDescent="0.25">
      <c r="A2" s="1042"/>
      <c r="B2" s="1045"/>
      <c r="C2" s="1048"/>
      <c r="D2" s="1056"/>
      <c r="E2" s="1051"/>
      <c r="F2" s="46">
        <v>1190</v>
      </c>
      <c r="G2" s="46">
        <v>267</v>
      </c>
      <c r="H2" s="46">
        <v>2595</v>
      </c>
      <c r="I2" s="46">
        <v>1857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>
        <v>1190</v>
      </c>
      <c r="U2" s="46">
        <v>267</v>
      </c>
      <c r="V2" s="46">
        <v>2595</v>
      </c>
      <c r="W2" s="46">
        <v>1857</v>
      </c>
      <c r="X2" s="46">
        <v>267</v>
      </c>
      <c r="Y2" s="46">
        <v>1857</v>
      </c>
      <c r="Z2" s="46"/>
      <c r="AA2" s="46"/>
      <c r="AB2" s="46"/>
      <c r="AC2" s="46"/>
      <c r="AD2" s="46"/>
      <c r="AE2" s="46"/>
      <c r="AF2" s="46"/>
      <c r="AG2" s="46"/>
      <c r="AH2" s="46">
        <v>2595</v>
      </c>
      <c r="AI2" s="46">
        <v>1946</v>
      </c>
      <c r="AJ2" s="46">
        <v>267</v>
      </c>
      <c r="AK2" s="46">
        <v>322</v>
      </c>
      <c r="AL2" s="46">
        <v>2595</v>
      </c>
      <c r="AM2" s="46"/>
      <c r="AN2" s="46"/>
      <c r="AO2" s="46"/>
      <c r="AP2" s="46"/>
      <c r="AQ2" s="46"/>
      <c r="AR2" s="46"/>
      <c r="AS2" s="46"/>
      <c r="AT2" s="46"/>
      <c r="AU2" s="46">
        <v>267</v>
      </c>
      <c r="AV2" s="46">
        <v>9785</v>
      </c>
      <c r="AW2" s="46">
        <v>1857</v>
      </c>
      <c r="AX2" s="46">
        <v>1946</v>
      </c>
      <c r="AY2" s="46">
        <v>1190</v>
      </c>
      <c r="AZ2" s="46">
        <v>2595</v>
      </c>
      <c r="BA2" s="46">
        <v>267</v>
      </c>
      <c r="BB2" s="46">
        <v>1857</v>
      </c>
      <c r="BC2" s="46">
        <v>1946</v>
      </c>
      <c r="BD2" s="46">
        <v>1191</v>
      </c>
      <c r="BE2" s="46">
        <v>2595</v>
      </c>
      <c r="BF2" s="46"/>
      <c r="BG2" s="46"/>
      <c r="BH2" s="46"/>
      <c r="BI2" s="46">
        <v>267</v>
      </c>
      <c r="BJ2" s="46">
        <v>9785</v>
      </c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>
        <v>267</v>
      </c>
      <c r="BW2" s="46">
        <v>2595</v>
      </c>
      <c r="BX2" s="46">
        <v>1946</v>
      </c>
      <c r="BY2" s="46">
        <v>1857</v>
      </c>
      <c r="BZ2" s="46">
        <v>1190</v>
      </c>
      <c r="CA2" s="46">
        <v>1946</v>
      </c>
      <c r="CB2" s="46">
        <v>267</v>
      </c>
      <c r="CC2" s="46"/>
      <c r="CD2" s="46"/>
      <c r="CE2" s="46"/>
      <c r="CF2" s="46"/>
      <c r="CG2" s="46"/>
      <c r="CH2" s="46"/>
      <c r="CI2" s="46"/>
      <c r="CJ2" s="46"/>
      <c r="CK2" s="46">
        <v>1857</v>
      </c>
      <c r="CL2" s="46">
        <v>1190</v>
      </c>
      <c r="CM2" s="46">
        <v>2595</v>
      </c>
      <c r="CN2" s="46"/>
      <c r="CO2" s="46"/>
      <c r="CP2" s="46"/>
      <c r="CQ2" s="46"/>
      <c r="CR2" s="46"/>
      <c r="CS2" s="46"/>
      <c r="CT2" s="46"/>
      <c r="CU2" s="46"/>
      <c r="CV2" s="46"/>
      <c r="CW2" s="46">
        <v>1857</v>
      </c>
      <c r="CX2" s="46">
        <v>1946</v>
      </c>
      <c r="CY2" s="46">
        <v>1190</v>
      </c>
      <c r="CZ2" s="46">
        <v>2595</v>
      </c>
      <c r="DA2" s="46">
        <v>267</v>
      </c>
      <c r="DB2" s="46"/>
      <c r="DC2" s="46"/>
      <c r="DD2" s="46"/>
      <c r="DE2" s="46"/>
      <c r="DF2" s="46"/>
      <c r="DG2" s="46"/>
      <c r="DH2" s="46"/>
      <c r="DI2" s="46"/>
      <c r="DJ2" s="46"/>
      <c r="DK2" s="46">
        <v>1946</v>
      </c>
      <c r="DL2" s="46">
        <v>1857</v>
      </c>
      <c r="DM2" s="46">
        <v>1190</v>
      </c>
      <c r="DN2" s="46">
        <v>2595</v>
      </c>
      <c r="DO2" s="46">
        <v>267</v>
      </c>
      <c r="DP2" s="46">
        <v>1857</v>
      </c>
      <c r="DQ2" s="46">
        <v>1946</v>
      </c>
      <c r="DR2" s="46">
        <v>1190</v>
      </c>
      <c r="DS2" s="46"/>
      <c r="DT2" s="46"/>
      <c r="DU2" s="46"/>
      <c r="DV2" s="46"/>
      <c r="DW2" s="46">
        <v>2595</v>
      </c>
      <c r="DX2" s="46">
        <v>267</v>
      </c>
      <c r="DY2" s="46">
        <v>1857</v>
      </c>
      <c r="DZ2" s="46">
        <v>1946</v>
      </c>
      <c r="EA2" s="46">
        <v>1190</v>
      </c>
      <c r="EB2" s="46">
        <v>2595</v>
      </c>
      <c r="EC2" s="46">
        <v>267</v>
      </c>
      <c r="ED2" s="532">
        <v>1857</v>
      </c>
      <c r="EE2" s="46"/>
      <c r="EF2" s="46"/>
      <c r="EG2" s="46"/>
      <c r="EH2" s="46"/>
      <c r="EI2" s="46"/>
      <c r="EJ2" s="46">
        <v>1190</v>
      </c>
      <c r="EK2" s="46">
        <v>1946</v>
      </c>
      <c r="EL2" s="46">
        <v>2595</v>
      </c>
      <c r="EM2" s="46">
        <v>267</v>
      </c>
      <c r="EN2" s="46">
        <v>1857</v>
      </c>
      <c r="EO2" s="46">
        <v>1190</v>
      </c>
      <c r="EP2" s="46">
        <v>1946</v>
      </c>
      <c r="EQ2" s="46">
        <v>267</v>
      </c>
      <c r="ER2" s="46"/>
      <c r="ES2" s="46"/>
      <c r="ET2" s="46"/>
      <c r="EU2" s="46"/>
      <c r="EV2" s="46">
        <v>2595</v>
      </c>
      <c r="EW2" s="46">
        <v>1857</v>
      </c>
      <c r="EX2" s="46">
        <v>1190</v>
      </c>
      <c r="EY2" s="46">
        <v>1946</v>
      </c>
      <c r="EZ2" s="46">
        <v>267</v>
      </c>
      <c r="FA2" s="46"/>
      <c r="FB2" s="46"/>
      <c r="FC2" s="46"/>
      <c r="FD2" s="46"/>
      <c r="FE2" s="46"/>
      <c r="FF2" s="46"/>
      <c r="FG2" s="46"/>
      <c r="FH2" s="46">
        <v>2595</v>
      </c>
      <c r="FI2" s="46">
        <v>1857</v>
      </c>
      <c r="FJ2" s="46">
        <v>1190</v>
      </c>
      <c r="FK2" s="46">
        <v>267</v>
      </c>
      <c r="FL2" s="46">
        <v>1946</v>
      </c>
      <c r="FM2" s="46">
        <v>1857</v>
      </c>
      <c r="FN2" s="46">
        <v>1190</v>
      </c>
      <c r="FO2" s="46"/>
      <c r="FP2" s="46"/>
      <c r="FQ2" s="46"/>
      <c r="FR2" s="46"/>
      <c r="FS2" s="46"/>
      <c r="FT2" s="46">
        <v>2595</v>
      </c>
      <c r="FU2" s="46">
        <v>267</v>
      </c>
      <c r="FV2" s="46">
        <v>1857</v>
      </c>
      <c r="FW2" s="46">
        <v>1946</v>
      </c>
      <c r="FX2" s="46">
        <v>1190</v>
      </c>
      <c r="FY2" s="46">
        <v>2595</v>
      </c>
      <c r="FZ2" s="46">
        <v>267</v>
      </c>
      <c r="GA2" s="46">
        <v>1857</v>
      </c>
      <c r="GB2" s="46">
        <v>1946</v>
      </c>
      <c r="GC2" s="46"/>
      <c r="GD2" s="46"/>
      <c r="GE2" s="46"/>
      <c r="GF2" s="46">
        <v>1190</v>
      </c>
      <c r="GG2" s="46">
        <v>2595</v>
      </c>
      <c r="GH2" s="46">
        <v>267</v>
      </c>
      <c r="GI2" s="46">
        <v>1857</v>
      </c>
      <c r="GJ2" s="46">
        <v>1190</v>
      </c>
      <c r="GK2" s="46">
        <v>1857</v>
      </c>
      <c r="GL2" s="46">
        <v>2595</v>
      </c>
      <c r="GM2" s="46"/>
      <c r="GN2" s="46"/>
      <c r="GO2" s="46"/>
      <c r="GP2" s="46"/>
      <c r="GQ2" s="46"/>
      <c r="GR2" s="46"/>
      <c r="GS2" s="46">
        <v>267</v>
      </c>
      <c r="GT2" s="46">
        <v>1190</v>
      </c>
      <c r="GU2" s="46">
        <v>1857</v>
      </c>
      <c r="GV2" s="46">
        <v>1946</v>
      </c>
      <c r="GW2" s="46">
        <v>267</v>
      </c>
      <c r="GX2" s="46">
        <v>1190</v>
      </c>
      <c r="GY2" s="46">
        <v>2595</v>
      </c>
      <c r="GZ2" s="46"/>
      <c r="HA2" s="46"/>
      <c r="HB2" s="46"/>
      <c r="HC2" s="46"/>
      <c r="HD2" s="46"/>
      <c r="HE2" s="46"/>
      <c r="HF2" s="46"/>
      <c r="HG2" s="46">
        <v>1857</v>
      </c>
      <c r="HH2" s="46">
        <v>267</v>
      </c>
      <c r="HI2" s="46">
        <v>1946</v>
      </c>
      <c r="HJ2" s="46">
        <v>1190</v>
      </c>
      <c r="HK2" s="46">
        <v>2595</v>
      </c>
      <c r="HL2" s="46">
        <v>1857</v>
      </c>
      <c r="HM2" s="46">
        <v>267</v>
      </c>
      <c r="HN2" s="46">
        <v>1190</v>
      </c>
      <c r="HO2" s="46"/>
      <c r="HP2" s="46"/>
      <c r="HQ2" s="46"/>
      <c r="HR2" s="46"/>
      <c r="HS2" s="46"/>
      <c r="HT2" s="46"/>
      <c r="HU2" s="46">
        <v>1946</v>
      </c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  <c r="IU2" s="46"/>
      <c r="IV2" s="46"/>
      <c r="IW2" s="46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  <c r="LC2" s="46"/>
      <c r="LD2" s="46"/>
      <c r="LE2" s="46"/>
      <c r="LF2" s="46"/>
      <c r="LG2" s="46"/>
      <c r="LH2" s="46"/>
      <c r="LI2" s="46"/>
      <c r="LJ2" s="46"/>
      <c r="LK2" s="46"/>
      <c r="LL2" s="46"/>
      <c r="LM2" s="46"/>
      <c r="LN2" s="46"/>
      <c r="LO2" s="46"/>
      <c r="LP2" s="46"/>
      <c r="LQ2" s="46"/>
      <c r="LR2" s="46"/>
      <c r="LS2" s="46"/>
      <c r="LT2" s="46"/>
      <c r="LU2" s="46"/>
      <c r="LV2" s="46"/>
      <c r="LW2" s="46"/>
      <c r="LX2" s="46"/>
      <c r="LY2" s="46"/>
      <c r="LZ2" s="46"/>
      <c r="MA2" s="46"/>
      <c r="MB2" s="46"/>
      <c r="MC2" s="46"/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</row>
    <row r="3" spans="1:423" ht="17.25" customHeight="1" x14ac:dyDescent="0.25">
      <c r="A3" s="1042"/>
      <c r="B3" s="1045"/>
      <c r="C3" s="1048"/>
      <c r="D3" s="1056"/>
      <c r="E3" s="1051"/>
      <c r="F3" s="145" t="s">
        <v>749</v>
      </c>
      <c r="G3" s="145" t="s">
        <v>749</v>
      </c>
      <c r="H3" s="145" t="s">
        <v>749</v>
      </c>
      <c r="I3" s="145" t="s">
        <v>749</v>
      </c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 t="s">
        <v>749</v>
      </c>
      <c r="U3" s="145" t="s">
        <v>748</v>
      </c>
      <c r="V3" s="145" t="s">
        <v>748</v>
      </c>
      <c r="W3" s="145" t="s">
        <v>750</v>
      </c>
      <c r="X3" s="145" t="s">
        <v>750</v>
      </c>
      <c r="Y3" s="145" t="s">
        <v>750</v>
      </c>
      <c r="Z3" s="145"/>
      <c r="AA3" s="145"/>
      <c r="AB3" s="145"/>
      <c r="AC3" s="145"/>
      <c r="AD3" s="145"/>
      <c r="AE3" s="145"/>
      <c r="AF3" s="145"/>
      <c r="AG3" s="145"/>
      <c r="AH3" s="145" t="s">
        <v>749</v>
      </c>
      <c r="AI3" s="145" t="s">
        <v>749</v>
      </c>
      <c r="AJ3" s="145" t="s">
        <v>749</v>
      </c>
      <c r="AK3" s="145" t="s">
        <v>896</v>
      </c>
      <c r="AL3" s="145" t="s">
        <v>750</v>
      </c>
      <c r="AM3" s="145"/>
      <c r="AN3" s="145"/>
      <c r="AO3" s="145"/>
      <c r="AP3" s="145"/>
      <c r="AQ3" s="145"/>
      <c r="AR3" s="145"/>
      <c r="AS3" s="145"/>
      <c r="AT3" s="145"/>
      <c r="AU3" s="145" t="s">
        <v>749</v>
      </c>
      <c r="AV3" s="145" t="s">
        <v>749</v>
      </c>
      <c r="AW3" s="145" t="s">
        <v>749</v>
      </c>
      <c r="AX3" s="145" t="s">
        <v>749</v>
      </c>
      <c r="AY3" s="145" t="s">
        <v>749</v>
      </c>
      <c r="AZ3" s="145" t="s">
        <v>748</v>
      </c>
      <c r="BA3" s="145" t="s">
        <v>748</v>
      </c>
      <c r="BB3" s="145" t="s">
        <v>748</v>
      </c>
      <c r="BC3" s="145" t="s">
        <v>750</v>
      </c>
      <c r="BD3" s="145" t="s">
        <v>750</v>
      </c>
      <c r="BE3" s="145" t="s">
        <v>750</v>
      </c>
      <c r="BF3" s="145"/>
      <c r="BG3" s="145"/>
      <c r="BH3" s="145"/>
      <c r="BI3" s="145" t="s">
        <v>749</v>
      </c>
      <c r="BJ3" s="145" t="s">
        <v>749</v>
      </c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 t="s">
        <v>749</v>
      </c>
      <c r="BW3" s="145" t="s">
        <v>749</v>
      </c>
      <c r="BX3" s="145" t="s">
        <v>749</v>
      </c>
      <c r="BY3" s="145" t="s">
        <v>748</v>
      </c>
      <c r="BZ3" s="145" t="s">
        <v>748</v>
      </c>
      <c r="CA3" s="145" t="s">
        <v>750</v>
      </c>
      <c r="CB3" s="145" t="s">
        <v>750</v>
      </c>
      <c r="CC3" s="145"/>
      <c r="CD3" s="145"/>
      <c r="CE3" s="145"/>
      <c r="CF3" s="145"/>
      <c r="CG3" s="145"/>
      <c r="CH3" s="145"/>
      <c r="CI3" s="145"/>
      <c r="CJ3" s="145"/>
      <c r="CK3" s="145" t="s">
        <v>748</v>
      </c>
      <c r="CL3" s="145" t="s">
        <v>750</v>
      </c>
      <c r="CM3" s="145" t="s">
        <v>750</v>
      </c>
      <c r="CN3" s="145"/>
      <c r="CO3" s="145"/>
      <c r="CP3" s="145"/>
      <c r="CQ3" s="145"/>
      <c r="CR3" s="145"/>
      <c r="CS3" s="145"/>
      <c r="CT3" s="145"/>
      <c r="CU3" s="145"/>
      <c r="CV3" s="145"/>
      <c r="CW3" s="145" t="s">
        <v>749</v>
      </c>
      <c r="CX3" s="145" t="s">
        <v>749</v>
      </c>
      <c r="CY3" s="145" t="s">
        <v>749</v>
      </c>
      <c r="CZ3" s="145" t="s">
        <v>750</v>
      </c>
      <c r="DA3" s="145" t="s">
        <v>750</v>
      </c>
      <c r="DB3" s="145"/>
      <c r="DC3" s="145"/>
      <c r="DD3" s="145"/>
      <c r="DE3" s="145"/>
      <c r="DF3" s="145"/>
      <c r="DG3" s="145"/>
      <c r="DH3" s="145"/>
      <c r="DI3" s="145"/>
      <c r="DJ3" s="145"/>
      <c r="DK3" s="145" t="s">
        <v>749</v>
      </c>
      <c r="DL3" s="145" t="s">
        <v>1395</v>
      </c>
      <c r="DM3" s="145" t="s">
        <v>749</v>
      </c>
      <c r="DN3" s="145" t="s">
        <v>750</v>
      </c>
      <c r="DO3" s="145" t="s">
        <v>750</v>
      </c>
      <c r="DP3" s="145" t="s">
        <v>750</v>
      </c>
      <c r="DQ3" s="145" t="s">
        <v>750</v>
      </c>
      <c r="DR3" s="145" t="s">
        <v>750</v>
      </c>
      <c r="DS3" s="145"/>
      <c r="DT3" s="145"/>
      <c r="DU3" s="145"/>
      <c r="DV3" s="145"/>
      <c r="DW3" s="145" t="s">
        <v>1395</v>
      </c>
      <c r="DX3" s="145" t="s">
        <v>1395</v>
      </c>
      <c r="DY3" s="145" t="s">
        <v>749</v>
      </c>
      <c r="DZ3" s="145" t="s">
        <v>750</v>
      </c>
      <c r="EA3" s="145" t="s">
        <v>750</v>
      </c>
      <c r="EB3" s="145" t="s">
        <v>750</v>
      </c>
      <c r="EC3" s="145" t="s">
        <v>750</v>
      </c>
      <c r="ED3" s="533" t="s">
        <v>750</v>
      </c>
      <c r="EE3" s="145"/>
      <c r="EF3" s="145"/>
      <c r="EG3" s="145"/>
      <c r="EH3" s="145"/>
      <c r="EI3" s="145"/>
      <c r="EJ3" s="145" t="s">
        <v>1587</v>
      </c>
      <c r="EK3" s="145" t="s">
        <v>1586</v>
      </c>
      <c r="EL3" s="145" t="s">
        <v>1586</v>
      </c>
      <c r="EM3" s="145" t="s">
        <v>1586</v>
      </c>
      <c r="EN3" s="145" t="s">
        <v>1586</v>
      </c>
      <c r="EO3" s="145" t="s">
        <v>750</v>
      </c>
      <c r="EP3" s="145" t="s">
        <v>750</v>
      </c>
      <c r="EQ3" s="145" t="s">
        <v>750</v>
      </c>
      <c r="ER3" s="145"/>
      <c r="ES3" s="145"/>
      <c r="ET3" s="145"/>
      <c r="EU3" s="145"/>
      <c r="EV3" s="145" t="s">
        <v>749</v>
      </c>
      <c r="EW3" s="145" t="s">
        <v>749</v>
      </c>
      <c r="EX3" s="145" t="s">
        <v>749</v>
      </c>
      <c r="EY3" s="145" t="s">
        <v>749</v>
      </c>
      <c r="EZ3" s="145" t="s">
        <v>750</v>
      </c>
      <c r="FA3" s="145"/>
      <c r="FB3" s="145"/>
      <c r="FC3" s="145"/>
      <c r="FD3" s="145"/>
      <c r="FE3" s="145"/>
      <c r="FF3" s="145"/>
      <c r="FG3" s="145"/>
      <c r="FH3" s="145" t="s">
        <v>750</v>
      </c>
      <c r="FI3" s="145" t="s">
        <v>750</v>
      </c>
      <c r="FJ3" s="145" t="s">
        <v>750</v>
      </c>
      <c r="FK3" s="145" t="s">
        <v>749</v>
      </c>
      <c r="FL3" s="145" t="s">
        <v>749</v>
      </c>
      <c r="FM3" s="145" t="s">
        <v>749</v>
      </c>
      <c r="FN3" s="145" t="s">
        <v>749</v>
      </c>
      <c r="FO3" s="145"/>
      <c r="FP3" s="145"/>
      <c r="FQ3" s="145"/>
      <c r="FR3" s="145"/>
      <c r="FS3" s="145"/>
      <c r="FT3" s="145" t="s">
        <v>1395</v>
      </c>
      <c r="FU3" s="145" t="s">
        <v>1395</v>
      </c>
      <c r="FV3" s="145" t="s">
        <v>749</v>
      </c>
      <c r="FW3" s="145" t="s">
        <v>749</v>
      </c>
      <c r="FX3" s="145" t="s">
        <v>749</v>
      </c>
      <c r="FY3" s="145" t="s">
        <v>749</v>
      </c>
      <c r="FZ3" s="145" t="s">
        <v>749</v>
      </c>
      <c r="GA3" s="145" t="s">
        <v>749</v>
      </c>
      <c r="GB3" s="145" t="s">
        <v>749</v>
      </c>
      <c r="GC3" s="145"/>
      <c r="GD3" s="145"/>
      <c r="GE3" s="145"/>
      <c r="GF3" s="145" t="s">
        <v>2009</v>
      </c>
      <c r="GG3" s="145" t="s">
        <v>2059</v>
      </c>
      <c r="GH3" s="145" t="s">
        <v>749</v>
      </c>
      <c r="GI3" s="145" t="s">
        <v>749</v>
      </c>
      <c r="GJ3" s="145" t="s">
        <v>749</v>
      </c>
      <c r="GK3" s="145" t="s">
        <v>749</v>
      </c>
      <c r="GL3" s="145" t="s">
        <v>749</v>
      </c>
      <c r="GM3" s="145"/>
      <c r="GN3" s="145"/>
      <c r="GO3" s="145"/>
      <c r="GP3" s="145"/>
      <c r="GQ3" s="145"/>
      <c r="GR3" s="145"/>
      <c r="GS3" s="145" t="s">
        <v>1395</v>
      </c>
      <c r="GT3" s="145" t="s">
        <v>1395</v>
      </c>
      <c r="GU3" s="145" t="s">
        <v>749</v>
      </c>
      <c r="GV3" s="145" t="s">
        <v>749</v>
      </c>
      <c r="GW3" s="145" t="s">
        <v>749</v>
      </c>
      <c r="GX3" s="145" t="s">
        <v>749</v>
      </c>
      <c r="GY3" s="145" t="s">
        <v>749</v>
      </c>
      <c r="GZ3" s="145"/>
      <c r="HA3" s="145"/>
      <c r="HB3" s="145"/>
      <c r="HC3" s="145"/>
      <c r="HD3" s="145"/>
      <c r="HE3" s="145"/>
      <c r="HF3" s="145"/>
      <c r="HG3" s="145" t="s">
        <v>1395</v>
      </c>
      <c r="HH3" s="145" t="s">
        <v>1395</v>
      </c>
      <c r="HI3" s="145" t="s">
        <v>749</v>
      </c>
      <c r="HJ3" s="145" t="s">
        <v>749</v>
      </c>
      <c r="HK3" s="145" t="s">
        <v>749</v>
      </c>
      <c r="HL3" s="145" t="s">
        <v>749</v>
      </c>
      <c r="HM3" s="145" t="s">
        <v>749</v>
      </c>
      <c r="HN3" s="145" t="s">
        <v>749</v>
      </c>
      <c r="HO3" s="145"/>
      <c r="HP3" s="145"/>
      <c r="HQ3" s="145"/>
      <c r="HR3" s="145"/>
      <c r="HS3" s="145"/>
      <c r="HT3" s="145"/>
      <c r="HU3" s="145" t="s">
        <v>749</v>
      </c>
      <c r="HV3" s="145"/>
      <c r="HW3" s="145"/>
      <c r="HX3" s="145"/>
      <c r="HY3" s="145"/>
      <c r="HZ3" s="145"/>
      <c r="IA3" s="145"/>
      <c r="IB3" s="145"/>
      <c r="IC3" s="145"/>
      <c r="ID3" s="145"/>
      <c r="IE3" s="145"/>
      <c r="IF3" s="145"/>
      <c r="IG3" s="145"/>
      <c r="IH3" s="145"/>
      <c r="II3" s="145"/>
      <c r="IJ3" s="145"/>
      <c r="IK3" s="145"/>
      <c r="IL3" s="145"/>
      <c r="IM3" s="145"/>
      <c r="IN3" s="145"/>
      <c r="IO3" s="145"/>
      <c r="IP3" s="145"/>
      <c r="IQ3" s="145"/>
      <c r="IR3" s="145"/>
      <c r="IS3" s="145"/>
      <c r="IT3" s="145"/>
      <c r="IU3" s="145"/>
      <c r="IV3" s="145"/>
      <c r="IW3" s="145"/>
      <c r="IX3" s="145"/>
      <c r="IY3" s="145"/>
      <c r="IZ3" s="145"/>
      <c r="JA3" s="145"/>
      <c r="JB3" s="145"/>
      <c r="JC3" s="145"/>
      <c r="JD3" s="145"/>
      <c r="JE3" s="145"/>
      <c r="JF3" s="145"/>
      <c r="JG3" s="145"/>
      <c r="JH3" s="145"/>
      <c r="JI3" s="145"/>
      <c r="JJ3" s="145"/>
      <c r="JK3" s="145"/>
      <c r="JL3" s="145"/>
      <c r="JM3" s="145"/>
      <c r="JN3" s="145"/>
      <c r="JO3" s="145"/>
      <c r="JP3" s="145"/>
      <c r="JQ3" s="145"/>
      <c r="JR3" s="145"/>
      <c r="JS3" s="145"/>
      <c r="JT3" s="145"/>
      <c r="JU3" s="145"/>
      <c r="JV3" s="145"/>
      <c r="JW3" s="145"/>
      <c r="JX3" s="145"/>
      <c r="JY3" s="145"/>
      <c r="JZ3" s="145"/>
      <c r="KA3" s="145"/>
      <c r="KB3" s="145"/>
      <c r="KC3" s="145"/>
      <c r="KD3" s="145"/>
      <c r="KE3" s="145"/>
      <c r="KF3" s="145"/>
      <c r="KG3" s="145"/>
      <c r="KH3" s="145"/>
      <c r="KI3" s="145"/>
      <c r="KJ3" s="145"/>
      <c r="KK3" s="145"/>
      <c r="KL3" s="145"/>
      <c r="KM3" s="145"/>
      <c r="KN3" s="145"/>
      <c r="KO3" s="145"/>
      <c r="KP3" s="145"/>
      <c r="KQ3" s="145"/>
      <c r="KR3" s="145"/>
      <c r="KS3" s="145"/>
      <c r="KT3" s="145"/>
      <c r="KU3" s="145"/>
      <c r="KV3" s="145"/>
      <c r="KW3" s="145"/>
      <c r="KX3" s="145"/>
      <c r="KY3" s="145"/>
      <c r="KZ3" s="145"/>
      <c r="LA3" s="145"/>
      <c r="LB3" s="145"/>
      <c r="LC3" s="145"/>
      <c r="LD3" s="145"/>
      <c r="LE3" s="145"/>
      <c r="LF3" s="145"/>
      <c r="LG3" s="145"/>
      <c r="LH3" s="145"/>
      <c r="LI3" s="145"/>
      <c r="LJ3" s="145"/>
      <c r="LK3" s="145"/>
      <c r="LL3" s="145"/>
      <c r="LM3" s="145"/>
      <c r="LN3" s="145"/>
      <c r="LO3" s="145"/>
      <c r="LP3" s="145"/>
      <c r="LQ3" s="145"/>
      <c r="LR3" s="145"/>
      <c r="LS3" s="145"/>
      <c r="LT3" s="145"/>
      <c r="LU3" s="145"/>
      <c r="LV3" s="145"/>
      <c r="LW3" s="145"/>
      <c r="LX3" s="145"/>
      <c r="LY3" s="145"/>
      <c r="LZ3" s="145"/>
      <c r="MA3" s="145"/>
      <c r="MB3" s="145"/>
      <c r="MC3" s="145"/>
      <c r="MD3" s="145"/>
      <c r="ME3" s="145"/>
      <c r="MF3" s="145"/>
      <c r="MG3" s="145"/>
      <c r="MH3" s="145"/>
      <c r="MI3" s="145"/>
      <c r="MJ3" s="145"/>
      <c r="MK3" s="145"/>
      <c r="ML3" s="145"/>
      <c r="MM3" s="145"/>
      <c r="MN3" s="145"/>
      <c r="MO3" s="145"/>
      <c r="MP3" s="145"/>
      <c r="MQ3" s="145"/>
      <c r="MR3" s="145"/>
      <c r="MS3" s="145"/>
      <c r="MT3" s="145"/>
      <c r="MU3" s="145"/>
      <c r="MV3" s="145"/>
      <c r="MW3" s="145"/>
      <c r="MX3" s="145"/>
      <c r="MY3" s="145"/>
      <c r="MZ3" s="145"/>
      <c r="NA3" s="145"/>
      <c r="NB3" s="145"/>
      <c r="NC3" s="145"/>
      <c r="ND3" s="145"/>
      <c r="NE3" s="145"/>
      <c r="NF3" s="145"/>
      <c r="NG3" s="145"/>
      <c r="NH3" s="145"/>
      <c r="NI3" s="145"/>
      <c r="NJ3" s="145"/>
      <c r="NK3" s="145"/>
      <c r="NL3" s="145"/>
      <c r="NM3" s="145"/>
      <c r="NN3" s="145"/>
      <c r="NO3" s="145"/>
      <c r="NP3" s="145"/>
      <c r="NQ3" s="145"/>
      <c r="NR3" s="145"/>
      <c r="NS3" s="145"/>
      <c r="NT3" s="145"/>
      <c r="NU3" s="145"/>
      <c r="NV3" s="145"/>
      <c r="NW3" s="145"/>
      <c r="NX3" s="145"/>
      <c r="NY3" s="145"/>
      <c r="NZ3" s="145"/>
      <c r="OA3" s="145"/>
      <c r="OB3" s="145"/>
      <c r="OC3" s="145"/>
      <c r="OD3" s="145"/>
      <c r="OE3" s="145"/>
      <c r="OF3" s="145"/>
      <c r="OG3" s="145"/>
      <c r="OH3" s="145"/>
      <c r="OI3" s="145"/>
      <c r="OJ3" s="145"/>
      <c r="OK3" s="145"/>
      <c r="OL3" s="145"/>
      <c r="OM3" s="145"/>
      <c r="ON3" s="145"/>
      <c r="OO3" s="145"/>
      <c r="OP3" s="145"/>
      <c r="OQ3" s="145"/>
      <c r="OR3" s="145"/>
      <c r="OS3" s="145"/>
      <c r="OT3" s="145"/>
      <c r="OU3" s="145"/>
      <c r="OV3" s="145"/>
      <c r="OW3" s="145"/>
      <c r="OX3" s="145"/>
      <c r="OY3" s="145"/>
      <c r="OZ3" s="145"/>
      <c r="PA3" s="145"/>
      <c r="PB3" s="145"/>
      <c r="PC3" s="145"/>
      <c r="PD3" s="145"/>
      <c r="PE3" s="145"/>
      <c r="PF3" s="145"/>
      <c r="PG3" s="145"/>
    </row>
    <row r="4" spans="1:423" ht="17.25" customHeight="1" thickBot="1" x14ac:dyDescent="0.3">
      <c r="A4" s="1043"/>
      <c r="B4" s="1046"/>
      <c r="C4" s="1049"/>
      <c r="D4" s="1057"/>
      <c r="E4" s="1052"/>
      <c r="F4" s="382">
        <v>1</v>
      </c>
      <c r="G4" s="382">
        <v>2</v>
      </c>
      <c r="H4" s="382">
        <v>3</v>
      </c>
      <c r="I4" s="382">
        <v>4</v>
      </c>
      <c r="J4" s="382">
        <v>5</v>
      </c>
      <c r="K4" s="382">
        <v>6</v>
      </c>
      <c r="L4" s="382">
        <v>7</v>
      </c>
      <c r="M4" s="382">
        <v>8</v>
      </c>
      <c r="N4" s="382">
        <v>9</v>
      </c>
      <c r="O4" s="382">
        <v>10</v>
      </c>
      <c r="P4" s="382">
        <v>11</v>
      </c>
      <c r="Q4" s="382">
        <v>12</v>
      </c>
      <c r="R4" s="382">
        <v>13</v>
      </c>
      <c r="S4" s="382">
        <v>14</v>
      </c>
      <c r="T4" s="382">
        <v>1</v>
      </c>
      <c r="U4" s="382"/>
      <c r="V4" s="382"/>
      <c r="W4" s="382">
        <v>4</v>
      </c>
      <c r="X4" s="382">
        <v>5</v>
      </c>
      <c r="Y4" s="382">
        <v>6</v>
      </c>
      <c r="Z4" s="382">
        <v>7</v>
      </c>
      <c r="AA4" s="382">
        <v>8</v>
      </c>
      <c r="AB4" s="382">
        <v>9</v>
      </c>
      <c r="AC4" s="382">
        <v>10</v>
      </c>
      <c r="AD4" s="382">
        <v>11</v>
      </c>
      <c r="AE4" s="382">
        <v>12</v>
      </c>
      <c r="AF4" s="382">
        <v>13</v>
      </c>
      <c r="AG4" s="382">
        <v>14</v>
      </c>
      <c r="AH4" s="382">
        <v>1</v>
      </c>
      <c r="AI4" s="382">
        <v>2</v>
      </c>
      <c r="AJ4" s="382">
        <v>3</v>
      </c>
      <c r="AK4" s="382">
        <v>4</v>
      </c>
      <c r="AL4" s="382">
        <v>5</v>
      </c>
      <c r="AM4" s="382">
        <v>6</v>
      </c>
      <c r="AN4" s="382">
        <v>7</v>
      </c>
      <c r="AO4" s="382">
        <v>8</v>
      </c>
      <c r="AP4" s="382">
        <v>10</v>
      </c>
      <c r="AQ4" s="382">
        <v>11</v>
      </c>
      <c r="AR4" s="382">
        <v>12</v>
      </c>
      <c r="AS4" s="382">
        <v>13</v>
      </c>
      <c r="AT4" s="382">
        <v>14</v>
      </c>
      <c r="AU4" s="382"/>
      <c r="AV4" s="382">
        <v>2</v>
      </c>
      <c r="AW4" s="382">
        <v>3</v>
      </c>
      <c r="AX4" s="382">
        <v>4</v>
      </c>
      <c r="AY4" s="382">
        <v>5</v>
      </c>
      <c r="AZ4" s="382">
        <v>6</v>
      </c>
      <c r="BA4" s="382">
        <v>7</v>
      </c>
      <c r="BB4" s="382">
        <v>8</v>
      </c>
      <c r="BC4" s="382">
        <v>9</v>
      </c>
      <c r="BD4" s="382">
        <v>10</v>
      </c>
      <c r="BE4" s="382">
        <v>11</v>
      </c>
      <c r="BF4" s="382">
        <v>12</v>
      </c>
      <c r="BG4" s="382">
        <v>13</v>
      </c>
      <c r="BH4" s="382">
        <v>14</v>
      </c>
      <c r="BI4" s="382">
        <v>1</v>
      </c>
      <c r="BJ4" s="382">
        <v>2</v>
      </c>
      <c r="BK4" s="382">
        <v>3</v>
      </c>
      <c r="BL4" s="382">
        <v>4</v>
      </c>
      <c r="BM4" s="382">
        <v>5</v>
      </c>
      <c r="BN4" s="382">
        <v>6</v>
      </c>
      <c r="BO4" s="382">
        <v>7</v>
      </c>
      <c r="BP4" s="382">
        <v>8</v>
      </c>
      <c r="BQ4" s="382">
        <v>9</v>
      </c>
      <c r="BR4" s="382">
        <v>10</v>
      </c>
      <c r="BS4" s="382">
        <v>11</v>
      </c>
      <c r="BT4" s="382">
        <v>12</v>
      </c>
      <c r="BU4" s="382">
        <v>13</v>
      </c>
      <c r="BV4" s="382">
        <v>14</v>
      </c>
      <c r="BW4" s="382">
        <v>1</v>
      </c>
      <c r="BX4" s="382">
        <v>2</v>
      </c>
      <c r="BY4" s="382">
        <v>3</v>
      </c>
      <c r="BZ4" s="382">
        <v>4</v>
      </c>
      <c r="CA4" s="382">
        <v>5</v>
      </c>
      <c r="CB4" s="382">
        <v>6</v>
      </c>
      <c r="CC4" s="382">
        <v>7</v>
      </c>
      <c r="CD4" s="382">
        <v>8</v>
      </c>
      <c r="CE4" s="382">
        <v>9</v>
      </c>
      <c r="CF4" s="382">
        <v>10</v>
      </c>
      <c r="CG4" s="382">
        <v>11</v>
      </c>
      <c r="CH4" s="382">
        <v>12</v>
      </c>
      <c r="CI4" s="382">
        <v>13</v>
      </c>
      <c r="CJ4" s="382">
        <v>14</v>
      </c>
      <c r="CK4" s="382">
        <v>1</v>
      </c>
      <c r="CL4" s="382">
        <v>2</v>
      </c>
      <c r="CM4" s="382">
        <v>3</v>
      </c>
      <c r="CN4" s="382"/>
      <c r="CO4" s="382">
        <v>6</v>
      </c>
      <c r="CP4" s="382">
        <v>7</v>
      </c>
      <c r="CQ4" s="382">
        <v>8</v>
      </c>
      <c r="CR4" s="382">
        <v>9</v>
      </c>
      <c r="CS4" s="382">
        <v>10</v>
      </c>
      <c r="CT4" s="382">
        <v>11</v>
      </c>
      <c r="CU4" s="382">
        <v>12</v>
      </c>
      <c r="CV4" s="382">
        <v>13</v>
      </c>
      <c r="CW4" s="382">
        <v>14</v>
      </c>
      <c r="CX4" s="382"/>
      <c r="CY4" s="382">
        <v>1</v>
      </c>
      <c r="CZ4" s="382">
        <v>2</v>
      </c>
      <c r="DA4" s="382">
        <v>3</v>
      </c>
      <c r="DB4" s="382">
        <v>6</v>
      </c>
      <c r="DC4" s="382">
        <v>7</v>
      </c>
      <c r="DD4" s="382">
        <v>8</v>
      </c>
      <c r="DE4" s="382">
        <v>9</v>
      </c>
      <c r="DF4" s="382">
        <v>10</v>
      </c>
      <c r="DG4" s="382">
        <v>11</v>
      </c>
      <c r="DH4" s="382">
        <v>12</v>
      </c>
      <c r="DI4" s="382">
        <v>13</v>
      </c>
      <c r="DJ4" s="382">
        <v>14</v>
      </c>
      <c r="DK4" s="382">
        <v>1</v>
      </c>
      <c r="DL4" s="382">
        <v>2</v>
      </c>
      <c r="DM4" s="382">
        <v>3</v>
      </c>
      <c r="DN4" s="382"/>
      <c r="DO4" s="382">
        <v>6</v>
      </c>
      <c r="DP4" s="382">
        <v>8</v>
      </c>
      <c r="DQ4" s="382">
        <v>9</v>
      </c>
      <c r="DR4" s="382">
        <v>10</v>
      </c>
      <c r="DS4" s="382">
        <v>11</v>
      </c>
      <c r="DT4" s="382">
        <v>12</v>
      </c>
      <c r="DU4" s="382">
        <v>13</v>
      </c>
      <c r="DV4" s="382">
        <v>14</v>
      </c>
      <c r="DW4" s="382">
        <v>1</v>
      </c>
      <c r="DX4" s="382">
        <v>2</v>
      </c>
      <c r="DY4" s="382">
        <v>4</v>
      </c>
      <c r="DZ4" s="382">
        <v>5</v>
      </c>
      <c r="EA4" s="382">
        <v>6</v>
      </c>
      <c r="EB4" s="382">
        <v>7</v>
      </c>
      <c r="EC4" s="382">
        <v>8</v>
      </c>
      <c r="ED4" s="10"/>
      <c r="EE4" s="382">
        <v>10</v>
      </c>
      <c r="EF4" s="382">
        <v>11</v>
      </c>
      <c r="EG4" s="382">
        <v>12</v>
      </c>
      <c r="EH4" s="382">
        <v>13</v>
      </c>
      <c r="EI4" s="382">
        <v>14</v>
      </c>
      <c r="EJ4" s="382">
        <v>1</v>
      </c>
      <c r="EK4" s="382">
        <v>2</v>
      </c>
      <c r="EL4" s="382">
        <v>3</v>
      </c>
      <c r="EM4" s="382">
        <v>5</v>
      </c>
      <c r="EN4" s="382">
        <v>7</v>
      </c>
      <c r="EO4" s="382">
        <v>8</v>
      </c>
      <c r="EP4" s="382"/>
      <c r="EQ4" s="382"/>
      <c r="ER4" s="382">
        <v>11</v>
      </c>
      <c r="ES4" s="382">
        <v>12</v>
      </c>
      <c r="ET4" s="382">
        <v>13</v>
      </c>
      <c r="EU4" s="382">
        <v>14</v>
      </c>
      <c r="EV4" s="382">
        <v>1</v>
      </c>
      <c r="EW4" s="382">
        <v>2</v>
      </c>
      <c r="EX4" s="382">
        <v>3</v>
      </c>
      <c r="EY4" s="382">
        <v>4</v>
      </c>
      <c r="EZ4" s="382"/>
      <c r="FA4" s="382">
        <v>6</v>
      </c>
      <c r="FB4" s="382">
        <v>7</v>
      </c>
      <c r="FC4" s="382">
        <v>8</v>
      </c>
      <c r="FD4" s="382">
        <v>11</v>
      </c>
      <c r="FE4" s="382">
        <v>12</v>
      </c>
      <c r="FF4" s="382">
        <v>13</v>
      </c>
      <c r="FG4" s="382">
        <v>14</v>
      </c>
      <c r="FH4" s="382">
        <v>1</v>
      </c>
      <c r="FI4" s="382">
        <v>2</v>
      </c>
      <c r="FJ4" s="382">
        <v>3</v>
      </c>
      <c r="FK4" s="382">
        <v>4</v>
      </c>
      <c r="FL4" s="382">
        <v>5</v>
      </c>
      <c r="FM4" s="382">
        <v>6</v>
      </c>
      <c r="FN4" s="382">
        <v>7</v>
      </c>
      <c r="FO4" s="382">
        <v>8</v>
      </c>
      <c r="FP4" s="382">
        <v>9</v>
      </c>
      <c r="FQ4" s="382">
        <v>10</v>
      </c>
      <c r="FR4" s="382">
        <v>13</v>
      </c>
      <c r="FS4" s="382">
        <v>14</v>
      </c>
      <c r="FT4" s="382">
        <v>1</v>
      </c>
      <c r="FU4" s="382">
        <v>2</v>
      </c>
      <c r="FV4" s="382">
        <v>3</v>
      </c>
      <c r="FW4" s="382">
        <v>5</v>
      </c>
      <c r="FX4" s="382">
        <v>6</v>
      </c>
      <c r="FY4" s="382">
        <v>7</v>
      </c>
      <c r="FZ4" s="382">
        <v>9</v>
      </c>
      <c r="GA4" s="382">
        <v>10</v>
      </c>
      <c r="GB4" s="382">
        <v>11</v>
      </c>
      <c r="GC4" s="382">
        <v>12</v>
      </c>
      <c r="GD4" s="382">
        <v>13</v>
      </c>
      <c r="GE4" s="382">
        <v>14</v>
      </c>
      <c r="GF4" s="382">
        <v>1</v>
      </c>
      <c r="GG4" s="382">
        <v>3</v>
      </c>
      <c r="GH4" s="382">
        <v>4</v>
      </c>
      <c r="GI4" s="382">
        <v>5</v>
      </c>
      <c r="GJ4" s="382">
        <v>6</v>
      </c>
      <c r="GK4" s="382">
        <v>7</v>
      </c>
      <c r="GL4" s="382">
        <v>8</v>
      </c>
      <c r="GM4" s="382">
        <v>9</v>
      </c>
      <c r="GN4" s="382">
        <v>10</v>
      </c>
      <c r="GO4" s="382">
        <v>11</v>
      </c>
      <c r="GP4" s="382">
        <v>12</v>
      </c>
      <c r="GQ4" s="382">
        <v>13</v>
      </c>
      <c r="GR4" s="382">
        <v>14</v>
      </c>
      <c r="GS4" s="382">
        <v>1</v>
      </c>
      <c r="GT4" s="382"/>
      <c r="GU4" s="382">
        <v>3</v>
      </c>
      <c r="GV4" s="382"/>
      <c r="GW4" s="382">
        <v>5</v>
      </c>
      <c r="GX4" s="382">
        <v>6</v>
      </c>
      <c r="GY4" s="382">
        <v>7</v>
      </c>
      <c r="GZ4" s="382">
        <v>8</v>
      </c>
      <c r="HA4" s="382">
        <v>9</v>
      </c>
      <c r="HB4" s="382">
        <v>10</v>
      </c>
      <c r="HC4" s="382">
        <v>11</v>
      </c>
      <c r="HD4" s="382">
        <v>12</v>
      </c>
      <c r="HE4" s="382">
        <v>13</v>
      </c>
      <c r="HF4" s="382">
        <v>14</v>
      </c>
      <c r="HG4" s="382">
        <v>1</v>
      </c>
      <c r="HH4" s="382">
        <v>2</v>
      </c>
      <c r="HI4" s="382"/>
      <c r="HJ4" s="382">
        <v>4</v>
      </c>
      <c r="HK4" s="382">
        <v>5</v>
      </c>
      <c r="HL4" s="382">
        <v>6</v>
      </c>
      <c r="HM4" s="382">
        <v>7</v>
      </c>
      <c r="HN4" s="382">
        <v>8</v>
      </c>
      <c r="HO4" s="382">
        <v>9</v>
      </c>
      <c r="HP4" s="382">
        <v>10</v>
      </c>
      <c r="HQ4" s="382">
        <v>11</v>
      </c>
      <c r="HR4" s="382">
        <v>12</v>
      </c>
      <c r="HS4" s="382">
        <v>13</v>
      </c>
      <c r="HT4" s="382">
        <v>14</v>
      </c>
      <c r="HU4" s="382">
        <v>1</v>
      </c>
      <c r="HV4" s="382">
        <v>2</v>
      </c>
      <c r="HW4" s="382">
        <v>3</v>
      </c>
      <c r="HX4" s="382"/>
      <c r="HY4" s="382">
        <v>5</v>
      </c>
      <c r="HZ4" s="382">
        <v>6</v>
      </c>
      <c r="IA4" s="382">
        <v>7</v>
      </c>
      <c r="IB4" s="382">
        <v>8</v>
      </c>
      <c r="IC4" s="382">
        <v>9</v>
      </c>
      <c r="ID4" s="382">
        <v>10</v>
      </c>
      <c r="IE4" s="382">
        <v>11</v>
      </c>
      <c r="IF4" s="382">
        <v>12</v>
      </c>
      <c r="IG4" s="382">
        <v>13</v>
      </c>
      <c r="IH4" s="382">
        <v>14</v>
      </c>
      <c r="II4" s="382"/>
      <c r="IJ4" s="382">
        <v>2</v>
      </c>
      <c r="IK4" s="382">
        <v>3</v>
      </c>
      <c r="IL4" s="382">
        <v>4</v>
      </c>
      <c r="IM4" s="382">
        <v>5</v>
      </c>
      <c r="IN4" s="382"/>
      <c r="IO4" s="382">
        <v>7</v>
      </c>
      <c r="IP4" s="382">
        <v>8</v>
      </c>
      <c r="IQ4" s="382">
        <v>9</v>
      </c>
      <c r="IR4" s="382">
        <v>10</v>
      </c>
      <c r="IS4" s="382">
        <v>11</v>
      </c>
      <c r="IT4" s="382">
        <v>12</v>
      </c>
      <c r="IU4" s="382">
        <v>13</v>
      </c>
      <c r="IV4" s="382">
        <v>14</v>
      </c>
      <c r="IW4" s="382">
        <v>1</v>
      </c>
      <c r="IX4" s="382">
        <v>2</v>
      </c>
      <c r="IY4" s="382">
        <v>3</v>
      </c>
      <c r="IZ4" s="382">
        <v>4</v>
      </c>
      <c r="JA4" s="382">
        <v>5</v>
      </c>
      <c r="JB4" s="382">
        <v>6</v>
      </c>
      <c r="JC4" s="382">
        <v>8</v>
      </c>
      <c r="JD4" s="382">
        <v>9</v>
      </c>
      <c r="JE4" s="382">
        <v>10</v>
      </c>
      <c r="JF4" s="382">
        <v>11</v>
      </c>
      <c r="JG4" s="382">
        <v>12</v>
      </c>
      <c r="JH4" s="382">
        <v>13</v>
      </c>
      <c r="JI4" s="382">
        <v>14</v>
      </c>
      <c r="JJ4" s="382">
        <v>1</v>
      </c>
      <c r="JK4" s="382">
        <v>2</v>
      </c>
      <c r="JL4" s="382">
        <v>3</v>
      </c>
      <c r="JM4" s="382">
        <v>4</v>
      </c>
      <c r="JN4" s="382">
        <v>5</v>
      </c>
      <c r="JO4" s="382">
        <v>6</v>
      </c>
      <c r="JP4" s="382">
        <v>7</v>
      </c>
      <c r="JQ4" s="382">
        <v>8</v>
      </c>
      <c r="JR4" s="382"/>
      <c r="JS4" s="382">
        <v>10</v>
      </c>
      <c r="JT4" s="382">
        <v>11</v>
      </c>
      <c r="JU4" s="382">
        <v>12</v>
      </c>
      <c r="JV4" s="382">
        <v>13</v>
      </c>
      <c r="JW4" s="382">
        <v>14</v>
      </c>
      <c r="JX4" s="382">
        <v>1</v>
      </c>
      <c r="JY4" s="382">
        <v>2</v>
      </c>
      <c r="JZ4" s="382">
        <v>3</v>
      </c>
      <c r="KA4" s="382">
        <v>4</v>
      </c>
      <c r="KB4" s="382">
        <v>5</v>
      </c>
      <c r="KC4" s="382">
        <v>6</v>
      </c>
      <c r="KD4" s="382"/>
      <c r="KE4" s="382">
        <v>8</v>
      </c>
      <c r="KF4" s="382">
        <v>9</v>
      </c>
      <c r="KG4" s="382"/>
      <c r="KH4" s="382">
        <v>11</v>
      </c>
      <c r="KI4" s="382">
        <v>12</v>
      </c>
      <c r="KJ4" s="382">
        <v>13</v>
      </c>
      <c r="KK4" s="382">
        <v>14</v>
      </c>
      <c r="KL4" s="382">
        <v>1</v>
      </c>
      <c r="KM4" s="382">
        <v>2</v>
      </c>
      <c r="KN4" s="382">
        <v>3</v>
      </c>
      <c r="KO4" s="382">
        <v>4</v>
      </c>
      <c r="KP4" s="382">
        <v>5</v>
      </c>
      <c r="KQ4" s="382"/>
      <c r="KR4" s="382"/>
      <c r="KS4" s="382"/>
      <c r="KT4" s="382"/>
      <c r="KU4" s="382">
        <v>9</v>
      </c>
      <c r="KV4" s="382"/>
      <c r="KW4" s="382"/>
      <c r="KX4" s="382">
        <v>12</v>
      </c>
      <c r="KY4" s="382">
        <v>13</v>
      </c>
      <c r="KZ4" s="382">
        <v>14</v>
      </c>
      <c r="LA4" s="382">
        <v>1</v>
      </c>
      <c r="LB4" s="382">
        <v>2</v>
      </c>
      <c r="LC4" s="382">
        <v>3</v>
      </c>
      <c r="LD4" s="382">
        <v>4</v>
      </c>
      <c r="LE4" s="382">
        <v>5</v>
      </c>
      <c r="LF4" s="382">
        <v>6</v>
      </c>
      <c r="LG4" s="382">
        <v>7</v>
      </c>
      <c r="LH4" s="382">
        <v>8</v>
      </c>
      <c r="LI4" s="382">
        <v>9</v>
      </c>
      <c r="LJ4" s="382">
        <v>10</v>
      </c>
      <c r="LK4" s="382">
        <v>11</v>
      </c>
      <c r="LL4" s="382">
        <v>12</v>
      </c>
      <c r="LM4" s="382">
        <v>13</v>
      </c>
      <c r="LN4" s="382">
        <v>14</v>
      </c>
      <c r="LO4" s="382"/>
      <c r="LP4" s="382">
        <v>2</v>
      </c>
      <c r="LQ4" s="382">
        <v>3</v>
      </c>
      <c r="LR4" s="382">
        <v>4</v>
      </c>
      <c r="LS4" s="382">
        <v>5</v>
      </c>
      <c r="LT4" s="382">
        <v>6</v>
      </c>
      <c r="LU4" s="382">
        <v>7</v>
      </c>
      <c r="LV4" s="382">
        <v>8</v>
      </c>
      <c r="LW4" s="382">
        <v>9</v>
      </c>
      <c r="LX4" s="382">
        <v>10</v>
      </c>
      <c r="LY4" s="382">
        <v>11</v>
      </c>
      <c r="LZ4" s="382">
        <v>12</v>
      </c>
      <c r="MA4" s="382">
        <v>13</v>
      </c>
      <c r="MB4" s="382">
        <v>14</v>
      </c>
      <c r="MC4" s="382">
        <v>1</v>
      </c>
      <c r="MD4" s="382">
        <v>2</v>
      </c>
      <c r="ME4" s="382">
        <v>3</v>
      </c>
      <c r="MF4" s="382">
        <v>4</v>
      </c>
      <c r="MG4" s="382">
        <v>5</v>
      </c>
      <c r="MH4" s="382"/>
      <c r="MI4" s="382"/>
      <c r="MJ4" s="382">
        <v>8</v>
      </c>
      <c r="MK4" s="382">
        <v>9</v>
      </c>
      <c r="ML4" s="382">
        <v>10</v>
      </c>
      <c r="MM4" s="382">
        <v>11</v>
      </c>
      <c r="MN4" s="382">
        <v>12</v>
      </c>
      <c r="MO4" s="382">
        <v>13</v>
      </c>
      <c r="MP4" s="382">
        <v>14</v>
      </c>
      <c r="MQ4" s="382">
        <v>1</v>
      </c>
      <c r="MR4" s="382">
        <v>2</v>
      </c>
      <c r="MS4" s="382">
        <v>3</v>
      </c>
      <c r="MT4" s="382">
        <v>4</v>
      </c>
      <c r="MU4" s="382">
        <v>5</v>
      </c>
      <c r="MV4" s="382"/>
      <c r="MW4" s="382">
        <v>7</v>
      </c>
      <c r="MX4" s="382">
        <v>8</v>
      </c>
      <c r="MY4" s="382">
        <v>9</v>
      </c>
      <c r="MZ4" s="382">
        <v>10</v>
      </c>
      <c r="NA4" s="382">
        <v>11</v>
      </c>
      <c r="NB4" s="382">
        <v>12</v>
      </c>
      <c r="NC4" s="382">
        <v>13</v>
      </c>
      <c r="ND4" s="382">
        <v>14</v>
      </c>
      <c r="NE4" s="382">
        <v>1</v>
      </c>
      <c r="NF4" s="382">
        <v>2</v>
      </c>
      <c r="NG4" s="382">
        <v>3</v>
      </c>
      <c r="NH4" s="382">
        <v>4</v>
      </c>
      <c r="NI4" s="382">
        <v>5</v>
      </c>
      <c r="NJ4" s="382">
        <v>6</v>
      </c>
      <c r="NK4" s="382">
        <v>7</v>
      </c>
      <c r="NL4" s="382">
        <v>8</v>
      </c>
      <c r="NM4" s="382">
        <v>9</v>
      </c>
      <c r="NN4" s="382">
        <v>10</v>
      </c>
      <c r="NO4" s="382">
        <v>11</v>
      </c>
      <c r="NP4" s="382">
        <v>12</v>
      </c>
      <c r="NQ4" s="382">
        <v>13</v>
      </c>
      <c r="NR4" s="382">
        <v>14</v>
      </c>
      <c r="NS4" s="382">
        <v>1</v>
      </c>
      <c r="NT4" s="382">
        <v>3</v>
      </c>
      <c r="NU4" s="382">
        <v>4</v>
      </c>
      <c r="NV4" s="382">
        <v>5</v>
      </c>
      <c r="NW4" s="382">
        <v>6</v>
      </c>
      <c r="NX4" s="382">
        <v>7</v>
      </c>
      <c r="NY4" s="382"/>
      <c r="NZ4" s="382">
        <v>9</v>
      </c>
      <c r="OA4" s="382">
        <v>10</v>
      </c>
      <c r="OB4" s="382"/>
      <c r="OC4" s="382">
        <v>12</v>
      </c>
      <c r="OD4" s="382">
        <v>13</v>
      </c>
      <c r="OE4" s="382">
        <v>14</v>
      </c>
      <c r="OF4" s="382">
        <v>1</v>
      </c>
      <c r="OG4" s="382">
        <v>2</v>
      </c>
      <c r="OH4" s="382">
        <v>3</v>
      </c>
      <c r="OI4" s="382">
        <v>4</v>
      </c>
      <c r="OJ4" s="382">
        <v>5</v>
      </c>
      <c r="OK4" s="382">
        <v>6</v>
      </c>
      <c r="OL4" s="382">
        <v>7</v>
      </c>
      <c r="OM4" s="382">
        <v>8</v>
      </c>
      <c r="ON4" s="382">
        <v>9</v>
      </c>
      <c r="OO4" s="382">
        <v>10</v>
      </c>
      <c r="OP4" s="382">
        <v>11</v>
      </c>
      <c r="OQ4" s="382">
        <v>12</v>
      </c>
      <c r="OR4" s="382">
        <v>13</v>
      </c>
      <c r="OS4" s="382">
        <v>14</v>
      </c>
      <c r="OT4" s="382">
        <v>1</v>
      </c>
      <c r="OU4" s="382">
        <v>2</v>
      </c>
      <c r="OV4" s="382">
        <v>3</v>
      </c>
      <c r="OW4" s="382">
        <v>4</v>
      </c>
      <c r="OX4" s="382">
        <v>5</v>
      </c>
      <c r="OY4" s="382"/>
      <c r="OZ4" s="382">
        <v>7</v>
      </c>
      <c r="PA4" s="382">
        <v>8</v>
      </c>
      <c r="PB4" s="382">
        <v>9</v>
      </c>
      <c r="PC4" s="382">
        <v>10</v>
      </c>
      <c r="PD4" s="382">
        <v>11</v>
      </c>
      <c r="PE4" s="382">
        <v>12</v>
      </c>
      <c r="PF4" s="382">
        <v>13</v>
      </c>
      <c r="PG4" s="382">
        <v>14</v>
      </c>
    </row>
    <row r="5" spans="1:423" ht="15.75" thickBot="1" x14ac:dyDescent="0.3">
      <c r="A5" s="383">
        <v>544554610501</v>
      </c>
      <c r="B5" s="384">
        <f t="shared" ref="B5:B46" si="0">SUM(F5:PG5)</f>
        <v>0</v>
      </c>
      <c r="C5" s="384">
        <v>0</v>
      </c>
      <c r="D5" s="384">
        <f>SUMIF('Sap Inwarding'!F:F,'Front Dispatch'!$A5,'Sap Inwarding'!H:H)</f>
        <v>0</v>
      </c>
      <c r="E5" s="384">
        <f t="shared" ref="E5:E46" si="1">C5-B5</f>
        <v>0</v>
      </c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5"/>
      <c r="BD5" s="385"/>
      <c r="BE5" s="385"/>
      <c r="BF5" s="385"/>
      <c r="BG5" s="385"/>
      <c r="BH5" s="385"/>
      <c r="BI5" s="385"/>
      <c r="BJ5" s="385"/>
      <c r="BK5" s="385"/>
      <c r="BL5" s="385"/>
      <c r="BM5" s="385"/>
      <c r="BN5" s="385"/>
      <c r="BO5" s="385"/>
      <c r="BP5" s="385"/>
      <c r="BQ5" s="385"/>
      <c r="BR5" s="385"/>
      <c r="BS5" s="385"/>
      <c r="BT5" s="385"/>
      <c r="BU5" s="385"/>
      <c r="BV5" s="385"/>
      <c r="BW5" s="385"/>
      <c r="BX5" s="385"/>
      <c r="BY5" s="385"/>
      <c r="BZ5" s="385"/>
      <c r="CA5" s="385"/>
      <c r="CB5" s="385"/>
      <c r="CC5" s="385"/>
      <c r="CD5" s="385"/>
      <c r="CE5" s="385"/>
      <c r="CF5" s="385"/>
      <c r="CG5" s="385"/>
      <c r="CH5" s="385"/>
      <c r="CI5" s="385"/>
      <c r="CJ5" s="385"/>
      <c r="CK5" s="385"/>
      <c r="CL5" s="385"/>
      <c r="CM5" s="385"/>
      <c r="CN5" s="385"/>
      <c r="CO5" s="385"/>
      <c r="CP5" s="385"/>
      <c r="CQ5" s="385"/>
      <c r="CR5" s="385"/>
      <c r="CS5" s="385"/>
      <c r="CT5" s="385"/>
      <c r="CU5" s="385"/>
      <c r="CV5" s="385"/>
      <c r="CW5" s="385"/>
      <c r="CX5" s="385"/>
      <c r="CY5" s="385"/>
      <c r="CZ5" s="385"/>
      <c r="DA5" s="385"/>
      <c r="DB5" s="385"/>
      <c r="DC5" s="385"/>
      <c r="DD5" s="385"/>
      <c r="DE5" s="385"/>
      <c r="DF5" s="385"/>
      <c r="DG5" s="385"/>
      <c r="DH5" s="385"/>
      <c r="DI5" s="385"/>
      <c r="DJ5" s="385"/>
      <c r="DK5" s="385"/>
      <c r="DL5" s="385"/>
      <c r="DM5" s="385"/>
      <c r="DN5" s="385"/>
      <c r="DO5" s="385"/>
      <c r="DP5" s="385"/>
      <c r="DQ5" s="385"/>
      <c r="DR5" s="385"/>
      <c r="DS5" s="385"/>
      <c r="DT5" s="385"/>
      <c r="DU5" s="385"/>
      <c r="DV5" s="385"/>
      <c r="DW5" s="385"/>
      <c r="DX5" s="385"/>
      <c r="DY5" s="385"/>
      <c r="DZ5" s="385"/>
      <c r="EA5" s="417"/>
      <c r="EB5" s="385"/>
      <c r="EC5" s="385"/>
      <c r="ED5" s="65"/>
      <c r="EE5" s="385"/>
      <c r="EF5" s="385"/>
      <c r="EG5" s="385"/>
      <c r="EH5" s="385"/>
      <c r="EI5" s="385"/>
      <c r="EJ5" s="385"/>
      <c r="EK5" s="385"/>
      <c r="EL5" s="385"/>
      <c r="EM5" s="385"/>
      <c r="EN5" s="385"/>
      <c r="EO5" s="385"/>
      <c r="EP5" s="385"/>
      <c r="EQ5" s="385"/>
      <c r="ER5" s="385"/>
      <c r="ES5" s="385"/>
      <c r="ET5" s="385"/>
      <c r="EU5" s="385"/>
      <c r="EV5" s="385"/>
      <c r="EW5" s="385"/>
      <c r="EX5" s="385"/>
      <c r="EY5" s="385"/>
      <c r="EZ5" s="385"/>
      <c r="FA5" s="385"/>
      <c r="FB5" s="385"/>
      <c r="FC5" s="385"/>
      <c r="FD5" s="385"/>
      <c r="FE5" s="385"/>
      <c r="FF5" s="385"/>
      <c r="FG5" s="385"/>
      <c r="FH5" s="385"/>
      <c r="FI5" s="385"/>
      <c r="FJ5" s="385"/>
      <c r="FK5" s="385"/>
      <c r="FL5" s="385"/>
      <c r="FM5" s="385"/>
      <c r="FN5" s="385"/>
      <c r="FO5" s="385"/>
      <c r="FP5" s="385"/>
      <c r="FQ5" s="385"/>
      <c r="FR5" s="385"/>
      <c r="FS5" s="385"/>
      <c r="FT5" s="385"/>
      <c r="FU5" s="385"/>
      <c r="FV5" s="385"/>
      <c r="FW5" s="385"/>
      <c r="FX5" s="385"/>
      <c r="FY5" s="385"/>
      <c r="FZ5" s="385"/>
      <c r="GA5" s="385"/>
      <c r="GB5" s="385"/>
      <c r="GC5" s="385"/>
      <c r="GD5" s="385"/>
      <c r="GE5" s="385"/>
      <c r="GF5" s="385"/>
      <c r="GG5" s="385"/>
      <c r="GH5" s="385"/>
      <c r="GI5" s="385"/>
      <c r="GJ5" s="385"/>
      <c r="GK5" s="385"/>
      <c r="GL5" s="385"/>
      <c r="GM5" s="385"/>
      <c r="GN5" s="385"/>
      <c r="GO5" s="385"/>
      <c r="GP5" s="385"/>
      <c r="GQ5" s="385"/>
      <c r="GR5" s="385"/>
      <c r="GS5" s="385"/>
      <c r="GT5" s="385"/>
      <c r="GU5" s="385"/>
      <c r="GV5" s="385"/>
      <c r="GW5" s="385"/>
      <c r="GX5" s="385"/>
      <c r="GY5" s="385"/>
      <c r="GZ5" s="385"/>
      <c r="HA5" s="385"/>
      <c r="HB5" s="385"/>
      <c r="HC5" s="385"/>
      <c r="HD5" s="385"/>
      <c r="HE5" s="385"/>
      <c r="HF5" s="385"/>
      <c r="HG5" s="385"/>
      <c r="HH5" s="385"/>
      <c r="HI5" s="385"/>
      <c r="HJ5" s="385"/>
      <c r="HK5" s="385"/>
      <c r="HL5" s="385"/>
      <c r="HM5" s="385"/>
      <c r="HN5" s="385"/>
      <c r="HO5" s="385"/>
      <c r="HP5" s="385"/>
      <c r="HQ5" s="385"/>
      <c r="HR5" s="385"/>
      <c r="HS5" s="385"/>
      <c r="HT5" s="385"/>
      <c r="HU5" s="385"/>
      <c r="HV5" s="385"/>
      <c r="HW5" s="385"/>
      <c r="HX5" s="385"/>
      <c r="HY5" s="385"/>
      <c r="HZ5" s="385"/>
      <c r="IA5" s="385"/>
      <c r="IB5" s="385"/>
      <c r="IC5" s="385"/>
      <c r="ID5" s="385"/>
      <c r="IE5" s="385"/>
      <c r="IF5" s="385"/>
      <c r="IG5" s="385"/>
      <c r="IH5" s="385"/>
      <c r="II5" s="385"/>
      <c r="IJ5" s="385"/>
      <c r="IK5" s="385"/>
      <c r="IL5" s="385"/>
      <c r="IM5" s="385"/>
      <c r="IN5" s="385"/>
      <c r="IO5" s="385"/>
      <c r="IP5" s="385"/>
      <c r="IQ5" s="385"/>
      <c r="IR5" s="385"/>
      <c r="IS5" s="385"/>
      <c r="IT5" s="385"/>
      <c r="IU5" s="385"/>
      <c r="IV5" s="385"/>
      <c r="IW5" s="385"/>
      <c r="IX5" s="385"/>
      <c r="IY5" s="385"/>
      <c r="IZ5" s="385"/>
      <c r="JA5" s="385"/>
      <c r="JB5" s="385"/>
      <c r="JC5" s="385"/>
      <c r="JD5" s="385"/>
      <c r="JE5" s="385"/>
      <c r="JF5" s="385"/>
      <c r="JG5" s="385"/>
      <c r="JH5" s="385"/>
      <c r="JI5" s="385"/>
      <c r="JJ5" s="385"/>
      <c r="JK5" s="385"/>
      <c r="JL5" s="385"/>
      <c r="JM5" s="385"/>
      <c r="JN5" s="385"/>
      <c r="JO5" s="385"/>
      <c r="JP5" s="385"/>
      <c r="JQ5" s="385"/>
      <c r="JR5" s="385"/>
      <c r="JS5" s="385"/>
      <c r="JT5" s="385"/>
      <c r="JU5" s="385"/>
      <c r="JV5" s="385"/>
      <c r="JW5" s="385"/>
      <c r="JX5" s="385"/>
      <c r="JY5" s="385"/>
      <c r="JZ5" s="385"/>
      <c r="KA5" s="385"/>
      <c r="KB5" s="385"/>
      <c r="KC5" s="385"/>
      <c r="KD5" s="385"/>
      <c r="KE5" s="385"/>
      <c r="KF5" s="385"/>
      <c r="KG5" s="385"/>
      <c r="KH5" s="385"/>
      <c r="KI5" s="385"/>
      <c r="KJ5" s="385"/>
      <c r="KK5" s="385"/>
      <c r="KL5" s="385"/>
      <c r="KM5" s="385"/>
      <c r="KN5" s="385"/>
      <c r="KO5" s="385"/>
      <c r="KP5" s="385"/>
      <c r="KQ5" s="385"/>
      <c r="KR5" s="385"/>
      <c r="KS5" s="385"/>
      <c r="KT5" s="385"/>
      <c r="KU5" s="385"/>
      <c r="KV5" s="385"/>
      <c r="KW5" s="385"/>
      <c r="KX5" s="385"/>
      <c r="KY5" s="385"/>
      <c r="KZ5" s="385"/>
      <c r="LA5" s="385"/>
      <c r="LB5" s="385"/>
      <c r="LC5" s="385"/>
      <c r="LD5" s="385"/>
      <c r="LE5" s="385"/>
      <c r="LF5" s="385"/>
      <c r="LG5" s="385"/>
      <c r="LH5" s="385"/>
      <c r="LI5" s="385"/>
      <c r="LJ5" s="385"/>
      <c r="LK5" s="385"/>
      <c r="LL5" s="385"/>
      <c r="LM5" s="385"/>
      <c r="LN5" s="385"/>
      <c r="LO5" s="385"/>
      <c r="LP5" s="385"/>
      <c r="LQ5" s="385"/>
      <c r="LR5" s="385"/>
      <c r="LS5" s="385"/>
      <c r="LT5" s="385"/>
      <c r="LU5" s="385"/>
      <c r="LV5" s="385"/>
      <c r="LW5" s="385"/>
      <c r="LX5" s="385"/>
      <c r="LY5" s="385"/>
      <c r="LZ5" s="385"/>
      <c r="MA5" s="385"/>
      <c r="MB5" s="385"/>
      <c r="MC5" s="385"/>
      <c r="MD5" s="385"/>
      <c r="ME5" s="385"/>
      <c r="MF5" s="385"/>
      <c r="MG5" s="385"/>
      <c r="MH5" s="385"/>
      <c r="MI5" s="385"/>
      <c r="MJ5" s="385"/>
      <c r="MK5" s="385"/>
      <c r="ML5" s="385"/>
      <c r="MM5" s="385"/>
      <c r="MN5" s="385"/>
      <c r="MO5" s="385"/>
      <c r="MP5" s="385"/>
      <c r="MQ5" s="385"/>
      <c r="MR5" s="385"/>
      <c r="MS5" s="385"/>
      <c r="MT5" s="385"/>
      <c r="MU5" s="385"/>
      <c r="MV5" s="385"/>
      <c r="MW5" s="385"/>
      <c r="MX5" s="385"/>
      <c r="MY5" s="385"/>
      <c r="MZ5" s="385"/>
      <c r="NA5" s="385"/>
      <c r="NB5" s="385"/>
      <c r="NC5" s="385"/>
      <c r="ND5" s="385"/>
      <c r="NE5" s="385"/>
      <c r="NF5" s="385"/>
      <c r="NG5" s="385"/>
      <c r="NH5" s="385"/>
      <c r="NI5" s="385"/>
      <c r="NJ5" s="385"/>
      <c r="NK5" s="385"/>
      <c r="NL5" s="385"/>
      <c r="NM5" s="385"/>
      <c r="NN5" s="385"/>
      <c r="NO5" s="385"/>
      <c r="NP5" s="385"/>
      <c r="NQ5" s="385"/>
      <c r="NR5" s="385"/>
      <c r="NS5" s="385"/>
      <c r="NT5" s="385"/>
      <c r="NU5" s="385"/>
      <c r="NV5" s="385"/>
      <c r="NW5" s="385"/>
      <c r="NX5" s="385"/>
      <c r="NY5" s="385"/>
      <c r="NZ5" s="385"/>
      <c r="OA5" s="385"/>
      <c r="OB5" s="385"/>
      <c r="OC5" s="385"/>
      <c r="OD5" s="385"/>
      <c r="OE5" s="385"/>
      <c r="OF5" s="385"/>
      <c r="OG5" s="385"/>
      <c r="OH5" s="385"/>
      <c r="OI5" s="385"/>
      <c r="OJ5" s="385"/>
      <c r="OK5" s="385"/>
      <c r="OL5" s="385"/>
      <c r="OM5" s="385"/>
      <c r="ON5" s="385"/>
      <c r="OO5" s="385"/>
      <c r="OP5" s="385"/>
      <c r="OQ5" s="385"/>
      <c r="OR5" s="385"/>
      <c r="OS5" s="385"/>
      <c r="OT5" s="385"/>
      <c r="OU5" s="385"/>
      <c r="OV5" s="385"/>
      <c r="OW5" s="385"/>
      <c r="OX5" s="385"/>
      <c r="OY5" s="385"/>
      <c r="OZ5" s="385"/>
      <c r="PA5" s="385"/>
      <c r="PB5" s="385"/>
      <c r="PC5" s="385"/>
      <c r="PD5" s="385"/>
      <c r="PE5" s="385"/>
      <c r="PF5" s="385"/>
      <c r="PG5" s="385"/>
    </row>
    <row r="6" spans="1:423" ht="15" customHeight="1" thickBot="1" x14ac:dyDescent="0.3">
      <c r="A6" s="386">
        <v>544554620377</v>
      </c>
      <c r="B6" s="384">
        <f t="shared" si="0"/>
        <v>0</v>
      </c>
      <c r="C6" s="384">
        <v>0</v>
      </c>
      <c r="D6" s="384">
        <f>SUMIF('Sap Inwarding'!F:F,'Front Dispatch'!$A6,'Sap Inwarding'!H:H)</f>
        <v>0</v>
      </c>
      <c r="E6" s="10">
        <f t="shared" si="1"/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385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385"/>
      <c r="AV6" s="385"/>
      <c r="AW6" s="385"/>
      <c r="AX6" s="385"/>
      <c r="AY6" s="385"/>
      <c r="AZ6" s="8"/>
      <c r="BA6" s="8"/>
      <c r="BB6" s="8"/>
      <c r="BC6" s="8"/>
      <c r="BD6" s="385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385"/>
      <c r="CB6" s="8"/>
      <c r="CC6" s="8"/>
      <c r="CD6" s="8"/>
      <c r="CE6" s="385"/>
      <c r="CF6" s="385"/>
      <c r="CG6" s="385"/>
      <c r="CH6" s="8"/>
      <c r="CI6" s="8"/>
      <c r="CJ6" s="8"/>
      <c r="CK6" s="8"/>
      <c r="CL6" s="8"/>
      <c r="CM6" s="385"/>
      <c r="CN6" s="8"/>
      <c r="CO6" s="8"/>
      <c r="CP6" s="8"/>
      <c r="CQ6" s="385"/>
      <c r="CR6" s="385"/>
      <c r="CS6" s="8"/>
      <c r="CT6" s="8"/>
      <c r="CU6" s="8"/>
      <c r="CV6" s="8"/>
      <c r="CW6" s="8"/>
      <c r="CX6" s="8"/>
      <c r="CY6" s="8"/>
      <c r="CZ6" s="8"/>
      <c r="DA6" s="385"/>
      <c r="DB6" s="8"/>
      <c r="DC6" s="385"/>
      <c r="DD6" s="385"/>
      <c r="DE6" s="385"/>
      <c r="DF6" s="385"/>
      <c r="DG6" s="385"/>
      <c r="DH6" s="8"/>
      <c r="DI6" s="8"/>
      <c r="DJ6" s="8"/>
      <c r="DK6" s="385"/>
      <c r="DL6" s="385"/>
      <c r="DM6" s="385"/>
      <c r="DN6" s="8"/>
      <c r="DO6" s="8"/>
      <c r="DP6" s="385"/>
      <c r="DQ6" s="385"/>
      <c r="DR6" s="385"/>
      <c r="DS6" s="8"/>
      <c r="DT6" s="8"/>
      <c r="DU6" s="8"/>
      <c r="DV6" s="8"/>
      <c r="DW6" s="385"/>
      <c r="DX6" s="385"/>
      <c r="DY6" s="8"/>
      <c r="DZ6" s="8"/>
      <c r="EA6" s="417"/>
      <c r="EB6" s="385"/>
      <c r="EC6" s="385"/>
      <c r="ED6" s="65"/>
      <c r="EE6" s="8"/>
      <c r="EF6" s="8"/>
      <c r="EG6" s="8"/>
      <c r="EH6" s="8"/>
      <c r="EI6" s="8"/>
      <c r="EJ6" s="8"/>
      <c r="EK6" s="8"/>
      <c r="EL6" s="8"/>
      <c r="EM6" s="8"/>
      <c r="EN6" s="8"/>
      <c r="EO6" s="385"/>
      <c r="EP6" s="385"/>
      <c r="EQ6" s="8"/>
      <c r="ER6" s="8"/>
      <c r="ES6" s="8"/>
      <c r="ET6" s="8"/>
      <c r="EU6" s="8"/>
      <c r="EV6" s="385"/>
      <c r="EW6" s="385"/>
      <c r="EX6" s="385"/>
      <c r="EY6" s="385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385"/>
      <c r="FL6" s="8"/>
      <c r="FM6" s="385"/>
      <c r="FN6" s="8"/>
      <c r="FO6" s="8"/>
      <c r="FP6" s="8"/>
      <c r="FQ6" s="8"/>
      <c r="FR6" s="8"/>
      <c r="FS6" s="8"/>
      <c r="FT6" s="385"/>
      <c r="FU6" s="385"/>
      <c r="FV6" s="385"/>
      <c r="FW6" s="8"/>
      <c r="FX6" s="8"/>
      <c r="FY6" s="385"/>
      <c r="FZ6" s="8"/>
      <c r="GA6" s="8"/>
      <c r="GB6" s="385"/>
      <c r="GC6" s="8"/>
      <c r="GD6" s="8"/>
      <c r="GE6" s="8"/>
      <c r="GF6" s="385"/>
      <c r="GG6" s="8"/>
      <c r="GH6" s="385"/>
      <c r="GI6" s="8"/>
      <c r="GJ6" s="385"/>
      <c r="GK6" s="8"/>
      <c r="GL6" s="8"/>
      <c r="GM6" s="8"/>
      <c r="GN6" s="8"/>
      <c r="GO6" s="8"/>
      <c r="GP6" s="8"/>
      <c r="GQ6" s="8"/>
      <c r="GR6" s="8"/>
      <c r="GS6" s="385"/>
      <c r="GT6" s="385"/>
      <c r="GU6" s="8"/>
      <c r="GV6" s="385"/>
      <c r="GW6" s="8"/>
      <c r="GX6" s="385"/>
      <c r="GY6" s="385"/>
      <c r="GZ6" s="8"/>
      <c r="HA6" s="8"/>
      <c r="HB6" s="8"/>
      <c r="HC6" s="8"/>
      <c r="HD6" s="8"/>
      <c r="HE6" s="8"/>
      <c r="HF6" s="8"/>
      <c r="HG6" s="8"/>
      <c r="HH6" s="385"/>
      <c r="HI6" s="8"/>
      <c r="HJ6" s="8"/>
      <c r="HK6" s="8"/>
      <c r="HL6" s="8"/>
      <c r="HM6" s="8"/>
      <c r="HN6" s="385"/>
      <c r="HO6" s="8"/>
      <c r="HP6" s="8"/>
      <c r="HQ6" s="8"/>
      <c r="HR6" s="8"/>
      <c r="HS6" s="8"/>
      <c r="HT6" s="8"/>
      <c r="HU6" s="385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385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</row>
    <row r="7" spans="1:423" ht="15.75" thickBot="1" x14ac:dyDescent="0.3">
      <c r="A7" s="386">
        <v>544554630334</v>
      </c>
      <c r="B7" s="384">
        <f t="shared" si="0"/>
        <v>0</v>
      </c>
      <c r="C7" s="384">
        <v>0</v>
      </c>
      <c r="D7" s="384">
        <f>SUMIF('Sap Inwarding'!F:F,'Front Dispatch'!$A7,'Sap Inwarding'!H:H)</f>
        <v>0</v>
      </c>
      <c r="E7" s="10">
        <f t="shared" si="1"/>
        <v>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385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385"/>
      <c r="AV7" s="385"/>
      <c r="AW7" s="385"/>
      <c r="AX7" s="385"/>
      <c r="AY7" s="385"/>
      <c r="AZ7" s="8"/>
      <c r="BA7" s="8"/>
      <c r="BB7" s="8"/>
      <c r="BC7" s="8"/>
      <c r="BD7" s="385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385"/>
      <c r="CB7" s="8"/>
      <c r="CC7" s="8"/>
      <c r="CD7" s="8"/>
      <c r="CE7" s="385"/>
      <c r="CF7" s="385"/>
      <c r="CG7" s="385"/>
      <c r="CH7" s="8"/>
      <c r="CI7" s="8"/>
      <c r="CJ7" s="8"/>
      <c r="CK7" s="8"/>
      <c r="CL7" s="8"/>
      <c r="CM7" s="385"/>
      <c r="CN7" s="8"/>
      <c r="CO7" s="8"/>
      <c r="CP7" s="8"/>
      <c r="CQ7" s="385"/>
      <c r="CR7" s="385"/>
      <c r="CS7" s="8"/>
      <c r="CT7" s="8"/>
      <c r="CU7" s="8"/>
      <c r="CV7" s="8"/>
      <c r="CW7" s="8"/>
      <c r="CX7" s="8"/>
      <c r="CY7" s="8"/>
      <c r="CZ7" s="8"/>
      <c r="DA7" s="385"/>
      <c r="DB7" s="8"/>
      <c r="DC7" s="385"/>
      <c r="DD7" s="385"/>
      <c r="DE7" s="385"/>
      <c r="DF7" s="385"/>
      <c r="DG7" s="385"/>
      <c r="DH7" s="8"/>
      <c r="DI7" s="8"/>
      <c r="DJ7" s="8"/>
      <c r="DK7" s="385"/>
      <c r="DL7" s="385"/>
      <c r="DM7" s="385"/>
      <c r="DN7" s="8"/>
      <c r="DO7" s="8"/>
      <c r="DP7" s="385"/>
      <c r="DQ7" s="385"/>
      <c r="DR7" s="385"/>
      <c r="DS7" s="8"/>
      <c r="DT7" s="8"/>
      <c r="DU7" s="8"/>
      <c r="DV7" s="8"/>
      <c r="DW7" s="385"/>
      <c r="DX7" s="385"/>
      <c r="DY7" s="8"/>
      <c r="DZ7" s="8"/>
      <c r="EA7" s="417"/>
      <c r="EB7" s="385"/>
      <c r="EC7" s="385"/>
      <c r="ED7" s="65"/>
      <c r="EE7" s="8"/>
      <c r="EF7" s="8"/>
      <c r="EG7" s="8"/>
      <c r="EH7" s="8"/>
      <c r="EI7" s="8"/>
      <c r="EJ7" s="8"/>
      <c r="EK7" s="8"/>
      <c r="EL7" s="8"/>
      <c r="EM7" s="8"/>
      <c r="EN7" s="8"/>
      <c r="EO7" s="385"/>
      <c r="EP7" s="385"/>
      <c r="EQ7" s="8"/>
      <c r="ER7" s="8"/>
      <c r="ES7" s="8"/>
      <c r="ET7" s="8"/>
      <c r="EU7" s="8"/>
      <c r="EV7" s="385"/>
      <c r="EW7" s="385"/>
      <c r="EX7" s="385"/>
      <c r="EY7" s="385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385"/>
      <c r="FL7" s="8"/>
      <c r="FM7" s="385"/>
      <c r="FN7" s="8"/>
      <c r="FO7" s="8"/>
      <c r="FP7" s="8"/>
      <c r="FQ7" s="8"/>
      <c r="FR7" s="8"/>
      <c r="FS7" s="8"/>
      <c r="FT7" s="385"/>
      <c r="FU7" s="385"/>
      <c r="FV7" s="385"/>
      <c r="FW7" s="8"/>
      <c r="FX7" s="8"/>
      <c r="FY7" s="385"/>
      <c r="FZ7" s="8"/>
      <c r="GA7" s="8"/>
      <c r="GB7" s="385"/>
      <c r="GC7" s="8"/>
      <c r="GD7" s="8"/>
      <c r="GE7" s="8"/>
      <c r="GF7" s="385"/>
      <c r="GG7" s="8"/>
      <c r="GH7" s="385"/>
      <c r="GI7" s="8"/>
      <c r="GJ7" s="385"/>
      <c r="GK7" s="8"/>
      <c r="GL7" s="8"/>
      <c r="GM7" s="8"/>
      <c r="GN7" s="8"/>
      <c r="GO7" s="8"/>
      <c r="GP7" s="8"/>
      <c r="GQ7" s="8"/>
      <c r="GR7" s="8"/>
      <c r="GS7" s="385"/>
      <c r="GT7" s="385"/>
      <c r="GU7" s="8"/>
      <c r="GV7" s="385"/>
      <c r="GW7" s="8"/>
      <c r="GX7" s="385"/>
      <c r="GY7" s="385"/>
      <c r="GZ7" s="8"/>
      <c r="HA7" s="8"/>
      <c r="HB7" s="8"/>
      <c r="HC7" s="8"/>
      <c r="HD7" s="8"/>
      <c r="HE7" s="8"/>
      <c r="HF7" s="8"/>
      <c r="HG7" s="8"/>
      <c r="HH7" s="385"/>
      <c r="HI7" s="8"/>
      <c r="HJ7" s="8"/>
      <c r="HK7" s="8"/>
      <c r="HL7" s="8"/>
      <c r="HM7" s="8"/>
      <c r="HN7" s="385"/>
      <c r="HO7" s="8"/>
      <c r="HP7" s="8"/>
      <c r="HQ7" s="8"/>
      <c r="HR7" s="8"/>
      <c r="HS7" s="8"/>
      <c r="HT7" s="8"/>
      <c r="HU7" s="385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385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</row>
    <row r="8" spans="1:423" ht="15" customHeight="1" thickBot="1" x14ac:dyDescent="0.3">
      <c r="A8" s="387">
        <v>544554630337</v>
      </c>
      <c r="B8" s="384">
        <f t="shared" si="0"/>
        <v>0</v>
      </c>
      <c r="C8" s="384">
        <v>0</v>
      </c>
      <c r="D8" s="384">
        <f>SUMIF('Sap Inwarding'!F:F,'Front Dispatch'!$A8,'Sap Inwarding'!H:H)</f>
        <v>0</v>
      </c>
      <c r="E8" s="10">
        <f t="shared" si="1"/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385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385"/>
      <c r="AV8" s="385"/>
      <c r="AW8" s="385"/>
      <c r="AX8" s="385"/>
      <c r="AY8" s="385"/>
      <c r="AZ8" s="8"/>
      <c r="BA8" s="8"/>
      <c r="BB8" s="8"/>
      <c r="BC8" s="8"/>
      <c r="BD8" s="385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385"/>
      <c r="CB8" s="8"/>
      <c r="CC8" s="8"/>
      <c r="CD8" s="8"/>
      <c r="CE8" s="385"/>
      <c r="CF8" s="385"/>
      <c r="CG8" s="385"/>
      <c r="CH8" s="8"/>
      <c r="CI8" s="8"/>
      <c r="CJ8" s="8"/>
      <c r="CK8" s="8"/>
      <c r="CL8" s="8"/>
      <c r="CM8" s="385"/>
      <c r="CN8" s="8"/>
      <c r="CO8" s="8"/>
      <c r="CP8" s="8"/>
      <c r="CQ8" s="385"/>
      <c r="CR8" s="385"/>
      <c r="CS8" s="8"/>
      <c r="CT8" s="8"/>
      <c r="CU8" s="8"/>
      <c r="CV8" s="8"/>
      <c r="CW8" s="8"/>
      <c r="CX8" s="8"/>
      <c r="CY8" s="8"/>
      <c r="CZ8" s="8"/>
      <c r="DA8" s="385"/>
      <c r="DB8" s="8"/>
      <c r="DC8" s="385"/>
      <c r="DD8" s="385"/>
      <c r="DE8" s="385"/>
      <c r="DF8" s="385"/>
      <c r="DG8" s="385"/>
      <c r="DH8" s="8"/>
      <c r="DI8" s="8"/>
      <c r="DJ8" s="8"/>
      <c r="DK8" s="385"/>
      <c r="DL8" s="385"/>
      <c r="DM8" s="385"/>
      <c r="DN8" s="8"/>
      <c r="DO8" s="8"/>
      <c r="DP8" s="385"/>
      <c r="DQ8" s="385"/>
      <c r="DR8" s="385"/>
      <c r="DS8" s="8"/>
      <c r="DT8" s="8"/>
      <c r="DU8" s="8"/>
      <c r="DV8" s="8"/>
      <c r="DW8" s="385"/>
      <c r="DX8" s="385"/>
      <c r="DY8" s="8"/>
      <c r="DZ8" s="8"/>
      <c r="EA8" s="417"/>
      <c r="EB8" s="385"/>
      <c r="EC8" s="385"/>
      <c r="ED8" s="65"/>
      <c r="EE8" s="8"/>
      <c r="EF8" s="8"/>
      <c r="EG8" s="8"/>
      <c r="EH8" s="8"/>
      <c r="EI8" s="8"/>
      <c r="EJ8" s="8"/>
      <c r="EK8" s="8"/>
      <c r="EL8" s="8"/>
      <c r="EM8" s="8"/>
      <c r="EN8" s="8"/>
      <c r="EO8" s="385"/>
      <c r="EP8" s="385"/>
      <c r="EQ8" s="8"/>
      <c r="ER8" s="8"/>
      <c r="ES8" s="8"/>
      <c r="ET8" s="8"/>
      <c r="EU8" s="8"/>
      <c r="EV8" s="385"/>
      <c r="EW8" s="385"/>
      <c r="EX8" s="385"/>
      <c r="EY8" s="385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385"/>
      <c r="FL8" s="8"/>
      <c r="FM8" s="385"/>
      <c r="FN8" s="8"/>
      <c r="FO8" s="8"/>
      <c r="FP8" s="8"/>
      <c r="FQ8" s="8"/>
      <c r="FR8" s="8"/>
      <c r="FS8" s="8"/>
      <c r="FT8" s="385"/>
      <c r="FU8" s="385"/>
      <c r="FV8" s="385"/>
      <c r="FW8" s="8"/>
      <c r="FX8" s="8"/>
      <c r="FY8" s="385"/>
      <c r="FZ8" s="8"/>
      <c r="GA8" s="8"/>
      <c r="GB8" s="385"/>
      <c r="GC8" s="8"/>
      <c r="GD8" s="8"/>
      <c r="GE8" s="8"/>
      <c r="GF8" s="385"/>
      <c r="GG8" s="8"/>
      <c r="GH8" s="385"/>
      <c r="GI8" s="8"/>
      <c r="GJ8" s="385"/>
      <c r="GK8" s="8"/>
      <c r="GL8" s="8"/>
      <c r="GM8" s="8"/>
      <c r="GN8" s="8"/>
      <c r="GO8" s="8"/>
      <c r="GP8" s="8"/>
      <c r="GQ8" s="8"/>
      <c r="GR8" s="8"/>
      <c r="GS8" s="385"/>
      <c r="GT8" s="385"/>
      <c r="GU8" s="8"/>
      <c r="GV8" s="385"/>
      <c r="GW8" s="8"/>
      <c r="GX8" s="385"/>
      <c r="GY8" s="385"/>
      <c r="GZ8" s="8"/>
      <c r="HA8" s="8"/>
      <c r="HB8" s="8"/>
      <c r="HC8" s="8"/>
      <c r="HD8" s="8"/>
      <c r="HE8" s="8"/>
      <c r="HF8" s="8"/>
      <c r="HG8" s="8"/>
      <c r="HH8" s="385"/>
      <c r="HI8" s="8"/>
      <c r="HJ8" s="8"/>
      <c r="HK8" s="8"/>
      <c r="HL8" s="8"/>
      <c r="HM8" s="8"/>
      <c r="HN8" s="385"/>
      <c r="HO8" s="8"/>
      <c r="HP8" s="8"/>
      <c r="HQ8" s="8"/>
      <c r="HR8" s="8"/>
      <c r="HS8" s="8"/>
      <c r="HT8" s="8"/>
      <c r="HU8" s="385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385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</row>
    <row r="9" spans="1:423" ht="15.75" thickBot="1" x14ac:dyDescent="0.3">
      <c r="A9" s="386">
        <v>544554610502</v>
      </c>
      <c r="B9" s="384">
        <f t="shared" si="0"/>
        <v>0</v>
      </c>
      <c r="C9" s="384">
        <v>0</v>
      </c>
      <c r="D9" s="384">
        <f>SUMIF('Sap Inwarding'!F:F,'Front Dispatch'!$A9,'Sap Inwarding'!H:H)</f>
        <v>0</v>
      </c>
      <c r="E9" s="10">
        <f t="shared" si="1"/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385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385"/>
      <c r="AV9" s="385"/>
      <c r="AW9" s="385"/>
      <c r="AX9" s="385"/>
      <c r="AY9" s="385"/>
      <c r="AZ9" s="8"/>
      <c r="BA9" s="8"/>
      <c r="BB9" s="8"/>
      <c r="BC9" s="8"/>
      <c r="BD9" s="385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385"/>
      <c r="CB9" s="8"/>
      <c r="CC9" s="8"/>
      <c r="CD9" s="8"/>
      <c r="CE9" s="385"/>
      <c r="CF9" s="385"/>
      <c r="CG9" s="385"/>
      <c r="CH9" s="8"/>
      <c r="CI9" s="8"/>
      <c r="CJ9" s="8"/>
      <c r="CK9" s="8"/>
      <c r="CL9" s="8"/>
      <c r="CM9" s="385"/>
      <c r="CN9" s="8"/>
      <c r="CO9" s="8"/>
      <c r="CP9" s="8"/>
      <c r="CQ9" s="385"/>
      <c r="CR9" s="385"/>
      <c r="CS9" s="8"/>
      <c r="CT9" s="8"/>
      <c r="CU9" s="8"/>
      <c r="CV9" s="8"/>
      <c r="CW9" s="8"/>
      <c r="CX9" s="8"/>
      <c r="CY9" s="8"/>
      <c r="CZ9" s="8"/>
      <c r="DA9" s="385"/>
      <c r="DB9" s="8"/>
      <c r="DC9" s="385"/>
      <c r="DD9" s="385"/>
      <c r="DE9" s="385"/>
      <c r="DF9" s="385"/>
      <c r="DG9" s="385"/>
      <c r="DH9" s="8"/>
      <c r="DI9" s="8"/>
      <c r="DJ9" s="8"/>
      <c r="DK9" s="385"/>
      <c r="DL9" s="385"/>
      <c r="DM9" s="385"/>
      <c r="DN9" s="8"/>
      <c r="DO9" s="8"/>
      <c r="DP9" s="385"/>
      <c r="DQ9" s="385"/>
      <c r="DR9" s="385"/>
      <c r="DS9" s="8"/>
      <c r="DT9" s="8"/>
      <c r="DU9" s="8"/>
      <c r="DV9" s="8"/>
      <c r="DW9" s="385"/>
      <c r="DX9" s="385"/>
      <c r="DY9" s="8"/>
      <c r="DZ9" s="8"/>
      <c r="EA9" s="417"/>
      <c r="EB9" s="385"/>
      <c r="EC9" s="385"/>
      <c r="ED9" s="65"/>
      <c r="EE9" s="8"/>
      <c r="EF9" s="8"/>
      <c r="EG9" s="8"/>
      <c r="EH9" s="8"/>
      <c r="EI9" s="8"/>
      <c r="EJ9" s="8"/>
      <c r="EK9" s="8"/>
      <c r="EL9" s="8"/>
      <c r="EM9" s="8"/>
      <c r="EN9" s="8"/>
      <c r="EO9" s="385"/>
      <c r="EP9" s="385"/>
      <c r="EQ9" s="8"/>
      <c r="ER9" s="8"/>
      <c r="ES9" s="8"/>
      <c r="ET9" s="8"/>
      <c r="EU9" s="8"/>
      <c r="EV9" s="385"/>
      <c r="EW9" s="385"/>
      <c r="EX9" s="385"/>
      <c r="EY9" s="385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385"/>
      <c r="FL9" s="8"/>
      <c r="FM9" s="385"/>
      <c r="FN9" s="8"/>
      <c r="FO9" s="8"/>
      <c r="FP9" s="8"/>
      <c r="FQ9" s="8"/>
      <c r="FR9" s="8"/>
      <c r="FS9" s="8"/>
      <c r="FT9" s="385"/>
      <c r="FU9" s="385"/>
      <c r="FV9" s="385"/>
      <c r="FW9" s="8"/>
      <c r="FX9" s="8"/>
      <c r="FY9" s="385"/>
      <c r="FZ9" s="8"/>
      <c r="GA9" s="8"/>
      <c r="GB9" s="385"/>
      <c r="GC9" s="8"/>
      <c r="GD9" s="8"/>
      <c r="GE9" s="8"/>
      <c r="GF9" s="385"/>
      <c r="GG9" s="8"/>
      <c r="GH9" s="385"/>
      <c r="GI9" s="8"/>
      <c r="GJ9" s="385"/>
      <c r="GK9" s="8"/>
      <c r="GL9" s="8"/>
      <c r="GM9" s="8"/>
      <c r="GN9" s="8"/>
      <c r="GO9" s="8"/>
      <c r="GP9" s="8"/>
      <c r="GQ9" s="8"/>
      <c r="GR9" s="8"/>
      <c r="GS9" s="385"/>
      <c r="GT9" s="385"/>
      <c r="GU9" s="8"/>
      <c r="GV9" s="385"/>
      <c r="GW9" s="8"/>
      <c r="GX9" s="385"/>
      <c r="GY9" s="385"/>
      <c r="GZ9" s="8"/>
      <c r="HA9" s="8"/>
      <c r="HB9" s="8"/>
      <c r="HC9" s="8"/>
      <c r="HD9" s="8"/>
      <c r="HE9" s="8"/>
      <c r="HF9" s="8"/>
      <c r="HG9" s="8"/>
      <c r="HH9" s="385"/>
      <c r="HI9" s="8"/>
      <c r="HJ9" s="8"/>
      <c r="HK9" s="8"/>
      <c r="HL9" s="8"/>
      <c r="HM9" s="8"/>
      <c r="HN9" s="385"/>
      <c r="HO9" s="8"/>
      <c r="HP9" s="8"/>
      <c r="HQ9" s="8"/>
      <c r="HR9" s="8"/>
      <c r="HS9" s="8"/>
      <c r="HT9" s="8"/>
      <c r="HU9" s="385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385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</row>
    <row r="10" spans="1:423" ht="15.75" thickBot="1" x14ac:dyDescent="0.3">
      <c r="A10" s="386">
        <v>544554620379</v>
      </c>
      <c r="B10" s="384">
        <f t="shared" si="0"/>
        <v>0</v>
      </c>
      <c r="C10" s="384">
        <v>0</v>
      </c>
      <c r="D10" s="384">
        <f>SUMIF('Sap Inwarding'!F:F,'Front Dispatch'!$A10,'Sap Inwarding'!H:H)</f>
        <v>0</v>
      </c>
      <c r="E10" s="10">
        <f t="shared" si="1"/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385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385"/>
      <c r="AV10" s="385"/>
      <c r="AW10" s="385"/>
      <c r="AX10" s="385"/>
      <c r="AY10" s="385"/>
      <c r="AZ10" s="8"/>
      <c r="BA10" s="8"/>
      <c r="BB10" s="8"/>
      <c r="BC10" s="8"/>
      <c r="BD10" s="385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385"/>
      <c r="CB10" s="8"/>
      <c r="CC10" s="8"/>
      <c r="CD10" s="8"/>
      <c r="CE10" s="385"/>
      <c r="CF10" s="385"/>
      <c r="CG10" s="385"/>
      <c r="CH10" s="8"/>
      <c r="CI10" s="8"/>
      <c r="CJ10" s="8"/>
      <c r="CK10" s="8"/>
      <c r="CL10" s="8"/>
      <c r="CM10" s="385"/>
      <c r="CN10" s="8"/>
      <c r="CO10" s="8"/>
      <c r="CP10" s="8"/>
      <c r="CQ10" s="385"/>
      <c r="CR10" s="385"/>
      <c r="CS10" s="8"/>
      <c r="CT10" s="8"/>
      <c r="CU10" s="8"/>
      <c r="CV10" s="8"/>
      <c r="CW10" s="8"/>
      <c r="CX10" s="8"/>
      <c r="CY10" s="8"/>
      <c r="CZ10" s="8"/>
      <c r="DA10" s="385"/>
      <c r="DB10" s="8"/>
      <c r="DC10" s="385"/>
      <c r="DD10" s="385"/>
      <c r="DE10" s="385"/>
      <c r="DF10" s="385"/>
      <c r="DG10" s="385"/>
      <c r="DH10" s="8"/>
      <c r="DI10" s="8"/>
      <c r="DJ10" s="8"/>
      <c r="DK10" s="385"/>
      <c r="DL10" s="385"/>
      <c r="DM10" s="385"/>
      <c r="DN10" s="8"/>
      <c r="DO10" s="8"/>
      <c r="DP10" s="385"/>
      <c r="DQ10" s="385"/>
      <c r="DR10" s="385"/>
      <c r="DS10" s="8"/>
      <c r="DT10" s="8"/>
      <c r="DU10" s="8"/>
      <c r="DV10" s="8"/>
      <c r="DW10" s="385"/>
      <c r="DX10" s="385"/>
      <c r="DY10" s="8"/>
      <c r="DZ10" s="8"/>
      <c r="EA10" s="417"/>
      <c r="EB10" s="385"/>
      <c r="EC10" s="385"/>
      <c r="ED10" s="65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385"/>
      <c r="EP10" s="385"/>
      <c r="EQ10" s="8"/>
      <c r="ER10" s="8"/>
      <c r="ES10" s="8"/>
      <c r="ET10" s="8"/>
      <c r="EU10" s="8"/>
      <c r="EV10" s="385"/>
      <c r="EW10" s="385"/>
      <c r="EX10" s="385"/>
      <c r="EY10" s="385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385"/>
      <c r="FL10" s="8"/>
      <c r="FM10" s="385"/>
      <c r="FN10" s="8"/>
      <c r="FO10" s="8"/>
      <c r="FP10" s="8"/>
      <c r="FQ10" s="8"/>
      <c r="FR10" s="8"/>
      <c r="FS10" s="8"/>
      <c r="FT10" s="385"/>
      <c r="FU10" s="385"/>
      <c r="FV10" s="385"/>
      <c r="FW10" s="8"/>
      <c r="FX10" s="8"/>
      <c r="FY10" s="385"/>
      <c r="FZ10" s="8"/>
      <c r="GA10" s="8"/>
      <c r="GB10" s="385"/>
      <c r="GC10" s="8"/>
      <c r="GD10" s="8"/>
      <c r="GE10" s="8"/>
      <c r="GF10" s="385"/>
      <c r="GG10" s="8"/>
      <c r="GH10" s="385"/>
      <c r="GI10" s="8"/>
      <c r="GJ10" s="385"/>
      <c r="GK10" s="8"/>
      <c r="GL10" s="8"/>
      <c r="GM10" s="8"/>
      <c r="GN10" s="8"/>
      <c r="GO10" s="8"/>
      <c r="GP10" s="8"/>
      <c r="GQ10" s="8"/>
      <c r="GR10" s="8"/>
      <c r="GS10" s="385"/>
      <c r="GT10" s="385"/>
      <c r="GU10" s="8"/>
      <c r="GV10" s="385"/>
      <c r="GW10" s="8"/>
      <c r="GX10" s="385"/>
      <c r="GY10" s="385"/>
      <c r="GZ10" s="8"/>
      <c r="HA10" s="8"/>
      <c r="HB10" s="8"/>
      <c r="HC10" s="8"/>
      <c r="HD10" s="8"/>
      <c r="HE10" s="8"/>
      <c r="HF10" s="8"/>
      <c r="HG10" s="8"/>
      <c r="HH10" s="385"/>
      <c r="HI10" s="8"/>
      <c r="HJ10" s="8"/>
      <c r="HK10" s="8"/>
      <c r="HL10" s="8"/>
      <c r="HM10" s="8"/>
      <c r="HN10" s="385"/>
      <c r="HO10" s="8"/>
      <c r="HP10" s="8"/>
      <c r="HQ10" s="8"/>
      <c r="HR10" s="8"/>
      <c r="HS10" s="8"/>
      <c r="HT10" s="8"/>
      <c r="HU10" s="385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385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</row>
    <row r="11" spans="1:423" ht="15" customHeight="1" thickBot="1" x14ac:dyDescent="0.3">
      <c r="A11" s="386">
        <v>544554600585</v>
      </c>
      <c r="B11" s="384">
        <f t="shared" si="0"/>
        <v>0</v>
      </c>
      <c r="C11" s="384">
        <v>0</v>
      </c>
      <c r="D11" s="384">
        <f>SUMIF('Sap Inwarding'!F:F,'Front Dispatch'!$A11,'Sap Inwarding'!H:H)</f>
        <v>0</v>
      </c>
      <c r="E11" s="10">
        <f t="shared" si="1"/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385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385"/>
      <c r="AV11" s="385"/>
      <c r="AW11" s="385"/>
      <c r="AX11" s="385"/>
      <c r="AY11" s="385"/>
      <c r="AZ11" s="8"/>
      <c r="BA11" s="8"/>
      <c r="BB11" s="8"/>
      <c r="BC11" s="8"/>
      <c r="BD11" s="385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385"/>
      <c r="CB11" s="8"/>
      <c r="CC11" s="8"/>
      <c r="CD11" s="8"/>
      <c r="CE11" s="385"/>
      <c r="CF11" s="385"/>
      <c r="CG11" s="385"/>
      <c r="CH11" s="8"/>
      <c r="CI11" s="8"/>
      <c r="CJ11" s="8"/>
      <c r="CK11" s="8"/>
      <c r="CL11" s="8"/>
      <c r="CM11" s="385"/>
      <c r="CN11" s="8"/>
      <c r="CO11" s="8"/>
      <c r="CP11" s="8"/>
      <c r="CQ11" s="385"/>
      <c r="CR11" s="385"/>
      <c r="CS11" s="8"/>
      <c r="CT11" s="8"/>
      <c r="CU11" s="8"/>
      <c r="CV11" s="8"/>
      <c r="CW11" s="8"/>
      <c r="CX11" s="8"/>
      <c r="CY11" s="8"/>
      <c r="CZ11" s="8"/>
      <c r="DA11" s="385"/>
      <c r="DB11" s="8"/>
      <c r="DC11" s="385"/>
      <c r="DD11" s="385"/>
      <c r="DE11" s="385"/>
      <c r="DF11" s="385"/>
      <c r="DG11" s="385"/>
      <c r="DH11" s="8"/>
      <c r="DI11" s="8"/>
      <c r="DJ11" s="8"/>
      <c r="DK11" s="385"/>
      <c r="DL11" s="385"/>
      <c r="DM11" s="385"/>
      <c r="DN11" s="8"/>
      <c r="DO11" s="8"/>
      <c r="DP11" s="385"/>
      <c r="DQ11" s="385"/>
      <c r="DR11" s="385"/>
      <c r="DS11" s="8"/>
      <c r="DT11" s="8"/>
      <c r="DU11" s="8"/>
      <c r="DV11" s="8"/>
      <c r="DW11" s="385"/>
      <c r="DX11" s="385"/>
      <c r="DY11" s="8"/>
      <c r="DZ11" s="8"/>
      <c r="EA11" s="417"/>
      <c r="EB11" s="385"/>
      <c r="EC11" s="385"/>
      <c r="ED11" s="65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385"/>
      <c r="EP11" s="385"/>
      <c r="EQ11" s="8"/>
      <c r="ER11" s="8"/>
      <c r="ES11" s="8"/>
      <c r="ET11" s="8"/>
      <c r="EU11" s="8"/>
      <c r="EV11" s="385"/>
      <c r="EW11" s="385"/>
      <c r="EX11" s="385"/>
      <c r="EY11" s="385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385"/>
      <c r="FL11" s="8"/>
      <c r="FM11" s="385"/>
      <c r="FN11" s="8"/>
      <c r="FO11" s="8"/>
      <c r="FP11" s="8"/>
      <c r="FQ11" s="8"/>
      <c r="FR11" s="8"/>
      <c r="FS11" s="8"/>
      <c r="FT11" s="385"/>
      <c r="FU11" s="385"/>
      <c r="FV11" s="385"/>
      <c r="FW11" s="8"/>
      <c r="FX11" s="8"/>
      <c r="FY11" s="385"/>
      <c r="FZ11" s="8"/>
      <c r="GA11" s="8"/>
      <c r="GB11" s="385"/>
      <c r="GC11" s="8"/>
      <c r="GD11" s="8"/>
      <c r="GE11" s="8"/>
      <c r="GF11" s="385"/>
      <c r="GG11" s="8"/>
      <c r="GH11" s="385"/>
      <c r="GI11" s="8"/>
      <c r="GJ11" s="385"/>
      <c r="GK11" s="8"/>
      <c r="GL11" s="8"/>
      <c r="GM11" s="8"/>
      <c r="GN11" s="8"/>
      <c r="GO11" s="8"/>
      <c r="GP11" s="8"/>
      <c r="GQ11" s="8"/>
      <c r="GR11" s="8"/>
      <c r="GS11" s="385"/>
      <c r="GT11" s="385"/>
      <c r="GU11" s="8"/>
      <c r="GV11" s="385"/>
      <c r="GW11" s="8"/>
      <c r="GX11" s="385"/>
      <c r="GY11" s="385"/>
      <c r="GZ11" s="8"/>
      <c r="HA11" s="8"/>
      <c r="HB11" s="8"/>
      <c r="HC11" s="8"/>
      <c r="HD11" s="8"/>
      <c r="HE11" s="8"/>
      <c r="HF11" s="8"/>
      <c r="HG11" s="8"/>
      <c r="HH11" s="385"/>
      <c r="HI11" s="8"/>
      <c r="HJ11" s="8"/>
      <c r="HK11" s="8"/>
      <c r="HL11" s="8"/>
      <c r="HM11" s="8"/>
      <c r="HN11" s="385"/>
      <c r="HO11" s="8"/>
      <c r="HP11" s="8"/>
      <c r="HQ11" s="8"/>
      <c r="HR11" s="8"/>
      <c r="HS11" s="8"/>
      <c r="HT11" s="8"/>
      <c r="HU11" s="385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385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</row>
    <row r="12" spans="1:423" ht="15.75" thickBot="1" x14ac:dyDescent="0.3">
      <c r="A12" s="386">
        <v>544554600586</v>
      </c>
      <c r="B12" s="384">
        <f t="shared" si="0"/>
        <v>0</v>
      </c>
      <c r="C12" s="384">
        <v>0</v>
      </c>
      <c r="D12" s="384">
        <f>SUMIF('Sap Inwarding'!F:F,'Front Dispatch'!$A12,'Sap Inwarding'!H:H)</f>
        <v>0</v>
      </c>
      <c r="E12" s="10">
        <f t="shared" si="1"/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385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385"/>
      <c r="AV12" s="385"/>
      <c r="AW12" s="385"/>
      <c r="AX12" s="385"/>
      <c r="AY12" s="385"/>
      <c r="AZ12" s="8"/>
      <c r="BA12" s="8"/>
      <c r="BB12" s="8"/>
      <c r="BC12" s="8"/>
      <c r="BD12" s="385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385"/>
      <c r="CB12" s="8"/>
      <c r="CC12" s="8"/>
      <c r="CD12" s="8"/>
      <c r="CE12" s="385"/>
      <c r="CF12" s="385"/>
      <c r="CG12" s="385"/>
      <c r="CH12" s="8"/>
      <c r="CI12" s="8"/>
      <c r="CJ12" s="8"/>
      <c r="CK12" s="8"/>
      <c r="CL12" s="8"/>
      <c r="CM12" s="385"/>
      <c r="CN12" s="8"/>
      <c r="CO12" s="8"/>
      <c r="CP12" s="8"/>
      <c r="CQ12" s="385"/>
      <c r="CR12" s="385"/>
      <c r="CS12" s="8"/>
      <c r="CT12" s="8"/>
      <c r="CU12" s="8"/>
      <c r="CV12" s="8"/>
      <c r="CW12" s="8"/>
      <c r="CX12" s="8"/>
      <c r="CY12" s="8"/>
      <c r="CZ12" s="8"/>
      <c r="DA12" s="385"/>
      <c r="DB12" s="8"/>
      <c r="DC12" s="385"/>
      <c r="DD12" s="385"/>
      <c r="DE12" s="385"/>
      <c r="DF12" s="385"/>
      <c r="DG12" s="385"/>
      <c r="DH12" s="8"/>
      <c r="DI12" s="8"/>
      <c r="DJ12" s="8"/>
      <c r="DK12" s="385"/>
      <c r="DL12" s="385"/>
      <c r="DM12" s="385"/>
      <c r="DN12" s="8"/>
      <c r="DO12" s="8"/>
      <c r="DP12" s="385"/>
      <c r="DQ12" s="385"/>
      <c r="DR12" s="385"/>
      <c r="DS12" s="8"/>
      <c r="DT12" s="8"/>
      <c r="DU12" s="8"/>
      <c r="DV12" s="8"/>
      <c r="DW12" s="385"/>
      <c r="DX12" s="385"/>
      <c r="DY12" s="8"/>
      <c r="DZ12" s="8"/>
      <c r="EA12" s="417"/>
      <c r="EB12" s="385"/>
      <c r="EC12" s="385"/>
      <c r="ED12" s="65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385"/>
      <c r="EP12" s="385"/>
      <c r="EQ12" s="8"/>
      <c r="ER12" s="8"/>
      <c r="ES12" s="8"/>
      <c r="ET12" s="8"/>
      <c r="EU12" s="8"/>
      <c r="EV12" s="385"/>
      <c r="EW12" s="385"/>
      <c r="EX12" s="385"/>
      <c r="EY12" s="385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385"/>
      <c r="FL12" s="8"/>
      <c r="FM12" s="385"/>
      <c r="FN12" s="8"/>
      <c r="FO12" s="8"/>
      <c r="FP12" s="8"/>
      <c r="FQ12" s="8"/>
      <c r="FR12" s="8"/>
      <c r="FS12" s="8"/>
      <c r="FT12" s="385"/>
      <c r="FU12" s="385"/>
      <c r="FV12" s="385"/>
      <c r="FW12" s="8"/>
      <c r="FX12" s="8"/>
      <c r="FY12" s="385"/>
      <c r="FZ12" s="8"/>
      <c r="GA12" s="8"/>
      <c r="GB12" s="385"/>
      <c r="GC12" s="8"/>
      <c r="GD12" s="8"/>
      <c r="GE12" s="8"/>
      <c r="GF12" s="385"/>
      <c r="GG12" s="8"/>
      <c r="GH12" s="385"/>
      <c r="GI12" s="8"/>
      <c r="GJ12" s="385"/>
      <c r="GK12" s="8"/>
      <c r="GL12" s="8"/>
      <c r="GM12" s="8"/>
      <c r="GN12" s="8"/>
      <c r="GO12" s="8"/>
      <c r="GP12" s="8"/>
      <c r="GQ12" s="8"/>
      <c r="GR12" s="8"/>
      <c r="GS12" s="385"/>
      <c r="GT12" s="385"/>
      <c r="GU12" s="8"/>
      <c r="GV12" s="385"/>
      <c r="GW12" s="8"/>
      <c r="GX12" s="385"/>
      <c r="GY12" s="385"/>
      <c r="GZ12" s="8"/>
      <c r="HA12" s="8"/>
      <c r="HB12" s="8"/>
      <c r="HC12" s="8"/>
      <c r="HD12" s="8"/>
      <c r="HE12" s="8"/>
      <c r="HF12" s="8"/>
      <c r="HG12" s="8"/>
      <c r="HH12" s="385"/>
      <c r="HI12" s="8"/>
      <c r="HJ12" s="8"/>
      <c r="HK12" s="8"/>
      <c r="HL12" s="8"/>
      <c r="HM12" s="8"/>
      <c r="HN12" s="385"/>
      <c r="HO12" s="8"/>
      <c r="HP12" s="8"/>
      <c r="HQ12" s="8"/>
      <c r="HR12" s="8"/>
      <c r="HS12" s="8"/>
      <c r="HT12" s="8"/>
      <c r="HU12" s="385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385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</row>
    <row r="13" spans="1:423" ht="15.75" thickBot="1" x14ac:dyDescent="0.3">
      <c r="A13" s="388">
        <v>544554610503</v>
      </c>
      <c r="B13" s="384">
        <f t="shared" si="0"/>
        <v>0</v>
      </c>
      <c r="C13" s="384">
        <v>0</v>
      </c>
      <c r="D13" s="384">
        <f>SUMIF('Sap Inwarding'!F:F,'Front Dispatch'!$A13,'Sap Inwarding'!H:H)</f>
        <v>0</v>
      </c>
      <c r="E13" s="10">
        <f t="shared" si="1"/>
        <v>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385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385"/>
      <c r="AV13" s="385"/>
      <c r="AW13" s="385"/>
      <c r="AX13" s="385"/>
      <c r="AY13" s="385"/>
      <c r="AZ13" s="8"/>
      <c r="BA13" s="8"/>
      <c r="BB13" s="8"/>
      <c r="BC13" s="8"/>
      <c r="BD13" s="385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385"/>
      <c r="CB13" s="8"/>
      <c r="CC13" s="8"/>
      <c r="CD13" s="8"/>
      <c r="CE13" s="385"/>
      <c r="CF13" s="385"/>
      <c r="CG13" s="385"/>
      <c r="CH13" s="8"/>
      <c r="CI13" s="8"/>
      <c r="CJ13" s="8"/>
      <c r="CK13" s="8"/>
      <c r="CL13" s="8"/>
      <c r="CM13" s="385"/>
      <c r="CN13" s="8"/>
      <c r="CO13" s="8"/>
      <c r="CP13" s="8"/>
      <c r="CQ13" s="385"/>
      <c r="CR13" s="385"/>
      <c r="CS13" s="8"/>
      <c r="CT13" s="8"/>
      <c r="CU13" s="8"/>
      <c r="CV13" s="8"/>
      <c r="CW13" s="8"/>
      <c r="CX13" s="8"/>
      <c r="CY13" s="8"/>
      <c r="CZ13" s="8"/>
      <c r="DA13" s="385"/>
      <c r="DB13" s="8"/>
      <c r="DC13" s="385"/>
      <c r="DD13" s="385"/>
      <c r="DE13" s="385"/>
      <c r="DF13" s="385"/>
      <c r="DG13" s="385"/>
      <c r="DH13" s="8"/>
      <c r="DI13" s="8"/>
      <c r="DJ13" s="8"/>
      <c r="DK13" s="385"/>
      <c r="DL13" s="385"/>
      <c r="DM13" s="385"/>
      <c r="DN13" s="8"/>
      <c r="DO13" s="8"/>
      <c r="DP13" s="385"/>
      <c r="DQ13" s="385"/>
      <c r="DR13" s="385"/>
      <c r="DS13" s="8"/>
      <c r="DT13" s="8"/>
      <c r="DU13" s="8"/>
      <c r="DV13" s="8"/>
      <c r="DW13" s="385"/>
      <c r="DX13" s="385"/>
      <c r="DY13" s="8"/>
      <c r="DZ13" s="8"/>
      <c r="EA13" s="417"/>
      <c r="EB13" s="385"/>
      <c r="EC13" s="385"/>
      <c r="ED13" s="65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385"/>
      <c r="EP13" s="385"/>
      <c r="EQ13" s="8"/>
      <c r="ER13" s="8"/>
      <c r="ES13" s="8"/>
      <c r="ET13" s="8"/>
      <c r="EU13" s="8"/>
      <c r="EV13" s="385"/>
      <c r="EW13" s="385"/>
      <c r="EX13" s="385"/>
      <c r="EY13" s="385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385"/>
      <c r="FL13" s="8"/>
      <c r="FM13" s="385"/>
      <c r="FN13" s="8"/>
      <c r="FO13" s="8"/>
      <c r="FP13" s="8"/>
      <c r="FQ13" s="8"/>
      <c r="FR13" s="8"/>
      <c r="FS13" s="8"/>
      <c r="FT13" s="385"/>
      <c r="FU13" s="385"/>
      <c r="FV13" s="385"/>
      <c r="FW13" s="8"/>
      <c r="FX13" s="8"/>
      <c r="FY13" s="385"/>
      <c r="FZ13" s="8"/>
      <c r="GA13" s="8"/>
      <c r="GB13" s="385"/>
      <c r="GC13" s="8"/>
      <c r="GD13" s="8"/>
      <c r="GE13" s="8"/>
      <c r="GF13" s="385"/>
      <c r="GG13" s="8"/>
      <c r="GH13" s="385"/>
      <c r="GI13" s="8"/>
      <c r="GJ13" s="385"/>
      <c r="GK13" s="8"/>
      <c r="GL13" s="8"/>
      <c r="GM13" s="8"/>
      <c r="GN13" s="8"/>
      <c r="GO13" s="8"/>
      <c r="GP13" s="8"/>
      <c r="GQ13" s="8"/>
      <c r="GR13" s="8"/>
      <c r="GS13" s="385"/>
      <c r="GT13" s="385"/>
      <c r="GU13" s="8"/>
      <c r="GV13" s="385"/>
      <c r="GW13" s="8"/>
      <c r="GX13" s="385"/>
      <c r="GY13" s="385"/>
      <c r="GZ13" s="8"/>
      <c r="HA13" s="8"/>
      <c r="HB13" s="8"/>
      <c r="HC13" s="8"/>
      <c r="HD13" s="8"/>
      <c r="HE13" s="8"/>
      <c r="HF13" s="8"/>
      <c r="HG13" s="8"/>
      <c r="HH13" s="385"/>
      <c r="HI13" s="8"/>
      <c r="HJ13" s="8"/>
      <c r="HK13" s="8"/>
      <c r="HL13" s="8"/>
      <c r="HM13" s="8"/>
      <c r="HN13" s="385"/>
      <c r="HO13" s="8"/>
      <c r="HP13" s="8"/>
      <c r="HQ13" s="8"/>
      <c r="HR13" s="8"/>
      <c r="HS13" s="8"/>
      <c r="HT13" s="8"/>
      <c r="HU13" s="385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385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</row>
    <row r="14" spans="1:423" ht="16.5" thickBot="1" x14ac:dyDescent="0.3">
      <c r="A14" s="389">
        <v>544554620378</v>
      </c>
      <c r="B14" s="384">
        <f t="shared" si="0"/>
        <v>0</v>
      </c>
      <c r="C14" s="384">
        <v>0</v>
      </c>
      <c r="D14" s="384">
        <f>SUMIF('Sap Inwarding'!F:F,'Front Dispatch'!$A14,'Sap Inwarding'!H:H)</f>
        <v>0</v>
      </c>
      <c r="E14" s="10">
        <f t="shared" si="1"/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385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385"/>
      <c r="AV14" s="385"/>
      <c r="AW14" s="385"/>
      <c r="AX14" s="385"/>
      <c r="AY14" s="385"/>
      <c r="AZ14" s="8"/>
      <c r="BA14" s="8"/>
      <c r="BB14" s="8"/>
      <c r="BC14" s="8"/>
      <c r="BD14" s="385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385"/>
      <c r="CB14" s="8"/>
      <c r="CC14" s="8"/>
      <c r="CD14" s="8"/>
      <c r="CE14" s="385"/>
      <c r="CF14" s="385"/>
      <c r="CG14" s="385"/>
      <c r="CH14" s="8"/>
      <c r="CI14" s="8"/>
      <c r="CJ14" s="8"/>
      <c r="CK14" s="8"/>
      <c r="CL14" s="8"/>
      <c r="CM14" s="385"/>
      <c r="CN14" s="8"/>
      <c r="CO14" s="8"/>
      <c r="CP14" s="8"/>
      <c r="CQ14" s="385"/>
      <c r="CR14" s="385"/>
      <c r="CS14" s="8"/>
      <c r="CT14" s="8"/>
      <c r="CU14" s="8"/>
      <c r="CV14" s="8"/>
      <c r="CW14" s="8"/>
      <c r="CX14" s="8"/>
      <c r="CY14" s="8"/>
      <c r="CZ14" s="8"/>
      <c r="DA14" s="385"/>
      <c r="DB14" s="8"/>
      <c r="DC14" s="385"/>
      <c r="DD14" s="385"/>
      <c r="DE14" s="385"/>
      <c r="DF14" s="385"/>
      <c r="DG14" s="385"/>
      <c r="DH14" s="8"/>
      <c r="DI14" s="8"/>
      <c r="DJ14" s="8"/>
      <c r="DK14" s="385"/>
      <c r="DL14" s="385"/>
      <c r="DM14" s="385"/>
      <c r="DN14" s="8"/>
      <c r="DO14" s="8"/>
      <c r="DP14" s="385"/>
      <c r="DQ14" s="385"/>
      <c r="DR14" s="385"/>
      <c r="DS14" s="8"/>
      <c r="DT14" s="8"/>
      <c r="DU14" s="8"/>
      <c r="DV14" s="8"/>
      <c r="DW14" s="385"/>
      <c r="DX14" s="385"/>
      <c r="DY14" s="8"/>
      <c r="DZ14" s="8"/>
      <c r="EA14" s="417"/>
      <c r="EB14" s="385"/>
      <c r="EC14" s="385"/>
      <c r="ED14" s="65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385"/>
      <c r="EP14" s="385"/>
      <c r="EQ14" s="8"/>
      <c r="ER14" s="8"/>
      <c r="ES14" s="8"/>
      <c r="ET14" s="8"/>
      <c r="EU14" s="8"/>
      <c r="EV14" s="385"/>
      <c r="EW14" s="385"/>
      <c r="EX14" s="385"/>
      <c r="EY14" s="385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385"/>
      <c r="FL14" s="8"/>
      <c r="FM14" s="385"/>
      <c r="FN14" s="8"/>
      <c r="FO14" s="8"/>
      <c r="FP14" s="8"/>
      <c r="FQ14" s="8"/>
      <c r="FR14" s="8"/>
      <c r="FS14" s="8"/>
      <c r="FT14" s="385"/>
      <c r="FU14" s="385"/>
      <c r="FV14" s="385"/>
      <c r="FW14" s="8"/>
      <c r="FX14" s="8"/>
      <c r="FY14" s="385"/>
      <c r="FZ14" s="8"/>
      <c r="GA14" s="8"/>
      <c r="GB14" s="385"/>
      <c r="GC14" s="8"/>
      <c r="GD14" s="8"/>
      <c r="GE14" s="8"/>
      <c r="GF14" s="385"/>
      <c r="GG14" s="8"/>
      <c r="GH14" s="385"/>
      <c r="GI14" s="8"/>
      <c r="GJ14" s="385"/>
      <c r="GK14" s="8"/>
      <c r="GL14" s="8"/>
      <c r="GM14" s="8"/>
      <c r="GN14" s="8"/>
      <c r="GO14" s="8"/>
      <c r="GP14" s="8"/>
      <c r="GQ14" s="8"/>
      <c r="GR14" s="8"/>
      <c r="GS14" s="385"/>
      <c r="GT14" s="385"/>
      <c r="GU14" s="8"/>
      <c r="GV14" s="385"/>
      <c r="GW14" s="8"/>
      <c r="GX14" s="385"/>
      <c r="GY14" s="385"/>
      <c r="GZ14" s="8"/>
      <c r="HA14" s="8"/>
      <c r="HB14" s="8"/>
      <c r="HC14" s="8"/>
      <c r="HD14" s="8"/>
      <c r="HE14" s="8"/>
      <c r="HF14" s="8"/>
      <c r="HG14" s="8"/>
      <c r="HH14" s="385"/>
      <c r="HI14" s="8"/>
      <c r="HJ14" s="8"/>
      <c r="HK14" s="8"/>
      <c r="HL14" s="8"/>
      <c r="HM14" s="8"/>
      <c r="HN14" s="385"/>
      <c r="HO14" s="8"/>
      <c r="HP14" s="8"/>
      <c r="HQ14" s="8"/>
      <c r="HR14" s="8"/>
      <c r="HS14" s="8"/>
      <c r="HT14" s="8"/>
      <c r="HU14" s="385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385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</row>
    <row r="15" spans="1:423" ht="15.75" customHeight="1" thickBot="1" x14ac:dyDescent="0.3">
      <c r="A15" s="390">
        <v>544554620382</v>
      </c>
      <c r="B15" s="384">
        <f t="shared" si="0"/>
        <v>0</v>
      </c>
      <c r="C15" s="384">
        <v>0</v>
      </c>
      <c r="D15" s="384">
        <f>SUMIF('Sap Inwarding'!F:F,'Front Dispatch'!$A15,'Sap Inwarding'!H:H)</f>
        <v>0</v>
      </c>
      <c r="E15" s="10">
        <f t="shared" si="1"/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385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385"/>
      <c r="AV15" s="385"/>
      <c r="AW15" s="385"/>
      <c r="AX15" s="385"/>
      <c r="AY15" s="385"/>
      <c r="AZ15" s="8"/>
      <c r="BA15" s="8"/>
      <c r="BB15" s="8"/>
      <c r="BC15" s="8"/>
      <c r="BD15" s="385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385"/>
      <c r="CB15" s="8"/>
      <c r="CC15" s="8"/>
      <c r="CD15" s="8"/>
      <c r="CE15" s="385"/>
      <c r="CF15" s="385"/>
      <c r="CG15" s="385"/>
      <c r="CH15" s="8"/>
      <c r="CI15" s="8"/>
      <c r="CJ15" s="8"/>
      <c r="CK15" s="8"/>
      <c r="CL15" s="8"/>
      <c r="CM15" s="385"/>
      <c r="CN15" s="8"/>
      <c r="CO15" s="8"/>
      <c r="CP15" s="8"/>
      <c r="CQ15" s="385"/>
      <c r="CR15" s="385"/>
      <c r="CS15" s="8"/>
      <c r="CT15" s="8"/>
      <c r="CU15" s="8"/>
      <c r="CV15" s="8"/>
      <c r="CW15" s="8"/>
      <c r="CX15" s="8"/>
      <c r="CY15" s="8"/>
      <c r="CZ15" s="8"/>
      <c r="DA15" s="385"/>
      <c r="DB15" s="8"/>
      <c r="DC15" s="385"/>
      <c r="DD15" s="385"/>
      <c r="DE15" s="385"/>
      <c r="DF15" s="385"/>
      <c r="DG15" s="385"/>
      <c r="DH15" s="8"/>
      <c r="DI15" s="8"/>
      <c r="DJ15" s="8"/>
      <c r="DK15" s="385"/>
      <c r="DL15" s="385"/>
      <c r="DM15" s="385"/>
      <c r="DN15" s="8"/>
      <c r="DO15" s="8"/>
      <c r="DP15" s="385"/>
      <c r="DQ15" s="385"/>
      <c r="DR15" s="385"/>
      <c r="DS15" s="8"/>
      <c r="DT15" s="8"/>
      <c r="DU15" s="8"/>
      <c r="DV15" s="8"/>
      <c r="DW15" s="385"/>
      <c r="DX15" s="385"/>
      <c r="DY15" s="8"/>
      <c r="DZ15" s="8"/>
      <c r="EA15" s="417"/>
      <c r="EB15" s="385"/>
      <c r="EC15" s="385"/>
      <c r="ED15" s="65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385"/>
      <c r="EP15" s="385"/>
      <c r="EQ15" s="8"/>
      <c r="ER15" s="8"/>
      <c r="ES15" s="8"/>
      <c r="ET15" s="8"/>
      <c r="EU15" s="8"/>
      <c r="EV15" s="385"/>
      <c r="EW15" s="385"/>
      <c r="EX15" s="385"/>
      <c r="EY15" s="385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385"/>
      <c r="FL15" s="8"/>
      <c r="FM15" s="385"/>
      <c r="FN15" s="8"/>
      <c r="FO15" s="8"/>
      <c r="FP15" s="8"/>
      <c r="FQ15" s="8"/>
      <c r="FR15" s="8"/>
      <c r="FS15" s="8"/>
      <c r="FT15" s="385"/>
      <c r="FU15" s="385"/>
      <c r="FV15" s="385"/>
      <c r="FW15" s="8"/>
      <c r="FX15" s="8"/>
      <c r="FY15" s="385"/>
      <c r="FZ15" s="8"/>
      <c r="GA15" s="8"/>
      <c r="GB15" s="385"/>
      <c r="GC15" s="8"/>
      <c r="GD15" s="8"/>
      <c r="GE15" s="8"/>
      <c r="GF15" s="385"/>
      <c r="GG15" s="8"/>
      <c r="GH15" s="385"/>
      <c r="GI15" s="8"/>
      <c r="GJ15" s="385"/>
      <c r="GK15" s="8"/>
      <c r="GL15" s="8"/>
      <c r="GM15" s="8"/>
      <c r="GN15" s="8"/>
      <c r="GO15" s="8"/>
      <c r="GP15" s="8"/>
      <c r="GQ15" s="8"/>
      <c r="GR15" s="8"/>
      <c r="GS15" s="385"/>
      <c r="GT15" s="385"/>
      <c r="GU15" s="8"/>
      <c r="GV15" s="385"/>
      <c r="GW15" s="8"/>
      <c r="GX15" s="385"/>
      <c r="GY15" s="385"/>
      <c r="GZ15" s="8"/>
      <c r="HA15" s="8"/>
      <c r="HB15" s="8"/>
      <c r="HC15" s="8"/>
      <c r="HD15" s="8"/>
      <c r="HE15" s="8"/>
      <c r="HF15" s="8"/>
      <c r="HG15" s="8"/>
      <c r="HH15" s="385"/>
      <c r="HI15" s="8"/>
      <c r="HJ15" s="8"/>
      <c r="HK15" s="8"/>
      <c r="HL15" s="8"/>
      <c r="HM15" s="8"/>
      <c r="HN15" s="385"/>
      <c r="HO15" s="8"/>
      <c r="HP15" s="8"/>
      <c r="HQ15" s="8"/>
      <c r="HR15" s="8"/>
      <c r="HS15" s="8"/>
      <c r="HT15" s="8"/>
      <c r="HU15" s="385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385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</row>
    <row r="16" spans="1:423" ht="15.75" customHeight="1" thickBot="1" x14ac:dyDescent="0.3">
      <c r="A16" s="418">
        <v>549754600130</v>
      </c>
      <c r="B16" s="384">
        <f t="shared" si="0"/>
        <v>1271</v>
      </c>
      <c r="C16" s="384">
        <v>3787</v>
      </c>
      <c r="D16" s="384">
        <f>SUMIF('Sap Inwarding'!F:F,'Front Dispatch'!$A16,'Sap Inwarding'!H:H)</f>
        <v>1096</v>
      </c>
      <c r="E16" s="10">
        <f t="shared" si="1"/>
        <v>2516</v>
      </c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>
        <v>10</v>
      </c>
      <c r="U16" s="417"/>
      <c r="V16" s="417"/>
      <c r="W16" s="417"/>
      <c r="X16" s="417"/>
      <c r="Y16" s="385"/>
      <c r="Z16" s="417"/>
      <c r="AA16" s="417"/>
      <c r="AB16" s="417"/>
      <c r="AC16" s="417"/>
      <c r="AD16" s="417"/>
      <c r="AE16" s="417"/>
      <c r="AF16" s="417"/>
      <c r="AG16" s="417"/>
      <c r="AH16" s="417"/>
      <c r="AI16" s="417">
        <v>15</v>
      </c>
      <c r="AJ16" s="417">
        <v>6</v>
      </c>
      <c r="AK16" s="417"/>
      <c r="AL16" s="417">
        <v>20</v>
      </c>
      <c r="AM16" s="417"/>
      <c r="AN16" s="417"/>
      <c r="AO16" s="417"/>
      <c r="AP16" s="417"/>
      <c r="AQ16" s="417"/>
      <c r="AR16" s="417"/>
      <c r="AS16" s="417"/>
      <c r="AT16" s="417"/>
      <c r="AU16" s="385"/>
      <c r="AV16" s="385">
        <v>15</v>
      </c>
      <c r="AW16" s="385"/>
      <c r="AX16" s="385"/>
      <c r="AY16" s="385">
        <v>25</v>
      </c>
      <c r="AZ16" s="417">
        <v>17</v>
      </c>
      <c r="BA16" s="417">
        <v>15</v>
      </c>
      <c r="BB16" s="417">
        <v>39</v>
      </c>
      <c r="BC16" s="417"/>
      <c r="BD16" s="385"/>
      <c r="BE16" s="417">
        <v>25</v>
      </c>
      <c r="BF16" s="417"/>
      <c r="BG16" s="417"/>
      <c r="BH16" s="417"/>
      <c r="BI16" s="417">
        <v>15</v>
      </c>
      <c r="BJ16" s="417"/>
      <c r="BK16" s="417"/>
      <c r="BL16" s="417"/>
      <c r="BM16" s="417"/>
      <c r="BN16" s="417"/>
      <c r="BO16" s="417"/>
      <c r="BP16" s="417"/>
      <c r="BQ16" s="417"/>
      <c r="BR16" s="417"/>
      <c r="BS16" s="417"/>
      <c r="BT16" s="417"/>
      <c r="BU16" s="417"/>
      <c r="BV16" s="417"/>
      <c r="BW16" s="417">
        <v>10</v>
      </c>
      <c r="BX16" s="417">
        <v>5</v>
      </c>
      <c r="BY16" s="417">
        <v>15</v>
      </c>
      <c r="BZ16" s="417"/>
      <c r="CA16" s="385"/>
      <c r="CB16" s="417"/>
      <c r="CC16" s="417"/>
      <c r="CD16" s="417"/>
      <c r="CE16" s="385"/>
      <c r="CF16" s="385"/>
      <c r="CG16" s="385"/>
      <c r="CH16" s="417"/>
      <c r="CI16" s="417"/>
      <c r="CJ16" s="417"/>
      <c r="CK16" s="417"/>
      <c r="CL16" s="417">
        <v>25</v>
      </c>
      <c r="CM16" s="385">
        <v>20</v>
      </c>
      <c r="CN16" s="417"/>
      <c r="CO16" s="417"/>
      <c r="CP16" s="417"/>
      <c r="CQ16" s="385"/>
      <c r="CR16" s="385"/>
      <c r="CS16" s="417"/>
      <c r="CT16" s="417"/>
      <c r="CU16" s="417"/>
      <c r="CV16" s="417"/>
      <c r="CW16" s="417">
        <v>12</v>
      </c>
      <c r="CX16" s="417"/>
      <c r="CY16" s="417">
        <v>40</v>
      </c>
      <c r="CZ16" s="417"/>
      <c r="DA16" s="385">
        <v>25</v>
      </c>
      <c r="DB16" s="417"/>
      <c r="DC16" s="385"/>
      <c r="DD16" s="385"/>
      <c r="DE16" s="385"/>
      <c r="DF16" s="385"/>
      <c r="DG16" s="385"/>
      <c r="DH16" s="417"/>
      <c r="DI16" s="417"/>
      <c r="DJ16" s="417"/>
      <c r="DK16" s="385">
        <v>5</v>
      </c>
      <c r="DL16" s="385">
        <v>40</v>
      </c>
      <c r="DM16" s="385">
        <v>25</v>
      </c>
      <c r="DN16" s="417"/>
      <c r="DO16" s="417"/>
      <c r="DP16" s="385"/>
      <c r="DQ16" s="385"/>
      <c r="DR16" s="385">
        <v>15</v>
      </c>
      <c r="DS16" s="417"/>
      <c r="DT16" s="417"/>
      <c r="DU16" s="417"/>
      <c r="DV16" s="417"/>
      <c r="DW16" s="385">
        <v>30</v>
      </c>
      <c r="DX16" s="385">
        <v>30</v>
      </c>
      <c r="DY16" s="417">
        <v>25</v>
      </c>
      <c r="DZ16" s="417"/>
      <c r="EA16" s="417"/>
      <c r="EB16" s="385">
        <v>25</v>
      </c>
      <c r="EC16" s="385"/>
      <c r="ED16" s="65"/>
      <c r="EE16" s="417"/>
      <c r="EF16" s="417"/>
      <c r="EG16" s="417"/>
      <c r="EH16" s="417"/>
      <c r="EI16" s="417"/>
      <c r="EJ16" s="417">
        <v>25</v>
      </c>
      <c r="EK16" s="417">
        <v>35</v>
      </c>
      <c r="EL16" s="417"/>
      <c r="EM16" s="417">
        <v>20</v>
      </c>
      <c r="EN16" s="417">
        <v>30</v>
      </c>
      <c r="EO16" s="385"/>
      <c r="EP16" s="385"/>
      <c r="EQ16" s="417"/>
      <c r="ER16" s="417"/>
      <c r="ES16" s="417"/>
      <c r="ET16" s="417"/>
      <c r="EU16" s="417"/>
      <c r="EV16" s="385"/>
      <c r="EW16" s="385">
        <v>10</v>
      </c>
      <c r="EX16" s="385">
        <v>25</v>
      </c>
      <c r="EY16" s="385"/>
      <c r="EZ16" s="417"/>
      <c r="FA16" s="417"/>
      <c r="FB16" s="417"/>
      <c r="FC16" s="417"/>
      <c r="FD16" s="417"/>
      <c r="FE16" s="417"/>
      <c r="FF16" s="417"/>
      <c r="FG16" s="417"/>
      <c r="FH16" s="417"/>
      <c r="FI16" s="417"/>
      <c r="FJ16" s="417">
        <v>30</v>
      </c>
      <c r="FK16" s="385">
        <v>20</v>
      </c>
      <c r="FL16" s="417"/>
      <c r="FM16" s="385"/>
      <c r="FN16" s="417"/>
      <c r="FO16" s="417"/>
      <c r="FP16" s="417"/>
      <c r="FQ16" s="417"/>
      <c r="FR16" s="417"/>
      <c r="FS16" s="417"/>
      <c r="FT16" s="385">
        <v>15</v>
      </c>
      <c r="FU16" s="385">
        <v>32</v>
      </c>
      <c r="FV16" s="385">
        <v>10</v>
      </c>
      <c r="FW16" s="417">
        <v>20</v>
      </c>
      <c r="FX16" s="417"/>
      <c r="FY16" s="385"/>
      <c r="FZ16" s="417">
        <v>70</v>
      </c>
      <c r="GA16" s="417"/>
      <c r="GB16" s="385"/>
      <c r="GC16" s="417"/>
      <c r="GD16" s="417"/>
      <c r="GE16" s="417"/>
      <c r="GF16" s="385"/>
      <c r="GG16" s="417">
        <v>50</v>
      </c>
      <c r="GH16" s="385"/>
      <c r="GI16" s="417">
        <v>50</v>
      </c>
      <c r="GJ16" s="385"/>
      <c r="GK16" s="417">
        <v>30</v>
      </c>
      <c r="GL16" s="417">
        <v>30</v>
      </c>
      <c r="GM16" s="417"/>
      <c r="GN16" s="417"/>
      <c r="GO16" s="417"/>
      <c r="GP16" s="417"/>
      <c r="GQ16" s="417"/>
      <c r="GR16" s="417"/>
      <c r="GS16" s="385">
        <v>20</v>
      </c>
      <c r="GT16" s="385"/>
      <c r="GU16" s="417">
        <v>15</v>
      </c>
      <c r="GV16" s="385">
        <v>10</v>
      </c>
      <c r="GW16" s="417"/>
      <c r="GX16" s="385">
        <v>30</v>
      </c>
      <c r="GY16" s="385">
        <v>25</v>
      </c>
      <c r="GZ16" s="417"/>
      <c r="HA16" s="417"/>
      <c r="HB16" s="417"/>
      <c r="HC16" s="417"/>
      <c r="HD16" s="417"/>
      <c r="HE16" s="417"/>
      <c r="HF16" s="417"/>
      <c r="HG16" s="417"/>
      <c r="HH16" s="385">
        <v>25</v>
      </c>
      <c r="HI16" s="417">
        <v>30</v>
      </c>
      <c r="HJ16" s="417">
        <v>20</v>
      </c>
      <c r="HK16" s="417">
        <v>15</v>
      </c>
      <c r="HL16" s="417">
        <v>30</v>
      </c>
      <c r="HM16" s="417"/>
      <c r="HN16" s="385"/>
      <c r="HO16" s="417"/>
      <c r="HP16" s="417"/>
      <c r="HQ16" s="417"/>
      <c r="HR16" s="417"/>
      <c r="HS16" s="417"/>
      <c r="HT16" s="417"/>
      <c r="HU16" s="385"/>
      <c r="HV16" s="417"/>
      <c r="HW16" s="417"/>
      <c r="HX16" s="417"/>
      <c r="HY16" s="417"/>
      <c r="HZ16" s="417"/>
      <c r="IA16" s="417"/>
      <c r="IB16" s="417"/>
      <c r="IC16" s="417"/>
      <c r="ID16" s="417"/>
      <c r="IE16" s="417"/>
      <c r="IF16" s="417"/>
      <c r="IG16" s="417"/>
      <c r="IH16" s="417"/>
      <c r="II16" s="417"/>
      <c r="IJ16" s="417"/>
      <c r="IK16" s="417"/>
      <c r="IL16" s="417"/>
      <c r="IM16" s="417"/>
      <c r="IN16" s="417"/>
      <c r="IO16" s="417"/>
      <c r="IP16" s="417"/>
      <c r="IQ16" s="417"/>
      <c r="IR16" s="417"/>
      <c r="IS16" s="417"/>
      <c r="IT16" s="417"/>
      <c r="IU16" s="417"/>
      <c r="IV16" s="417"/>
      <c r="IW16" s="417"/>
      <c r="IX16" s="417"/>
      <c r="IY16" s="417"/>
      <c r="IZ16" s="417"/>
      <c r="JA16" s="417"/>
      <c r="JB16" s="417"/>
      <c r="JC16" s="417"/>
      <c r="JD16" s="417"/>
      <c r="JE16" s="417"/>
      <c r="JF16" s="417"/>
      <c r="JG16" s="417"/>
      <c r="JH16" s="417"/>
      <c r="JI16" s="417"/>
      <c r="JJ16" s="417"/>
      <c r="JK16" s="417"/>
      <c r="JL16" s="417"/>
      <c r="JM16" s="417"/>
      <c r="JN16" s="417"/>
      <c r="JO16" s="417"/>
      <c r="JP16" s="417"/>
      <c r="JQ16" s="417"/>
      <c r="JR16" s="417"/>
      <c r="JS16" s="417"/>
      <c r="JT16" s="417"/>
      <c r="JU16" s="417"/>
      <c r="JV16" s="417"/>
      <c r="JW16" s="417"/>
      <c r="JX16" s="417"/>
      <c r="JY16" s="417"/>
      <c r="JZ16" s="417"/>
      <c r="KA16" s="417"/>
      <c r="KB16" s="417"/>
      <c r="KC16" s="417"/>
      <c r="KD16" s="417"/>
      <c r="KE16" s="417"/>
      <c r="KF16" s="417"/>
      <c r="KG16" s="417"/>
      <c r="KH16" s="417"/>
      <c r="KI16" s="417"/>
      <c r="KJ16" s="417"/>
      <c r="KK16" s="417"/>
      <c r="KL16" s="417"/>
      <c r="KM16" s="417"/>
      <c r="KN16" s="417"/>
      <c r="KO16" s="417"/>
      <c r="KP16" s="417"/>
      <c r="KQ16" s="417"/>
      <c r="KR16" s="417"/>
      <c r="KS16" s="417"/>
      <c r="KT16" s="417"/>
      <c r="KU16" s="417"/>
      <c r="KV16" s="417"/>
      <c r="KW16" s="417"/>
      <c r="KX16" s="417"/>
      <c r="KY16" s="417"/>
      <c r="KZ16" s="417"/>
      <c r="LA16" s="417"/>
      <c r="LB16" s="417"/>
      <c r="LC16" s="417"/>
      <c r="LD16" s="417"/>
      <c r="LE16" s="417"/>
      <c r="LF16" s="417"/>
      <c r="LG16" s="417"/>
      <c r="LH16" s="417"/>
      <c r="LI16" s="417"/>
      <c r="LJ16" s="417"/>
      <c r="LK16" s="417"/>
      <c r="LL16" s="417"/>
      <c r="LM16" s="417"/>
      <c r="LN16" s="417"/>
      <c r="LO16" s="417"/>
      <c r="LP16" s="417"/>
      <c r="LQ16" s="417"/>
      <c r="LR16" s="417"/>
      <c r="LS16" s="417"/>
      <c r="LT16" s="417"/>
      <c r="LU16" s="417"/>
      <c r="LV16" s="417"/>
      <c r="LW16" s="417"/>
      <c r="LX16" s="417"/>
      <c r="LY16" s="417"/>
      <c r="LZ16" s="417"/>
      <c r="MA16" s="417"/>
      <c r="MB16" s="417"/>
      <c r="MC16" s="417"/>
      <c r="MD16" s="417"/>
      <c r="ME16" s="417"/>
      <c r="MF16" s="417"/>
      <c r="MG16" s="417"/>
      <c r="MH16" s="417"/>
      <c r="MI16" s="417"/>
      <c r="MJ16" s="417"/>
      <c r="MK16" s="417"/>
      <c r="ML16" s="417"/>
      <c r="MM16" s="417"/>
      <c r="MN16" s="417"/>
      <c r="MO16" s="417"/>
      <c r="MP16" s="417"/>
      <c r="MQ16" s="417"/>
      <c r="MR16" s="417"/>
      <c r="MS16" s="417"/>
      <c r="MT16" s="417"/>
      <c r="MU16" s="417"/>
      <c r="MV16" s="417"/>
      <c r="MW16" s="417"/>
      <c r="MX16" s="417"/>
      <c r="MY16" s="417"/>
      <c r="MZ16" s="417"/>
      <c r="NA16" s="417"/>
      <c r="NB16" s="417"/>
      <c r="NC16" s="417"/>
      <c r="ND16" s="417"/>
      <c r="NE16" s="417"/>
      <c r="NF16" s="417"/>
      <c r="NG16" s="417"/>
      <c r="NH16" s="417"/>
      <c r="NI16" s="417"/>
      <c r="NJ16" s="417"/>
      <c r="NK16" s="417"/>
      <c r="NL16" s="417"/>
      <c r="NM16" s="417"/>
      <c r="NN16" s="417"/>
      <c r="NO16" s="417"/>
      <c r="NP16" s="417"/>
      <c r="NQ16" s="417"/>
      <c r="NR16" s="417"/>
      <c r="NS16" s="417"/>
      <c r="NT16" s="417"/>
      <c r="NU16" s="417"/>
      <c r="NV16" s="417"/>
      <c r="NW16" s="417"/>
      <c r="NX16" s="417"/>
      <c r="NY16" s="417"/>
      <c r="NZ16" s="417"/>
      <c r="OA16" s="417"/>
      <c r="OB16" s="417"/>
      <c r="OC16" s="417"/>
      <c r="OD16" s="417"/>
      <c r="OE16" s="417"/>
      <c r="OF16" s="417"/>
      <c r="OG16" s="417"/>
      <c r="OH16" s="417"/>
      <c r="OI16" s="385"/>
      <c r="OJ16" s="417"/>
      <c r="OK16" s="417"/>
      <c r="OL16" s="417"/>
      <c r="OM16" s="417"/>
      <c r="ON16" s="417"/>
      <c r="OO16" s="417"/>
      <c r="OP16" s="417"/>
      <c r="OQ16" s="417"/>
      <c r="OR16" s="417"/>
      <c r="OS16" s="417"/>
      <c r="OT16" s="417"/>
      <c r="OU16" s="417"/>
      <c r="OV16" s="417"/>
      <c r="OW16" s="417"/>
      <c r="OX16" s="417"/>
      <c r="OY16" s="417"/>
      <c r="OZ16" s="417"/>
      <c r="PA16" s="417"/>
      <c r="PB16" s="417"/>
      <c r="PC16" s="417"/>
      <c r="PD16" s="417"/>
      <c r="PE16" s="417"/>
      <c r="PF16" s="417"/>
      <c r="PG16" s="417"/>
    </row>
    <row r="17" spans="1:423" ht="15.75" customHeight="1" thickBot="1" x14ac:dyDescent="0.3">
      <c r="A17" s="418">
        <v>549754600138</v>
      </c>
      <c r="B17" s="384">
        <f t="shared" si="0"/>
        <v>819</v>
      </c>
      <c r="C17" s="384">
        <v>2554</v>
      </c>
      <c r="D17" s="384">
        <f>SUMIF('Sap Inwarding'!F:F,'Front Dispatch'!$A17,'Sap Inwarding'!H:H)</f>
        <v>719</v>
      </c>
      <c r="E17" s="10">
        <f t="shared" si="1"/>
        <v>1735</v>
      </c>
      <c r="F17" s="417"/>
      <c r="G17" s="417"/>
      <c r="H17" s="417"/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385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>
        <v>60</v>
      </c>
      <c r="AL17" s="417"/>
      <c r="AM17" s="417"/>
      <c r="AN17" s="417"/>
      <c r="AO17" s="417"/>
      <c r="AP17" s="417"/>
      <c r="AQ17" s="417"/>
      <c r="AR17" s="417"/>
      <c r="AS17" s="417"/>
      <c r="AT17" s="417"/>
      <c r="AU17" s="385"/>
      <c r="AV17" s="385"/>
      <c r="AW17" s="385"/>
      <c r="AX17" s="385"/>
      <c r="AY17" s="385"/>
      <c r="AZ17" s="417"/>
      <c r="BA17" s="417"/>
      <c r="BB17" s="417">
        <v>15</v>
      </c>
      <c r="BC17" s="417"/>
      <c r="BD17" s="385"/>
      <c r="BE17" s="417"/>
      <c r="BF17" s="417"/>
      <c r="BG17" s="417"/>
      <c r="BH17" s="417"/>
      <c r="BI17" s="417"/>
      <c r="BJ17" s="417"/>
      <c r="BK17" s="417"/>
      <c r="BL17" s="417"/>
      <c r="BM17" s="417"/>
      <c r="BN17" s="417"/>
      <c r="BO17" s="417"/>
      <c r="BP17" s="417"/>
      <c r="BQ17" s="417"/>
      <c r="BR17" s="417"/>
      <c r="BS17" s="417"/>
      <c r="BT17" s="417"/>
      <c r="BU17" s="417"/>
      <c r="BV17" s="417">
        <v>40</v>
      </c>
      <c r="BW17" s="417"/>
      <c r="BX17" s="417">
        <v>5</v>
      </c>
      <c r="BY17" s="417"/>
      <c r="BZ17" s="417"/>
      <c r="CA17" s="385">
        <v>20</v>
      </c>
      <c r="CB17" s="417"/>
      <c r="CC17" s="417"/>
      <c r="CD17" s="417"/>
      <c r="CE17" s="385"/>
      <c r="CF17" s="385"/>
      <c r="CG17" s="385"/>
      <c r="CH17" s="417"/>
      <c r="CI17" s="417"/>
      <c r="CJ17" s="417"/>
      <c r="CK17" s="417">
        <v>23</v>
      </c>
      <c r="CL17" s="417"/>
      <c r="CM17" s="385"/>
      <c r="CN17" s="417"/>
      <c r="CO17" s="417"/>
      <c r="CP17" s="417"/>
      <c r="CQ17" s="385"/>
      <c r="CR17" s="385"/>
      <c r="CS17" s="417"/>
      <c r="CT17" s="417"/>
      <c r="CU17" s="417"/>
      <c r="CV17" s="417"/>
      <c r="CW17" s="417"/>
      <c r="CX17" s="417"/>
      <c r="CY17" s="417">
        <v>40</v>
      </c>
      <c r="CZ17" s="417"/>
      <c r="DA17" s="385"/>
      <c r="DB17" s="417"/>
      <c r="DC17" s="385"/>
      <c r="DD17" s="385"/>
      <c r="DE17" s="385"/>
      <c r="DF17" s="385"/>
      <c r="DG17" s="385"/>
      <c r="DH17" s="417"/>
      <c r="DI17" s="417"/>
      <c r="DJ17" s="417"/>
      <c r="DK17" s="385"/>
      <c r="DL17" s="385"/>
      <c r="DM17" s="385">
        <v>25</v>
      </c>
      <c r="DN17" s="417"/>
      <c r="DO17" s="417"/>
      <c r="DP17" s="385"/>
      <c r="DQ17" s="385"/>
      <c r="DR17" s="385"/>
      <c r="DS17" s="417"/>
      <c r="DT17" s="417"/>
      <c r="DU17" s="417"/>
      <c r="DV17" s="417"/>
      <c r="DW17" s="385">
        <v>20</v>
      </c>
      <c r="DX17" s="385">
        <v>30</v>
      </c>
      <c r="DY17" s="417">
        <v>25</v>
      </c>
      <c r="DZ17" s="417"/>
      <c r="EA17" s="417"/>
      <c r="EB17" s="385"/>
      <c r="EC17" s="385">
        <v>30</v>
      </c>
      <c r="ED17" s="65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385">
        <v>25</v>
      </c>
      <c r="EP17" s="385"/>
      <c r="EQ17" s="417">
        <v>30</v>
      </c>
      <c r="ER17" s="417"/>
      <c r="ES17" s="417"/>
      <c r="ET17" s="417"/>
      <c r="EU17" s="417"/>
      <c r="EV17" s="385"/>
      <c r="EW17" s="385">
        <v>23</v>
      </c>
      <c r="EX17" s="385"/>
      <c r="EY17" s="385">
        <v>10</v>
      </c>
      <c r="EZ17" s="417"/>
      <c r="FA17" s="417"/>
      <c r="FB17" s="417"/>
      <c r="FC17" s="417"/>
      <c r="FD17" s="417"/>
      <c r="FE17" s="417"/>
      <c r="FF17" s="417"/>
      <c r="FG17" s="417"/>
      <c r="FH17" s="417"/>
      <c r="FI17" s="417">
        <v>30</v>
      </c>
      <c r="FJ17" s="417"/>
      <c r="FK17" s="385">
        <v>20</v>
      </c>
      <c r="FL17" s="417"/>
      <c r="FM17" s="385"/>
      <c r="FN17" s="417">
        <v>25</v>
      </c>
      <c r="FO17" s="417"/>
      <c r="FP17" s="417"/>
      <c r="FQ17" s="417"/>
      <c r="FR17" s="417"/>
      <c r="FS17" s="417"/>
      <c r="FT17" s="385">
        <v>20</v>
      </c>
      <c r="FU17" s="385"/>
      <c r="FV17" s="385">
        <v>5</v>
      </c>
      <c r="FW17" s="417">
        <v>20</v>
      </c>
      <c r="FX17" s="417">
        <v>30</v>
      </c>
      <c r="FY17" s="385">
        <v>10</v>
      </c>
      <c r="FZ17" s="417"/>
      <c r="GA17" s="417">
        <v>25</v>
      </c>
      <c r="GB17" s="385"/>
      <c r="GC17" s="417"/>
      <c r="GD17" s="417"/>
      <c r="GE17" s="417"/>
      <c r="GF17" s="385">
        <v>27</v>
      </c>
      <c r="GG17" s="417">
        <v>20</v>
      </c>
      <c r="GH17" s="385"/>
      <c r="GI17" s="417"/>
      <c r="GJ17" s="385"/>
      <c r="GK17" s="417">
        <v>36</v>
      </c>
      <c r="GL17" s="417"/>
      <c r="GM17" s="417"/>
      <c r="GN17" s="417"/>
      <c r="GO17" s="417"/>
      <c r="GP17" s="417"/>
      <c r="GQ17" s="417"/>
      <c r="GR17" s="417"/>
      <c r="GS17" s="385"/>
      <c r="GT17" s="385"/>
      <c r="GU17" s="417"/>
      <c r="GV17" s="385"/>
      <c r="GW17" s="417">
        <v>30</v>
      </c>
      <c r="GX17" s="385"/>
      <c r="GY17" s="385"/>
      <c r="GZ17" s="417"/>
      <c r="HA17" s="417"/>
      <c r="HB17" s="417"/>
      <c r="HC17" s="417"/>
      <c r="HD17" s="417"/>
      <c r="HE17" s="417"/>
      <c r="HF17" s="417"/>
      <c r="HG17" s="417"/>
      <c r="HH17" s="385">
        <v>10</v>
      </c>
      <c r="HI17" s="417"/>
      <c r="HJ17" s="417"/>
      <c r="HK17" s="417"/>
      <c r="HL17" s="417"/>
      <c r="HM17" s="417">
        <v>60</v>
      </c>
      <c r="HN17" s="385"/>
      <c r="HO17" s="417"/>
      <c r="HP17" s="417"/>
      <c r="HQ17" s="417"/>
      <c r="HR17" s="417"/>
      <c r="HS17" s="417"/>
      <c r="HT17" s="417"/>
      <c r="HU17" s="385">
        <v>30</v>
      </c>
      <c r="HV17" s="417"/>
      <c r="HW17" s="417"/>
      <c r="HX17" s="417"/>
      <c r="HY17" s="417"/>
      <c r="HZ17" s="417"/>
      <c r="IA17" s="417"/>
      <c r="IB17" s="417"/>
      <c r="IC17" s="417"/>
      <c r="ID17" s="417"/>
      <c r="IE17" s="417"/>
      <c r="IF17" s="417"/>
      <c r="IG17" s="417"/>
      <c r="IH17" s="417"/>
      <c r="II17" s="417"/>
      <c r="IJ17" s="417"/>
      <c r="IK17" s="417"/>
      <c r="IL17" s="417"/>
      <c r="IM17" s="417"/>
      <c r="IN17" s="417"/>
      <c r="IO17" s="417"/>
      <c r="IP17" s="417"/>
      <c r="IQ17" s="417"/>
      <c r="IR17" s="417"/>
      <c r="IS17" s="417"/>
      <c r="IT17" s="417"/>
      <c r="IU17" s="417"/>
      <c r="IV17" s="417"/>
      <c r="IW17" s="417"/>
      <c r="IX17" s="417"/>
      <c r="IY17" s="417"/>
      <c r="IZ17" s="417"/>
      <c r="JA17" s="417"/>
      <c r="JB17" s="417"/>
      <c r="JC17" s="417"/>
      <c r="JD17" s="417"/>
      <c r="JE17" s="417"/>
      <c r="JF17" s="417"/>
      <c r="JG17" s="417"/>
      <c r="JH17" s="417"/>
      <c r="JI17" s="417"/>
      <c r="JJ17" s="417"/>
      <c r="JK17" s="417"/>
      <c r="JL17" s="417"/>
      <c r="JM17" s="417"/>
      <c r="JN17" s="417"/>
      <c r="JO17" s="417"/>
      <c r="JP17" s="417"/>
      <c r="JQ17" s="417"/>
      <c r="JR17" s="417"/>
      <c r="JS17" s="417"/>
      <c r="JT17" s="417"/>
      <c r="JU17" s="417"/>
      <c r="JV17" s="417"/>
      <c r="JW17" s="417"/>
      <c r="JX17" s="417"/>
      <c r="JY17" s="417"/>
      <c r="JZ17" s="417"/>
      <c r="KA17" s="417"/>
      <c r="KB17" s="417"/>
      <c r="KC17" s="417"/>
      <c r="KD17" s="417"/>
      <c r="KE17" s="417"/>
      <c r="KF17" s="417"/>
      <c r="KG17" s="417"/>
      <c r="KH17" s="417"/>
      <c r="KI17" s="417"/>
      <c r="KJ17" s="417"/>
      <c r="KK17" s="417"/>
      <c r="KL17" s="417"/>
      <c r="KM17" s="417"/>
      <c r="KN17" s="417"/>
      <c r="KO17" s="417"/>
      <c r="KP17" s="417"/>
      <c r="KQ17" s="417"/>
      <c r="KR17" s="417"/>
      <c r="KS17" s="417"/>
      <c r="KT17" s="417"/>
      <c r="KU17" s="417"/>
      <c r="KV17" s="417"/>
      <c r="KW17" s="417"/>
      <c r="KX17" s="417"/>
      <c r="KY17" s="417"/>
      <c r="KZ17" s="417"/>
      <c r="LA17" s="417"/>
      <c r="LB17" s="417"/>
      <c r="LC17" s="417"/>
      <c r="LD17" s="417"/>
      <c r="LE17" s="417"/>
      <c r="LF17" s="417"/>
      <c r="LG17" s="417"/>
      <c r="LH17" s="417"/>
      <c r="LI17" s="417"/>
      <c r="LJ17" s="417"/>
      <c r="LK17" s="417"/>
      <c r="LL17" s="417"/>
      <c r="LM17" s="417"/>
      <c r="LN17" s="417"/>
      <c r="LO17" s="417"/>
      <c r="LP17" s="417"/>
      <c r="LQ17" s="417"/>
      <c r="LR17" s="417"/>
      <c r="LS17" s="417"/>
      <c r="LT17" s="417"/>
      <c r="LU17" s="417"/>
      <c r="LV17" s="417"/>
      <c r="LW17" s="417"/>
      <c r="LX17" s="417"/>
      <c r="LY17" s="417"/>
      <c r="LZ17" s="417"/>
      <c r="MA17" s="417"/>
      <c r="MB17" s="417"/>
      <c r="MC17" s="417"/>
      <c r="MD17" s="417"/>
      <c r="ME17" s="417"/>
      <c r="MF17" s="417"/>
      <c r="MG17" s="417"/>
      <c r="MH17" s="417"/>
      <c r="MI17" s="417"/>
      <c r="MJ17" s="417"/>
      <c r="MK17" s="417"/>
      <c r="ML17" s="417"/>
      <c r="MM17" s="417"/>
      <c r="MN17" s="417"/>
      <c r="MO17" s="417"/>
      <c r="MP17" s="417"/>
      <c r="MQ17" s="417"/>
      <c r="MR17" s="417"/>
      <c r="MS17" s="417"/>
      <c r="MT17" s="417"/>
      <c r="MU17" s="417"/>
      <c r="MV17" s="417"/>
      <c r="MW17" s="417"/>
      <c r="MX17" s="417"/>
      <c r="MY17" s="417"/>
      <c r="MZ17" s="417"/>
      <c r="NA17" s="417"/>
      <c r="NB17" s="417"/>
      <c r="NC17" s="417"/>
      <c r="ND17" s="417"/>
      <c r="NE17" s="417"/>
      <c r="NF17" s="417"/>
      <c r="NG17" s="417"/>
      <c r="NH17" s="417"/>
      <c r="NI17" s="417"/>
      <c r="NJ17" s="417"/>
      <c r="NK17" s="417"/>
      <c r="NL17" s="417"/>
      <c r="NM17" s="417"/>
      <c r="NN17" s="417"/>
      <c r="NO17" s="417"/>
      <c r="NP17" s="417"/>
      <c r="NQ17" s="417"/>
      <c r="NR17" s="417"/>
      <c r="NS17" s="417"/>
      <c r="NT17" s="417"/>
      <c r="NU17" s="417"/>
      <c r="NV17" s="417"/>
      <c r="NW17" s="417"/>
      <c r="NX17" s="417"/>
      <c r="NY17" s="417"/>
      <c r="NZ17" s="417"/>
      <c r="OA17" s="417"/>
      <c r="OB17" s="417"/>
      <c r="OC17" s="417"/>
      <c r="OD17" s="417"/>
      <c r="OE17" s="417"/>
      <c r="OF17" s="417"/>
      <c r="OG17" s="417"/>
      <c r="OH17" s="417"/>
      <c r="OI17" s="385"/>
      <c r="OJ17" s="417"/>
      <c r="OK17" s="417"/>
      <c r="OL17" s="417"/>
      <c r="OM17" s="417"/>
      <c r="ON17" s="417"/>
      <c r="OO17" s="417"/>
      <c r="OP17" s="417"/>
      <c r="OQ17" s="417"/>
      <c r="OR17" s="417"/>
      <c r="OS17" s="417"/>
      <c r="OT17" s="417"/>
      <c r="OU17" s="417"/>
      <c r="OV17" s="417"/>
      <c r="OW17" s="417"/>
      <c r="OX17" s="417"/>
      <c r="OY17" s="417"/>
      <c r="OZ17" s="417"/>
      <c r="PA17" s="417"/>
      <c r="PB17" s="417"/>
      <c r="PC17" s="417"/>
      <c r="PD17" s="417"/>
      <c r="PE17" s="417"/>
      <c r="PF17" s="417"/>
      <c r="PG17" s="417"/>
    </row>
    <row r="18" spans="1:423" ht="15.75" customHeight="1" thickBot="1" x14ac:dyDescent="0.3">
      <c r="A18" s="418">
        <v>549754600131</v>
      </c>
      <c r="B18" s="384">
        <f t="shared" si="0"/>
        <v>1917</v>
      </c>
      <c r="C18" s="384">
        <v>2869</v>
      </c>
      <c r="D18" s="384">
        <f>SUMIF('Sap Inwarding'!F:F,'Front Dispatch'!$A18,'Sap Inwarding'!H:H)</f>
        <v>1733</v>
      </c>
      <c r="E18" s="10">
        <f t="shared" si="1"/>
        <v>952</v>
      </c>
      <c r="F18" s="417">
        <v>30</v>
      </c>
      <c r="G18" s="417">
        <v>45</v>
      </c>
      <c r="H18" s="417"/>
      <c r="I18" s="417">
        <v>50</v>
      </c>
      <c r="J18" s="417"/>
      <c r="K18" s="417"/>
      <c r="L18" s="417"/>
      <c r="M18" s="417"/>
      <c r="N18" s="417"/>
      <c r="O18" s="417"/>
      <c r="P18" s="417"/>
      <c r="Q18" s="417"/>
      <c r="R18" s="417"/>
      <c r="S18" s="417"/>
      <c r="T18" s="417">
        <v>95</v>
      </c>
      <c r="U18" s="417">
        <v>60</v>
      </c>
      <c r="V18" s="417">
        <v>50</v>
      </c>
      <c r="W18" s="417"/>
      <c r="X18" s="417"/>
      <c r="Y18" s="385">
        <v>20</v>
      </c>
      <c r="Z18" s="417"/>
      <c r="AA18" s="417"/>
      <c r="AB18" s="417"/>
      <c r="AC18" s="417"/>
      <c r="AD18" s="417"/>
      <c r="AE18" s="417"/>
      <c r="AF18" s="417"/>
      <c r="AG18" s="417"/>
      <c r="AH18" s="417">
        <v>30</v>
      </c>
      <c r="AI18" s="417">
        <v>30</v>
      </c>
      <c r="AJ18" s="417">
        <v>33</v>
      </c>
      <c r="AK18" s="417">
        <v>70</v>
      </c>
      <c r="AL18" s="417">
        <v>30</v>
      </c>
      <c r="AM18" s="417"/>
      <c r="AN18" s="417"/>
      <c r="AO18" s="417"/>
      <c r="AP18" s="417"/>
      <c r="AQ18" s="417"/>
      <c r="AR18" s="417"/>
      <c r="AS18" s="417"/>
      <c r="AT18" s="417"/>
      <c r="AU18" s="385"/>
      <c r="AV18" s="385">
        <v>20</v>
      </c>
      <c r="AW18" s="385">
        <v>45</v>
      </c>
      <c r="AX18" s="385"/>
      <c r="AY18" s="385">
        <v>30</v>
      </c>
      <c r="AZ18" s="417">
        <v>28</v>
      </c>
      <c r="BA18" s="417"/>
      <c r="BB18" s="417"/>
      <c r="BC18" s="417"/>
      <c r="BD18" s="385"/>
      <c r="BE18" s="417"/>
      <c r="BF18" s="417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  <c r="BS18" s="417"/>
      <c r="BT18" s="417"/>
      <c r="BU18" s="417"/>
      <c r="BV18" s="417"/>
      <c r="BW18" s="417"/>
      <c r="BX18" s="417">
        <v>20</v>
      </c>
      <c r="BY18" s="417"/>
      <c r="BZ18" s="417"/>
      <c r="CA18" s="385">
        <v>30</v>
      </c>
      <c r="CB18" s="417">
        <v>21</v>
      </c>
      <c r="CC18" s="417"/>
      <c r="CD18" s="417"/>
      <c r="CE18" s="385"/>
      <c r="CF18" s="385"/>
      <c r="CG18" s="385"/>
      <c r="CH18" s="417"/>
      <c r="CI18" s="417"/>
      <c r="CJ18" s="417"/>
      <c r="CK18" s="417">
        <v>17</v>
      </c>
      <c r="CL18" s="417">
        <v>10</v>
      </c>
      <c r="CM18" s="385"/>
      <c r="CN18" s="417"/>
      <c r="CO18" s="417"/>
      <c r="CP18" s="417"/>
      <c r="CQ18" s="385"/>
      <c r="CR18" s="385"/>
      <c r="CS18" s="417"/>
      <c r="CT18" s="417"/>
      <c r="CU18" s="417"/>
      <c r="CV18" s="417"/>
      <c r="CW18" s="417">
        <v>50</v>
      </c>
      <c r="CX18" s="417">
        <v>15</v>
      </c>
      <c r="CY18" s="417">
        <v>26</v>
      </c>
      <c r="CZ18" s="417"/>
      <c r="DA18" s="385">
        <v>19</v>
      </c>
      <c r="DB18" s="417"/>
      <c r="DC18" s="385"/>
      <c r="DD18" s="385"/>
      <c r="DE18" s="385"/>
      <c r="DF18" s="385"/>
      <c r="DG18" s="385"/>
      <c r="DH18" s="417"/>
      <c r="DI18" s="417"/>
      <c r="DJ18" s="417"/>
      <c r="DK18" s="385">
        <v>6</v>
      </c>
      <c r="DL18" s="385"/>
      <c r="DM18" s="385"/>
      <c r="DN18" s="417">
        <v>50</v>
      </c>
      <c r="DO18" s="417">
        <v>20</v>
      </c>
      <c r="DP18" s="385">
        <v>41</v>
      </c>
      <c r="DQ18" s="385"/>
      <c r="DR18" s="385"/>
      <c r="DS18" s="417"/>
      <c r="DT18" s="417"/>
      <c r="DU18" s="417"/>
      <c r="DV18" s="417"/>
      <c r="DW18" s="385"/>
      <c r="DX18" s="385"/>
      <c r="DY18" s="417"/>
      <c r="DZ18" s="417">
        <v>19</v>
      </c>
      <c r="EA18" s="417">
        <v>40</v>
      </c>
      <c r="EB18" s="385">
        <v>17</v>
      </c>
      <c r="EC18" s="385"/>
      <c r="ED18" s="65">
        <v>30</v>
      </c>
      <c r="EE18" s="417"/>
      <c r="EF18" s="417"/>
      <c r="EG18" s="417"/>
      <c r="EH18" s="417"/>
      <c r="EI18" s="417"/>
      <c r="EJ18" s="417"/>
      <c r="EK18" s="417">
        <v>35</v>
      </c>
      <c r="EL18" s="417">
        <v>25</v>
      </c>
      <c r="EM18" s="417">
        <v>60</v>
      </c>
      <c r="EN18" s="417"/>
      <c r="EO18" s="385">
        <v>45</v>
      </c>
      <c r="EP18" s="385"/>
      <c r="EQ18" s="417">
        <v>30</v>
      </c>
      <c r="ER18" s="417"/>
      <c r="ES18" s="417"/>
      <c r="ET18" s="417"/>
      <c r="EU18" s="417"/>
      <c r="EV18" s="385">
        <v>23</v>
      </c>
      <c r="EW18" s="385">
        <v>19</v>
      </c>
      <c r="EX18" s="385">
        <v>49</v>
      </c>
      <c r="EY18" s="385"/>
      <c r="EZ18" s="417">
        <v>20</v>
      </c>
      <c r="FA18" s="417"/>
      <c r="FB18" s="417"/>
      <c r="FC18" s="417"/>
      <c r="FD18" s="417"/>
      <c r="FE18" s="417"/>
      <c r="FF18" s="417"/>
      <c r="FG18" s="417"/>
      <c r="FH18" s="417">
        <v>30</v>
      </c>
      <c r="FI18" s="417"/>
      <c r="FJ18" s="417"/>
      <c r="FK18" s="385">
        <v>30</v>
      </c>
      <c r="FL18" s="417"/>
      <c r="FM18" s="385">
        <v>30</v>
      </c>
      <c r="FN18" s="417"/>
      <c r="FO18" s="417"/>
      <c r="FP18" s="417"/>
      <c r="FQ18" s="417"/>
      <c r="FR18" s="417"/>
      <c r="FS18" s="417"/>
      <c r="FT18" s="385">
        <v>30</v>
      </c>
      <c r="FU18" s="385">
        <v>40</v>
      </c>
      <c r="FV18" s="385"/>
      <c r="FW18" s="417">
        <v>20</v>
      </c>
      <c r="FX18" s="417"/>
      <c r="FY18" s="385">
        <v>25</v>
      </c>
      <c r="FZ18" s="417"/>
      <c r="GA18" s="417"/>
      <c r="GB18" s="385"/>
      <c r="GC18" s="417"/>
      <c r="GD18" s="417"/>
      <c r="GE18" s="417"/>
      <c r="GF18" s="385"/>
      <c r="GG18" s="417">
        <v>20</v>
      </c>
      <c r="GH18" s="385"/>
      <c r="GI18" s="417"/>
      <c r="GJ18" s="385"/>
      <c r="GK18" s="417"/>
      <c r="GL18" s="417">
        <v>30</v>
      </c>
      <c r="GM18" s="417"/>
      <c r="GN18" s="417"/>
      <c r="GO18" s="417"/>
      <c r="GP18" s="417"/>
      <c r="GQ18" s="417"/>
      <c r="GR18" s="417"/>
      <c r="GS18" s="385">
        <v>20</v>
      </c>
      <c r="GT18" s="385"/>
      <c r="GU18" s="417">
        <v>45</v>
      </c>
      <c r="GV18" s="385">
        <v>10</v>
      </c>
      <c r="GW18" s="417"/>
      <c r="GX18" s="385"/>
      <c r="GY18" s="385">
        <v>25</v>
      </c>
      <c r="GZ18" s="417"/>
      <c r="HA18" s="417"/>
      <c r="HB18" s="417"/>
      <c r="HC18" s="417"/>
      <c r="HD18" s="417"/>
      <c r="HE18" s="417"/>
      <c r="HF18" s="417"/>
      <c r="HG18" s="417">
        <v>40</v>
      </c>
      <c r="HH18" s="385"/>
      <c r="HI18" s="417"/>
      <c r="HJ18" s="417">
        <v>30</v>
      </c>
      <c r="HK18" s="417">
        <v>29</v>
      </c>
      <c r="HL18" s="417">
        <v>40</v>
      </c>
      <c r="HM18" s="417"/>
      <c r="HN18" s="385"/>
      <c r="HO18" s="417"/>
      <c r="HP18" s="417"/>
      <c r="HQ18" s="417"/>
      <c r="HR18" s="417"/>
      <c r="HS18" s="417"/>
      <c r="HT18" s="417"/>
      <c r="HU18" s="385">
        <v>20</v>
      </c>
      <c r="HV18" s="417"/>
      <c r="HW18" s="417"/>
      <c r="HX18" s="417"/>
      <c r="HY18" s="417"/>
      <c r="HZ18" s="417"/>
      <c r="IA18" s="417"/>
      <c r="IB18" s="417"/>
      <c r="IC18" s="417"/>
      <c r="ID18" s="417"/>
      <c r="IE18" s="417"/>
      <c r="IF18" s="417"/>
      <c r="IG18" s="417"/>
      <c r="IH18" s="417"/>
      <c r="II18" s="417"/>
      <c r="IJ18" s="417"/>
      <c r="IK18" s="417"/>
      <c r="IL18" s="417"/>
      <c r="IM18" s="417"/>
      <c r="IN18" s="417"/>
      <c r="IO18" s="417"/>
      <c r="IP18" s="417"/>
      <c r="IQ18" s="417"/>
      <c r="IR18" s="417"/>
      <c r="IS18" s="417"/>
      <c r="IT18" s="417"/>
      <c r="IU18" s="417"/>
      <c r="IV18" s="417"/>
      <c r="IW18" s="417"/>
      <c r="IX18" s="417"/>
      <c r="IY18" s="417"/>
      <c r="IZ18" s="417"/>
      <c r="JA18" s="417"/>
      <c r="JB18" s="417"/>
      <c r="JC18" s="417"/>
      <c r="JD18" s="417"/>
      <c r="JE18" s="417"/>
      <c r="JF18" s="417"/>
      <c r="JG18" s="417"/>
      <c r="JH18" s="417"/>
      <c r="JI18" s="417"/>
      <c r="JJ18" s="417"/>
      <c r="JK18" s="417"/>
      <c r="JL18" s="417"/>
      <c r="JM18" s="417"/>
      <c r="JN18" s="417"/>
      <c r="JO18" s="417"/>
      <c r="JP18" s="417"/>
      <c r="JQ18" s="417"/>
      <c r="JR18" s="417"/>
      <c r="JS18" s="417"/>
      <c r="JT18" s="417"/>
      <c r="JU18" s="417"/>
      <c r="JV18" s="417"/>
      <c r="JW18" s="417"/>
      <c r="JX18" s="417"/>
      <c r="JY18" s="417"/>
      <c r="JZ18" s="417"/>
      <c r="KA18" s="417"/>
      <c r="KB18" s="417"/>
      <c r="KC18" s="417"/>
      <c r="KD18" s="417"/>
      <c r="KE18" s="417"/>
      <c r="KF18" s="417"/>
      <c r="KG18" s="417"/>
      <c r="KH18" s="417"/>
      <c r="KI18" s="417"/>
      <c r="KJ18" s="417"/>
      <c r="KK18" s="417"/>
      <c r="KL18" s="417"/>
      <c r="KM18" s="417"/>
      <c r="KN18" s="417"/>
      <c r="KO18" s="417"/>
      <c r="KP18" s="417"/>
      <c r="KQ18" s="417"/>
      <c r="KR18" s="417"/>
      <c r="KS18" s="417"/>
      <c r="KT18" s="417"/>
      <c r="KU18" s="417"/>
      <c r="KV18" s="417"/>
      <c r="KW18" s="417"/>
      <c r="KX18" s="417"/>
      <c r="KY18" s="417"/>
      <c r="KZ18" s="417"/>
      <c r="LA18" s="417"/>
      <c r="LB18" s="417"/>
      <c r="LC18" s="417"/>
      <c r="LD18" s="417"/>
      <c r="LE18" s="417"/>
      <c r="LF18" s="417"/>
      <c r="LG18" s="417"/>
      <c r="LH18" s="417"/>
      <c r="LI18" s="417"/>
      <c r="LJ18" s="417"/>
      <c r="LK18" s="417"/>
      <c r="LL18" s="417"/>
      <c r="LM18" s="417"/>
      <c r="LN18" s="417"/>
      <c r="LO18" s="417"/>
      <c r="LP18" s="417"/>
      <c r="LQ18" s="417"/>
      <c r="LR18" s="417"/>
      <c r="LS18" s="417"/>
      <c r="LT18" s="417"/>
      <c r="LU18" s="417"/>
      <c r="LV18" s="417"/>
      <c r="LW18" s="417"/>
      <c r="LX18" s="417"/>
      <c r="LY18" s="417"/>
      <c r="LZ18" s="417"/>
      <c r="MA18" s="417"/>
      <c r="MB18" s="417"/>
      <c r="MC18" s="417"/>
      <c r="MD18" s="417"/>
      <c r="ME18" s="417"/>
      <c r="MF18" s="417"/>
      <c r="MG18" s="417"/>
      <c r="MH18" s="417"/>
      <c r="MI18" s="417"/>
      <c r="MJ18" s="417"/>
      <c r="MK18" s="417"/>
      <c r="ML18" s="417"/>
      <c r="MM18" s="417"/>
      <c r="MN18" s="417"/>
      <c r="MO18" s="417"/>
      <c r="MP18" s="417"/>
      <c r="MQ18" s="417"/>
      <c r="MR18" s="417"/>
      <c r="MS18" s="417"/>
      <c r="MT18" s="417"/>
      <c r="MU18" s="417"/>
      <c r="MV18" s="417"/>
      <c r="MW18" s="417"/>
      <c r="MX18" s="417"/>
      <c r="MY18" s="417"/>
      <c r="MZ18" s="417"/>
      <c r="NA18" s="417"/>
      <c r="NB18" s="417"/>
      <c r="NC18" s="417"/>
      <c r="ND18" s="417"/>
      <c r="NE18" s="417"/>
      <c r="NF18" s="417"/>
      <c r="NG18" s="417"/>
      <c r="NH18" s="417"/>
      <c r="NI18" s="417"/>
      <c r="NJ18" s="417"/>
      <c r="NK18" s="417"/>
      <c r="NL18" s="417"/>
      <c r="NM18" s="417"/>
      <c r="NN18" s="417"/>
      <c r="NO18" s="417"/>
      <c r="NP18" s="417"/>
      <c r="NQ18" s="417"/>
      <c r="NR18" s="417"/>
      <c r="NS18" s="417"/>
      <c r="NT18" s="417"/>
      <c r="NU18" s="417"/>
      <c r="NV18" s="417"/>
      <c r="NW18" s="417"/>
      <c r="NX18" s="417"/>
      <c r="NY18" s="417"/>
      <c r="NZ18" s="417"/>
      <c r="OA18" s="417"/>
      <c r="OB18" s="417"/>
      <c r="OC18" s="417"/>
      <c r="OD18" s="417"/>
      <c r="OE18" s="417"/>
      <c r="OF18" s="417"/>
      <c r="OG18" s="417"/>
      <c r="OH18" s="417"/>
      <c r="OI18" s="385"/>
      <c r="OJ18" s="417"/>
      <c r="OK18" s="417"/>
      <c r="OL18" s="417"/>
      <c r="OM18" s="417"/>
      <c r="ON18" s="417"/>
      <c r="OO18" s="417"/>
      <c r="OP18" s="417"/>
      <c r="OQ18" s="417"/>
      <c r="OR18" s="417"/>
      <c r="OS18" s="417"/>
      <c r="OT18" s="417"/>
      <c r="OU18" s="417"/>
      <c r="OV18" s="417"/>
      <c r="OW18" s="417"/>
      <c r="OX18" s="417"/>
      <c r="OY18" s="417"/>
      <c r="OZ18" s="417"/>
      <c r="PA18" s="417"/>
      <c r="PB18" s="417"/>
      <c r="PC18" s="417"/>
      <c r="PD18" s="417"/>
      <c r="PE18" s="417"/>
      <c r="PF18" s="417"/>
      <c r="PG18" s="417"/>
    </row>
    <row r="19" spans="1:423" ht="15.75" customHeight="1" thickBot="1" x14ac:dyDescent="0.3">
      <c r="A19" s="414">
        <v>549754600132</v>
      </c>
      <c r="B19" s="384">
        <f t="shared" si="0"/>
        <v>403</v>
      </c>
      <c r="C19" s="384">
        <v>720</v>
      </c>
      <c r="D19" s="384">
        <f>SUMIF('Sap Inwarding'!F:F,'Front Dispatch'!$A19,'Sap Inwarding'!H:H)</f>
        <v>362</v>
      </c>
      <c r="E19" s="10">
        <f t="shared" si="1"/>
        <v>317</v>
      </c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  <c r="R19" s="417"/>
      <c r="S19" s="417"/>
      <c r="T19" s="417"/>
      <c r="U19" s="417"/>
      <c r="V19" s="417"/>
      <c r="W19" s="417"/>
      <c r="X19" s="417"/>
      <c r="Y19" s="385">
        <v>10</v>
      </c>
      <c r="Z19" s="417"/>
      <c r="AA19" s="417"/>
      <c r="AB19" s="417"/>
      <c r="AC19" s="417"/>
      <c r="AD19" s="417"/>
      <c r="AE19" s="417"/>
      <c r="AF19" s="417"/>
      <c r="AG19" s="417"/>
      <c r="AH19" s="417">
        <v>10</v>
      </c>
      <c r="AI19" s="417"/>
      <c r="AJ19" s="417"/>
      <c r="AK19" s="417">
        <v>12</v>
      </c>
      <c r="AL19" s="417"/>
      <c r="AM19" s="417"/>
      <c r="AN19" s="417"/>
      <c r="AO19" s="417"/>
      <c r="AP19" s="417"/>
      <c r="AQ19" s="417"/>
      <c r="AR19" s="417"/>
      <c r="AS19" s="417"/>
      <c r="AT19" s="417"/>
      <c r="AU19" s="385"/>
      <c r="AV19" s="385"/>
      <c r="AW19" s="385"/>
      <c r="AX19" s="385"/>
      <c r="AY19" s="385">
        <v>6</v>
      </c>
      <c r="AZ19" s="417">
        <v>6</v>
      </c>
      <c r="BA19" s="417"/>
      <c r="BB19" s="417"/>
      <c r="BC19" s="417"/>
      <c r="BD19" s="385">
        <v>30</v>
      </c>
      <c r="BE19" s="417"/>
      <c r="BF19" s="417"/>
      <c r="BG19" s="417"/>
      <c r="BH19" s="417"/>
      <c r="BI19" s="417">
        <v>9</v>
      </c>
      <c r="BJ19" s="417">
        <v>10</v>
      </c>
      <c r="BK19" s="417"/>
      <c r="BL19" s="417"/>
      <c r="BM19" s="417"/>
      <c r="BN19" s="417"/>
      <c r="BO19" s="417"/>
      <c r="BP19" s="417"/>
      <c r="BQ19" s="417"/>
      <c r="BR19" s="417"/>
      <c r="BS19" s="417"/>
      <c r="BT19" s="417"/>
      <c r="BU19" s="417"/>
      <c r="BV19" s="417"/>
      <c r="BW19" s="417">
        <v>20</v>
      </c>
      <c r="BX19" s="417">
        <v>15</v>
      </c>
      <c r="BY19" s="417"/>
      <c r="BZ19" s="417"/>
      <c r="CA19" s="385"/>
      <c r="CB19" s="417">
        <v>7</v>
      </c>
      <c r="CC19" s="417"/>
      <c r="CD19" s="417"/>
      <c r="CE19" s="385"/>
      <c r="CF19" s="385"/>
      <c r="CG19" s="385"/>
      <c r="CH19" s="417"/>
      <c r="CI19" s="417"/>
      <c r="CJ19" s="417"/>
      <c r="CK19" s="417"/>
      <c r="CL19" s="417">
        <v>10</v>
      </c>
      <c r="CM19" s="385"/>
      <c r="CN19" s="417"/>
      <c r="CO19" s="417"/>
      <c r="CP19" s="417"/>
      <c r="CQ19" s="385"/>
      <c r="CR19" s="385"/>
      <c r="CS19" s="417"/>
      <c r="CT19" s="417"/>
      <c r="CU19" s="417"/>
      <c r="CV19" s="417"/>
      <c r="CW19" s="417"/>
      <c r="CX19" s="417">
        <v>5</v>
      </c>
      <c r="CY19" s="417">
        <v>10</v>
      </c>
      <c r="CZ19" s="417"/>
      <c r="DA19" s="385"/>
      <c r="DB19" s="417"/>
      <c r="DC19" s="385"/>
      <c r="DD19" s="385"/>
      <c r="DE19" s="385"/>
      <c r="DF19" s="385"/>
      <c r="DG19" s="385"/>
      <c r="DH19" s="417"/>
      <c r="DI19" s="417"/>
      <c r="DJ19" s="417"/>
      <c r="DK19" s="385"/>
      <c r="DL19" s="385"/>
      <c r="DM19" s="385"/>
      <c r="DN19" s="417">
        <v>10</v>
      </c>
      <c r="DO19" s="417"/>
      <c r="DP19" s="385">
        <v>10</v>
      </c>
      <c r="DQ19" s="385">
        <v>5</v>
      </c>
      <c r="DR19" s="385">
        <v>20</v>
      </c>
      <c r="DS19" s="417"/>
      <c r="DT19" s="417"/>
      <c r="DU19" s="417"/>
      <c r="DV19" s="417"/>
      <c r="DW19" s="385"/>
      <c r="DX19" s="385"/>
      <c r="DY19" s="417"/>
      <c r="DZ19" s="417">
        <v>7</v>
      </c>
      <c r="EA19" s="417">
        <v>10</v>
      </c>
      <c r="EB19" s="385">
        <v>10</v>
      </c>
      <c r="EC19" s="385">
        <v>9</v>
      </c>
      <c r="ED19" s="65"/>
      <c r="EE19" s="417"/>
      <c r="EF19" s="417"/>
      <c r="EG19" s="417"/>
      <c r="EH19" s="417"/>
      <c r="EI19" s="417"/>
      <c r="EJ19" s="417"/>
      <c r="EK19" s="417"/>
      <c r="EL19" s="417"/>
      <c r="EM19" s="417"/>
      <c r="EN19" s="417"/>
      <c r="EO19" s="385"/>
      <c r="EP19" s="385"/>
      <c r="EQ19" s="417"/>
      <c r="ER19" s="417"/>
      <c r="ES19" s="417"/>
      <c r="ET19" s="417"/>
      <c r="EU19" s="417"/>
      <c r="EV19" s="385">
        <v>20</v>
      </c>
      <c r="EW19" s="385"/>
      <c r="EX19" s="385"/>
      <c r="EY19" s="385">
        <v>10</v>
      </c>
      <c r="EZ19" s="417"/>
      <c r="FA19" s="417"/>
      <c r="FB19" s="417"/>
      <c r="FC19" s="417"/>
      <c r="FD19" s="417"/>
      <c r="FE19" s="417"/>
      <c r="FF19" s="417"/>
      <c r="FG19" s="417"/>
      <c r="FH19" s="417">
        <v>20</v>
      </c>
      <c r="FI19" s="417"/>
      <c r="FJ19" s="417"/>
      <c r="FK19" s="385"/>
      <c r="FL19" s="417"/>
      <c r="FM19" s="385">
        <v>15</v>
      </c>
      <c r="FN19" s="417"/>
      <c r="FO19" s="417"/>
      <c r="FP19" s="417"/>
      <c r="FQ19" s="417"/>
      <c r="FR19" s="417"/>
      <c r="FS19" s="417"/>
      <c r="FT19" s="385"/>
      <c r="FU19" s="385">
        <v>10</v>
      </c>
      <c r="FV19" s="385"/>
      <c r="FW19" s="417"/>
      <c r="FX19" s="417"/>
      <c r="FY19" s="385"/>
      <c r="FZ19" s="417"/>
      <c r="GA19" s="417">
        <v>16</v>
      </c>
      <c r="GB19" s="385"/>
      <c r="GC19" s="417"/>
      <c r="GD19" s="417"/>
      <c r="GE19" s="417"/>
      <c r="GF19" s="385"/>
      <c r="GG19" s="417"/>
      <c r="GH19" s="385"/>
      <c r="GI19" s="417"/>
      <c r="GJ19" s="385">
        <v>10</v>
      </c>
      <c r="GK19" s="417"/>
      <c r="GL19" s="417"/>
      <c r="GM19" s="417"/>
      <c r="GN19" s="417"/>
      <c r="GO19" s="417"/>
      <c r="GP19" s="417"/>
      <c r="GQ19" s="417"/>
      <c r="GR19" s="417"/>
      <c r="GS19" s="385"/>
      <c r="GT19" s="385"/>
      <c r="GU19" s="417"/>
      <c r="GV19" s="385">
        <v>20</v>
      </c>
      <c r="GW19" s="417"/>
      <c r="GX19" s="385"/>
      <c r="GY19" s="385">
        <v>15</v>
      </c>
      <c r="GZ19" s="417"/>
      <c r="HA19" s="417"/>
      <c r="HB19" s="417"/>
      <c r="HC19" s="417"/>
      <c r="HD19" s="417"/>
      <c r="HE19" s="417"/>
      <c r="HF19" s="417"/>
      <c r="HG19" s="417"/>
      <c r="HH19" s="385"/>
      <c r="HI19" s="417"/>
      <c r="HJ19" s="417">
        <v>10</v>
      </c>
      <c r="HK19" s="417"/>
      <c r="HL19" s="417"/>
      <c r="HM19" s="417">
        <v>10</v>
      </c>
      <c r="HN19" s="385">
        <v>6</v>
      </c>
      <c r="HO19" s="417"/>
      <c r="HP19" s="417"/>
      <c r="HQ19" s="417"/>
      <c r="HR19" s="417"/>
      <c r="HS19" s="417"/>
      <c r="HT19" s="417"/>
      <c r="HU19" s="385"/>
      <c r="HV19" s="417"/>
      <c r="HW19" s="417"/>
      <c r="HX19" s="417"/>
      <c r="HY19" s="417"/>
      <c r="HZ19" s="417"/>
      <c r="IA19" s="417"/>
      <c r="IB19" s="417"/>
      <c r="IC19" s="417"/>
      <c r="ID19" s="417"/>
      <c r="IE19" s="417"/>
      <c r="IF19" s="417"/>
      <c r="IG19" s="417"/>
      <c r="IH19" s="417"/>
      <c r="II19" s="417"/>
      <c r="IJ19" s="417"/>
      <c r="IK19" s="417"/>
      <c r="IL19" s="417"/>
      <c r="IM19" s="417"/>
      <c r="IN19" s="417"/>
      <c r="IO19" s="417"/>
      <c r="IP19" s="417"/>
      <c r="IQ19" s="417"/>
      <c r="IR19" s="417"/>
      <c r="IS19" s="417"/>
      <c r="IT19" s="417"/>
      <c r="IU19" s="417"/>
      <c r="IV19" s="417"/>
      <c r="IW19" s="417"/>
      <c r="IX19" s="417"/>
      <c r="IY19" s="417"/>
      <c r="IZ19" s="417"/>
      <c r="JA19" s="417"/>
      <c r="JB19" s="417"/>
      <c r="JC19" s="417"/>
      <c r="JD19" s="417"/>
      <c r="JE19" s="417"/>
      <c r="JF19" s="417"/>
      <c r="JG19" s="417"/>
      <c r="JH19" s="417"/>
      <c r="JI19" s="417"/>
      <c r="JJ19" s="417"/>
      <c r="JK19" s="417"/>
      <c r="JL19" s="417"/>
      <c r="JM19" s="417"/>
      <c r="JN19" s="417"/>
      <c r="JO19" s="417"/>
      <c r="JP19" s="417"/>
      <c r="JQ19" s="417"/>
      <c r="JR19" s="417"/>
      <c r="JS19" s="417"/>
      <c r="JT19" s="417"/>
      <c r="JU19" s="417"/>
      <c r="JV19" s="417"/>
      <c r="JW19" s="417"/>
      <c r="JX19" s="417"/>
      <c r="JY19" s="417"/>
      <c r="JZ19" s="417"/>
      <c r="KA19" s="417"/>
      <c r="KB19" s="417"/>
      <c r="KC19" s="417"/>
      <c r="KD19" s="417"/>
      <c r="KE19" s="417"/>
      <c r="KF19" s="417"/>
      <c r="KG19" s="417"/>
      <c r="KH19" s="417"/>
      <c r="KI19" s="417"/>
      <c r="KJ19" s="417"/>
      <c r="KK19" s="417"/>
      <c r="KL19" s="417"/>
      <c r="KM19" s="417"/>
      <c r="KN19" s="417"/>
      <c r="KO19" s="417"/>
      <c r="KP19" s="417"/>
      <c r="KQ19" s="417"/>
      <c r="KR19" s="417"/>
      <c r="KS19" s="417"/>
      <c r="KT19" s="417"/>
      <c r="KU19" s="417"/>
      <c r="KV19" s="417"/>
      <c r="KW19" s="417"/>
      <c r="KX19" s="417"/>
      <c r="KY19" s="417"/>
      <c r="KZ19" s="417"/>
      <c r="LA19" s="417"/>
      <c r="LB19" s="417"/>
      <c r="LC19" s="417"/>
      <c r="LD19" s="417"/>
      <c r="LE19" s="417"/>
      <c r="LF19" s="417"/>
      <c r="LG19" s="417"/>
      <c r="LH19" s="417"/>
      <c r="LI19" s="417"/>
      <c r="LJ19" s="417"/>
      <c r="LK19" s="417"/>
      <c r="LL19" s="417"/>
      <c r="LM19" s="417"/>
      <c r="LN19" s="417"/>
      <c r="LO19" s="417"/>
      <c r="LP19" s="417"/>
      <c r="LQ19" s="417"/>
      <c r="LR19" s="417"/>
      <c r="LS19" s="417"/>
      <c r="LT19" s="417"/>
      <c r="LU19" s="417"/>
      <c r="LV19" s="417"/>
      <c r="LW19" s="417"/>
      <c r="LX19" s="417"/>
      <c r="LY19" s="417"/>
      <c r="LZ19" s="417"/>
      <c r="MA19" s="417"/>
      <c r="MB19" s="417"/>
      <c r="MC19" s="417"/>
      <c r="MD19" s="417"/>
      <c r="ME19" s="417"/>
      <c r="MF19" s="417"/>
      <c r="MG19" s="417"/>
      <c r="MH19" s="417"/>
      <c r="MI19" s="417"/>
      <c r="MJ19" s="417"/>
      <c r="MK19" s="417"/>
      <c r="ML19" s="417"/>
      <c r="MM19" s="417"/>
      <c r="MN19" s="417"/>
      <c r="MO19" s="417"/>
      <c r="MP19" s="417"/>
      <c r="MQ19" s="417"/>
      <c r="MR19" s="417"/>
      <c r="MS19" s="417"/>
      <c r="MT19" s="417"/>
      <c r="MU19" s="417"/>
      <c r="MV19" s="417"/>
      <c r="MW19" s="417"/>
      <c r="MX19" s="417"/>
      <c r="MY19" s="417"/>
      <c r="MZ19" s="417"/>
      <c r="NA19" s="417"/>
      <c r="NB19" s="417"/>
      <c r="NC19" s="417"/>
      <c r="ND19" s="417"/>
      <c r="NE19" s="417"/>
      <c r="NF19" s="417"/>
      <c r="NG19" s="417"/>
      <c r="NH19" s="417"/>
      <c r="NI19" s="417"/>
      <c r="NJ19" s="417"/>
      <c r="NK19" s="417"/>
      <c r="NL19" s="417"/>
      <c r="NM19" s="417"/>
      <c r="NN19" s="417"/>
      <c r="NO19" s="417"/>
      <c r="NP19" s="417"/>
      <c r="NQ19" s="417"/>
      <c r="NR19" s="417"/>
      <c r="NS19" s="417"/>
      <c r="NT19" s="417"/>
      <c r="NU19" s="417"/>
      <c r="NV19" s="417"/>
      <c r="NW19" s="417"/>
      <c r="NX19" s="417"/>
      <c r="NY19" s="417"/>
      <c r="NZ19" s="417"/>
      <c r="OA19" s="417"/>
      <c r="OB19" s="417"/>
      <c r="OC19" s="417"/>
      <c r="OD19" s="417"/>
      <c r="OE19" s="417"/>
      <c r="OF19" s="417"/>
      <c r="OG19" s="417"/>
      <c r="OH19" s="417"/>
      <c r="OI19" s="385"/>
      <c r="OJ19" s="417"/>
      <c r="OK19" s="417"/>
      <c r="OL19" s="417"/>
      <c r="OM19" s="417"/>
      <c r="ON19" s="417"/>
      <c r="OO19" s="417"/>
      <c r="OP19" s="417"/>
      <c r="OQ19" s="417"/>
      <c r="OR19" s="417"/>
      <c r="OS19" s="417"/>
      <c r="OT19" s="417"/>
      <c r="OU19" s="417"/>
      <c r="OV19" s="417"/>
      <c r="OW19" s="417"/>
      <c r="OX19" s="417"/>
      <c r="OY19" s="417"/>
      <c r="OZ19" s="417"/>
      <c r="PA19" s="417"/>
      <c r="PB19" s="417"/>
      <c r="PC19" s="417"/>
      <c r="PD19" s="417"/>
      <c r="PE19" s="417"/>
      <c r="PF19" s="417"/>
      <c r="PG19" s="417"/>
    </row>
    <row r="20" spans="1:423" ht="15.75" customHeight="1" thickBot="1" x14ac:dyDescent="0.3">
      <c r="A20" s="418">
        <v>549754600139</v>
      </c>
      <c r="B20" s="384">
        <f t="shared" si="0"/>
        <v>1767</v>
      </c>
      <c r="C20" s="384">
        <v>2381</v>
      </c>
      <c r="D20" s="384">
        <f>SUMIF('Sap Inwarding'!F:F,'Front Dispatch'!$A20,'Sap Inwarding'!H:H)</f>
        <v>1604</v>
      </c>
      <c r="E20" s="10">
        <f t="shared" si="1"/>
        <v>614</v>
      </c>
      <c r="F20" s="417">
        <v>30</v>
      </c>
      <c r="G20" s="417"/>
      <c r="H20" s="417">
        <v>60</v>
      </c>
      <c r="I20" s="417"/>
      <c r="J20" s="417"/>
      <c r="K20" s="417"/>
      <c r="L20" s="417"/>
      <c r="M20" s="417"/>
      <c r="N20" s="417"/>
      <c r="O20" s="417"/>
      <c r="P20" s="417"/>
      <c r="Q20" s="417"/>
      <c r="R20" s="417"/>
      <c r="S20" s="417"/>
      <c r="T20" s="417"/>
      <c r="U20" s="417">
        <v>30</v>
      </c>
      <c r="V20" s="417">
        <v>20</v>
      </c>
      <c r="W20" s="417"/>
      <c r="X20" s="417"/>
      <c r="Y20" s="385">
        <v>20</v>
      </c>
      <c r="Z20" s="417"/>
      <c r="AA20" s="417"/>
      <c r="AB20" s="417"/>
      <c r="AC20" s="417"/>
      <c r="AD20" s="417"/>
      <c r="AE20" s="417"/>
      <c r="AF20" s="417"/>
      <c r="AG20" s="417"/>
      <c r="AH20" s="417">
        <v>30</v>
      </c>
      <c r="AI20" s="417">
        <v>25</v>
      </c>
      <c r="AJ20" s="417">
        <v>20</v>
      </c>
      <c r="AK20" s="417">
        <v>21</v>
      </c>
      <c r="AL20" s="417"/>
      <c r="AM20" s="417"/>
      <c r="AN20" s="417"/>
      <c r="AO20" s="417"/>
      <c r="AP20" s="417"/>
      <c r="AQ20" s="417"/>
      <c r="AR20" s="417"/>
      <c r="AS20" s="417"/>
      <c r="AT20" s="417"/>
      <c r="AU20" s="385">
        <v>40</v>
      </c>
      <c r="AV20" s="385"/>
      <c r="AW20" s="385">
        <v>40</v>
      </c>
      <c r="AX20" s="385">
        <v>30</v>
      </c>
      <c r="AY20" s="385"/>
      <c r="AZ20" s="417">
        <v>20</v>
      </c>
      <c r="BA20" s="417">
        <v>35</v>
      </c>
      <c r="BB20" s="417">
        <v>20</v>
      </c>
      <c r="BC20" s="417"/>
      <c r="BD20" s="385">
        <v>20</v>
      </c>
      <c r="BE20" s="417">
        <v>25</v>
      </c>
      <c r="BF20" s="417"/>
      <c r="BG20" s="417"/>
      <c r="BH20" s="417"/>
      <c r="BI20" s="417">
        <v>35</v>
      </c>
      <c r="BJ20" s="417"/>
      <c r="BK20" s="417"/>
      <c r="BL20" s="417"/>
      <c r="BM20" s="417"/>
      <c r="BN20" s="417"/>
      <c r="BO20" s="417"/>
      <c r="BP20" s="417"/>
      <c r="BQ20" s="417"/>
      <c r="BR20" s="417"/>
      <c r="BS20" s="417"/>
      <c r="BT20" s="417"/>
      <c r="BU20" s="417"/>
      <c r="BV20" s="417">
        <v>30</v>
      </c>
      <c r="BW20" s="417"/>
      <c r="BX20" s="417"/>
      <c r="BY20" s="417">
        <v>50</v>
      </c>
      <c r="BZ20" s="417">
        <v>50</v>
      </c>
      <c r="CA20" s="385">
        <v>25</v>
      </c>
      <c r="CB20" s="417"/>
      <c r="CC20" s="417"/>
      <c r="CD20" s="417"/>
      <c r="CE20" s="385"/>
      <c r="CF20" s="385"/>
      <c r="CG20" s="385"/>
      <c r="CH20" s="417"/>
      <c r="CI20" s="417"/>
      <c r="CJ20" s="417"/>
      <c r="CK20" s="417">
        <v>35</v>
      </c>
      <c r="CL20" s="417"/>
      <c r="CM20" s="385">
        <v>20</v>
      </c>
      <c r="CN20" s="417"/>
      <c r="CO20" s="417"/>
      <c r="CP20" s="417"/>
      <c r="CQ20" s="385"/>
      <c r="CR20" s="385"/>
      <c r="CS20" s="417"/>
      <c r="CT20" s="417"/>
      <c r="CU20" s="417"/>
      <c r="CV20" s="417"/>
      <c r="CW20" s="417"/>
      <c r="CX20" s="417">
        <v>20</v>
      </c>
      <c r="CY20" s="417"/>
      <c r="CZ20" s="417"/>
      <c r="DA20" s="385">
        <v>30</v>
      </c>
      <c r="DB20" s="417"/>
      <c r="DC20" s="385"/>
      <c r="DD20" s="385"/>
      <c r="DE20" s="385"/>
      <c r="DF20" s="385"/>
      <c r="DG20" s="385"/>
      <c r="DH20" s="417"/>
      <c r="DI20" s="417"/>
      <c r="DJ20" s="417"/>
      <c r="DK20" s="385"/>
      <c r="DL20" s="385"/>
      <c r="DM20" s="385">
        <v>25</v>
      </c>
      <c r="DN20" s="417"/>
      <c r="DO20" s="417"/>
      <c r="DP20" s="385">
        <v>15</v>
      </c>
      <c r="DQ20" s="385">
        <v>50</v>
      </c>
      <c r="DR20" s="385"/>
      <c r="DS20" s="417"/>
      <c r="DT20" s="417"/>
      <c r="DU20" s="417"/>
      <c r="DV20" s="417"/>
      <c r="DW20" s="385">
        <v>20</v>
      </c>
      <c r="DX20" s="385">
        <v>21</v>
      </c>
      <c r="DY20" s="417">
        <v>25</v>
      </c>
      <c r="DZ20" s="417"/>
      <c r="EA20" s="417">
        <v>4</v>
      </c>
      <c r="EB20" s="385"/>
      <c r="EC20" s="385">
        <v>25</v>
      </c>
      <c r="ED20" s="65">
        <v>10</v>
      </c>
      <c r="EE20" s="417"/>
      <c r="EF20" s="417"/>
      <c r="EG20" s="417"/>
      <c r="EH20" s="417"/>
      <c r="EI20" s="417"/>
      <c r="EJ20" s="417">
        <v>25</v>
      </c>
      <c r="EK20" s="417"/>
      <c r="EL20" s="417"/>
      <c r="EM20" s="417">
        <v>20</v>
      </c>
      <c r="EN20" s="417">
        <v>20</v>
      </c>
      <c r="EO20" s="385">
        <v>20</v>
      </c>
      <c r="EP20" s="385">
        <v>25</v>
      </c>
      <c r="EQ20" s="417"/>
      <c r="ER20" s="417"/>
      <c r="ES20" s="417"/>
      <c r="ET20" s="417"/>
      <c r="EU20" s="417"/>
      <c r="EV20" s="385">
        <v>15</v>
      </c>
      <c r="EW20" s="385"/>
      <c r="EX20" s="385">
        <v>25</v>
      </c>
      <c r="EY20" s="385"/>
      <c r="EZ20" s="417">
        <v>20</v>
      </c>
      <c r="FA20" s="417"/>
      <c r="FB20" s="417"/>
      <c r="FC20" s="417"/>
      <c r="FD20" s="417"/>
      <c r="FE20" s="417"/>
      <c r="FF20" s="417"/>
      <c r="FG20" s="417"/>
      <c r="FH20" s="417">
        <v>25</v>
      </c>
      <c r="FI20" s="417">
        <v>25</v>
      </c>
      <c r="FJ20" s="417"/>
      <c r="FK20" s="385">
        <v>20</v>
      </c>
      <c r="FL20" s="417"/>
      <c r="FM20" s="385">
        <v>20</v>
      </c>
      <c r="FN20" s="417"/>
      <c r="FO20" s="417"/>
      <c r="FP20" s="417"/>
      <c r="FQ20" s="417"/>
      <c r="FR20" s="417"/>
      <c r="FS20" s="417"/>
      <c r="FT20" s="385"/>
      <c r="FU20" s="385">
        <v>20</v>
      </c>
      <c r="FV20" s="385">
        <v>50</v>
      </c>
      <c r="FW20" s="417"/>
      <c r="FX20" s="417">
        <v>20</v>
      </c>
      <c r="FY20" s="385"/>
      <c r="FZ20" s="417">
        <v>25</v>
      </c>
      <c r="GA20" s="417">
        <v>22</v>
      </c>
      <c r="GB20" s="385">
        <v>25</v>
      </c>
      <c r="GC20" s="417"/>
      <c r="GD20" s="417"/>
      <c r="GE20" s="417"/>
      <c r="GF20" s="385"/>
      <c r="GG20" s="417"/>
      <c r="GH20" s="385">
        <v>30</v>
      </c>
      <c r="GI20" s="417">
        <v>60</v>
      </c>
      <c r="GJ20" s="385">
        <v>15</v>
      </c>
      <c r="GK20" s="417"/>
      <c r="GL20" s="417">
        <v>40</v>
      </c>
      <c r="GM20" s="417"/>
      <c r="GN20" s="417"/>
      <c r="GO20" s="417"/>
      <c r="GP20" s="417"/>
      <c r="GQ20" s="417"/>
      <c r="GR20" s="417"/>
      <c r="GS20" s="385">
        <v>16</v>
      </c>
      <c r="GT20" s="385"/>
      <c r="GU20" s="417">
        <v>20</v>
      </c>
      <c r="GV20" s="385">
        <v>25</v>
      </c>
      <c r="GW20" s="417"/>
      <c r="GX20" s="385">
        <v>25</v>
      </c>
      <c r="GY20" s="385"/>
      <c r="GZ20" s="417"/>
      <c r="HA20" s="417"/>
      <c r="HB20" s="417"/>
      <c r="HC20" s="417"/>
      <c r="HD20" s="417"/>
      <c r="HE20" s="417"/>
      <c r="HF20" s="417"/>
      <c r="HG20" s="417">
        <v>15</v>
      </c>
      <c r="HH20" s="385">
        <v>35</v>
      </c>
      <c r="HI20" s="417">
        <v>16</v>
      </c>
      <c r="HJ20" s="417"/>
      <c r="HK20" s="417"/>
      <c r="HL20" s="417"/>
      <c r="HM20" s="417"/>
      <c r="HN20" s="385">
        <v>30</v>
      </c>
      <c r="HO20" s="417"/>
      <c r="HP20" s="417"/>
      <c r="HQ20" s="417"/>
      <c r="HR20" s="417"/>
      <c r="HS20" s="417"/>
      <c r="HT20" s="417"/>
      <c r="HU20" s="385">
        <v>42</v>
      </c>
      <c r="HV20" s="417"/>
      <c r="HW20" s="417"/>
      <c r="HX20" s="417"/>
      <c r="HY20" s="417"/>
      <c r="HZ20" s="417"/>
      <c r="IA20" s="417"/>
      <c r="IB20" s="417"/>
      <c r="IC20" s="417"/>
      <c r="ID20" s="417"/>
      <c r="IE20" s="417"/>
      <c r="IF20" s="417"/>
      <c r="IG20" s="417"/>
      <c r="IH20" s="417"/>
      <c r="II20" s="417"/>
      <c r="IJ20" s="417"/>
      <c r="IK20" s="417"/>
      <c r="IL20" s="417"/>
      <c r="IM20" s="417"/>
      <c r="IN20" s="417"/>
      <c r="IO20" s="417"/>
      <c r="IP20" s="417"/>
      <c r="IQ20" s="417"/>
      <c r="IR20" s="417"/>
      <c r="IS20" s="417"/>
      <c r="IT20" s="417"/>
      <c r="IU20" s="417"/>
      <c r="IV20" s="417"/>
      <c r="IW20" s="417"/>
      <c r="IX20" s="417"/>
      <c r="IY20" s="417"/>
      <c r="IZ20" s="417"/>
      <c r="JA20" s="417"/>
      <c r="JB20" s="417"/>
      <c r="JC20" s="417"/>
      <c r="JD20" s="417"/>
      <c r="JE20" s="417"/>
      <c r="JF20" s="417"/>
      <c r="JG20" s="417"/>
      <c r="JH20" s="417"/>
      <c r="JI20" s="417"/>
      <c r="JJ20" s="417"/>
      <c r="JK20" s="417"/>
      <c r="JL20" s="417"/>
      <c r="JM20" s="417"/>
      <c r="JN20" s="417"/>
      <c r="JO20" s="417"/>
      <c r="JP20" s="417"/>
      <c r="JQ20" s="417"/>
      <c r="JR20" s="417"/>
      <c r="JS20" s="417"/>
      <c r="JT20" s="417"/>
      <c r="JU20" s="417"/>
      <c r="JV20" s="417"/>
      <c r="JW20" s="417"/>
      <c r="JX20" s="417"/>
      <c r="JY20" s="417"/>
      <c r="JZ20" s="417"/>
      <c r="KA20" s="417"/>
      <c r="KB20" s="417"/>
      <c r="KC20" s="417"/>
      <c r="KD20" s="417"/>
      <c r="KE20" s="417"/>
      <c r="KF20" s="417"/>
      <c r="KG20" s="417"/>
      <c r="KH20" s="417"/>
      <c r="KI20" s="417"/>
      <c r="KJ20" s="417"/>
      <c r="KK20" s="417"/>
      <c r="KL20" s="417"/>
      <c r="KM20" s="417"/>
      <c r="KN20" s="417"/>
      <c r="KO20" s="417"/>
      <c r="KP20" s="417"/>
      <c r="KQ20" s="417"/>
      <c r="KR20" s="417"/>
      <c r="KS20" s="417"/>
      <c r="KT20" s="417"/>
      <c r="KU20" s="417"/>
      <c r="KV20" s="417"/>
      <c r="KW20" s="417"/>
      <c r="KX20" s="417"/>
      <c r="KY20" s="417"/>
      <c r="KZ20" s="417"/>
      <c r="LA20" s="417"/>
      <c r="LB20" s="417"/>
      <c r="LC20" s="417"/>
      <c r="LD20" s="417"/>
      <c r="LE20" s="417"/>
      <c r="LF20" s="417"/>
      <c r="LG20" s="417"/>
      <c r="LH20" s="417"/>
      <c r="LI20" s="417"/>
      <c r="LJ20" s="417"/>
      <c r="LK20" s="417"/>
      <c r="LL20" s="417"/>
      <c r="LM20" s="417"/>
      <c r="LN20" s="417"/>
      <c r="LO20" s="417"/>
      <c r="LP20" s="417"/>
      <c r="LQ20" s="417"/>
      <c r="LR20" s="417"/>
      <c r="LS20" s="417"/>
      <c r="LT20" s="417"/>
      <c r="LU20" s="417"/>
      <c r="LV20" s="417"/>
      <c r="LW20" s="417"/>
      <c r="LX20" s="417"/>
      <c r="LY20" s="417"/>
      <c r="LZ20" s="417"/>
      <c r="MA20" s="417"/>
      <c r="MB20" s="417"/>
      <c r="MC20" s="417"/>
      <c r="MD20" s="417"/>
      <c r="ME20" s="417"/>
      <c r="MF20" s="417"/>
      <c r="MG20" s="417"/>
      <c r="MH20" s="417"/>
      <c r="MI20" s="417"/>
      <c r="MJ20" s="417"/>
      <c r="MK20" s="417"/>
      <c r="ML20" s="417"/>
      <c r="MM20" s="417"/>
      <c r="MN20" s="417"/>
      <c r="MO20" s="417"/>
      <c r="MP20" s="417"/>
      <c r="MQ20" s="417"/>
      <c r="MR20" s="417"/>
      <c r="MS20" s="417"/>
      <c r="MT20" s="417"/>
      <c r="MU20" s="417"/>
      <c r="MV20" s="417"/>
      <c r="MW20" s="417"/>
      <c r="MX20" s="417"/>
      <c r="MY20" s="417"/>
      <c r="MZ20" s="417"/>
      <c r="NA20" s="417"/>
      <c r="NB20" s="417"/>
      <c r="NC20" s="417"/>
      <c r="ND20" s="417"/>
      <c r="NE20" s="417"/>
      <c r="NF20" s="417"/>
      <c r="NG20" s="417"/>
      <c r="NH20" s="417"/>
      <c r="NI20" s="417"/>
      <c r="NJ20" s="417"/>
      <c r="NK20" s="417"/>
      <c r="NL20" s="417"/>
      <c r="NM20" s="417"/>
      <c r="NN20" s="417"/>
      <c r="NO20" s="417"/>
      <c r="NP20" s="417"/>
      <c r="NQ20" s="417"/>
      <c r="NR20" s="417"/>
      <c r="NS20" s="417"/>
      <c r="NT20" s="417"/>
      <c r="NU20" s="417"/>
      <c r="NV20" s="417"/>
      <c r="NW20" s="417"/>
      <c r="NX20" s="417"/>
      <c r="NY20" s="417"/>
      <c r="NZ20" s="417"/>
      <c r="OA20" s="417"/>
      <c r="OB20" s="417"/>
      <c r="OC20" s="417"/>
      <c r="OD20" s="417"/>
      <c r="OE20" s="417"/>
      <c r="OF20" s="417"/>
      <c r="OG20" s="417"/>
      <c r="OH20" s="417"/>
      <c r="OI20" s="385"/>
      <c r="OJ20" s="417"/>
      <c r="OK20" s="417"/>
      <c r="OL20" s="417"/>
      <c r="OM20" s="417"/>
      <c r="ON20" s="417"/>
      <c r="OO20" s="417"/>
      <c r="OP20" s="417"/>
      <c r="OQ20" s="417"/>
      <c r="OR20" s="417"/>
      <c r="OS20" s="417"/>
      <c r="OT20" s="417"/>
      <c r="OU20" s="417"/>
      <c r="OV20" s="417"/>
      <c r="OW20" s="417"/>
      <c r="OX20" s="417"/>
      <c r="OY20" s="417"/>
      <c r="OZ20" s="417"/>
      <c r="PA20" s="417"/>
      <c r="PB20" s="417"/>
      <c r="PC20" s="417"/>
      <c r="PD20" s="417"/>
      <c r="PE20" s="417"/>
      <c r="PF20" s="417"/>
      <c r="PG20" s="417"/>
    </row>
    <row r="21" spans="1:423" ht="15.75" customHeight="1" thickBot="1" x14ac:dyDescent="0.3">
      <c r="A21" s="418">
        <v>549754600238</v>
      </c>
      <c r="B21" s="384">
        <f t="shared" si="0"/>
        <v>322</v>
      </c>
      <c r="C21" s="384">
        <v>510</v>
      </c>
      <c r="D21" s="384">
        <f>SUMIF('Sap Inwarding'!F:F,'Front Dispatch'!$A21,'Sap Inwarding'!H:H)</f>
        <v>303</v>
      </c>
      <c r="E21" s="10">
        <f t="shared" si="1"/>
        <v>188</v>
      </c>
      <c r="F21" s="417"/>
      <c r="G21" s="417"/>
      <c r="H21" s="417"/>
      <c r="I21" s="417"/>
      <c r="J21" s="417"/>
      <c r="K21" s="417"/>
      <c r="L21" s="417"/>
      <c r="M21" s="417"/>
      <c r="N21" s="417"/>
      <c r="O21" s="417"/>
      <c r="P21" s="417"/>
      <c r="Q21" s="417"/>
      <c r="R21" s="417"/>
      <c r="S21" s="417"/>
      <c r="T21" s="417"/>
      <c r="U21" s="417"/>
      <c r="V21" s="417"/>
      <c r="W21" s="417"/>
      <c r="X21" s="417"/>
      <c r="Y21" s="385"/>
      <c r="Z21" s="417"/>
      <c r="AA21" s="417"/>
      <c r="AB21" s="417"/>
      <c r="AC21" s="417"/>
      <c r="AD21" s="417"/>
      <c r="AE21" s="417"/>
      <c r="AF21" s="417"/>
      <c r="AG21" s="417"/>
      <c r="AH21" s="417">
        <v>5</v>
      </c>
      <c r="AI21" s="417">
        <v>18</v>
      </c>
      <c r="AJ21" s="417">
        <v>4</v>
      </c>
      <c r="AK21" s="417"/>
      <c r="AL21" s="417"/>
      <c r="AM21" s="417"/>
      <c r="AN21" s="417"/>
      <c r="AO21" s="417"/>
      <c r="AP21" s="417"/>
      <c r="AQ21" s="417"/>
      <c r="AR21" s="417"/>
      <c r="AS21" s="417"/>
      <c r="AT21" s="417"/>
      <c r="AU21" s="385">
        <v>10</v>
      </c>
      <c r="AV21" s="385"/>
      <c r="AW21" s="385"/>
      <c r="AX21" s="385">
        <v>10</v>
      </c>
      <c r="AY21" s="385"/>
      <c r="AZ21" s="417"/>
      <c r="BA21" s="417"/>
      <c r="BB21" s="417"/>
      <c r="BC21" s="417"/>
      <c r="BD21" s="385"/>
      <c r="BE21" s="417">
        <v>15</v>
      </c>
      <c r="BF21" s="417"/>
      <c r="BG21" s="417"/>
      <c r="BH21" s="417"/>
      <c r="BI21" s="417"/>
      <c r="BJ21" s="417">
        <v>5</v>
      </c>
      <c r="BK21" s="417"/>
      <c r="BL21" s="417"/>
      <c r="BM21" s="417"/>
      <c r="BN21" s="417"/>
      <c r="BO21" s="417"/>
      <c r="BP21" s="417"/>
      <c r="BQ21" s="417"/>
      <c r="BR21" s="417"/>
      <c r="BS21" s="417"/>
      <c r="BT21" s="417"/>
      <c r="BU21" s="417"/>
      <c r="BV21" s="417"/>
      <c r="BW21" s="417">
        <v>15</v>
      </c>
      <c r="BX21" s="417">
        <v>4</v>
      </c>
      <c r="BY21" s="417"/>
      <c r="BZ21" s="417"/>
      <c r="CA21" s="385">
        <v>5</v>
      </c>
      <c r="CB21" s="417"/>
      <c r="CC21" s="417"/>
      <c r="CD21" s="417"/>
      <c r="CE21" s="385"/>
      <c r="CF21" s="385"/>
      <c r="CG21" s="385"/>
      <c r="CH21" s="417"/>
      <c r="CI21" s="417"/>
      <c r="CJ21" s="417"/>
      <c r="CK21" s="417"/>
      <c r="CL21" s="417">
        <v>15</v>
      </c>
      <c r="CM21" s="385">
        <v>25</v>
      </c>
      <c r="CN21" s="417"/>
      <c r="CO21" s="417"/>
      <c r="CP21" s="417"/>
      <c r="CQ21" s="385"/>
      <c r="CR21" s="385"/>
      <c r="CS21" s="417"/>
      <c r="CT21" s="417"/>
      <c r="CU21" s="417"/>
      <c r="CV21" s="417"/>
      <c r="CW21" s="417"/>
      <c r="CX21" s="417"/>
      <c r="CY21" s="417"/>
      <c r="CZ21" s="417"/>
      <c r="DA21" s="385">
        <v>15</v>
      </c>
      <c r="DB21" s="417"/>
      <c r="DC21" s="385"/>
      <c r="DD21" s="385"/>
      <c r="DE21" s="385"/>
      <c r="DF21" s="385"/>
      <c r="DG21" s="385"/>
      <c r="DH21" s="417"/>
      <c r="DI21" s="417"/>
      <c r="DJ21" s="417"/>
      <c r="DK21" s="385"/>
      <c r="DL21" s="385"/>
      <c r="DM21" s="385"/>
      <c r="DN21" s="417"/>
      <c r="DO21" s="417"/>
      <c r="DP21" s="385">
        <v>14</v>
      </c>
      <c r="DQ21" s="385"/>
      <c r="DR21" s="385"/>
      <c r="DS21" s="417"/>
      <c r="DT21" s="417"/>
      <c r="DU21" s="417"/>
      <c r="DV21" s="417"/>
      <c r="DW21" s="385"/>
      <c r="DX21" s="385"/>
      <c r="DY21" s="417"/>
      <c r="DZ21" s="417"/>
      <c r="EA21" s="417">
        <v>1</v>
      </c>
      <c r="EB21" s="385">
        <v>2</v>
      </c>
      <c r="EC21" s="385">
        <v>3</v>
      </c>
      <c r="ED21" s="65">
        <v>1</v>
      </c>
      <c r="EE21" s="417"/>
      <c r="EF21" s="417"/>
      <c r="EG21" s="417"/>
      <c r="EH21" s="417"/>
      <c r="EI21" s="417"/>
      <c r="EJ21" s="417">
        <v>9</v>
      </c>
      <c r="EK21" s="417">
        <v>15</v>
      </c>
      <c r="EL21" s="417"/>
      <c r="EM21" s="417"/>
      <c r="EN21" s="417"/>
      <c r="EO21" s="385">
        <v>16</v>
      </c>
      <c r="EP21" s="385">
        <v>10</v>
      </c>
      <c r="EQ21" s="417"/>
      <c r="ER21" s="417"/>
      <c r="ES21" s="417"/>
      <c r="ET21" s="417"/>
      <c r="EU21" s="417"/>
      <c r="EV21" s="385"/>
      <c r="EW21" s="385">
        <v>10</v>
      </c>
      <c r="EX21" s="385"/>
      <c r="EY21" s="385">
        <v>5</v>
      </c>
      <c r="EZ21" s="417"/>
      <c r="FA21" s="417"/>
      <c r="FB21" s="417"/>
      <c r="FC21" s="417"/>
      <c r="FD21" s="417"/>
      <c r="FE21" s="417"/>
      <c r="FF21" s="417"/>
      <c r="FG21" s="417"/>
      <c r="FH21" s="417"/>
      <c r="FI21" s="417"/>
      <c r="FJ21" s="417">
        <v>20</v>
      </c>
      <c r="FK21" s="385"/>
      <c r="FL21" s="417"/>
      <c r="FM21" s="385"/>
      <c r="FN21" s="417"/>
      <c r="FO21" s="417"/>
      <c r="FP21" s="417"/>
      <c r="FQ21" s="417"/>
      <c r="FR21" s="417"/>
      <c r="FS21" s="417"/>
      <c r="FT21" s="385"/>
      <c r="FU21" s="385"/>
      <c r="FV21" s="385"/>
      <c r="FW21" s="417"/>
      <c r="FX21" s="417"/>
      <c r="FY21" s="385"/>
      <c r="FZ21" s="417">
        <v>10</v>
      </c>
      <c r="GA21" s="417"/>
      <c r="GB21" s="385"/>
      <c r="GC21" s="417"/>
      <c r="GD21" s="417"/>
      <c r="GE21" s="417"/>
      <c r="GF21" s="385"/>
      <c r="GG21" s="417"/>
      <c r="GH21" s="385">
        <v>15</v>
      </c>
      <c r="GI21" s="417"/>
      <c r="GJ21" s="385">
        <v>10</v>
      </c>
      <c r="GK21" s="417"/>
      <c r="GL21" s="417"/>
      <c r="GM21" s="417"/>
      <c r="GN21" s="417"/>
      <c r="GO21" s="417"/>
      <c r="GP21" s="417"/>
      <c r="GQ21" s="417"/>
      <c r="GR21" s="417"/>
      <c r="GS21" s="385"/>
      <c r="GT21" s="385">
        <v>8</v>
      </c>
      <c r="GU21" s="417"/>
      <c r="GV21" s="385"/>
      <c r="GW21" s="417">
        <v>8</v>
      </c>
      <c r="GX21" s="385"/>
      <c r="GY21" s="385"/>
      <c r="GZ21" s="417"/>
      <c r="HA21" s="417"/>
      <c r="HB21" s="417"/>
      <c r="HC21" s="417"/>
      <c r="HD21" s="417"/>
      <c r="HE21" s="417"/>
      <c r="HF21" s="417"/>
      <c r="HG21" s="417"/>
      <c r="HH21" s="385"/>
      <c r="HI21" s="417"/>
      <c r="HJ21" s="417"/>
      <c r="HK21" s="417"/>
      <c r="HL21" s="417"/>
      <c r="HM21" s="417"/>
      <c r="HN21" s="385">
        <v>19</v>
      </c>
      <c r="HO21" s="417"/>
      <c r="HP21" s="417"/>
      <c r="HQ21" s="417"/>
      <c r="HR21" s="417"/>
      <c r="HS21" s="417"/>
      <c r="HT21" s="417"/>
      <c r="HU21" s="385"/>
      <c r="HV21" s="417"/>
      <c r="HW21" s="417"/>
      <c r="HX21" s="417"/>
      <c r="HY21" s="417"/>
      <c r="HZ21" s="417"/>
      <c r="IA21" s="417"/>
      <c r="IB21" s="417"/>
      <c r="IC21" s="417"/>
      <c r="ID21" s="417"/>
      <c r="IE21" s="417"/>
      <c r="IF21" s="417"/>
      <c r="IG21" s="417"/>
      <c r="IH21" s="417"/>
      <c r="II21" s="417"/>
      <c r="IJ21" s="417"/>
      <c r="IK21" s="417"/>
      <c r="IL21" s="417"/>
      <c r="IM21" s="417"/>
      <c r="IN21" s="417"/>
      <c r="IO21" s="417"/>
      <c r="IP21" s="417"/>
      <c r="IQ21" s="417"/>
      <c r="IR21" s="417"/>
      <c r="IS21" s="417"/>
      <c r="IT21" s="417"/>
      <c r="IU21" s="417"/>
      <c r="IV21" s="417"/>
      <c r="IW21" s="417"/>
      <c r="IX21" s="417"/>
      <c r="IY21" s="417"/>
      <c r="IZ21" s="417"/>
      <c r="JA21" s="417"/>
      <c r="JB21" s="417"/>
      <c r="JC21" s="417"/>
      <c r="JD21" s="417"/>
      <c r="JE21" s="417"/>
      <c r="JF21" s="417"/>
      <c r="JG21" s="417"/>
      <c r="JH21" s="417"/>
      <c r="JI21" s="417"/>
      <c r="JJ21" s="417"/>
      <c r="JK21" s="417"/>
      <c r="JL21" s="417"/>
      <c r="JM21" s="417"/>
      <c r="JN21" s="417"/>
      <c r="JO21" s="417"/>
      <c r="JP21" s="417"/>
      <c r="JQ21" s="417"/>
      <c r="JR21" s="417"/>
      <c r="JS21" s="417"/>
      <c r="JT21" s="417"/>
      <c r="JU21" s="417"/>
      <c r="JV21" s="417"/>
      <c r="JW21" s="417"/>
      <c r="JX21" s="417"/>
      <c r="JY21" s="417"/>
      <c r="JZ21" s="417"/>
      <c r="KA21" s="417"/>
      <c r="KB21" s="417"/>
      <c r="KC21" s="417"/>
      <c r="KD21" s="417"/>
      <c r="KE21" s="417"/>
      <c r="KF21" s="417"/>
      <c r="KG21" s="417"/>
      <c r="KH21" s="417"/>
      <c r="KI21" s="417"/>
      <c r="KJ21" s="417"/>
      <c r="KK21" s="417"/>
      <c r="KL21" s="417"/>
      <c r="KM21" s="417"/>
      <c r="KN21" s="417"/>
      <c r="KO21" s="417"/>
      <c r="KP21" s="417"/>
      <c r="KQ21" s="417"/>
      <c r="KR21" s="417"/>
      <c r="KS21" s="417"/>
      <c r="KT21" s="417"/>
      <c r="KU21" s="417"/>
      <c r="KV21" s="417"/>
      <c r="KW21" s="417"/>
      <c r="KX21" s="417"/>
      <c r="KY21" s="417"/>
      <c r="KZ21" s="417"/>
      <c r="LA21" s="417"/>
      <c r="LB21" s="417"/>
      <c r="LC21" s="417"/>
      <c r="LD21" s="417"/>
      <c r="LE21" s="417"/>
      <c r="LF21" s="417"/>
      <c r="LG21" s="417"/>
      <c r="LH21" s="417"/>
      <c r="LI21" s="417"/>
      <c r="LJ21" s="417"/>
      <c r="LK21" s="417"/>
      <c r="LL21" s="417"/>
      <c r="LM21" s="417"/>
      <c r="LN21" s="417"/>
      <c r="LO21" s="417"/>
      <c r="LP21" s="417"/>
      <c r="LQ21" s="417"/>
      <c r="LR21" s="417"/>
      <c r="LS21" s="417"/>
      <c r="LT21" s="417"/>
      <c r="LU21" s="417"/>
      <c r="LV21" s="417"/>
      <c r="LW21" s="417"/>
      <c r="LX21" s="417"/>
      <c r="LY21" s="417"/>
      <c r="LZ21" s="417"/>
      <c r="MA21" s="417"/>
      <c r="MB21" s="417"/>
      <c r="MC21" s="417"/>
      <c r="MD21" s="417"/>
      <c r="ME21" s="417"/>
      <c r="MF21" s="417"/>
      <c r="MG21" s="417"/>
      <c r="MH21" s="417"/>
      <c r="MI21" s="417"/>
      <c r="MJ21" s="417"/>
      <c r="MK21" s="417"/>
      <c r="ML21" s="417"/>
      <c r="MM21" s="417"/>
      <c r="MN21" s="417"/>
      <c r="MO21" s="417"/>
      <c r="MP21" s="417"/>
      <c r="MQ21" s="417"/>
      <c r="MR21" s="417"/>
      <c r="MS21" s="417"/>
      <c r="MT21" s="417"/>
      <c r="MU21" s="417"/>
      <c r="MV21" s="417"/>
      <c r="MW21" s="417"/>
      <c r="MX21" s="417"/>
      <c r="MY21" s="417"/>
      <c r="MZ21" s="417"/>
      <c r="NA21" s="417"/>
      <c r="NB21" s="417"/>
      <c r="NC21" s="417"/>
      <c r="ND21" s="417"/>
      <c r="NE21" s="417"/>
      <c r="NF21" s="417"/>
      <c r="NG21" s="417"/>
      <c r="NH21" s="417"/>
      <c r="NI21" s="417"/>
      <c r="NJ21" s="417"/>
      <c r="NK21" s="417"/>
      <c r="NL21" s="417"/>
      <c r="NM21" s="417"/>
      <c r="NN21" s="417"/>
      <c r="NO21" s="417"/>
      <c r="NP21" s="417"/>
      <c r="NQ21" s="417"/>
      <c r="NR21" s="417"/>
      <c r="NS21" s="417"/>
      <c r="NT21" s="417"/>
      <c r="NU21" s="417"/>
      <c r="NV21" s="417"/>
      <c r="NW21" s="417"/>
      <c r="NX21" s="417"/>
      <c r="NY21" s="417"/>
      <c r="NZ21" s="417"/>
      <c r="OA21" s="417"/>
      <c r="OB21" s="417"/>
      <c r="OC21" s="417"/>
      <c r="OD21" s="417"/>
      <c r="OE21" s="417"/>
      <c r="OF21" s="417"/>
      <c r="OG21" s="417"/>
      <c r="OH21" s="417"/>
      <c r="OI21" s="385"/>
      <c r="OJ21" s="417"/>
      <c r="OK21" s="417"/>
      <c r="OL21" s="417"/>
      <c r="OM21" s="417"/>
      <c r="ON21" s="417"/>
      <c r="OO21" s="417"/>
      <c r="OP21" s="417"/>
      <c r="OQ21" s="417"/>
      <c r="OR21" s="417"/>
      <c r="OS21" s="417"/>
      <c r="OT21" s="417"/>
      <c r="OU21" s="417"/>
      <c r="OV21" s="417"/>
      <c r="OW21" s="417"/>
      <c r="OX21" s="417"/>
      <c r="OY21" s="417"/>
      <c r="OZ21" s="417"/>
      <c r="PA21" s="417"/>
      <c r="PB21" s="417"/>
      <c r="PC21" s="417"/>
      <c r="PD21" s="417"/>
      <c r="PE21" s="417"/>
      <c r="PF21" s="417"/>
      <c r="PG21" s="417"/>
    </row>
    <row r="22" spans="1:423" ht="15.75" customHeight="1" thickBot="1" x14ac:dyDescent="0.3">
      <c r="A22" s="414">
        <v>549754600133</v>
      </c>
      <c r="B22" s="384">
        <f t="shared" si="0"/>
        <v>643</v>
      </c>
      <c r="C22" s="384">
        <v>1938</v>
      </c>
      <c r="D22" s="384">
        <f>SUMIF('Sap Inwarding'!F:F,'Front Dispatch'!$A22,'Sap Inwarding'!H:H)</f>
        <v>623</v>
      </c>
      <c r="E22" s="10">
        <f t="shared" si="1"/>
        <v>1295</v>
      </c>
      <c r="F22" s="417"/>
      <c r="G22" s="417">
        <v>27</v>
      </c>
      <c r="H22" s="417"/>
      <c r="I22" s="417"/>
      <c r="J22" s="417"/>
      <c r="K22" s="417"/>
      <c r="L22" s="417">
        <v>11</v>
      </c>
      <c r="M22" s="417"/>
      <c r="N22" s="417"/>
      <c r="O22" s="417"/>
      <c r="P22" s="417"/>
      <c r="Q22" s="417"/>
      <c r="R22" s="417"/>
      <c r="S22" s="417"/>
      <c r="T22" s="417">
        <v>10</v>
      </c>
      <c r="U22" s="417"/>
      <c r="V22" s="417"/>
      <c r="W22" s="417"/>
      <c r="X22" s="417">
        <v>20</v>
      </c>
      <c r="Y22" s="385">
        <v>15</v>
      </c>
      <c r="Z22" s="417"/>
      <c r="AA22" s="417"/>
      <c r="AB22" s="417"/>
      <c r="AC22" s="417"/>
      <c r="AD22" s="417"/>
      <c r="AE22" s="417"/>
      <c r="AF22" s="417"/>
      <c r="AG22" s="417"/>
      <c r="AH22" s="417"/>
      <c r="AI22" s="417"/>
      <c r="AJ22" s="417">
        <v>12</v>
      </c>
      <c r="AK22" s="417">
        <v>55</v>
      </c>
      <c r="AL22" s="417"/>
      <c r="AM22" s="417"/>
      <c r="AN22" s="417"/>
      <c r="AO22" s="417"/>
      <c r="AP22" s="417"/>
      <c r="AQ22" s="417"/>
      <c r="AR22" s="417"/>
      <c r="AS22" s="417"/>
      <c r="AT22" s="417"/>
      <c r="AU22" s="385"/>
      <c r="AV22" s="385"/>
      <c r="AW22" s="385"/>
      <c r="AX22" s="385">
        <v>10</v>
      </c>
      <c r="AY22" s="385"/>
      <c r="AZ22" s="417"/>
      <c r="BA22" s="417"/>
      <c r="BB22" s="417"/>
      <c r="BC22" s="417">
        <v>20</v>
      </c>
      <c r="BD22" s="385">
        <v>10</v>
      </c>
      <c r="BE22" s="417">
        <v>10</v>
      </c>
      <c r="BF22" s="417"/>
      <c r="BG22" s="417"/>
      <c r="BH22" s="417"/>
      <c r="BI22" s="417">
        <v>11</v>
      </c>
      <c r="BJ22" s="417">
        <v>30</v>
      </c>
      <c r="BK22" s="417"/>
      <c r="BL22" s="417"/>
      <c r="BM22" s="417"/>
      <c r="BN22" s="417"/>
      <c r="BO22" s="417"/>
      <c r="BP22" s="417"/>
      <c r="BQ22" s="417"/>
      <c r="BR22" s="417"/>
      <c r="BS22" s="417"/>
      <c r="BT22" s="417"/>
      <c r="BU22" s="417"/>
      <c r="BV22" s="417"/>
      <c r="BW22" s="417">
        <v>50</v>
      </c>
      <c r="BX22" s="417">
        <v>15</v>
      </c>
      <c r="BY22" s="417"/>
      <c r="BZ22" s="417"/>
      <c r="CA22" s="385"/>
      <c r="CB22" s="417"/>
      <c r="CC22" s="417"/>
      <c r="CD22" s="417"/>
      <c r="CE22" s="385"/>
      <c r="CF22" s="385"/>
      <c r="CG22" s="385"/>
      <c r="CH22" s="417"/>
      <c r="CI22" s="417"/>
      <c r="CJ22" s="417"/>
      <c r="CK22" s="417"/>
      <c r="CL22" s="417"/>
      <c r="CM22" s="385">
        <v>31</v>
      </c>
      <c r="CN22" s="417"/>
      <c r="CO22" s="417"/>
      <c r="CP22" s="417"/>
      <c r="CQ22" s="385"/>
      <c r="CR22" s="385"/>
      <c r="CS22" s="417"/>
      <c r="CT22" s="417"/>
      <c r="CU22" s="417"/>
      <c r="CV22" s="417"/>
      <c r="CW22" s="417"/>
      <c r="CX22" s="417"/>
      <c r="CY22" s="417"/>
      <c r="CZ22" s="417"/>
      <c r="DA22" s="385"/>
      <c r="DB22" s="417"/>
      <c r="DC22" s="385"/>
      <c r="DD22" s="385"/>
      <c r="DE22" s="385"/>
      <c r="DF22" s="385"/>
      <c r="DG22" s="385"/>
      <c r="DH22" s="417"/>
      <c r="DI22" s="417"/>
      <c r="DJ22" s="417"/>
      <c r="DK22" s="385"/>
      <c r="DL22" s="385"/>
      <c r="DM22" s="385">
        <v>19</v>
      </c>
      <c r="DN22" s="417"/>
      <c r="DO22" s="417"/>
      <c r="DP22" s="385"/>
      <c r="DQ22" s="385">
        <v>16</v>
      </c>
      <c r="DR22" s="385"/>
      <c r="DS22" s="417"/>
      <c r="DT22" s="417"/>
      <c r="DU22" s="417"/>
      <c r="DV22" s="417"/>
      <c r="DW22" s="385"/>
      <c r="DX22" s="385"/>
      <c r="DY22" s="417"/>
      <c r="DZ22" s="417">
        <v>2</v>
      </c>
      <c r="EA22" s="417">
        <v>10</v>
      </c>
      <c r="EB22" s="385">
        <v>9</v>
      </c>
      <c r="EC22" s="385">
        <v>7</v>
      </c>
      <c r="ED22" s="65">
        <v>16</v>
      </c>
      <c r="EE22" s="417"/>
      <c r="EF22" s="417"/>
      <c r="EG22" s="417"/>
      <c r="EH22" s="417"/>
      <c r="EI22" s="417"/>
      <c r="EJ22" s="417">
        <v>10</v>
      </c>
      <c r="EK22" s="417"/>
      <c r="EL22" s="417"/>
      <c r="EM22" s="417">
        <v>10</v>
      </c>
      <c r="EN22" s="417">
        <v>10</v>
      </c>
      <c r="EO22" s="385"/>
      <c r="EP22" s="385">
        <v>10</v>
      </c>
      <c r="EQ22" s="417"/>
      <c r="ER22" s="417"/>
      <c r="ES22" s="417"/>
      <c r="ET22" s="417"/>
      <c r="EU22" s="417"/>
      <c r="EV22" s="385"/>
      <c r="EW22" s="385">
        <v>20</v>
      </c>
      <c r="EX22" s="385"/>
      <c r="EY22" s="385"/>
      <c r="EZ22" s="417"/>
      <c r="FA22" s="417"/>
      <c r="FB22" s="417"/>
      <c r="FC22" s="417"/>
      <c r="FD22" s="417"/>
      <c r="FE22" s="417"/>
      <c r="FF22" s="417"/>
      <c r="FG22" s="417"/>
      <c r="FH22" s="417"/>
      <c r="FI22" s="417">
        <v>30</v>
      </c>
      <c r="FJ22" s="417"/>
      <c r="FK22" s="385">
        <v>15</v>
      </c>
      <c r="FL22" s="417"/>
      <c r="FM22" s="385"/>
      <c r="FN22" s="417">
        <v>15</v>
      </c>
      <c r="FO22" s="417"/>
      <c r="FP22" s="417"/>
      <c r="FQ22" s="417"/>
      <c r="FR22" s="417"/>
      <c r="FS22" s="417"/>
      <c r="FT22" s="385"/>
      <c r="FU22" s="385"/>
      <c r="FV22" s="385">
        <v>15</v>
      </c>
      <c r="FW22" s="417"/>
      <c r="FX22" s="417"/>
      <c r="FY22" s="385">
        <v>10</v>
      </c>
      <c r="FZ22" s="417"/>
      <c r="GA22" s="417"/>
      <c r="GB22" s="385">
        <v>12</v>
      </c>
      <c r="GC22" s="417"/>
      <c r="GD22" s="417"/>
      <c r="GE22" s="417"/>
      <c r="GF22" s="385">
        <v>5</v>
      </c>
      <c r="GG22" s="417">
        <v>10</v>
      </c>
      <c r="GH22" s="385"/>
      <c r="GI22" s="417"/>
      <c r="GJ22" s="385">
        <v>10</v>
      </c>
      <c r="GK22" s="417"/>
      <c r="GL22" s="417"/>
      <c r="GM22" s="417"/>
      <c r="GN22" s="417"/>
      <c r="GO22" s="417"/>
      <c r="GP22" s="417"/>
      <c r="GQ22" s="417"/>
      <c r="GR22" s="417"/>
      <c r="GS22" s="385"/>
      <c r="GT22" s="385"/>
      <c r="GU22" s="417"/>
      <c r="GV22" s="385">
        <v>5</v>
      </c>
      <c r="GW22" s="417">
        <v>20</v>
      </c>
      <c r="GX22" s="385"/>
      <c r="GY22" s="385"/>
      <c r="GZ22" s="417"/>
      <c r="HA22" s="417"/>
      <c r="HB22" s="417"/>
      <c r="HC22" s="417"/>
      <c r="HD22" s="417"/>
      <c r="HE22" s="417"/>
      <c r="HF22" s="417"/>
      <c r="HG22" s="417"/>
      <c r="HH22" s="385"/>
      <c r="HI22" s="417"/>
      <c r="HJ22" s="417"/>
      <c r="HK22" s="417">
        <v>16</v>
      </c>
      <c r="HL22" s="417"/>
      <c r="HM22" s="417"/>
      <c r="HN22" s="385"/>
      <c r="HO22" s="417"/>
      <c r="HP22" s="417"/>
      <c r="HQ22" s="417"/>
      <c r="HR22" s="417"/>
      <c r="HS22" s="417"/>
      <c r="HT22" s="417"/>
      <c r="HU22" s="385">
        <v>4</v>
      </c>
      <c r="HV22" s="417"/>
      <c r="HW22" s="417"/>
      <c r="HX22" s="417"/>
      <c r="HY22" s="417"/>
      <c r="HZ22" s="417"/>
      <c r="IA22" s="417"/>
      <c r="IB22" s="417"/>
      <c r="IC22" s="417"/>
      <c r="ID22" s="417"/>
      <c r="IE22" s="417"/>
      <c r="IF22" s="417"/>
      <c r="IG22" s="417"/>
      <c r="IH22" s="417"/>
      <c r="II22" s="417"/>
      <c r="IJ22" s="417"/>
      <c r="IK22" s="417"/>
      <c r="IL22" s="417"/>
      <c r="IM22" s="417"/>
      <c r="IN22" s="417"/>
      <c r="IO22" s="417"/>
      <c r="IP22" s="417"/>
      <c r="IQ22" s="417"/>
      <c r="IR22" s="417"/>
      <c r="IS22" s="417"/>
      <c r="IT22" s="417"/>
      <c r="IU22" s="417"/>
      <c r="IV22" s="417"/>
      <c r="IW22" s="417"/>
      <c r="IX22" s="417"/>
      <c r="IY22" s="417"/>
      <c r="IZ22" s="417"/>
      <c r="JA22" s="417"/>
      <c r="JB22" s="417"/>
      <c r="JC22" s="417"/>
      <c r="JD22" s="417"/>
      <c r="JE22" s="417"/>
      <c r="JF22" s="417"/>
      <c r="JG22" s="417"/>
      <c r="JH22" s="417"/>
      <c r="JI22" s="417"/>
      <c r="JJ22" s="417"/>
      <c r="JK22" s="417"/>
      <c r="JL22" s="417"/>
      <c r="JM22" s="417"/>
      <c r="JN22" s="417"/>
      <c r="JO22" s="417"/>
      <c r="JP22" s="417"/>
      <c r="JQ22" s="417"/>
      <c r="JR22" s="417"/>
      <c r="JS22" s="417"/>
      <c r="JT22" s="417"/>
      <c r="JU22" s="417"/>
      <c r="JV22" s="417"/>
      <c r="JW22" s="417"/>
      <c r="JX22" s="417"/>
      <c r="JY22" s="417"/>
      <c r="JZ22" s="417"/>
      <c r="KA22" s="417"/>
      <c r="KB22" s="417"/>
      <c r="KC22" s="417"/>
      <c r="KD22" s="417"/>
      <c r="KE22" s="417"/>
      <c r="KF22" s="417"/>
      <c r="KG22" s="417"/>
      <c r="KH22" s="417"/>
      <c r="KI22" s="417"/>
      <c r="KJ22" s="417"/>
      <c r="KK22" s="417"/>
      <c r="KL22" s="417"/>
      <c r="KM22" s="417"/>
      <c r="KN22" s="417"/>
      <c r="KO22" s="417"/>
      <c r="KP22" s="417"/>
      <c r="KQ22" s="417"/>
      <c r="KR22" s="417"/>
      <c r="KS22" s="417"/>
      <c r="KT22" s="417"/>
      <c r="KU22" s="417"/>
      <c r="KV22" s="417"/>
      <c r="KW22" s="417"/>
      <c r="KX22" s="417"/>
      <c r="KY22" s="417"/>
      <c r="KZ22" s="417"/>
      <c r="LA22" s="417"/>
      <c r="LB22" s="417"/>
      <c r="LC22" s="417"/>
      <c r="LD22" s="417"/>
      <c r="LE22" s="417"/>
      <c r="LF22" s="417"/>
      <c r="LG22" s="417"/>
      <c r="LH22" s="417"/>
      <c r="LI22" s="417"/>
      <c r="LJ22" s="417"/>
      <c r="LK22" s="417"/>
      <c r="LL22" s="417"/>
      <c r="LM22" s="417"/>
      <c r="LN22" s="417"/>
      <c r="LO22" s="417"/>
      <c r="LP22" s="417"/>
      <c r="LQ22" s="417"/>
      <c r="LR22" s="417"/>
      <c r="LS22" s="417"/>
      <c r="LT22" s="417"/>
      <c r="LU22" s="417"/>
      <c r="LV22" s="417"/>
      <c r="LW22" s="417"/>
      <c r="LX22" s="417"/>
      <c r="LY22" s="417"/>
      <c r="LZ22" s="417"/>
      <c r="MA22" s="417"/>
      <c r="MB22" s="417"/>
      <c r="MC22" s="417"/>
      <c r="MD22" s="417"/>
      <c r="ME22" s="417"/>
      <c r="MF22" s="417"/>
      <c r="MG22" s="417"/>
      <c r="MH22" s="417"/>
      <c r="MI22" s="417"/>
      <c r="MJ22" s="417"/>
      <c r="MK22" s="417"/>
      <c r="ML22" s="417"/>
      <c r="MM22" s="417"/>
      <c r="MN22" s="417"/>
      <c r="MO22" s="417"/>
      <c r="MP22" s="417"/>
      <c r="MQ22" s="417"/>
      <c r="MR22" s="417"/>
      <c r="MS22" s="417"/>
      <c r="MT22" s="417"/>
      <c r="MU22" s="417"/>
      <c r="MV22" s="417"/>
      <c r="MW22" s="417"/>
      <c r="MX22" s="417"/>
      <c r="MY22" s="417"/>
      <c r="MZ22" s="417"/>
      <c r="NA22" s="417"/>
      <c r="NB22" s="417"/>
      <c r="NC22" s="417"/>
      <c r="ND22" s="417"/>
      <c r="NE22" s="417"/>
      <c r="NF22" s="417"/>
      <c r="NG22" s="417"/>
      <c r="NH22" s="417"/>
      <c r="NI22" s="417"/>
      <c r="NJ22" s="417"/>
      <c r="NK22" s="417"/>
      <c r="NL22" s="417"/>
      <c r="NM22" s="417"/>
      <c r="NN22" s="417"/>
      <c r="NO22" s="417"/>
      <c r="NP22" s="417"/>
      <c r="NQ22" s="417"/>
      <c r="NR22" s="417"/>
      <c r="NS22" s="417"/>
      <c r="NT22" s="417"/>
      <c r="NU22" s="417"/>
      <c r="NV22" s="417"/>
      <c r="NW22" s="417"/>
      <c r="NX22" s="417"/>
      <c r="NY22" s="417"/>
      <c r="NZ22" s="417"/>
      <c r="OA22" s="417"/>
      <c r="OB22" s="417"/>
      <c r="OC22" s="417"/>
      <c r="OD22" s="417"/>
      <c r="OE22" s="417"/>
      <c r="OF22" s="417"/>
      <c r="OG22" s="417"/>
      <c r="OH22" s="417"/>
      <c r="OI22" s="385"/>
      <c r="OJ22" s="417"/>
      <c r="OK22" s="417"/>
      <c r="OL22" s="417"/>
      <c r="OM22" s="417"/>
      <c r="ON22" s="417"/>
      <c r="OO22" s="417"/>
      <c r="OP22" s="417"/>
      <c r="OQ22" s="417"/>
      <c r="OR22" s="417"/>
      <c r="OS22" s="417"/>
      <c r="OT22" s="417"/>
      <c r="OU22" s="417"/>
      <c r="OV22" s="417"/>
      <c r="OW22" s="417"/>
      <c r="OX22" s="417"/>
      <c r="OY22" s="417"/>
      <c r="OZ22" s="417"/>
      <c r="PA22" s="417"/>
      <c r="PB22" s="417"/>
      <c r="PC22" s="417"/>
      <c r="PD22" s="417"/>
      <c r="PE22" s="417"/>
      <c r="PF22" s="417"/>
      <c r="PG22" s="417"/>
    </row>
    <row r="23" spans="1:423" ht="15.75" customHeight="1" thickBot="1" x14ac:dyDescent="0.3">
      <c r="A23" s="414">
        <v>549754600134</v>
      </c>
      <c r="B23" s="384">
        <f t="shared" si="0"/>
        <v>273</v>
      </c>
      <c r="C23" s="384">
        <v>487</v>
      </c>
      <c r="D23" s="384">
        <f>SUMIF('Sap Inwarding'!F:F,'Front Dispatch'!$A23,'Sap Inwarding'!H:H)</f>
        <v>258</v>
      </c>
      <c r="E23" s="10">
        <f t="shared" si="1"/>
        <v>214</v>
      </c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7"/>
      <c r="W23" s="417"/>
      <c r="X23" s="417"/>
      <c r="Y23" s="385"/>
      <c r="Z23" s="417"/>
      <c r="AA23" s="417"/>
      <c r="AB23" s="417"/>
      <c r="AC23" s="417"/>
      <c r="AD23" s="417"/>
      <c r="AE23" s="417"/>
      <c r="AF23" s="417"/>
      <c r="AG23" s="417"/>
      <c r="AH23" s="417">
        <v>15</v>
      </c>
      <c r="AI23" s="417"/>
      <c r="AJ23" s="417"/>
      <c r="AK23" s="417">
        <v>22</v>
      </c>
      <c r="AL23" s="417"/>
      <c r="AM23" s="417"/>
      <c r="AN23" s="417"/>
      <c r="AO23" s="417"/>
      <c r="AP23" s="417"/>
      <c r="AQ23" s="417"/>
      <c r="AR23" s="417"/>
      <c r="AS23" s="417"/>
      <c r="AT23" s="417"/>
      <c r="AU23" s="385"/>
      <c r="AV23" s="385"/>
      <c r="AW23" s="385"/>
      <c r="AX23" s="385"/>
      <c r="AY23" s="385">
        <v>23</v>
      </c>
      <c r="AZ23" s="417">
        <v>13</v>
      </c>
      <c r="BA23" s="417"/>
      <c r="BB23" s="417"/>
      <c r="BC23" s="417"/>
      <c r="BD23" s="385">
        <v>20</v>
      </c>
      <c r="BE23" s="417">
        <v>5</v>
      </c>
      <c r="BF23" s="417"/>
      <c r="BG23" s="417"/>
      <c r="BH23" s="417"/>
      <c r="BI23" s="417"/>
      <c r="BJ23" s="417"/>
      <c r="BK23" s="417"/>
      <c r="BL23" s="417"/>
      <c r="BM23" s="417"/>
      <c r="BN23" s="417"/>
      <c r="BO23" s="417"/>
      <c r="BP23" s="417"/>
      <c r="BQ23" s="417"/>
      <c r="BR23" s="417"/>
      <c r="BS23" s="417"/>
      <c r="BT23" s="417"/>
      <c r="BU23" s="417"/>
      <c r="BV23" s="417"/>
      <c r="BW23" s="417"/>
      <c r="BX23" s="417">
        <v>16</v>
      </c>
      <c r="BY23" s="417"/>
      <c r="BZ23" s="417"/>
      <c r="CA23" s="385">
        <v>7</v>
      </c>
      <c r="CB23" s="417"/>
      <c r="CC23" s="417"/>
      <c r="CD23" s="417"/>
      <c r="CE23" s="385"/>
      <c r="CF23" s="385"/>
      <c r="CG23" s="385"/>
      <c r="CH23" s="417"/>
      <c r="CI23" s="417"/>
      <c r="CJ23" s="417"/>
      <c r="CK23" s="417">
        <v>20</v>
      </c>
      <c r="CL23" s="417"/>
      <c r="CM23" s="385"/>
      <c r="CN23" s="417"/>
      <c r="CO23" s="417"/>
      <c r="CP23" s="417"/>
      <c r="CQ23" s="385"/>
      <c r="CR23" s="385"/>
      <c r="CS23" s="417"/>
      <c r="CT23" s="417"/>
      <c r="CU23" s="417"/>
      <c r="CV23" s="417"/>
      <c r="CW23" s="417"/>
      <c r="CX23" s="417"/>
      <c r="CY23" s="417"/>
      <c r="CZ23" s="417"/>
      <c r="DA23" s="385">
        <v>5</v>
      </c>
      <c r="DB23" s="417"/>
      <c r="DC23" s="385"/>
      <c r="DD23" s="385"/>
      <c r="DE23" s="385"/>
      <c r="DF23" s="385"/>
      <c r="DG23" s="385"/>
      <c r="DH23" s="417"/>
      <c r="DI23" s="417"/>
      <c r="DJ23" s="417"/>
      <c r="DK23" s="385">
        <v>2</v>
      </c>
      <c r="DL23" s="385"/>
      <c r="DM23" s="385"/>
      <c r="DN23" s="417"/>
      <c r="DO23" s="417"/>
      <c r="DP23" s="385"/>
      <c r="DQ23" s="385"/>
      <c r="DR23" s="385"/>
      <c r="DS23" s="417"/>
      <c r="DT23" s="417"/>
      <c r="DU23" s="417"/>
      <c r="DV23" s="417"/>
      <c r="DW23" s="385">
        <v>12</v>
      </c>
      <c r="DX23" s="385"/>
      <c r="DY23" s="417"/>
      <c r="DZ23" s="417"/>
      <c r="EA23" s="417">
        <v>2</v>
      </c>
      <c r="EB23" s="385">
        <v>1</v>
      </c>
      <c r="EC23" s="385">
        <v>2</v>
      </c>
      <c r="ED23" s="65">
        <v>9</v>
      </c>
      <c r="EE23" s="417"/>
      <c r="EF23" s="417"/>
      <c r="EG23" s="417"/>
      <c r="EH23" s="417"/>
      <c r="EI23" s="417"/>
      <c r="EJ23" s="417"/>
      <c r="EK23" s="417"/>
      <c r="EL23" s="417"/>
      <c r="EM23" s="417"/>
      <c r="EN23" s="417"/>
      <c r="EO23" s="385"/>
      <c r="EP23" s="385"/>
      <c r="EQ23" s="417"/>
      <c r="ER23" s="417"/>
      <c r="ES23" s="417"/>
      <c r="ET23" s="417"/>
      <c r="EU23" s="417"/>
      <c r="EV23" s="385"/>
      <c r="EW23" s="385"/>
      <c r="EX23" s="385"/>
      <c r="EY23" s="385"/>
      <c r="EZ23" s="417">
        <v>10</v>
      </c>
      <c r="FA23" s="417"/>
      <c r="FB23" s="417"/>
      <c r="FC23" s="417"/>
      <c r="FD23" s="417"/>
      <c r="FE23" s="417"/>
      <c r="FF23" s="417"/>
      <c r="FG23" s="417"/>
      <c r="FH23" s="417"/>
      <c r="FI23" s="417"/>
      <c r="FJ23" s="417"/>
      <c r="FK23" s="385"/>
      <c r="FL23" s="417"/>
      <c r="FM23" s="385"/>
      <c r="FN23" s="417"/>
      <c r="FO23" s="417"/>
      <c r="FP23" s="417"/>
      <c r="FQ23" s="417"/>
      <c r="FR23" s="417"/>
      <c r="FS23" s="417"/>
      <c r="FT23" s="385"/>
      <c r="FU23" s="385"/>
      <c r="FV23" s="385"/>
      <c r="FW23" s="417"/>
      <c r="FX23" s="417">
        <v>20</v>
      </c>
      <c r="FY23" s="385"/>
      <c r="FZ23" s="417"/>
      <c r="GA23" s="417"/>
      <c r="GB23" s="385"/>
      <c r="GC23" s="417"/>
      <c r="GD23" s="417"/>
      <c r="GE23" s="417"/>
      <c r="GF23" s="385"/>
      <c r="GG23" s="417"/>
      <c r="GH23" s="385">
        <v>15</v>
      </c>
      <c r="GI23" s="417"/>
      <c r="GJ23" s="385">
        <v>11</v>
      </c>
      <c r="GK23" s="417"/>
      <c r="GL23" s="417"/>
      <c r="GM23" s="417"/>
      <c r="GN23" s="417"/>
      <c r="GO23" s="417"/>
      <c r="GP23" s="417"/>
      <c r="GQ23" s="417"/>
      <c r="GR23" s="417"/>
      <c r="GS23" s="385"/>
      <c r="GT23" s="385"/>
      <c r="GU23" s="417"/>
      <c r="GV23" s="385">
        <v>8</v>
      </c>
      <c r="GW23" s="417">
        <v>20</v>
      </c>
      <c r="GX23" s="385"/>
      <c r="GY23" s="385"/>
      <c r="GZ23" s="417"/>
      <c r="HA23" s="417"/>
      <c r="HB23" s="417"/>
      <c r="HC23" s="417"/>
      <c r="HD23" s="417"/>
      <c r="HE23" s="417"/>
      <c r="HF23" s="417"/>
      <c r="HG23" s="417"/>
      <c r="HH23" s="385"/>
      <c r="HI23" s="417"/>
      <c r="HJ23" s="417"/>
      <c r="HK23" s="417"/>
      <c r="HL23" s="417"/>
      <c r="HM23" s="417"/>
      <c r="HN23" s="385">
        <v>15</v>
      </c>
      <c r="HO23" s="417"/>
      <c r="HP23" s="417"/>
      <c r="HQ23" s="417"/>
      <c r="HR23" s="417"/>
      <c r="HS23" s="417"/>
      <c r="HT23" s="417"/>
      <c r="HU23" s="385"/>
      <c r="HV23" s="417"/>
      <c r="HW23" s="417"/>
      <c r="HX23" s="417"/>
      <c r="HY23" s="417"/>
      <c r="HZ23" s="417"/>
      <c r="IA23" s="417"/>
      <c r="IB23" s="417"/>
      <c r="IC23" s="417"/>
      <c r="ID23" s="417"/>
      <c r="IE23" s="417"/>
      <c r="IF23" s="417"/>
      <c r="IG23" s="417"/>
      <c r="IH23" s="417"/>
      <c r="II23" s="417"/>
      <c r="IJ23" s="417"/>
      <c r="IK23" s="417"/>
      <c r="IL23" s="417"/>
      <c r="IM23" s="417"/>
      <c r="IN23" s="417"/>
      <c r="IO23" s="417"/>
      <c r="IP23" s="417"/>
      <c r="IQ23" s="417"/>
      <c r="IR23" s="417"/>
      <c r="IS23" s="417"/>
      <c r="IT23" s="417"/>
      <c r="IU23" s="417"/>
      <c r="IV23" s="417"/>
      <c r="IW23" s="417"/>
      <c r="IX23" s="417"/>
      <c r="IY23" s="417"/>
      <c r="IZ23" s="417"/>
      <c r="JA23" s="417"/>
      <c r="JB23" s="417"/>
      <c r="JC23" s="417"/>
      <c r="JD23" s="417"/>
      <c r="JE23" s="417"/>
      <c r="JF23" s="417"/>
      <c r="JG23" s="417"/>
      <c r="JH23" s="417"/>
      <c r="JI23" s="417"/>
      <c r="JJ23" s="417"/>
      <c r="JK23" s="417"/>
      <c r="JL23" s="417"/>
      <c r="JM23" s="417"/>
      <c r="JN23" s="417"/>
      <c r="JO23" s="417"/>
      <c r="JP23" s="417"/>
      <c r="JQ23" s="417"/>
      <c r="JR23" s="417"/>
      <c r="JS23" s="417"/>
      <c r="JT23" s="417"/>
      <c r="JU23" s="417"/>
      <c r="JV23" s="417"/>
      <c r="JW23" s="417"/>
      <c r="JX23" s="417"/>
      <c r="JY23" s="417"/>
      <c r="JZ23" s="417"/>
      <c r="KA23" s="417"/>
      <c r="KB23" s="417"/>
      <c r="KC23" s="417"/>
      <c r="KD23" s="417"/>
      <c r="KE23" s="417"/>
      <c r="KF23" s="417"/>
      <c r="KG23" s="417"/>
      <c r="KH23" s="417"/>
      <c r="KI23" s="417"/>
      <c r="KJ23" s="417"/>
      <c r="KK23" s="417"/>
      <c r="KL23" s="417"/>
      <c r="KM23" s="417"/>
      <c r="KN23" s="417"/>
      <c r="KO23" s="417"/>
      <c r="KP23" s="417"/>
      <c r="KQ23" s="417"/>
      <c r="KR23" s="417"/>
      <c r="KS23" s="417"/>
      <c r="KT23" s="417"/>
      <c r="KU23" s="417"/>
      <c r="KV23" s="417"/>
      <c r="KW23" s="417"/>
      <c r="KX23" s="417"/>
      <c r="KY23" s="417"/>
      <c r="KZ23" s="417"/>
      <c r="LA23" s="417"/>
      <c r="LB23" s="417"/>
      <c r="LC23" s="417"/>
      <c r="LD23" s="417"/>
      <c r="LE23" s="417"/>
      <c r="LF23" s="417"/>
      <c r="LG23" s="417"/>
      <c r="LH23" s="417"/>
      <c r="LI23" s="417"/>
      <c r="LJ23" s="417"/>
      <c r="LK23" s="417"/>
      <c r="LL23" s="417"/>
      <c r="LM23" s="417"/>
      <c r="LN23" s="417"/>
      <c r="LO23" s="417"/>
      <c r="LP23" s="417"/>
      <c r="LQ23" s="417"/>
      <c r="LR23" s="417"/>
      <c r="LS23" s="417"/>
      <c r="LT23" s="417"/>
      <c r="LU23" s="417"/>
      <c r="LV23" s="417"/>
      <c r="LW23" s="417"/>
      <c r="LX23" s="417"/>
      <c r="LY23" s="417"/>
      <c r="LZ23" s="417"/>
      <c r="MA23" s="417"/>
      <c r="MB23" s="417"/>
      <c r="MC23" s="417"/>
      <c r="MD23" s="417"/>
      <c r="ME23" s="417"/>
      <c r="MF23" s="417"/>
      <c r="MG23" s="417"/>
      <c r="MH23" s="417"/>
      <c r="MI23" s="417"/>
      <c r="MJ23" s="417"/>
      <c r="MK23" s="417"/>
      <c r="ML23" s="417"/>
      <c r="MM23" s="417"/>
      <c r="MN23" s="417"/>
      <c r="MO23" s="417"/>
      <c r="MP23" s="417"/>
      <c r="MQ23" s="417"/>
      <c r="MR23" s="417"/>
      <c r="MS23" s="417"/>
      <c r="MT23" s="417"/>
      <c r="MU23" s="417"/>
      <c r="MV23" s="417"/>
      <c r="MW23" s="417"/>
      <c r="MX23" s="417"/>
      <c r="MY23" s="417"/>
      <c r="MZ23" s="417"/>
      <c r="NA23" s="417"/>
      <c r="NB23" s="417"/>
      <c r="NC23" s="417"/>
      <c r="ND23" s="417"/>
      <c r="NE23" s="417"/>
      <c r="NF23" s="417"/>
      <c r="NG23" s="417"/>
      <c r="NH23" s="417"/>
      <c r="NI23" s="417"/>
      <c r="NJ23" s="417"/>
      <c r="NK23" s="417"/>
      <c r="NL23" s="417"/>
      <c r="NM23" s="417"/>
      <c r="NN23" s="417"/>
      <c r="NO23" s="417"/>
      <c r="NP23" s="417"/>
      <c r="NQ23" s="417"/>
      <c r="NR23" s="417"/>
      <c r="NS23" s="417"/>
      <c r="NT23" s="417"/>
      <c r="NU23" s="417"/>
      <c r="NV23" s="417"/>
      <c r="NW23" s="417"/>
      <c r="NX23" s="417"/>
      <c r="NY23" s="417"/>
      <c r="NZ23" s="417"/>
      <c r="OA23" s="417"/>
      <c r="OB23" s="417"/>
      <c r="OC23" s="417"/>
      <c r="OD23" s="417"/>
      <c r="OE23" s="417"/>
      <c r="OF23" s="417"/>
      <c r="OG23" s="417"/>
      <c r="OH23" s="417"/>
      <c r="OI23" s="385"/>
      <c r="OJ23" s="417"/>
      <c r="OK23" s="417"/>
      <c r="OL23" s="417"/>
      <c r="OM23" s="417"/>
      <c r="ON23" s="417"/>
      <c r="OO23" s="417"/>
      <c r="OP23" s="417"/>
      <c r="OQ23" s="417"/>
      <c r="OR23" s="417"/>
      <c r="OS23" s="417"/>
      <c r="OT23" s="417"/>
      <c r="OU23" s="417"/>
      <c r="OV23" s="417"/>
      <c r="OW23" s="417"/>
      <c r="OX23" s="417"/>
      <c r="OY23" s="417"/>
      <c r="OZ23" s="417"/>
      <c r="PA23" s="417"/>
      <c r="PB23" s="417"/>
      <c r="PC23" s="417"/>
      <c r="PD23" s="417"/>
      <c r="PE23" s="417"/>
      <c r="PF23" s="417"/>
      <c r="PG23" s="417"/>
    </row>
    <row r="24" spans="1:423" ht="15.75" customHeight="1" thickBot="1" x14ac:dyDescent="0.3">
      <c r="A24" s="414">
        <v>549754600190</v>
      </c>
      <c r="B24" s="384">
        <f t="shared" si="0"/>
        <v>506</v>
      </c>
      <c r="C24" s="384">
        <v>588</v>
      </c>
      <c r="D24" s="384">
        <f>SUMIF('Sap Inwarding'!F:F,'Front Dispatch'!$A24,'Sap Inwarding'!H:H)</f>
        <v>466</v>
      </c>
      <c r="E24" s="10">
        <f t="shared" si="1"/>
        <v>82</v>
      </c>
      <c r="F24" s="417"/>
      <c r="G24" s="417"/>
      <c r="H24" s="417">
        <v>15</v>
      </c>
      <c r="I24" s="417"/>
      <c r="J24" s="417"/>
      <c r="K24" s="417"/>
      <c r="L24" s="417"/>
      <c r="M24" s="417"/>
      <c r="N24" s="417"/>
      <c r="O24" s="417"/>
      <c r="P24" s="417"/>
      <c r="Q24" s="417"/>
      <c r="R24" s="417"/>
      <c r="S24" s="417"/>
      <c r="T24" s="417"/>
      <c r="U24" s="417"/>
      <c r="V24" s="417">
        <v>10</v>
      </c>
      <c r="W24" s="417"/>
      <c r="X24" s="417"/>
      <c r="Y24" s="385"/>
      <c r="Z24" s="417"/>
      <c r="AA24" s="417"/>
      <c r="AB24" s="417"/>
      <c r="AC24" s="417"/>
      <c r="AD24" s="417"/>
      <c r="AE24" s="417"/>
      <c r="AF24" s="417"/>
      <c r="AG24" s="417"/>
      <c r="AH24" s="417">
        <v>10</v>
      </c>
      <c r="AI24" s="417"/>
      <c r="AJ24" s="417">
        <v>10</v>
      </c>
      <c r="AK24" s="417">
        <v>15</v>
      </c>
      <c r="AL24" s="417"/>
      <c r="AM24" s="417"/>
      <c r="AN24" s="417"/>
      <c r="AO24" s="417"/>
      <c r="AP24" s="417"/>
      <c r="AQ24" s="417"/>
      <c r="AR24" s="417"/>
      <c r="AS24" s="417"/>
      <c r="AT24" s="417"/>
      <c r="AU24" s="385"/>
      <c r="AV24" s="385"/>
      <c r="AW24" s="385"/>
      <c r="AX24" s="385"/>
      <c r="AY24" s="385"/>
      <c r="AZ24" s="417"/>
      <c r="BA24" s="417"/>
      <c r="BB24" s="417"/>
      <c r="BC24" s="417"/>
      <c r="BD24" s="385"/>
      <c r="BE24" s="417"/>
      <c r="BF24" s="417"/>
      <c r="BG24" s="417"/>
      <c r="BH24" s="417"/>
      <c r="BI24" s="417"/>
      <c r="BJ24" s="417"/>
      <c r="BK24" s="417"/>
      <c r="BL24" s="417"/>
      <c r="BM24" s="417"/>
      <c r="BN24" s="417"/>
      <c r="BO24" s="417"/>
      <c r="BP24" s="417"/>
      <c r="BQ24" s="417"/>
      <c r="BR24" s="417"/>
      <c r="BS24" s="417"/>
      <c r="BT24" s="417"/>
      <c r="BU24" s="417"/>
      <c r="BV24" s="417"/>
      <c r="BW24" s="417"/>
      <c r="BX24" s="417"/>
      <c r="BY24" s="417"/>
      <c r="BZ24" s="417">
        <v>20</v>
      </c>
      <c r="CA24" s="385"/>
      <c r="CB24" s="417"/>
      <c r="CC24" s="417"/>
      <c r="CD24" s="417"/>
      <c r="CE24" s="385"/>
      <c r="CF24" s="385"/>
      <c r="CG24" s="385"/>
      <c r="CH24" s="417"/>
      <c r="CI24" s="417"/>
      <c r="CJ24" s="417"/>
      <c r="CK24" s="417"/>
      <c r="CL24" s="417"/>
      <c r="CM24" s="385">
        <v>10</v>
      </c>
      <c r="CN24" s="417"/>
      <c r="CO24" s="417"/>
      <c r="CP24" s="417"/>
      <c r="CQ24" s="385"/>
      <c r="CR24" s="385"/>
      <c r="CS24" s="417"/>
      <c r="CT24" s="417"/>
      <c r="CU24" s="417"/>
      <c r="CV24" s="417"/>
      <c r="CW24" s="417">
        <v>10</v>
      </c>
      <c r="CX24" s="417"/>
      <c r="CY24" s="417"/>
      <c r="CZ24" s="417"/>
      <c r="DA24" s="385">
        <v>20</v>
      </c>
      <c r="DB24" s="417"/>
      <c r="DC24" s="385"/>
      <c r="DD24" s="385"/>
      <c r="DE24" s="385"/>
      <c r="DF24" s="385"/>
      <c r="DG24" s="385"/>
      <c r="DH24" s="417"/>
      <c r="DI24" s="417"/>
      <c r="DJ24" s="417"/>
      <c r="DK24" s="385">
        <v>14</v>
      </c>
      <c r="DL24" s="385">
        <v>26</v>
      </c>
      <c r="DM24" s="385"/>
      <c r="DN24" s="417"/>
      <c r="DO24" s="417"/>
      <c r="DP24" s="385"/>
      <c r="DQ24" s="385"/>
      <c r="DR24" s="385"/>
      <c r="DS24" s="417"/>
      <c r="DT24" s="417"/>
      <c r="DU24" s="417"/>
      <c r="DV24" s="417"/>
      <c r="DW24" s="385">
        <v>25</v>
      </c>
      <c r="DX24" s="385"/>
      <c r="DY24" s="417"/>
      <c r="DZ24" s="417"/>
      <c r="EA24" s="417"/>
      <c r="EB24" s="385"/>
      <c r="EC24" s="385"/>
      <c r="ED24" s="65">
        <v>17</v>
      </c>
      <c r="EE24" s="417"/>
      <c r="EF24" s="417"/>
      <c r="EG24" s="417"/>
      <c r="EH24" s="417"/>
      <c r="EI24" s="417"/>
      <c r="EJ24" s="417">
        <v>9</v>
      </c>
      <c r="EK24" s="417">
        <v>10</v>
      </c>
      <c r="EL24" s="417"/>
      <c r="EM24" s="417"/>
      <c r="EN24" s="417">
        <v>30</v>
      </c>
      <c r="EO24" s="385"/>
      <c r="EP24" s="385">
        <v>13</v>
      </c>
      <c r="EQ24" s="417">
        <v>4</v>
      </c>
      <c r="ER24" s="417"/>
      <c r="ES24" s="417"/>
      <c r="ET24" s="417"/>
      <c r="EU24" s="417"/>
      <c r="EV24" s="385">
        <v>19</v>
      </c>
      <c r="EW24" s="385"/>
      <c r="EX24" s="385"/>
      <c r="EY24" s="385">
        <v>10</v>
      </c>
      <c r="EZ24" s="417"/>
      <c r="FA24" s="417"/>
      <c r="FB24" s="417"/>
      <c r="FC24" s="417"/>
      <c r="FD24" s="417"/>
      <c r="FE24" s="417"/>
      <c r="FF24" s="417"/>
      <c r="FG24" s="417"/>
      <c r="FH24" s="417"/>
      <c r="FI24" s="417"/>
      <c r="FJ24" s="417">
        <v>47</v>
      </c>
      <c r="FK24" s="385">
        <v>4</v>
      </c>
      <c r="FL24" s="417">
        <v>12</v>
      </c>
      <c r="FM24" s="385"/>
      <c r="FN24" s="417"/>
      <c r="FO24" s="417"/>
      <c r="FP24" s="417"/>
      <c r="FQ24" s="417"/>
      <c r="FR24" s="417"/>
      <c r="FS24" s="417"/>
      <c r="FT24" s="385"/>
      <c r="FU24" s="385"/>
      <c r="FV24" s="385"/>
      <c r="FW24" s="417"/>
      <c r="FX24" s="417">
        <v>15</v>
      </c>
      <c r="FY24" s="385">
        <v>10</v>
      </c>
      <c r="FZ24" s="417"/>
      <c r="GA24" s="417"/>
      <c r="GB24" s="385"/>
      <c r="GC24" s="417"/>
      <c r="GD24" s="417"/>
      <c r="GE24" s="417"/>
      <c r="GF24" s="385"/>
      <c r="GG24" s="417"/>
      <c r="GH24" s="385">
        <v>20</v>
      </c>
      <c r="GI24" s="417"/>
      <c r="GJ24" s="385">
        <v>21</v>
      </c>
      <c r="GK24" s="417"/>
      <c r="GL24" s="417"/>
      <c r="GM24" s="417"/>
      <c r="GN24" s="417"/>
      <c r="GO24" s="417"/>
      <c r="GP24" s="417"/>
      <c r="GQ24" s="417"/>
      <c r="GR24" s="417"/>
      <c r="GS24" s="385"/>
      <c r="GT24" s="385">
        <v>20</v>
      </c>
      <c r="GU24" s="417">
        <v>20</v>
      </c>
      <c r="GV24" s="385"/>
      <c r="GW24" s="417"/>
      <c r="GX24" s="385"/>
      <c r="GY24" s="385">
        <v>10</v>
      </c>
      <c r="GZ24" s="417"/>
      <c r="HA24" s="417"/>
      <c r="HB24" s="417"/>
      <c r="HC24" s="417"/>
      <c r="HD24" s="417"/>
      <c r="HE24" s="417"/>
      <c r="HF24" s="417"/>
      <c r="HG24" s="417">
        <v>20</v>
      </c>
      <c r="HH24" s="385"/>
      <c r="HI24" s="417"/>
      <c r="HJ24" s="417"/>
      <c r="HK24" s="417"/>
      <c r="HL24" s="417"/>
      <c r="HM24" s="417"/>
      <c r="HN24" s="385">
        <v>5</v>
      </c>
      <c r="HO24" s="417"/>
      <c r="HP24" s="417"/>
      <c r="HQ24" s="417"/>
      <c r="HR24" s="417"/>
      <c r="HS24" s="417"/>
      <c r="HT24" s="417"/>
      <c r="HU24" s="385">
        <v>5</v>
      </c>
      <c r="HV24" s="417"/>
      <c r="HW24" s="417"/>
      <c r="HX24" s="417"/>
      <c r="HY24" s="417"/>
      <c r="HZ24" s="417"/>
      <c r="IA24" s="417"/>
      <c r="IB24" s="417"/>
      <c r="IC24" s="417"/>
      <c r="ID24" s="417"/>
      <c r="IE24" s="417"/>
      <c r="IF24" s="417"/>
      <c r="IG24" s="417"/>
      <c r="IH24" s="417"/>
      <c r="II24" s="417"/>
      <c r="IJ24" s="417"/>
      <c r="IK24" s="417"/>
      <c r="IL24" s="417"/>
      <c r="IM24" s="417"/>
      <c r="IN24" s="417"/>
      <c r="IO24" s="417"/>
      <c r="IP24" s="417"/>
      <c r="IQ24" s="417"/>
      <c r="IR24" s="417"/>
      <c r="IS24" s="417"/>
      <c r="IT24" s="417"/>
      <c r="IU24" s="417"/>
      <c r="IV24" s="417"/>
      <c r="IW24" s="417"/>
      <c r="IX24" s="417"/>
      <c r="IY24" s="417"/>
      <c r="IZ24" s="417"/>
      <c r="JA24" s="417"/>
      <c r="JB24" s="417"/>
      <c r="JC24" s="417"/>
      <c r="JD24" s="417"/>
      <c r="JE24" s="417"/>
      <c r="JF24" s="417"/>
      <c r="JG24" s="417"/>
      <c r="JH24" s="417"/>
      <c r="JI24" s="417"/>
      <c r="JJ24" s="417"/>
      <c r="JK24" s="417"/>
      <c r="JL24" s="417"/>
      <c r="JM24" s="417"/>
      <c r="JN24" s="417"/>
      <c r="JO24" s="417"/>
      <c r="JP24" s="417"/>
      <c r="JQ24" s="417"/>
      <c r="JR24" s="417"/>
      <c r="JS24" s="417"/>
      <c r="JT24" s="417"/>
      <c r="JU24" s="417"/>
      <c r="JV24" s="417"/>
      <c r="JW24" s="417"/>
      <c r="JX24" s="417"/>
      <c r="JY24" s="417"/>
      <c r="JZ24" s="417"/>
      <c r="KA24" s="417"/>
      <c r="KB24" s="417"/>
      <c r="KC24" s="417"/>
      <c r="KD24" s="417"/>
      <c r="KE24" s="417"/>
      <c r="KF24" s="417"/>
      <c r="KG24" s="417"/>
      <c r="KH24" s="417"/>
      <c r="KI24" s="417"/>
      <c r="KJ24" s="417"/>
      <c r="KK24" s="417"/>
      <c r="KL24" s="417"/>
      <c r="KM24" s="417"/>
      <c r="KN24" s="417"/>
      <c r="KO24" s="417"/>
      <c r="KP24" s="417"/>
      <c r="KQ24" s="417"/>
      <c r="KR24" s="417"/>
      <c r="KS24" s="417"/>
      <c r="KT24" s="417"/>
      <c r="KU24" s="417"/>
      <c r="KV24" s="417"/>
      <c r="KW24" s="417"/>
      <c r="KX24" s="417"/>
      <c r="KY24" s="417"/>
      <c r="KZ24" s="417"/>
      <c r="LA24" s="417"/>
      <c r="LB24" s="417"/>
      <c r="LC24" s="417"/>
      <c r="LD24" s="417"/>
      <c r="LE24" s="417"/>
      <c r="LF24" s="417"/>
      <c r="LG24" s="417"/>
      <c r="LH24" s="417"/>
      <c r="LI24" s="417"/>
      <c r="LJ24" s="417"/>
      <c r="LK24" s="417"/>
      <c r="LL24" s="417"/>
      <c r="LM24" s="417"/>
      <c r="LN24" s="417"/>
      <c r="LO24" s="417"/>
      <c r="LP24" s="417"/>
      <c r="LQ24" s="417"/>
      <c r="LR24" s="417"/>
      <c r="LS24" s="417"/>
      <c r="LT24" s="417"/>
      <c r="LU24" s="417"/>
      <c r="LV24" s="417"/>
      <c r="LW24" s="417"/>
      <c r="LX24" s="417"/>
      <c r="LY24" s="417"/>
      <c r="LZ24" s="417"/>
      <c r="MA24" s="417"/>
      <c r="MB24" s="417"/>
      <c r="MC24" s="417"/>
      <c r="MD24" s="417"/>
      <c r="ME24" s="417"/>
      <c r="MF24" s="417"/>
      <c r="MG24" s="417"/>
      <c r="MH24" s="417"/>
      <c r="MI24" s="417"/>
      <c r="MJ24" s="417"/>
      <c r="MK24" s="417"/>
      <c r="ML24" s="417"/>
      <c r="MM24" s="417"/>
      <c r="MN24" s="417"/>
      <c r="MO24" s="417"/>
      <c r="MP24" s="417"/>
      <c r="MQ24" s="417"/>
      <c r="MR24" s="417"/>
      <c r="MS24" s="417"/>
      <c r="MT24" s="417"/>
      <c r="MU24" s="417"/>
      <c r="MV24" s="417"/>
      <c r="MW24" s="417"/>
      <c r="MX24" s="417"/>
      <c r="MY24" s="417"/>
      <c r="MZ24" s="417"/>
      <c r="NA24" s="417"/>
      <c r="NB24" s="417"/>
      <c r="NC24" s="417"/>
      <c r="ND24" s="417"/>
      <c r="NE24" s="417"/>
      <c r="NF24" s="417"/>
      <c r="NG24" s="417"/>
      <c r="NH24" s="417"/>
      <c r="NI24" s="417"/>
      <c r="NJ24" s="417"/>
      <c r="NK24" s="417"/>
      <c r="NL24" s="417"/>
      <c r="NM24" s="417"/>
      <c r="NN24" s="417"/>
      <c r="NO24" s="417"/>
      <c r="NP24" s="417"/>
      <c r="NQ24" s="417"/>
      <c r="NR24" s="417"/>
      <c r="NS24" s="417"/>
      <c r="NT24" s="417"/>
      <c r="NU24" s="417"/>
      <c r="NV24" s="417"/>
      <c r="NW24" s="417"/>
      <c r="NX24" s="417"/>
      <c r="NY24" s="417"/>
      <c r="NZ24" s="417"/>
      <c r="OA24" s="417"/>
      <c r="OB24" s="417"/>
      <c r="OC24" s="417"/>
      <c r="OD24" s="417"/>
      <c r="OE24" s="417"/>
      <c r="OF24" s="417"/>
      <c r="OG24" s="417"/>
      <c r="OH24" s="417"/>
      <c r="OI24" s="385"/>
      <c r="OJ24" s="417"/>
      <c r="OK24" s="417"/>
      <c r="OL24" s="417"/>
      <c r="OM24" s="417"/>
      <c r="ON24" s="417"/>
      <c r="OO24" s="417"/>
      <c r="OP24" s="417"/>
      <c r="OQ24" s="417"/>
      <c r="OR24" s="417"/>
      <c r="OS24" s="417"/>
      <c r="OT24" s="417"/>
      <c r="OU24" s="417"/>
      <c r="OV24" s="417"/>
      <c r="OW24" s="417"/>
      <c r="OX24" s="417"/>
      <c r="OY24" s="417"/>
      <c r="OZ24" s="417"/>
      <c r="PA24" s="417"/>
      <c r="PB24" s="417"/>
      <c r="PC24" s="417"/>
      <c r="PD24" s="417"/>
      <c r="PE24" s="417"/>
      <c r="PF24" s="417"/>
      <c r="PG24" s="417"/>
    </row>
    <row r="25" spans="1:423" ht="15.75" customHeight="1" thickBot="1" x14ac:dyDescent="0.3">
      <c r="A25" s="414">
        <v>549754600239</v>
      </c>
      <c r="B25" s="384">
        <f t="shared" si="0"/>
        <v>434</v>
      </c>
      <c r="C25" s="384">
        <v>1598</v>
      </c>
      <c r="D25" s="384">
        <f>SUMIF('Sap Inwarding'!F:F,'Front Dispatch'!$A25,'Sap Inwarding'!H:H)</f>
        <v>394</v>
      </c>
      <c r="E25" s="10">
        <f t="shared" si="1"/>
        <v>1164</v>
      </c>
      <c r="F25" s="417"/>
      <c r="G25" s="417"/>
      <c r="H25" s="417"/>
      <c r="I25" s="417">
        <v>20</v>
      </c>
      <c r="J25" s="417"/>
      <c r="K25" s="417"/>
      <c r="L25" s="417"/>
      <c r="M25" s="417"/>
      <c r="N25" s="417"/>
      <c r="O25" s="417"/>
      <c r="P25" s="417"/>
      <c r="Q25" s="417"/>
      <c r="R25" s="417"/>
      <c r="S25" s="417"/>
      <c r="T25" s="417"/>
      <c r="U25" s="417">
        <v>10</v>
      </c>
      <c r="V25" s="417"/>
      <c r="W25" s="417"/>
      <c r="X25" s="417"/>
      <c r="Y25" s="385">
        <v>15</v>
      </c>
      <c r="Z25" s="417"/>
      <c r="AA25" s="417"/>
      <c r="AB25" s="417"/>
      <c r="AC25" s="417"/>
      <c r="AD25" s="417"/>
      <c r="AE25" s="417"/>
      <c r="AF25" s="417"/>
      <c r="AG25" s="417"/>
      <c r="AH25" s="417">
        <v>5</v>
      </c>
      <c r="AI25" s="417"/>
      <c r="AJ25" s="417">
        <v>10</v>
      </c>
      <c r="AK25" s="417">
        <v>21</v>
      </c>
      <c r="AL25" s="417"/>
      <c r="AM25" s="417"/>
      <c r="AN25" s="417"/>
      <c r="AO25" s="417"/>
      <c r="AP25" s="417"/>
      <c r="AQ25" s="417"/>
      <c r="AR25" s="417"/>
      <c r="AS25" s="417"/>
      <c r="AT25" s="417"/>
      <c r="AU25" s="385">
        <v>15</v>
      </c>
      <c r="AV25" s="385"/>
      <c r="AW25" s="385">
        <v>15</v>
      </c>
      <c r="AX25" s="385"/>
      <c r="AY25" s="385">
        <v>14</v>
      </c>
      <c r="AZ25" s="417">
        <v>5</v>
      </c>
      <c r="BA25" s="417"/>
      <c r="BB25" s="417"/>
      <c r="BC25" s="417"/>
      <c r="BD25" s="385">
        <v>35</v>
      </c>
      <c r="BE25" s="417">
        <v>6</v>
      </c>
      <c r="BF25" s="417"/>
      <c r="BG25" s="417"/>
      <c r="BH25" s="417"/>
      <c r="BI25" s="417"/>
      <c r="BJ25" s="417"/>
      <c r="BK25" s="417"/>
      <c r="BL25" s="417"/>
      <c r="BM25" s="417"/>
      <c r="BN25" s="417"/>
      <c r="BO25" s="417"/>
      <c r="BP25" s="417"/>
      <c r="BQ25" s="417"/>
      <c r="BR25" s="417"/>
      <c r="BS25" s="417"/>
      <c r="BT25" s="417"/>
      <c r="BU25" s="417"/>
      <c r="BV25" s="417"/>
      <c r="BW25" s="417"/>
      <c r="BX25" s="417">
        <v>14</v>
      </c>
      <c r="BY25" s="417"/>
      <c r="BZ25" s="417"/>
      <c r="CA25" s="385"/>
      <c r="CB25" s="417">
        <v>20</v>
      </c>
      <c r="CC25" s="417"/>
      <c r="CD25" s="417"/>
      <c r="CE25" s="385"/>
      <c r="CF25" s="385"/>
      <c r="CG25" s="385"/>
      <c r="CH25" s="417"/>
      <c r="CI25" s="417"/>
      <c r="CJ25" s="417"/>
      <c r="CK25" s="417"/>
      <c r="CL25" s="417">
        <v>10</v>
      </c>
      <c r="CM25" s="385"/>
      <c r="CN25" s="417"/>
      <c r="CO25" s="417"/>
      <c r="CP25" s="417"/>
      <c r="CQ25" s="385"/>
      <c r="CR25" s="385"/>
      <c r="CS25" s="417"/>
      <c r="CT25" s="417"/>
      <c r="CU25" s="417"/>
      <c r="CV25" s="417"/>
      <c r="CW25" s="417"/>
      <c r="CX25" s="417"/>
      <c r="CY25" s="417"/>
      <c r="CZ25" s="417">
        <v>10</v>
      </c>
      <c r="DA25" s="385"/>
      <c r="DB25" s="417"/>
      <c r="DC25" s="385"/>
      <c r="DD25" s="385"/>
      <c r="DE25" s="385"/>
      <c r="DF25" s="385"/>
      <c r="DG25" s="385"/>
      <c r="DH25" s="417"/>
      <c r="DI25" s="417"/>
      <c r="DJ25" s="417"/>
      <c r="DK25" s="385">
        <v>22</v>
      </c>
      <c r="DL25" s="385"/>
      <c r="DM25" s="385"/>
      <c r="DN25" s="417"/>
      <c r="DO25" s="417"/>
      <c r="DP25" s="385"/>
      <c r="DQ25" s="385"/>
      <c r="DR25" s="385">
        <v>17</v>
      </c>
      <c r="DS25" s="417"/>
      <c r="DT25" s="417"/>
      <c r="DU25" s="417"/>
      <c r="DV25" s="417"/>
      <c r="DW25" s="385"/>
      <c r="DX25" s="385"/>
      <c r="DY25" s="417"/>
      <c r="DZ25" s="417">
        <v>10</v>
      </c>
      <c r="EA25" s="417">
        <v>6</v>
      </c>
      <c r="EB25" s="385"/>
      <c r="EC25" s="385"/>
      <c r="ED25" s="65">
        <v>20</v>
      </c>
      <c r="EE25" s="417"/>
      <c r="EF25" s="417"/>
      <c r="EG25" s="417"/>
      <c r="EH25" s="417"/>
      <c r="EI25" s="417"/>
      <c r="EJ25" s="417">
        <v>10</v>
      </c>
      <c r="EK25" s="417"/>
      <c r="EL25" s="417"/>
      <c r="EM25" s="417"/>
      <c r="EN25" s="417"/>
      <c r="EO25" s="385"/>
      <c r="EP25" s="385"/>
      <c r="EQ25" s="417"/>
      <c r="ER25" s="417"/>
      <c r="ES25" s="417"/>
      <c r="ET25" s="417"/>
      <c r="EU25" s="417"/>
      <c r="EV25" s="385"/>
      <c r="EW25" s="385"/>
      <c r="EX25" s="385">
        <v>5</v>
      </c>
      <c r="EY25" s="385">
        <v>10</v>
      </c>
      <c r="EZ25" s="417"/>
      <c r="FA25" s="417"/>
      <c r="FB25" s="417"/>
      <c r="FC25" s="417"/>
      <c r="FD25" s="417"/>
      <c r="FE25" s="417"/>
      <c r="FF25" s="417"/>
      <c r="FG25" s="417"/>
      <c r="FH25" s="417"/>
      <c r="FI25" s="417"/>
      <c r="FJ25" s="417">
        <v>5</v>
      </c>
      <c r="FK25" s="385"/>
      <c r="FL25" s="417"/>
      <c r="FM25" s="385"/>
      <c r="FN25" s="417">
        <v>13</v>
      </c>
      <c r="FO25" s="417"/>
      <c r="FP25" s="417"/>
      <c r="FQ25" s="417"/>
      <c r="FR25" s="417"/>
      <c r="FS25" s="417"/>
      <c r="FT25" s="385"/>
      <c r="FU25" s="385"/>
      <c r="FV25" s="385">
        <v>10</v>
      </c>
      <c r="FW25" s="417"/>
      <c r="FX25" s="417"/>
      <c r="FY25" s="385">
        <v>5</v>
      </c>
      <c r="FZ25" s="417"/>
      <c r="GA25" s="417"/>
      <c r="GB25" s="385"/>
      <c r="GC25" s="417"/>
      <c r="GD25" s="417"/>
      <c r="GE25" s="417"/>
      <c r="GF25" s="385">
        <v>5</v>
      </c>
      <c r="GG25" s="417"/>
      <c r="GH25" s="385">
        <v>15</v>
      </c>
      <c r="GI25" s="417"/>
      <c r="GJ25" s="385">
        <v>11</v>
      </c>
      <c r="GK25" s="417"/>
      <c r="GL25" s="417"/>
      <c r="GM25" s="417"/>
      <c r="GN25" s="417"/>
      <c r="GO25" s="417"/>
      <c r="GP25" s="417"/>
      <c r="GQ25" s="417"/>
      <c r="GR25" s="417"/>
      <c r="GS25" s="385"/>
      <c r="GT25" s="385">
        <v>5</v>
      </c>
      <c r="GU25" s="417"/>
      <c r="GV25" s="385"/>
      <c r="GW25" s="417"/>
      <c r="GX25" s="385">
        <v>11</v>
      </c>
      <c r="GY25" s="385">
        <v>3</v>
      </c>
      <c r="GZ25" s="417"/>
      <c r="HA25" s="417"/>
      <c r="HB25" s="417"/>
      <c r="HC25" s="417"/>
      <c r="HD25" s="417"/>
      <c r="HE25" s="417"/>
      <c r="HF25" s="417"/>
      <c r="HG25" s="417"/>
      <c r="HH25" s="385">
        <v>20</v>
      </c>
      <c r="HI25" s="417"/>
      <c r="HJ25" s="417"/>
      <c r="HK25" s="417"/>
      <c r="HL25" s="417"/>
      <c r="HM25" s="417"/>
      <c r="HN25" s="385"/>
      <c r="HO25" s="417"/>
      <c r="HP25" s="417"/>
      <c r="HQ25" s="417"/>
      <c r="HR25" s="417"/>
      <c r="HS25" s="417"/>
      <c r="HT25" s="417"/>
      <c r="HU25" s="385">
        <v>6</v>
      </c>
      <c r="HV25" s="417"/>
      <c r="HW25" s="417"/>
      <c r="HX25" s="417"/>
      <c r="HY25" s="417"/>
      <c r="HZ25" s="417"/>
      <c r="IA25" s="417"/>
      <c r="IB25" s="417"/>
      <c r="IC25" s="417"/>
      <c r="ID25" s="417"/>
      <c r="IE25" s="417"/>
      <c r="IF25" s="417"/>
      <c r="IG25" s="417"/>
      <c r="IH25" s="417"/>
      <c r="II25" s="417"/>
      <c r="IJ25" s="417"/>
      <c r="IK25" s="417"/>
      <c r="IL25" s="417"/>
      <c r="IM25" s="417"/>
      <c r="IN25" s="417"/>
      <c r="IO25" s="417"/>
      <c r="IP25" s="417"/>
      <c r="IQ25" s="417"/>
      <c r="IR25" s="417"/>
      <c r="IS25" s="417"/>
      <c r="IT25" s="417"/>
      <c r="IU25" s="417"/>
      <c r="IV25" s="417"/>
      <c r="IW25" s="417"/>
      <c r="IX25" s="417"/>
      <c r="IY25" s="417"/>
      <c r="IZ25" s="417"/>
      <c r="JA25" s="417"/>
      <c r="JB25" s="417"/>
      <c r="JC25" s="417"/>
      <c r="JD25" s="417"/>
      <c r="JE25" s="417"/>
      <c r="JF25" s="417"/>
      <c r="JG25" s="417"/>
      <c r="JH25" s="417"/>
      <c r="JI25" s="417"/>
      <c r="JJ25" s="417"/>
      <c r="JK25" s="417"/>
      <c r="JL25" s="417"/>
      <c r="JM25" s="417"/>
      <c r="JN25" s="417"/>
      <c r="JO25" s="417"/>
      <c r="JP25" s="417"/>
      <c r="JQ25" s="417"/>
      <c r="JR25" s="417"/>
      <c r="JS25" s="417"/>
      <c r="JT25" s="417"/>
      <c r="JU25" s="417"/>
      <c r="JV25" s="417"/>
      <c r="JW25" s="417"/>
      <c r="JX25" s="417"/>
      <c r="JY25" s="417"/>
      <c r="JZ25" s="417"/>
      <c r="KA25" s="417"/>
      <c r="KB25" s="417"/>
      <c r="KC25" s="417"/>
      <c r="KD25" s="417"/>
      <c r="KE25" s="417"/>
      <c r="KF25" s="417"/>
      <c r="KG25" s="417"/>
      <c r="KH25" s="417"/>
      <c r="KI25" s="417"/>
      <c r="KJ25" s="417"/>
      <c r="KK25" s="417"/>
      <c r="KL25" s="417"/>
      <c r="KM25" s="417"/>
      <c r="KN25" s="417"/>
      <c r="KO25" s="417"/>
      <c r="KP25" s="417"/>
      <c r="KQ25" s="417"/>
      <c r="KR25" s="417"/>
      <c r="KS25" s="417"/>
      <c r="KT25" s="417"/>
      <c r="KU25" s="417"/>
      <c r="KV25" s="417"/>
      <c r="KW25" s="417"/>
      <c r="KX25" s="417"/>
      <c r="KY25" s="417"/>
      <c r="KZ25" s="417"/>
      <c r="LA25" s="417"/>
      <c r="LB25" s="417"/>
      <c r="LC25" s="417"/>
      <c r="LD25" s="417"/>
      <c r="LE25" s="417"/>
      <c r="LF25" s="417"/>
      <c r="LG25" s="417"/>
      <c r="LH25" s="417"/>
      <c r="LI25" s="417"/>
      <c r="LJ25" s="417"/>
      <c r="LK25" s="417"/>
      <c r="LL25" s="417"/>
      <c r="LM25" s="417"/>
      <c r="LN25" s="417"/>
      <c r="LO25" s="417"/>
      <c r="LP25" s="417"/>
      <c r="LQ25" s="417"/>
      <c r="LR25" s="417"/>
      <c r="LS25" s="417"/>
      <c r="LT25" s="417"/>
      <c r="LU25" s="417"/>
      <c r="LV25" s="417"/>
      <c r="LW25" s="417"/>
      <c r="LX25" s="417"/>
      <c r="LY25" s="417"/>
      <c r="LZ25" s="417"/>
      <c r="MA25" s="417"/>
      <c r="MB25" s="417"/>
      <c r="MC25" s="417"/>
      <c r="MD25" s="417"/>
      <c r="ME25" s="417"/>
      <c r="MF25" s="417"/>
      <c r="MG25" s="417"/>
      <c r="MH25" s="417"/>
      <c r="MI25" s="417"/>
      <c r="MJ25" s="417"/>
      <c r="MK25" s="417"/>
      <c r="ML25" s="417"/>
      <c r="MM25" s="417"/>
      <c r="MN25" s="417"/>
      <c r="MO25" s="417"/>
      <c r="MP25" s="417"/>
      <c r="MQ25" s="417"/>
      <c r="MR25" s="417"/>
      <c r="MS25" s="417"/>
      <c r="MT25" s="417"/>
      <c r="MU25" s="417"/>
      <c r="MV25" s="417"/>
      <c r="MW25" s="417"/>
      <c r="MX25" s="417"/>
      <c r="MY25" s="417"/>
      <c r="MZ25" s="417"/>
      <c r="NA25" s="417"/>
      <c r="NB25" s="417"/>
      <c r="NC25" s="417"/>
      <c r="ND25" s="417"/>
      <c r="NE25" s="417"/>
      <c r="NF25" s="417"/>
      <c r="NG25" s="417"/>
      <c r="NH25" s="417"/>
      <c r="NI25" s="417"/>
      <c r="NJ25" s="417"/>
      <c r="NK25" s="417"/>
      <c r="NL25" s="417"/>
      <c r="NM25" s="417"/>
      <c r="NN25" s="417"/>
      <c r="NO25" s="417"/>
      <c r="NP25" s="417"/>
      <c r="NQ25" s="417"/>
      <c r="NR25" s="417"/>
      <c r="NS25" s="417"/>
      <c r="NT25" s="417"/>
      <c r="NU25" s="417"/>
      <c r="NV25" s="417"/>
      <c r="NW25" s="417"/>
      <c r="NX25" s="417"/>
      <c r="NY25" s="417"/>
      <c r="NZ25" s="417"/>
      <c r="OA25" s="417"/>
      <c r="OB25" s="417"/>
      <c r="OC25" s="417"/>
      <c r="OD25" s="417"/>
      <c r="OE25" s="417"/>
      <c r="OF25" s="417"/>
      <c r="OG25" s="417"/>
      <c r="OH25" s="417"/>
      <c r="OI25" s="385"/>
      <c r="OJ25" s="417"/>
      <c r="OK25" s="417"/>
      <c r="OL25" s="417"/>
      <c r="OM25" s="417"/>
      <c r="ON25" s="417"/>
      <c r="OO25" s="417"/>
      <c r="OP25" s="417"/>
      <c r="OQ25" s="417"/>
      <c r="OR25" s="417"/>
      <c r="OS25" s="417"/>
      <c r="OT25" s="417"/>
      <c r="OU25" s="417"/>
      <c r="OV25" s="417"/>
      <c r="OW25" s="417"/>
      <c r="OX25" s="417"/>
      <c r="OY25" s="417"/>
      <c r="OZ25" s="417"/>
      <c r="PA25" s="417"/>
      <c r="PB25" s="417"/>
      <c r="PC25" s="417"/>
      <c r="PD25" s="417"/>
      <c r="PE25" s="417"/>
      <c r="PF25" s="417"/>
      <c r="PG25" s="417"/>
    </row>
    <row r="26" spans="1:423" ht="15.75" customHeight="1" thickBot="1" x14ac:dyDescent="0.3">
      <c r="A26" s="416">
        <v>549754610189</v>
      </c>
      <c r="B26" s="384">
        <f t="shared" si="0"/>
        <v>23</v>
      </c>
      <c r="C26" s="384">
        <v>360</v>
      </c>
      <c r="D26" s="384">
        <f>SUMIF('Sap Inwarding'!F:F,'Front Dispatch'!$A26,'Sap Inwarding'!H:H)</f>
        <v>23</v>
      </c>
      <c r="E26" s="10">
        <f t="shared" si="1"/>
        <v>337</v>
      </c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V26" s="417"/>
      <c r="W26" s="417"/>
      <c r="X26" s="417"/>
      <c r="Y26" s="385"/>
      <c r="Z26" s="417"/>
      <c r="AA26" s="417"/>
      <c r="AB26" s="417"/>
      <c r="AC26" s="417"/>
      <c r="AD26" s="417"/>
      <c r="AE26" s="417"/>
      <c r="AF26" s="417"/>
      <c r="AG26" s="417"/>
      <c r="AH26" s="417"/>
      <c r="AI26" s="417"/>
      <c r="AJ26" s="417"/>
      <c r="AK26" s="417"/>
      <c r="AL26" s="417"/>
      <c r="AM26" s="417"/>
      <c r="AN26" s="417"/>
      <c r="AO26" s="417"/>
      <c r="AP26" s="417"/>
      <c r="AQ26" s="417"/>
      <c r="AR26" s="417"/>
      <c r="AS26" s="417"/>
      <c r="AT26" s="417"/>
      <c r="AU26" s="385"/>
      <c r="AV26" s="385"/>
      <c r="AW26" s="385"/>
      <c r="AX26" s="385"/>
      <c r="AY26" s="385"/>
      <c r="AZ26" s="417"/>
      <c r="BA26" s="417"/>
      <c r="BB26" s="417"/>
      <c r="BC26" s="417"/>
      <c r="BD26" s="385"/>
      <c r="BE26" s="417"/>
      <c r="BF26" s="417"/>
      <c r="BG26" s="417"/>
      <c r="BH26" s="417"/>
      <c r="BI26" s="417"/>
      <c r="BJ26" s="417"/>
      <c r="BK26" s="417"/>
      <c r="BL26" s="417"/>
      <c r="BM26" s="417"/>
      <c r="BN26" s="417"/>
      <c r="BO26" s="417"/>
      <c r="BP26" s="417"/>
      <c r="BQ26" s="417"/>
      <c r="BR26" s="417"/>
      <c r="BS26" s="417"/>
      <c r="BT26" s="417"/>
      <c r="BU26" s="417"/>
      <c r="BV26" s="417"/>
      <c r="BW26" s="417"/>
      <c r="BX26" s="417"/>
      <c r="BY26" s="417"/>
      <c r="BZ26" s="417"/>
      <c r="CA26" s="385"/>
      <c r="CB26" s="417"/>
      <c r="CC26" s="417"/>
      <c r="CD26" s="417"/>
      <c r="CE26" s="385"/>
      <c r="CF26" s="385"/>
      <c r="CG26" s="385"/>
      <c r="CH26" s="417"/>
      <c r="CI26" s="417"/>
      <c r="CJ26" s="417"/>
      <c r="CK26" s="417"/>
      <c r="CL26" s="417"/>
      <c r="CM26" s="385"/>
      <c r="CN26" s="417"/>
      <c r="CO26" s="417"/>
      <c r="CP26" s="417"/>
      <c r="CQ26" s="385"/>
      <c r="CR26" s="385"/>
      <c r="CS26" s="417"/>
      <c r="CT26" s="417"/>
      <c r="CU26" s="417"/>
      <c r="CV26" s="417"/>
      <c r="CW26" s="417"/>
      <c r="CX26" s="417"/>
      <c r="CY26" s="417"/>
      <c r="CZ26" s="417"/>
      <c r="DA26" s="385"/>
      <c r="DB26" s="417"/>
      <c r="DC26" s="385"/>
      <c r="DD26" s="385"/>
      <c r="DE26" s="385"/>
      <c r="DF26" s="385"/>
      <c r="DG26" s="385"/>
      <c r="DH26" s="417"/>
      <c r="DI26" s="417"/>
      <c r="DJ26" s="417"/>
      <c r="DK26" s="385"/>
      <c r="DL26" s="385"/>
      <c r="DM26" s="385"/>
      <c r="DN26" s="417"/>
      <c r="DO26" s="417"/>
      <c r="DP26" s="385"/>
      <c r="DQ26" s="385"/>
      <c r="DR26" s="385"/>
      <c r="DS26" s="417"/>
      <c r="DT26" s="417"/>
      <c r="DU26" s="417"/>
      <c r="DV26" s="417"/>
      <c r="DW26" s="385"/>
      <c r="DX26" s="385"/>
      <c r="DY26" s="417"/>
      <c r="DZ26" s="417"/>
      <c r="EA26" s="417"/>
      <c r="EB26" s="385"/>
      <c r="EC26" s="385"/>
      <c r="ED26" s="65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385"/>
      <c r="EP26" s="385"/>
      <c r="EQ26" s="417"/>
      <c r="ER26" s="417"/>
      <c r="ES26" s="417"/>
      <c r="ET26" s="417"/>
      <c r="EU26" s="417"/>
      <c r="EV26" s="385"/>
      <c r="EW26" s="385"/>
      <c r="EX26" s="385"/>
      <c r="EY26" s="385"/>
      <c r="EZ26" s="417"/>
      <c r="FA26" s="417"/>
      <c r="FB26" s="417"/>
      <c r="FC26" s="417"/>
      <c r="FD26" s="417"/>
      <c r="FE26" s="417"/>
      <c r="FF26" s="417"/>
      <c r="FG26" s="417"/>
      <c r="FH26" s="417"/>
      <c r="FI26" s="417"/>
      <c r="FJ26" s="417"/>
      <c r="FK26" s="385"/>
      <c r="FL26" s="417"/>
      <c r="FM26" s="385"/>
      <c r="FN26" s="417"/>
      <c r="FO26" s="417"/>
      <c r="FP26" s="417"/>
      <c r="FQ26" s="417"/>
      <c r="FR26" s="417"/>
      <c r="FS26" s="417"/>
      <c r="FT26" s="385"/>
      <c r="FU26" s="385"/>
      <c r="FV26" s="385"/>
      <c r="FW26" s="417"/>
      <c r="FX26" s="417"/>
      <c r="FY26" s="385"/>
      <c r="FZ26" s="417"/>
      <c r="GA26" s="417"/>
      <c r="GB26" s="385"/>
      <c r="GC26" s="417"/>
      <c r="GD26" s="417"/>
      <c r="GE26" s="417"/>
      <c r="GF26" s="385">
        <v>23</v>
      </c>
      <c r="GG26" s="417"/>
      <c r="GH26" s="385"/>
      <c r="GI26" s="417"/>
      <c r="GJ26" s="385"/>
      <c r="GK26" s="417"/>
      <c r="GL26" s="417"/>
      <c r="GM26" s="417"/>
      <c r="GN26" s="417"/>
      <c r="GO26" s="417"/>
      <c r="GP26" s="417"/>
      <c r="GQ26" s="417"/>
      <c r="GR26" s="417"/>
      <c r="GS26" s="385"/>
      <c r="GT26" s="385"/>
      <c r="GU26" s="417"/>
      <c r="GV26" s="385"/>
      <c r="GW26" s="417"/>
      <c r="GX26" s="385"/>
      <c r="GY26" s="385"/>
      <c r="GZ26" s="417"/>
      <c r="HA26" s="417"/>
      <c r="HB26" s="417"/>
      <c r="HC26" s="417"/>
      <c r="HD26" s="417"/>
      <c r="HE26" s="417"/>
      <c r="HF26" s="417"/>
      <c r="HG26" s="417"/>
      <c r="HH26" s="385"/>
      <c r="HI26" s="417"/>
      <c r="HJ26" s="417"/>
      <c r="HK26" s="417"/>
      <c r="HL26" s="417"/>
      <c r="HM26" s="417"/>
      <c r="HN26" s="385"/>
      <c r="HO26" s="417"/>
      <c r="HP26" s="417"/>
      <c r="HQ26" s="417"/>
      <c r="HR26" s="417"/>
      <c r="HS26" s="417"/>
      <c r="HT26" s="417"/>
      <c r="HU26" s="385"/>
      <c r="HV26" s="417"/>
      <c r="HW26" s="417"/>
      <c r="HX26" s="417"/>
      <c r="HY26" s="417"/>
      <c r="HZ26" s="417"/>
      <c r="IA26" s="417"/>
      <c r="IB26" s="417"/>
      <c r="IC26" s="417"/>
      <c r="ID26" s="417"/>
      <c r="IE26" s="417"/>
      <c r="IF26" s="417"/>
      <c r="IG26" s="417"/>
      <c r="IH26" s="417"/>
      <c r="II26" s="417"/>
      <c r="IJ26" s="417"/>
      <c r="IK26" s="417"/>
      <c r="IL26" s="417"/>
      <c r="IM26" s="417"/>
      <c r="IN26" s="417"/>
      <c r="IO26" s="417"/>
      <c r="IP26" s="417"/>
      <c r="IQ26" s="417"/>
      <c r="IR26" s="417"/>
      <c r="IS26" s="417"/>
      <c r="IT26" s="417"/>
      <c r="IU26" s="417"/>
      <c r="IV26" s="417"/>
      <c r="IW26" s="417"/>
      <c r="IX26" s="417"/>
      <c r="IY26" s="417"/>
      <c r="IZ26" s="417"/>
      <c r="JA26" s="417"/>
      <c r="JB26" s="417"/>
      <c r="JC26" s="417"/>
      <c r="JD26" s="417"/>
      <c r="JE26" s="417"/>
      <c r="JF26" s="417"/>
      <c r="JG26" s="417"/>
      <c r="JH26" s="417"/>
      <c r="JI26" s="417"/>
      <c r="JJ26" s="417"/>
      <c r="JK26" s="417"/>
      <c r="JL26" s="417"/>
      <c r="JM26" s="417"/>
      <c r="JN26" s="417"/>
      <c r="JO26" s="417"/>
      <c r="JP26" s="417"/>
      <c r="JQ26" s="417"/>
      <c r="JR26" s="417"/>
      <c r="JS26" s="417"/>
      <c r="JT26" s="417"/>
      <c r="JU26" s="417"/>
      <c r="JV26" s="417"/>
      <c r="JW26" s="417"/>
      <c r="JX26" s="417"/>
      <c r="JY26" s="417"/>
      <c r="JZ26" s="417"/>
      <c r="KA26" s="417"/>
      <c r="KB26" s="417"/>
      <c r="KC26" s="417"/>
      <c r="KD26" s="417"/>
      <c r="KE26" s="417"/>
      <c r="KF26" s="417"/>
      <c r="KG26" s="417"/>
      <c r="KH26" s="417"/>
      <c r="KI26" s="417"/>
      <c r="KJ26" s="417"/>
      <c r="KK26" s="417"/>
      <c r="KL26" s="417"/>
      <c r="KM26" s="417"/>
      <c r="KN26" s="417"/>
      <c r="KO26" s="417"/>
      <c r="KP26" s="417"/>
      <c r="KQ26" s="417"/>
      <c r="KR26" s="417"/>
      <c r="KS26" s="417"/>
      <c r="KT26" s="417"/>
      <c r="KU26" s="417"/>
      <c r="KV26" s="417"/>
      <c r="KW26" s="417"/>
      <c r="KX26" s="417"/>
      <c r="KY26" s="417"/>
      <c r="KZ26" s="417"/>
      <c r="LA26" s="417"/>
      <c r="LB26" s="417"/>
      <c r="LC26" s="417"/>
      <c r="LD26" s="417"/>
      <c r="LE26" s="417"/>
      <c r="LF26" s="417"/>
      <c r="LG26" s="417"/>
      <c r="LH26" s="417"/>
      <c r="LI26" s="417"/>
      <c r="LJ26" s="417"/>
      <c r="LK26" s="417"/>
      <c r="LL26" s="417"/>
      <c r="LM26" s="417"/>
      <c r="LN26" s="417"/>
      <c r="LO26" s="417"/>
      <c r="LP26" s="417"/>
      <c r="LQ26" s="417"/>
      <c r="LR26" s="417"/>
      <c r="LS26" s="417"/>
      <c r="LT26" s="417"/>
      <c r="LU26" s="417"/>
      <c r="LV26" s="417"/>
      <c r="LW26" s="417"/>
      <c r="LX26" s="417"/>
      <c r="LY26" s="417"/>
      <c r="LZ26" s="417"/>
      <c r="MA26" s="417"/>
      <c r="MB26" s="417"/>
      <c r="MC26" s="417"/>
      <c r="MD26" s="417"/>
      <c r="ME26" s="417"/>
      <c r="MF26" s="417"/>
      <c r="MG26" s="417"/>
      <c r="MH26" s="417"/>
      <c r="MI26" s="417"/>
      <c r="MJ26" s="417"/>
      <c r="MK26" s="417"/>
      <c r="ML26" s="417"/>
      <c r="MM26" s="417"/>
      <c r="MN26" s="417"/>
      <c r="MO26" s="417"/>
      <c r="MP26" s="417"/>
      <c r="MQ26" s="417"/>
      <c r="MR26" s="417"/>
      <c r="MS26" s="417"/>
      <c r="MT26" s="417"/>
      <c r="MU26" s="417"/>
      <c r="MV26" s="417"/>
      <c r="MW26" s="417"/>
      <c r="MX26" s="417"/>
      <c r="MY26" s="417"/>
      <c r="MZ26" s="417"/>
      <c r="NA26" s="417"/>
      <c r="NB26" s="417"/>
      <c r="NC26" s="417"/>
      <c r="ND26" s="417"/>
      <c r="NE26" s="417"/>
      <c r="NF26" s="417"/>
      <c r="NG26" s="417"/>
      <c r="NH26" s="417"/>
      <c r="NI26" s="417"/>
      <c r="NJ26" s="417"/>
      <c r="NK26" s="417"/>
      <c r="NL26" s="417"/>
      <c r="NM26" s="417"/>
      <c r="NN26" s="417"/>
      <c r="NO26" s="417"/>
      <c r="NP26" s="417"/>
      <c r="NQ26" s="417"/>
      <c r="NR26" s="417"/>
      <c r="NS26" s="417"/>
      <c r="NT26" s="417"/>
      <c r="NU26" s="417"/>
      <c r="NV26" s="417"/>
      <c r="NW26" s="417"/>
      <c r="NX26" s="417"/>
      <c r="NY26" s="417"/>
      <c r="NZ26" s="417"/>
      <c r="OA26" s="417"/>
      <c r="OB26" s="417"/>
      <c r="OC26" s="417"/>
      <c r="OD26" s="417"/>
      <c r="OE26" s="417"/>
      <c r="OF26" s="417"/>
      <c r="OG26" s="417"/>
      <c r="OH26" s="417"/>
      <c r="OI26" s="385"/>
      <c r="OJ26" s="417"/>
      <c r="OK26" s="417"/>
      <c r="OL26" s="417"/>
      <c r="OM26" s="417"/>
      <c r="ON26" s="417"/>
      <c r="OO26" s="417"/>
      <c r="OP26" s="417"/>
      <c r="OQ26" s="417"/>
      <c r="OR26" s="417"/>
      <c r="OS26" s="417"/>
      <c r="OT26" s="417"/>
      <c r="OU26" s="417"/>
      <c r="OV26" s="417"/>
      <c r="OW26" s="417"/>
      <c r="OX26" s="417"/>
      <c r="OY26" s="417"/>
      <c r="OZ26" s="417"/>
      <c r="PA26" s="417"/>
      <c r="PB26" s="417"/>
      <c r="PC26" s="417"/>
      <c r="PD26" s="417"/>
      <c r="PE26" s="417"/>
      <c r="PF26" s="417"/>
      <c r="PG26" s="417"/>
    </row>
    <row r="27" spans="1:423" ht="15.75" customHeight="1" thickBot="1" x14ac:dyDescent="0.3">
      <c r="A27" s="414">
        <v>549754600192</v>
      </c>
      <c r="B27" s="384">
        <f t="shared" si="0"/>
        <v>72</v>
      </c>
      <c r="C27" s="384">
        <v>238</v>
      </c>
      <c r="D27" s="384">
        <f>SUMIF('Sap Inwarding'!F:F,'Front Dispatch'!$A27,'Sap Inwarding'!H:H)</f>
        <v>65</v>
      </c>
      <c r="E27" s="10">
        <f t="shared" si="1"/>
        <v>166</v>
      </c>
      <c r="F27" s="417"/>
      <c r="G27" s="417"/>
      <c r="H27" s="417">
        <v>5</v>
      </c>
      <c r="I27" s="417">
        <v>20</v>
      </c>
      <c r="J27" s="417"/>
      <c r="K27" s="417"/>
      <c r="L27" s="417"/>
      <c r="M27" s="417"/>
      <c r="N27" s="417"/>
      <c r="O27" s="417"/>
      <c r="P27" s="417"/>
      <c r="Q27" s="417"/>
      <c r="R27" s="417"/>
      <c r="S27" s="417"/>
      <c r="T27" s="417"/>
      <c r="U27" s="417">
        <v>7</v>
      </c>
      <c r="V27" s="417"/>
      <c r="W27" s="417">
        <v>6</v>
      </c>
      <c r="X27" s="417"/>
      <c r="Y27" s="385">
        <v>5</v>
      </c>
      <c r="Z27" s="417"/>
      <c r="AA27" s="417"/>
      <c r="AB27" s="417"/>
      <c r="AC27" s="417"/>
      <c r="AD27" s="417"/>
      <c r="AE27" s="417"/>
      <c r="AF27" s="417"/>
      <c r="AG27" s="417"/>
      <c r="AH27" s="417"/>
      <c r="AI27" s="417"/>
      <c r="AJ27" s="417"/>
      <c r="AK27" s="417"/>
      <c r="AL27" s="417"/>
      <c r="AM27" s="417"/>
      <c r="AN27" s="417"/>
      <c r="AO27" s="417"/>
      <c r="AP27" s="417"/>
      <c r="AQ27" s="417"/>
      <c r="AR27" s="417"/>
      <c r="AS27" s="417"/>
      <c r="AT27" s="417"/>
      <c r="AU27" s="385"/>
      <c r="AV27" s="385"/>
      <c r="AW27" s="385"/>
      <c r="AX27" s="385"/>
      <c r="AY27" s="385"/>
      <c r="AZ27" s="417"/>
      <c r="BA27" s="417"/>
      <c r="BB27" s="417"/>
      <c r="BC27" s="417"/>
      <c r="BD27" s="385"/>
      <c r="BE27" s="417"/>
      <c r="BF27" s="417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  <c r="BS27" s="417"/>
      <c r="BT27" s="417"/>
      <c r="BU27" s="417"/>
      <c r="BV27" s="417"/>
      <c r="BW27" s="417"/>
      <c r="BX27" s="417"/>
      <c r="BY27" s="417"/>
      <c r="BZ27" s="417"/>
      <c r="CA27" s="385"/>
      <c r="CB27" s="417"/>
      <c r="CC27" s="417"/>
      <c r="CD27" s="417"/>
      <c r="CE27" s="385"/>
      <c r="CF27" s="385"/>
      <c r="CG27" s="385"/>
      <c r="CH27" s="417"/>
      <c r="CI27" s="417"/>
      <c r="CJ27" s="417"/>
      <c r="CK27" s="417"/>
      <c r="CL27" s="417"/>
      <c r="CM27" s="385"/>
      <c r="CN27" s="417"/>
      <c r="CO27" s="417"/>
      <c r="CP27" s="417"/>
      <c r="CQ27" s="385"/>
      <c r="CR27" s="385"/>
      <c r="CS27" s="417"/>
      <c r="CT27" s="417"/>
      <c r="CU27" s="417"/>
      <c r="CV27" s="417"/>
      <c r="CW27" s="417"/>
      <c r="CX27" s="417"/>
      <c r="CY27" s="417"/>
      <c r="CZ27" s="417"/>
      <c r="DA27" s="385"/>
      <c r="DB27" s="417"/>
      <c r="DC27" s="385"/>
      <c r="DD27" s="385"/>
      <c r="DE27" s="385"/>
      <c r="DF27" s="385"/>
      <c r="DG27" s="385"/>
      <c r="DH27" s="417"/>
      <c r="DI27" s="417"/>
      <c r="DJ27" s="417"/>
      <c r="DK27" s="385"/>
      <c r="DL27" s="385"/>
      <c r="DM27" s="385"/>
      <c r="DN27" s="417"/>
      <c r="DO27" s="417">
        <v>10</v>
      </c>
      <c r="DP27" s="385"/>
      <c r="DQ27" s="385"/>
      <c r="DR27" s="385"/>
      <c r="DS27" s="417"/>
      <c r="DT27" s="417"/>
      <c r="DU27" s="417"/>
      <c r="DV27" s="417"/>
      <c r="DW27" s="385"/>
      <c r="DX27" s="385"/>
      <c r="DY27" s="417"/>
      <c r="DZ27" s="417"/>
      <c r="EA27" s="417"/>
      <c r="EB27" s="385"/>
      <c r="EC27" s="385"/>
      <c r="ED27" s="65"/>
      <c r="EE27" s="417"/>
      <c r="EF27" s="417"/>
      <c r="EG27" s="417"/>
      <c r="EH27" s="417"/>
      <c r="EI27" s="417"/>
      <c r="EJ27" s="417"/>
      <c r="EK27" s="417"/>
      <c r="EL27" s="417"/>
      <c r="EM27" s="417"/>
      <c r="EN27" s="417"/>
      <c r="EO27" s="385"/>
      <c r="EP27" s="385"/>
      <c r="EQ27" s="417"/>
      <c r="ER27" s="417"/>
      <c r="ES27" s="417"/>
      <c r="ET27" s="417"/>
      <c r="EU27" s="417"/>
      <c r="EV27" s="385"/>
      <c r="EW27" s="385"/>
      <c r="EX27" s="385"/>
      <c r="EY27" s="385"/>
      <c r="EZ27" s="417"/>
      <c r="FA27" s="417"/>
      <c r="FB27" s="417"/>
      <c r="FC27" s="417"/>
      <c r="FD27" s="417"/>
      <c r="FE27" s="417"/>
      <c r="FF27" s="417"/>
      <c r="FG27" s="417"/>
      <c r="FH27" s="417"/>
      <c r="FI27" s="417"/>
      <c r="FJ27" s="417"/>
      <c r="FK27" s="385"/>
      <c r="FL27" s="417"/>
      <c r="FM27" s="385"/>
      <c r="FN27" s="417"/>
      <c r="FO27" s="417"/>
      <c r="FP27" s="417"/>
      <c r="FQ27" s="417"/>
      <c r="FR27" s="417"/>
      <c r="FS27" s="417"/>
      <c r="FT27" s="385"/>
      <c r="FU27" s="385"/>
      <c r="FV27" s="385"/>
      <c r="FW27" s="417"/>
      <c r="FX27" s="417"/>
      <c r="FY27" s="385"/>
      <c r="FZ27" s="417"/>
      <c r="GA27" s="417"/>
      <c r="GB27" s="385"/>
      <c r="GC27" s="417"/>
      <c r="GD27" s="417"/>
      <c r="GE27" s="417"/>
      <c r="GF27" s="385"/>
      <c r="GG27" s="417"/>
      <c r="GH27" s="385">
        <v>2</v>
      </c>
      <c r="GI27" s="417"/>
      <c r="GJ27" s="385"/>
      <c r="GK27" s="417"/>
      <c r="GL27" s="417"/>
      <c r="GM27" s="417"/>
      <c r="GN27" s="417"/>
      <c r="GO27" s="417"/>
      <c r="GP27" s="417"/>
      <c r="GQ27" s="417"/>
      <c r="GR27" s="417"/>
      <c r="GS27" s="385"/>
      <c r="GT27" s="385">
        <v>10</v>
      </c>
      <c r="GU27" s="417"/>
      <c r="GV27" s="385"/>
      <c r="GW27" s="417"/>
      <c r="GX27" s="385"/>
      <c r="GY27" s="385"/>
      <c r="GZ27" s="417"/>
      <c r="HA27" s="417"/>
      <c r="HB27" s="417"/>
      <c r="HC27" s="417"/>
      <c r="HD27" s="417"/>
      <c r="HE27" s="417"/>
      <c r="HF27" s="417"/>
      <c r="HG27" s="417">
        <v>7</v>
      </c>
      <c r="HH27" s="385"/>
      <c r="HI27" s="417"/>
      <c r="HJ27" s="417"/>
      <c r="HK27" s="417"/>
      <c r="HL27" s="417"/>
      <c r="HM27" s="417"/>
      <c r="HN27" s="385"/>
      <c r="HO27" s="417"/>
      <c r="HP27" s="417"/>
      <c r="HQ27" s="417"/>
      <c r="HR27" s="417"/>
      <c r="HS27" s="417"/>
      <c r="HT27" s="417"/>
      <c r="HU27" s="385"/>
      <c r="HV27" s="417"/>
      <c r="HW27" s="417"/>
      <c r="HX27" s="417"/>
      <c r="HY27" s="417"/>
      <c r="HZ27" s="417"/>
      <c r="IA27" s="417"/>
      <c r="IB27" s="417"/>
      <c r="IC27" s="417"/>
      <c r="ID27" s="417"/>
      <c r="IE27" s="417"/>
      <c r="IF27" s="417"/>
      <c r="IG27" s="417"/>
      <c r="IH27" s="417"/>
      <c r="II27" s="417"/>
      <c r="IJ27" s="417"/>
      <c r="IK27" s="417"/>
      <c r="IL27" s="417"/>
      <c r="IM27" s="417"/>
      <c r="IN27" s="417"/>
      <c r="IO27" s="417"/>
      <c r="IP27" s="417"/>
      <c r="IQ27" s="417"/>
      <c r="IR27" s="417"/>
      <c r="IS27" s="417"/>
      <c r="IT27" s="417"/>
      <c r="IU27" s="417"/>
      <c r="IV27" s="417"/>
      <c r="IW27" s="417"/>
      <c r="IX27" s="417"/>
      <c r="IY27" s="417"/>
      <c r="IZ27" s="417"/>
      <c r="JA27" s="417"/>
      <c r="JB27" s="417"/>
      <c r="JC27" s="417"/>
      <c r="JD27" s="417"/>
      <c r="JE27" s="417"/>
      <c r="JF27" s="417"/>
      <c r="JG27" s="417"/>
      <c r="JH27" s="417"/>
      <c r="JI27" s="417"/>
      <c r="JJ27" s="417"/>
      <c r="JK27" s="417"/>
      <c r="JL27" s="417"/>
      <c r="JM27" s="417"/>
      <c r="JN27" s="417"/>
      <c r="JO27" s="417"/>
      <c r="JP27" s="417"/>
      <c r="JQ27" s="417"/>
      <c r="JR27" s="417"/>
      <c r="JS27" s="417"/>
      <c r="JT27" s="417"/>
      <c r="JU27" s="417"/>
      <c r="JV27" s="417"/>
      <c r="JW27" s="417"/>
      <c r="JX27" s="417"/>
      <c r="JY27" s="417"/>
      <c r="JZ27" s="417"/>
      <c r="KA27" s="417"/>
      <c r="KB27" s="417"/>
      <c r="KC27" s="417"/>
      <c r="KD27" s="417"/>
      <c r="KE27" s="417"/>
      <c r="KF27" s="417"/>
      <c r="KG27" s="417"/>
      <c r="KH27" s="417"/>
      <c r="KI27" s="417"/>
      <c r="KJ27" s="417"/>
      <c r="KK27" s="417"/>
      <c r="KL27" s="417"/>
      <c r="KM27" s="417"/>
      <c r="KN27" s="417"/>
      <c r="KO27" s="417"/>
      <c r="KP27" s="417"/>
      <c r="KQ27" s="417"/>
      <c r="KR27" s="417"/>
      <c r="KS27" s="417"/>
      <c r="KT27" s="417"/>
      <c r="KU27" s="417"/>
      <c r="KV27" s="417"/>
      <c r="KW27" s="417"/>
      <c r="KX27" s="417"/>
      <c r="KY27" s="417"/>
      <c r="KZ27" s="417"/>
      <c r="LA27" s="417"/>
      <c r="LB27" s="417"/>
      <c r="LC27" s="417"/>
      <c r="LD27" s="417"/>
      <c r="LE27" s="417"/>
      <c r="LF27" s="417"/>
      <c r="LG27" s="417"/>
      <c r="LH27" s="417"/>
      <c r="LI27" s="417"/>
      <c r="LJ27" s="417"/>
      <c r="LK27" s="417"/>
      <c r="LL27" s="417"/>
      <c r="LM27" s="417"/>
      <c r="LN27" s="417"/>
      <c r="LO27" s="417"/>
      <c r="LP27" s="417"/>
      <c r="LQ27" s="417"/>
      <c r="LR27" s="417"/>
      <c r="LS27" s="417"/>
      <c r="LT27" s="417"/>
      <c r="LU27" s="417"/>
      <c r="LV27" s="417"/>
      <c r="LW27" s="417"/>
      <c r="LX27" s="417"/>
      <c r="LY27" s="417"/>
      <c r="LZ27" s="417"/>
      <c r="MA27" s="417"/>
      <c r="MB27" s="417"/>
      <c r="MC27" s="417"/>
      <c r="MD27" s="417"/>
      <c r="ME27" s="417"/>
      <c r="MF27" s="417"/>
      <c r="MG27" s="417"/>
      <c r="MH27" s="417"/>
      <c r="MI27" s="417"/>
      <c r="MJ27" s="417"/>
      <c r="MK27" s="417"/>
      <c r="ML27" s="417"/>
      <c r="MM27" s="417"/>
      <c r="MN27" s="417"/>
      <c r="MO27" s="417"/>
      <c r="MP27" s="417"/>
      <c r="MQ27" s="417"/>
      <c r="MR27" s="417"/>
      <c r="MS27" s="417"/>
      <c r="MT27" s="417"/>
      <c r="MU27" s="417"/>
      <c r="MV27" s="417"/>
      <c r="MW27" s="417"/>
      <c r="MX27" s="417"/>
      <c r="MY27" s="417"/>
      <c r="MZ27" s="417"/>
      <c r="NA27" s="417"/>
      <c r="NB27" s="417"/>
      <c r="NC27" s="417"/>
      <c r="ND27" s="417"/>
      <c r="NE27" s="417"/>
      <c r="NF27" s="417"/>
      <c r="NG27" s="417"/>
      <c r="NH27" s="417"/>
      <c r="NI27" s="417"/>
      <c r="NJ27" s="417"/>
      <c r="NK27" s="417"/>
      <c r="NL27" s="417"/>
      <c r="NM27" s="417"/>
      <c r="NN27" s="417"/>
      <c r="NO27" s="417"/>
      <c r="NP27" s="417"/>
      <c r="NQ27" s="417"/>
      <c r="NR27" s="417"/>
      <c r="NS27" s="417"/>
      <c r="NT27" s="417"/>
      <c r="NU27" s="417"/>
      <c r="NV27" s="417"/>
      <c r="NW27" s="417"/>
      <c r="NX27" s="417"/>
      <c r="NY27" s="417"/>
      <c r="NZ27" s="417"/>
      <c r="OA27" s="417"/>
      <c r="OB27" s="417"/>
      <c r="OC27" s="417"/>
      <c r="OD27" s="417"/>
      <c r="OE27" s="417"/>
      <c r="OF27" s="417"/>
      <c r="OG27" s="417"/>
      <c r="OH27" s="417"/>
      <c r="OI27" s="385"/>
      <c r="OJ27" s="417"/>
      <c r="OK27" s="417"/>
      <c r="OL27" s="417"/>
      <c r="OM27" s="417"/>
      <c r="ON27" s="417"/>
      <c r="OO27" s="417"/>
      <c r="OP27" s="417"/>
      <c r="OQ27" s="417"/>
      <c r="OR27" s="417"/>
      <c r="OS27" s="417"/>
      <c r="OT27" s="417"/>
      <c r="OU27" s="417"/>
      <c r="OV27" s="417"/>
      <c r="OW27" s="417"/>
      <c r="OX27" s="417"/>
      <c r="OY27" s="417"/>
      <c r="OZ27" s="417"/>
      <c r="PA27" s="417"/>
      <c r="PB27" s="417"/>
      <c r="PC27" s="417"/>
      <c r="PD27" s="417"/>
      <c r="PE27" s="417"/>
      <c r="PF27" s="417"/>
      <c r="PG27" s="417"/>
    </row>
    <row r="28" spans="1:423" ht="15.75" customHeight="1" thickBot="1" x14ac:dyDescent="0.3">
      <c r="A28" s="414">
        <v>549754600223</v>
      </c>
      <c r="B28" s="384">
        <f t="shared" si="0"/>
        <v>0</v>
      </c>
      <c r="C28" s="384">
        <v>0</v>
      </c>
      <c r="D28" s="384">
        <f>SUMIF('Sap Inwarding'!F:F,'Front Dispatch'!$A28,'Sap Inwarding'!H:H)</f>
        <v>0</v>
      </c>
      <c r="E28" s="10">
        <f t="shared" si="1"/>
        <v>0</v>
      </c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385"/>
      <c r="Z28" s="417"/>
      <c r="AA28" s="417"/>
      <c r="AB28" s="417"/>
      <c r="AC28" s="417"/>
      <c r="AD28" s="417"/>
      <c r="AE28" s="417"/>
      <c r="AF28" s="417"/>
      <c r="AG28" s="417"/>
      <c r="AH28" s="417"/>
      <c r="AI28" s="417"/>
      <c r="AJ28" s="417"/>
      <c r="AK28" s="417"/>
      <c r="AL28" s="417"/>
      <c r="AM28" s="417"/>
      <c r="AN28" s="417"/>
      <c r="AO28" s="417"/>
      <c r="AP28" s="417"/>
      <c r="AQ28" s="417"/>
      <c r="AR28" s="417"/>
      <c r="AS28" s="417"/>
      <c r="AT28" s="417"/>
      <c r="AU28" s="385"/>
      <c r="AV28" s="385"/>
      <c r="AW28" s="385"/>
      <c r="AX28" s="385"/>
      <c r="AY28" s="385"/>
      <c r="AZ28" s="417"/>
      <c r="BA28" s="417"/>
      <c r="BB28" s="417"/>
      <c r="BC28" s="417"/>
      <c r="BD28" s="385"/>
      <c r="BE28" s="417"/>
      <c r="BF28" s="417"/>
      <c r="BG28" s="417"/>
      <c r="BH28" s="417"/>
      <c r="BI28" s="417"/>
      <c r="BJ28" s="417"/>
      <c r="BK28" s="417"/>
      <c r="BL28" s="417"/>
      <c r="BM28" s="417"/>
      <c r="BN28" s="417"/>
      <c r="BO28" s="417"/>
      <c r="BP28" s="417"/>
      <c r="BQ28" s="417"/>
      <c r="BR28" s="417"/>
      <c r="BS28" s="417"/>
      <c r="BT28" s="417"/>
      <c r="BU28" s="417"/>
      <c r="BV28" s="417"/>
      <c r="BW28" s="417"/>
      <c r="BX28" s="417"/>
      <c r="BY28" s="417"/>
      <c r="BZ28" s="417"/>
      <c r="CA28" s="385"/>
      <c r="CB28" s="417"/>
      <c r="CC28" s="417"/>
      <c r="CD28" s="417"/>
      <c r="CE28" s="385"/>
      <c r="CF28" s="385"/>
      <c r="CG28" s="385"/>
      <c r="CH28" s="417"/>
      <c r="CI28" s="417"/>
      <c r="CJ28" s="417"/>
      <c r="CK28" s="417"/>
      <c r="CL28" s="417"/>
      <c r="CM28" s="385"/>
      <c r="CN28" s="417"/>
      <c r="CO28" s="417"/>
      <c r="CP28" s="417"/>
      <c r="CQ28" s="385"/>
      <c r="CR28" s="385"/>
      <c r="CS28" s="417"/>
      <c r="CT28" s="417"/>
      <c r="CU28" s="417"/>
      <c r="CV28" s="417"/>
      <c r="CW28" s="417"/>
      <c r="CX28" s="417"/>
      <c r="CY28" s="417"/>
      <c r="CZ28" s="417"/>
      <c r="DA28" s="385"/>
      <c r="DB28" s="417"/>
      <c r="DC28" s="385"/>
      <c r="DD28" s="385"/>
      <c r="DE28" s="385"/>
      <c r="DF28" s="385"/>
      <c r="DG28" s="385"/>
      <c r="DH28" s="417"/>
      <c r="DI28" s="417"/>
      <c r="DJ28" s="417"/>
      <c r="DK28" s="385"/>
      <c r="DL28" s="385"/>
      <c r="DM28" s="385"/>
      <c r="DN28" s="417"/>
      <c r="DO28" s="417"/>
      <c r="DP28" s="385"/>
      <c r="DQ28" s="385"/>
      <c r="DR28" s="385"/>
      <c r="DS28" s="417"/>
      <c r="DT28" s="417"/>
      <c r="DU28" s="417"/>
      <c r="DV28" s="417"/>
      <c r="DW28" s="385"/>
      <c r="DX28" s="385"/>
      <c r="DY28" s="417"/>
      <c r="DZ28" s="417"/>
      <c r="EA28" s="417"/>
      <c r="EB28" s="385"/>
      <c r="EC28" s="385"/>
      <c r="ED28" s="65"/>
      <c r="EE28" s="417"/>
      <c r="EF28" s="417"/>
      <c r="EG28" s="417"/>
      <c r="EH28" s="417"/>
      <c r="EI28" s="417"/>
      <c r="EJ28" s="417"/>
      <c r="EK28" s="417"/>
      <c r="EL28" s="417"/>
      <c r="EM28" s="417"/>
      <c r="EN28" s="417"/>
      <c r="EO28" s="385"/>
      <c r="EP28" s="385"/>
      <c r="EQ28" s="417"/>
      <c r="ER28" s="417"/>
      <c r="ES28" s="417"/>
      <c r="ET28" s="417"/>
      <c r="EU28" s="417"/>
      <c r="EV28" s="385"/>
      <c r="EW28" s="385"/>
      <c r="EX28" s="385"/>
      <c r="EY28" s="385"/>
      <c r="EZ28" s="417"/>
      <c r="FA28" s="417"/>
      <c r="FB28" s="417"/>
      <c r="FC28" s="417"/>
      <c r="FD28" s="417"/>
      <c r="FE28" s="417"/>
      <c r="FF28" s="417"/>
      <c r="FG28" s="417"/>
      <c r="FH28" s="417"/>
      <c r="FI28" s="417"/>
      <c r="FJ28" s="417"/>
      <c r="FK28" s="385"/>
      <c r="FL28" s="417"/>
      <c r="FM28" s="385"/>
      <c r="FN28" s="417"/>
      <c r="FO28" s="417"/>
      <c r="FP28" s="417"/>
      <c r="FQ28" s="417"/>
      <c r="FR28" s="417"/>
      <c r="FS28" s="417"/>
      <c r="FT28" s="385"/>
      <c r="FU28" s="385"/>
      <c r="FV28" s="385"/>
      <c r="FW28" s="417"/>
      <c r="FX28" s="417"/>
      <c r="FY28" s="385"/>
      <c r="FZ28" s="417"/>
      <c r="GA28" s="417"/>
      <c r="GB28" s="385"/>
      <c r="GC28" s="417"/>
      <c r="GD28" s="417"/>
      <c r="GE28" s="417"/>
      <c r="GF28" s="385"/>
      <c r="GG28" s="417"/>
      <c r="GH28" s="385"/>
      <c r="GI28" s="417"/>
      <c r="GJ28" s="385"/>
      <c r="GK28" s="417"/>
      <c r="GL28" s="417"/>
      <c r="GM28" s="417"/>
      <c r="GN28" s="417"/>
      <c r="GO28" s="417"/>
      <c r="GP28" s="417"/>
      <c r="GQ28" s="417"/>
      <c r="GR28" s="417"/>
      <c r="GS28" s="385"/>
      <c r="GT28" s="385"/>
      <c r="GU28" s="417"/>
      <c r="GV28" s="385"/>
      <c r="GW28" s="417"/>
      <c r="GX28" s="385"/>
      <c r="GY28" s="385"/>
      <c r="GZ28" s="417"/>
      <c r="HA28" s="417"/>
      <c r="HB28" s="417"/>
      <c r="HC28" s="417"/>
      <c r="HD28" s="417"/>
      <c r="HE28" s="417"/>
      <c r="HF28" s="417"/>
      <c r="HG28" s="417"/>
      <c r="HH28" s="385"/>
      <c r="HI28" s="417"/>
      <c r="HJ28" s="417"/>
      <c r="HK28" s="417"/>
      <c r="HL28" s="417"/>
      <c r="HM28" s="417"/>
      <c r="HN28" s="385"/>
      <c r="HO28" s="417"/>
      <c r="HP28" s="417"/>
      <c r="HQ28" s="417"/>
      <c r="HR28" s="417"/>
      <c r="HS28" s="417"/>
      <c r="HT28" s="417"/>
      <c r="HU28" s="385"/>
      <c r="HV28" s="417"/>
      <c r="HW28" s="417"/>
      <c r="HX28" s="417"/>
      <c r="HY28" s="417"/>
      <c r="HZ28" s="417"/>
      <c r="IA28" s="417"/>
      <c r="IB28" s="417"/>
      <c r="IC28" s="417"/>
      <c r="ID28" s="417"/>
      <c r="IE28" s="417"/>
      <c r="IF28" s="417"/>
      <c r="IG28" s="417"/>
      <c r="IH28" s="417"/>
      <c r="II28" s="417"/>
      <c r="IJ28" s="417"/>
      <c r="IK28" s="417"/>
      <c r="IL28" s="417"/>
      <c r="IM28" s="417"/>
      <c r="IN28" s="417"/>
      <c r="IO28" s="417"/>
      <c r="IP28" s="417"/>
      <c r="IQ28" s="417"/>
      <c r="IR28" s="417"/>
      <c r="IS28" s="417"/>
      <c r="IT28" s="417"/>
      <c r="IU28" s="417"/>
      <c r="IV28" s="417"/>
      <c r="IW28" s="417"/>
      <c r="IX28" s="417"/>
      <c r="IY28" s="417"/>
      <c r="IZ28" s="417"/>
      <c r="JA28" s="417"/>
      <c r="JB28" s="417"/>
      <c r="JC28" s="417"/>
      <c r="JD28" s="417"/>
      <c r="JE28" s="417"/>
      <c r="JF28" s="417"/>
      <c r="JG28" s="417"/>
      <c r="JH28" s="417"/>
      <c r="JI28" s="417"/>
      <c r="JJ28" s="417"/>
      <c r="JK28" s="417"/>
      <c r="JL28" s="417"/>
      <c r="JM28" s="417"/>
      <c r="JN28" s="417"/>
      <c r="JO28" s="417"/>
      <c r="JP28" s="417"/>
      <c r="JQ28" s="417"/>
      <c r="JR28" s="417"/>
      <c r="JS28" s="417"/>
      <c r="JT28" s="417"/>
      <c r="JU28" s="417"/>
      <c r="JV28" s="417"/>
      <c r="JW28" s="417"/>
      <c r="JX28" s="417"/>
      <c r="JY28" s="417"/>
      <c r="JZ28" s="417"/>
      <c r="KA28" s="417"/>
      <c r="KB28" s="417"/>
      <c r="KC28" s="417"/>
      <c r="KD28" s="417"/>
      <c r="KE28" s="417"/>
      <c r="KF28" s="417"/>
      <c r="KG28" s="417"/>
      <c r="KH28" s="417"/>
      <c r="KI28" s="417"/>
      <c r="KJ28" s="417"/>
      <c r="KK28" s="417"/>
      <c r="KL28" s="417"/>
      <c r="KM28" s="417"/>
      <c r="KN28" s="417"/>
      <c r="KO28" s="417"/>
      <c r="KP28" s="417"/>
      <c r="KQ28" s="417"/>
      <c r="KR28" s="417"/>
      <c r="KS28" s="417"/>
      <c r="KT28" s="417"/>
      <c r="KU28" s="417"/>
      <c r="KV28" s="417"/>
      <c r="KW28" s="417"/>
      <c r="KX28" s="417"/>
      <c r="KY28" s="417"/>
      <c r="KZ28" s="417"/>
      <c r="LA28" s="417"/>
      <c r="LB28" s="417"/>
      <c r="LC28" s="417"/>
      <c r="LD28" s="417"/>
      <c r="LE28" s="417"/>
      <c r="LF28" s="417"/>
      <c r="LG28" s="417"/>
      <c r="LH28" s="417"/>
      <c r="LI28" s="417"/>
      <c r="LJ28" s="417"/>
      <c r="LK28" s="417"/>
      <c r="LL28" s="417"/>
      <c r="LM28" s="417"/>
      <c r="LN28" s="417"/>
      <c r="LO28" s="417"/>
      <c r="LP28" s="417"/>
      <c r="LQ28" s="417"/>
      <c r="LR28" s="417"/>
      <c r="LS28" s="417"/>
      <c r="LT28" s="417"/>
      <c r="LU28" s="417"/>
      <c r="LV28" s="417"/>
      <c r="LW28" s="417"/>
      <c r="LX28" s="417"/>
      <c r="LY28" s="417"/>
      <c r="LZ28" s="417"/>
      <c r="MA28" s="417"/>
      <c r="MB28" s="417"/>
      <c r="MC28" s="417"/>
      <c r="MD28" s="417"/>
      <c r="ME28" s="417"/>
      <c r="MF28" s="417"/>
      <c r="MG28" s="417"/>
      <c r="MH28" s="417"/>
      <c r="MI28" s="417"/>
      <c r="MJ28" s="417"/>
      <c r="MK28" s="417"/>
      <c r="ML28" s="417"/>
      <c r="MM28" s="417"/>
      <c r="MN28" s="417"/>
      <c r="MO28" s="417"/>
      <c r="MP28" s="417"/>
      <c r="MQ28" s="417"/>
      <c r="MR28" s="417"/>
      <c r="MS28" s="417"/>
      <c r="MT28" s="417"/>
      <c r="MU28" s="417"/>
      <c r="MV28" s="417"/>
      <c r="MW28" s="417"/>
      <c r="MX28" s="417"/>
      <c r="MY28" s="417"/>
      <c r="MZ28" s="417"/>
      <c r="NA28" s="417"/>
      <c r="NB28" s="417"/>
      <c r="NC28" s="417"/>
      <c r="ND28" s="417"/>
      <c r="NE28" s="417"/>
      <c r="NF28" s="417"/>
      <c r="NG28" s="417"/>
      <c r="NH28" s="417"/>
      <c r="NI28" s="417"/>
      <c r="NJ28" s="417"/>
      <c r="NK28" s="417"/>
      <c r="NL28" s="417"/>
      <c r="NM28" s="417"/>
      <c r="NN28" s="417"/>
      <c r="NO28" s="417"/>
      <c r="NP28" s="417"/>
      <c r="NQ28" s="417"/>
      <c r="NR28" s="417"/>
      <c r="NS28" s="417"/>
      <c r="NT28" s="417"/>
      <c r="NU28" s="417"/>
      <c r="NV28" s="417"/>
      <c r="NW28" s="417"/>
      <c r="NX28" s="417"/>
      <c r="NY28" s="417"/>
      <c r="NZ28" s="417"/>
      <c r="OA28" s="417"/>
      <c r="OB28" s="417"/>
      <c r="OC28" s="417"/>
      <c r="OD28" s="417"/>
      <c r="OE28" s="417"/>
      <c r="OF28" s="417"/>
      <c r="OG28" s="417"/>
      <c r="OH28" s="417"/>
      <c r="OI28" s="385"/>
      <c r="OJ28" s="417"/>
      <c r="OK28" s="417"/>
      <c r="OL28" s="417"/>
      <c r="OM28" s="417"/>
      <c r="ON28" s="417"/>
      <c r="OO28" s="417"/>
      <c r="OP28" s="417"/>
      <c r="OQ28" s="417"/>
      <c r="OR28" s="417"/>
      <c r="OS28" s="417"/>
      <c r="OT28" s="417"/>
      <c r="OU28" s="417"/>
      <c r="OV28" s="417"/>
      <c r="OW28" s="417"/>
      <c r="OX28" s="417"/>
      <c r="OY28" s="417"/>
      <c r="OZ28" s="417"/>
      <c r="PA28" s="417"/>
      <c r="PB28" s="417"/>
      <c r="PC28" s="417"/>
      <c r="PD28" s="417"/>
      <c r="PE28" s="417"/>
      <c r="PF28" s="417"/>
      <c r="PG28" s="417"/>
    </row>
    <row r="29" spans="1:423" ht="15.75" customHeight="1" thickBot="1" x14ac:dyDescent="0.3">
      <c r="A29" s="414">
        <v>549754600193</v>
      </c>
      <c r="B29" s="384">
        <f t="shared" si="0"/>
        <v>94</v>
      </c>
      <c r="C29" s="384">
        <v>330</v>
      </c>
      <c r="D29" s="384">
        <f>SUMIF('Sap Inwarding'!F:F,'Front Dispatch'!$A29,'Sap Inwarding'!H:H)</f>
        <v>84</v>
      </c>
      <c r="E29" s="10">
        <f t="shared" si="1"/>
        <v>236</v>
      </c>
      <c r="F29" s="417"/>
      <c r="G29" s="417"/>
      <c r="H29" s="417"/>
      <c r="I29" s="417">
        <v>10</v>
      </c>
      <c r="J29" s="417"/>
      <c r="K29" s="417"/>
      <c r="L29" s="417"/>
      <c r="M29" s="417"/>
      <c r="N29" s="417"/>
      <c r="O29" s="417"/>
      <c r="P29" s="417"/>
      <c r="Q29" s="417"/>
      <c r="R29" s="417"/>
      <c r="S29" s="417"/>
      <c r="T29" s="417"/>
      <c r="U29" s="417"/>
      <c r="V29" s="417"/>
      <c r="W29" s="417"/>
      <c r="X29" s="417"/>
      <c r="Y29" s="385"/>
      <c r="Z29" s="417"/>
      <c r="AA29" s="417"/>
      <c r="AB29" s="417"/>
      <c r="AC29" s="417"/>
      <c r="AD29" s="417"/>
      <c r="AE29" s="417"/>
      <c r="AF29" s="417"/>
      <c r="AG29" s="417"/>
      <c r="AH29" s="417"/>
      <c r="AI29" s="417"/>
      <c r="AJ29" s="417"/>
      <c r="AK29" s="417">
        <v>40</v>
      </c>
      <c r="AL29" s="417"/>
      <c r="AM29" s="417"/>
      <c r="AN29" s="417"/>
      <c r="AO29" s="417"/>
      <c r="AP29" s="417"/>
      <c r="AQ29" s="417"/>
      <c r="AR29" s="417"/>
      <c r="AS29" s="417"/>
      <c r="AT29" s="417"/>
      <c r="AU29" s="385"/>
      <c r="AV29" s="385"/>
      <c r="AW29" s="385"/>
      <c r="AX29" s="385"/>
      <c r="AY29" s="385"/>
      <c r="AZ29" s="417"/>
      <c r="BA29" s="417"/>
      <c r="BB29" s="417"/>
      <c r="BC29" s="417"/>
      <c r="BD29" s="385"/>
      <c r="BE29" s="417"/>
      <c r="BF29" s="417"/>
      <c r="BG29" s="417"/>
      <c r="BH29" s="417"/>
      <c r="BI29" s="417"/>
      <c r="BJ29" s="417"/>
      <c r="BK29" s="417"/>
      <c r="BL29" s="417"/>
      <c r="BM29" s="417"/>
      <c r="BN29" s="417"/>
      <c r="BO29" s="417"/>
      <c r="BP29" s="417"/>
      <c r="BQ29" s="417"/>
      <c r="BR29" s="417"/>
      <c r="BS29" s="417"/>
      <c r="BT29" s="417"/>
      <c r="BU29" s="417"/>
      <c r="BV29" s="417"/>
      <c r="BW29" s="417"/>
      <c r="BX29" s="417"/>
      <c r="BY29" s="417"/>
      <c r="BZ29" s="417"/>
      <c r="CA29" s="385"/>
      <c r="CB29" s="417"/>
      <c r="CC29" s="417"/>
      <c r="CD29" s="417"/>
      <c r="CE29" s="385"/>
      <c r="CF29" s="385"/>
      <c r="CG29" s="385"/>
      <c r="CH29" s="417"/>
      <c r="CI29" s="417"/>
      <c r="CJ29" s="417"/>
      <c r="CK29" s="417"/>
      <c r="CL29" s="417"/>
      <c r="CM29" s="385"/>
      <c r="CN29" s="417"/>
      <c r="CO29" s="417"/>
      <c r="CP29" s="417"/>
      <c r="CQ29" s="385"/>
      <c r="CR29" s="385"/>
      <c r="CS29" s="417"/>
      <c r="CT29" s="417"/>
      <c r="CU29" s="417"/>
      <c r="CV29" s="417"/>
      <c r="CW29" s="417"/>
      <c r="CX29" s="417"/>
      <c r="CY29" s="417"/>
      <c r="CZ29" s="417"/>
      <c r="DA29" s="385"/>
      <c r="DB29" s="417"/>
      <c r="DC29" s="385"/>
      <c r="DD29" s="385"/>
      <c r="DE29" s="385"/>
      <c r="DF29" s="385"/>
      <c r="DG29" s="385"/>
      <c r="DH29" s="417"/>
      <c r="DI29" s="417"/>
      <c r="DJ29" s="417"/>
      <c r="DK29" s="385"/>
      <c r="DL29" s="385"/>
      <c r="DM29" s="385"/>
      <c r="DN29" s="417"/>
      <c r="DO29" s="417"/>
      <c r="DP29" s="385"/>
      <c r="DQ29" s="385"/>
      <c r="DR29" s="385"/>
      <c r="DS29" s="417"/>
      <c r="DT29" s="417"/>
      <c r="DU29" s="417"/>
      <c r="DV29" s="417"/>
      <c r="DW29" s="385"/>
      <c r="DX29" s="385"/>
      <c r="DY29" s="417"/>
      <c r="DZ29" s="417"/>
      <c r="EA29" s="417"/>
      <c r="EB29" s="385"/>
      <c r="EC29" s="385"/>
      <c r="ED29" s="65"/>
      <c r="EE29" s="417"/>
      <c r="EF29" s="417"/>
      <c r="EG29" s="417"/>
      <c r="EH29" s="417"/>
      <c r="EI29" s="417"/>
      <c r="EJ29" s="417"/>
      <c r="EK29" s="417"/>
      <c r="EL29" s="417"/>
      <c r="EM29" s="417"/>
      <c r="EN29" s="417"/>
      <c r="EO29" s="385"/>
      <c r="EP29" s="385"/>
      <c r="EQ29" s="417"/>
      <c r="ER29" s="417"/>
      <c r="ES29" s="417"/>
      <c r="ET29" s="417"/>
      <c r="EU29" s="417"/>
      <c r="EV29" s="385"/>
      <c r="EW29" s="385"/>
      <c r="EX29" s="385"/>
      <c r="EY29" s="385"/>
      <c r="EZ29" s="417"/>
      <c r="FA29" s="417"/>
      <c r="FB29" s="417"/>
      <c r="FC29" s="417"/>
      <c r="FD29" s="417"/>
      <c r="FE29" s="417"/>
      <c r="FF29" s="417"/>
      <c r="FG29" s="417"/>
      <c r="FH29" s="417"/>
      <c r="FI29" s="417"/>
      <c r="FJ29" s="417"/>
      <c r="FK29" s="385"/>
      <c r="FL29" s="417"/>
      <c r="FM29" s="385">
        <v>10</v>
      </c>
      <c r="FN29" s="417"/>
      <c r="FO29" s="417"/>
      <c r="FP29" s="417"/>
      <c r="FQ29" s="417"/>
      <c r="FR29" s="417"/>
      <c r="FS29" s="417"/>
      <c r="FT29" s="385"/>
      <c r="FU29" s="385"/>
      <c r="FV29" s="385"/>
      <c r="FW29" s="417"/>
      <c r="FX29" s="417"/>
      <c r="FY29" s="385"/>
      <c r="FZ29" s="417"/>
      <c r="GA29" s="417"/>
      <c r="GB29" s="385">
        <v>12</v>
      </c>
      <c r="GC29" s="417"/>
      <c r="GD29" s="417"/>
      <c r="GE29" s="417"/>
      <c r="GF29" s="385">
        <v>2</v>
      </c>
      <c r="GG29" s="417"/>
      <c r="GH29" s="385">
        <v>5</v>
      </c>
      <c r="GI29" s="417"/>
      <c r="GJ29" s="385">
        <v>5</v>
      </c>
      <c r="GK29" s="417"/>
      <c r="GL29" s="417"/>
      <c r="GM29" s="417"/>
      <c r="GN29" s="417"/>
      <c r="GO29" s="417"/>
      <c r="GP29" s="417"/>
      <c r="GQ29" s="417"/>
      <c r="GR29" s="417"/>
      <c r="GS29" s="385"/>
      <c r="GT29" s="385"/>
      <c r="GU29" s="417"/>
      <c r="GV29" s="385"/>
      <c r="GW29" s="417"/>
      <c r="GX29" s="385">
        <v>10</v>
      </c>
      <c r="GY29" s="385"/>
      <c r="GZ29" s="417"/>
      <c r="HA29" s="417"/>
      <c r="HB29" s="417"/>
      <c r="HC29" s="417"/>
      <c r="HD29" s="417"/>
      <c r="HE29" s="417"/>
      <c r="HF29" s="417"/>
      <c r="HG29" s="417"/>
      <c r="HH29" s="385"/>
      <c r="HI29" s="417"/>
      <c r="HJ29" s="417"/>
      <c r="HK29" s="417"/>
      <c r="HL29" s="417"/>
      <c r="HM29" s="417"/>
      <c r="HN29" s="385"/>
      <c r="HO29" s="417"/>
      <c r="HP29" s="417"/>
      <c r="HQ29" s="417"/>
      <c r="HR29" s="417"/>
      <c r="HS29" s="417"/>
      <c r="HT29" s="417"/>
      <c r="HU29" s="385"/>
      <c r="HV29" s="417"/>
      <c r="HW29" s="417"/>
      <c r="HX29" s="417"/>
      <c r="HY29" s="417"/>
      <c r="HZ29" s="417"/>
      <c r="IA29" s="417"/>
      <c r="IB29" s="417"/>
      <c r="IC29" s="417"/>
      <c r="ID29" s="417"/>
      <c r="IE29" s="417"/>
      <c r="IF29" s="417"/>
      <c r="IG29" s="417"/>
      <c r="IH29" s="417"/>
      <c r="II29" s="417"/>
      <c r="IJ29" s="417"/>
      <c r="IK29" s="417"/>
      <c r="IL29" s="417"/>
      <c r="IM29" s="417"/>
      <c r="IN29" s="417"/>
      <c r="IO29" s="417"/>
      <c r="IP29" s="417"/>
      <c r="IQ29" s="417"/>
      <c r="IR29" s="417"/>
      <c r="IS29" s="417"/>
      <c r="IT29" s="417"/>
      <c r="IU29" s="417"/>
      <c r="IV29" s="417"/>
      <c r="IW29" s="417"/>
      <c r="IX29" s="417"/>
      <c r="IY29" s="417"/>
      <c r="IZ29" s="417"/>
      <c r="JA29" s="417"/>
      <c r="JB29" s="417"/>
      <c r="JC29" s="417"/>
      <c r="JD29" s="417"/>
      <c r="JE29" s="417"/>
      <c r="JF29" s="417"/>
      <c r="JG29" s="417"/>
      <c r="JH29" s="417"/>
      <c r="JI29" s="417"/>
      <c r="JJ29" s="417"/>
      <c r="JK29" s="417"/>
      <c r="JL29" s="417"/>
      <c r="JM29" s="417"/>
      <c r="JN29" s="417"/>
      <c r="JO29" s="417"/>
      <c r="JP29" s="417"/>
      <c r="JQ29" s="417"/>
      <c r="JR29" s="417"/>
      <c r="JS29" s="417"/>
      <c r="JT29" s="417"/>
      <c r="JU29" s="417"/>
      <c r="JV29" s="417"/>
      <c r="JW29" s="417"/>
      <c r="JX29" s="417"/>
      <c r="JY29" s="417"/>
      <c r="JZ29" s="417"/>
      <c r="KA29" s="417"/>
      <c r="KB29" s="417"/>
      <c r="KC29" s="417"/>
      <c r="KD29" s="417"/>
      <c r="KE29" s="417"/>
      <c r="KF29" s="417"/>
      <c r="KG29" s="417"/>
      <c r="KH29" s="417"/>
      <c r="KI29" s="417"/>
      <c r="KJ29" s="417"/>
      <c r="KK29" s="417"/>
      <c r="KL29" s="417"/>
      <c r="KM29" s="417"/>
      <c r="KN29" s="417"/>
      <c r="KO29" s="417"/>
      <c r="KP29" s="417"/>
      <c r="KQ29" s="417"/>
      <c r="KR29" s="417"/>
      <c r="KS29" s="417"/>
      <c r="KT29" s="417"/>
      <c r="KU29" s="417"/>
      <c r="KV29" s="417"/>
      <c r="KW29" s="417"/>
      <c r="KX29" s="417"/>
      <c r="KY29" s="417"/>
      <c r="KZ29" s="417"/>
      <c r="LA29" s="417"/>
      <c r="LB29" s="417"/>
      <c r="LC29" s="417"/>
      <c r="LD29" s="417"/>
      <c r="LE29" s="417"/>
      <c r="LF29" s="417"/>
      <c r="LG29" s="417"/>
      <c r="LH29" s="417"/>
      <c r="LI29" s="417"/>
      <c r="LJ29" s="417"/>
      <c r="LK29" s="417"/>
      <c r="LL29" s="417"/>
      <c r="LM29" s="417"/>
      <c r="LN29" s="417"/>
      <c r="LO29" s="417"/>
      <c r="LP29" s="417"/>
      <c r="LQ29" s="417"/>
      <c r="LR29" s="417"/>
      <c r="LS29" s="417"/>
      <c r="LT29" s="417"/>
      <c r="LU29" s="417"/>
      <c r="LV29" s="417"/>
      <c r="LW29" s="417"/>
      <c r="LX29" s="417"/>
      <c r="LY29" s="417"/>
      <c r="LZ29" s="417"/>
      <c r="MA29" s="417"/>
      <c r="MB29" s="417"/>
      <c r="MC29" s="417"/>
      <c r="MD29" s="417"/>
      <c r="ME29" s="417"/>
      <c r="MF29" s="417"/>
      <c r="MG29" s="417"/>
      <c r="MH29" s="417"/>
      <c r="MI29" s="417"/>
      <c r="MJ29" s="417"/>
      <c r="MK29" s="417"/>
      <c r="ML29" s="417"/>
      <c r="MM29" s="417"/>
      <c r="MN29" s="417"/>
      <c r="MO29" s="417"/>
      <c r="MP29" s="417"/>
      <c r="MQ29" s="417"/>
      <c r="MR29" s="417"/>
      <c r="MS29" s="417"/>
      <c r="MT29" s="417"/>
      <c r="MU29" s="417"/>
      <c r="MV29" s="417"/>
      <c r="MW29" s="417"/>
      <c r="MX29" s="417"/>
      <c r="MY29" s="417"/>
      <c r="MZ29" s="417"/>
      <c r="NA29" s="417"/>
      <c r="NB29" s="417"/>
      <c r="NC29" s="417"/>
      <c r="ND29" s="417"/>
      <c r="NE29" s="417"/>
      <c r="NF29" s="417"/>
      <c r="NG29" s="417"/>
      <c r="NH29" s="417"/>
      <c r="NI29" s="417"/>
      <c r="NJ29" s="417"/>
      <c r="NK29" s="417"/>
      <c r="NL29" s="417"/>
      <c r="NM29" s="417"/>
      <c r="NN29" s="417"/>
      <c r="NO29" s="417"/>
      <c r="NP29" s="417"/>
      <c r="NQ29" s="417"/>
      <c r="NR29" s="417"/>
      <c r="NS29" s="417"/>
      <c r="NT29" s="417"/>
      <c r="NU29" s="417"/>
      <c r="NV29" s="417"/>
      <c r="NW29" s="417"/>
      <c r="NX29" s="417"/>
      <c r="NY29" s="417"/>
      <c r="NZ29" s="417"/>
      <c r="OA29" s="417"/>
      <c r="OB29" s="417"/>
      <c r="OC29" s="417"/>
      <c r="OD29" s="417"/>
      <c r="OE29" s="417"/>
      <c r="OF29" s="417"/>
      <c r="OG29" s="417"/>
      <c r="OH29" s="417"/>
      <c r="OI29" s="385"/>
      <c r="OJ29" s="417"/>
      <c r="OK29" s="417"/>
      <c r="OL29" s="417"/>
      <c r="OM29" s="417"/>
      <c r="ON29" s="417"/>
      <c r="OO29" s="417"/>
      <c r="OP29" s="417"/>
      <c r="OQ29" s="417"/>
      <c r="OR29" s="417"/>
      <c r="OS29" s="417"/>
      <c r="OT29" s="417"/>
      <c r="OU29" s="417"/>
      <c r="OV29" s="417"/>
      <c r="OW29" s="417"/>
      <c r="OX29" s="417"/>
      <c r="OY29" s="417"/>
      <c r="OZ29" s="417"/>
      <c r="PA29" s="417"/>
      <c r="PB29" s="417"/>
      <c r="PC29" s="417"/>
      <c r="PD29" s="417"/>
      <c r="PE29" s="417"/>
      <c r="PF29" s="417"/>
      <c r="PG29" s="417"/>
    </row>
    <row r="30" spans="1:423" ht="15.75" customHeight="1" thickBot="1" x14ac:dyDescent="0.3">
      <c r="A30" s="414">
        <v>549754600194</v>
      </c>
      <c r="B30" s="384">
        <f t="shared" si="0"/>
        <v>80</v>
      </c>
      <c r="C30" s="384">
        <v>98</v>
      </c>
      <c r="D30" s="384">
        <f>SUMIF('Sap Inwarding'!F:F,'Front Dispatch'!$A30,'Sap Inwarding'!H:H)</f>
        <v>60</v>
      </c>
      <c r="E30" s="10">
        <f t="shared" si="1"/>
        <v>18</v>
      </c>
      <c r="F30" s="417"/>
      <c r="G30" s="417"/>
      <c r="H30" s="417"/>
      <c r="I30" s="417"/>
      <c r="J30" s="417"/>
      <c r="K30" s="417"/>
      <c r="L30" s="417"/>
      <c r="M30" s="417"/>
      <c r="N30" s="417"/>
      <c r="O30" s="417"/>
      <c r="P30" s="417"/>
      <c r="Q30" s="417"/>
      <c r="R30" s="417"/>
      <c r="S30" s="417"/>
      <c r="T30" s="417"/>
      <c r="U30" s="417"/>
      <c r="V30" s="417"/>
      <c r="W30" s="417"/>
      <c r="X30" s="417"/>
      <c r="Y30" s="385"/>
      <c r="Z30" s="417"/>
      <c r="AA30" s="417"/>
      <c r="AB30" s="417"/>
      <c r="AC30" s="417"/>
      <c r="AD30" s="417"/>
      <c r="AE30" s="417"/>
      <c r="AF30" s="417"/>
      <c r="AG30" s="417"/>
      <c r="AH30" s="417"/>
      <c r="AI30" s="417"/>
      <c r="AJ30" s="417"/>
      <c r="AK30" s="417">
        <v>20</v>
      </c>
      <c r="AL30" s="417"/>
      <c r="AM30" s="417"/>
      <c r="AN30" s="417"/>
      <c r="AO30" s="417"/>
      <c r="AP30" s="417"/>
      <c r="AQ30" s="417"/>
      <c r="AR30" s="417"/>
      <c r="AS30" s="417"/>
      <c r="AT30" s="417"/>
      <c r="AU30" s="385"/>
      <c r="AV30" s="385"/>
      <c r="AW30" s="385"/>
      <c r="AX30" s="385"/>
      <c r="AY30" s="385"/>
      <c r="AZ30" s="417"/>
      <c r="BA30" s="417"/>
      <c r="BB30" s="417"/>
      <c r="BC30" s="417"/>
      <c r="BD30" s="385"/>
      <c r="BE30" s="417"/>
      <c r="BF30" s="417"/>
      <c r="BG30" s="417"/>
      <c r="BH30" s="417"/>
      <c r="BI30" s="417"/>
      <c r="BJ30" s="417"/>
      <c r="BK30" s="417"/>
      <c r="BL30" s="417"/>
      <c r="BM30" s="417"/>
      <c r="BN30" s="417"/>
      <c r="BO30" s="417"/>
      <c r="BP30" s="417"/>
      <c r="BQ30" s="417"/>
      <c r="BR30" s="417"/>
      <c r="BS30" s="417"/>
      <c r="BT30" s="417"/>
      <c r="BU30" s="417"/>
      <c r="BV30" s="417"/>
      <c r="BW30" s="417"/>
      <c r="BX30" s="417"/>
      <c r="BY30" s="417"/>
      <c r="BZ30" s="417"/>
      <c r="CA30" s="385"/>
      <c r="CB30" s="417"/>
      <c r="CC30" s="417"/>
      <c r="CD30" s="417"/>
      <c r="CE30" s="385"/>
      <c r="CF30" s="385"/>
      <c r="CG30" s="385"/>
      <c r="CH30" s="417"/>
      <c r="CI30" s="417"/>
      <c r="CJ30" s="417"/>
      <c r="CK30" s="417"/>
      <c r="CL30" s="417"/>
      <c r="CM30" s="385"/>
      <c r="CN30" s="417"/>
      <c r="CO30" s="417"/>
      <c r="CP30" s="417"/>
      <c r="CQ30" s="385"/>
      <c r="CR30" s="385"/>
      <c r="CS30" s="417"/>
      <c r="CT30" s="417"/>
      <c r="CU30" s="417"/>
      <c r="CV30" s="417"/>
      <c r="CW30" s="417"/>
      <c r="CX30" s="417"/>
      <c r="CY30" s="417"/>
      <c r="CZ30" s="417"/>
      <c r="DA30" s="385"/>
      <c r="DB30" s="417"/>
      <c r="DC30" s="385"/>
      <c r="DD30" s="385"/>
      <c r="DE30" s="385"/>
      <c r="DF30" s="385"/>
      <c r="DG30" s="385"/>
      <c r="DH30" s="417"/>
      <c r="DI30" s="417"/>
      <c r="DJ30" s="417"/>
      <c r="DK30" s="385"/>
      <c r="DL30" s="385"/>
      <c r="DM30" s="385"/>
      <c r="DN30" s="417"/>
      <c r="DO30" s="417"/>
      <c r="DP30" s="385"/>
      <c r="DQ30" s="385"/>
      <c r="DR30" s="385"/>
      <c r="DS30" s="417"/>
      <c r="DT30" s="417"/>
      <c r="DU30" s="417"/>
      <c r="DV30" s="417"/>
      <c r="DW30" s="385"/>
      <c r="DX30" s="385"/>
      <c r="DY30" s="417"/>
      <c r="DZ30" s="417"/>
      <c r="EA30" s="417"/>
      <c r="EB30" s="385"/>
      <c r="EC30" s="385"/>
      <c r="ED30" s="65"/>
      <c r="EE30" s="417"/>
      <c r="EF30" s="417"/>
      <c r="EG30" s="417"/>
      <c r="EH30" s="417"/>
      <c r="EI30" s="417"/>
      <c r="EJ30" s="417"/>
      <c r="EK30" s="417"/>
      <c r="EL30" s="417"/>
      <c r="EM30" s="417"/>
      <c r="EN30" s="417"/>
      <c r="EO30" s="385"/>
      <c r="EP30" s="385"/>
      <c r="EQ30" s="417"/>
      <c r="ER30" s="417"/>
      <c r="ES30" s="417"/>
      <c r="ET30" s="417"/>
      <c r="EU30" s="417"/>
      <c r="EV30" s="385"/>
      <c r="EW30" s="385"/>
      <c r="EX30" s="385"/>
      <c r="EY30" s="385"/>
      <c r="EZ30" s="417"/>
      <c r="FA30" s="417"/>
      <c r="FB30" s="417"/>
      <c r="FC30" s="417"/>
      <c r="FD30" s="417"/>
      <c r="FE30" s="417"/>
      <c r="FF30" s="417"/>
      <c r="FG30" s="417"/>
      <c r="FH30" s="417"/>
      <c r="FI30" s="417"/>
      <c r="FJ30" s="417"/>
      <c r="FK30" s="385"/>
      <c r="FL30" s="417"/>
      <c r="FM30" s="385">
        <v>30</v>
      </c>
      <c r="FN30" s="417"/>
      <c r="FO30" s="417"/>
      <c r="FP30" s="417"/>
      <c r="FQ30" s="417"/>
      <c r="FR30" s="417"/>
      <c r="FS30" s="417"/>
      <c r="FT30" s="385"/>
      <c r="FU30" s="385"/>
      <c r="FV30" s="385"/>
      <c r="FW30" s="417"/>
      <c r="FX30" s="417"/>
      <c r="FY30" s="385"/>
      <c r="FZ30" s="417"/>
      <c r="GA30" s="417"/>
      <c r="GB30" s="385"/>
      <c r="GC30" s="417"/>
      <c r="GD30" s="417"/>
      <c r="GE30" s="417"/>
      <c r="GF30" s="385"/>
      <c r="GG30" s="417"/>
      <c r="GH30" s="385"/>
      <c r="GI30" s="417"/>
      <c r="GJ30" s="385"/>
      <c r="GK30" s="417"/>
      <c r="GL30" s="417"/>
      <c r="GM30" s="417"/>
      <c r="GN30" s="417"/>
      <c r="GO30" s="417"/>
      <c r="GP30" s="417"/>
      <c r="GQ30" s="417"/>
      <c r="GR30" s="417"/>
      <c r="GS30" s="385"/>
      <c r="GT30" s="385"/>
      <c r="GU30" s="417"/>
      <c r="GV30" s="385">
        <v>10</v>
      </c>
      <c r="GW30" s="417"/>
      <c r="GX30" s="385">
        <v>10</v>
      </c>
      <c r="GY30" s="385"/>
      <c r="GZ30" s="417"/>
      <c r="HA30" s="417"/>
      <c r="HB30" s="417"/>
      <c r="HC30" s="417"/>
      <c r="HD30" s="417"/>
      <c r="HE30" s="417"/>
      <c r="HF30" s="417"/>
      <c r="HG30" s="417"/>
      <c r="HH30" s="385"/>
      <c r="HI30" s="417"/>
      <c r="HJ30" s="417">
        <v>10</v>
      </c>
      <c r="HK30" s="417"/>
      <c r="HL30" s="417"/>
      <c r="HM30" s="417"/>
      <c r="HN30" s="385"/>
      <c r="HO30" s="417"/>
      <c r="HP30" s="417"/>
      <c r="HQ30" s="417"/>
      <c r="HR30" s="417"/>
      <c r="HS30" s="417"/>
      <c r="HT30" s="417"/>
      <c r="HU30" s="385"/>
      <c r="HV30" s="417"/>
      <c r="HW30" s="417"/>
      <c r="HX30" s="417"/>
      <c r="HY30" s="417"/>
      <c r="HZ30" s="417"/>
      <c r="IA30" s="417"/>
      <c r="IB30" s="417"/>
      <c r="IC30" s="417"/>
      <c r="ID30" s="417"/>
      <c r="IE30" s="417"/>
      <c r="IF30" s="417"/>
      <c r="IG30" s="417"/>
      <c r="IH30" s="417"/>
      <c r="II30" s="417"/>
      <c r="IJ30" s="417"/>
      <c r="IK30" s="417"/>
      <c r="IL30" s="417"/>
      <c r="IM30" s="417"/>
      <c r="IN30" s="417"/>
      <c r="IO30" s="417"/>
      <c r="IP30" s="417"/>
      <c r="IQ30" s="417"/>
      <c r="IR30" s="417"/>
      <c r="IS30" s="417"/>
      <c r="IT30" s="417"/>
      <c r="IU30" s="417"/>
      <c r="IV30" s="417"/>
      <c r="IW30" s="417"/>
      <c r="IX30" s="417"/>
      <c r="IY30" s="417"/>
      <c r="IZ30" s="417"/>
      <c r="JA30" s="417"/>
      <c r="JB30" s="417"/>
      <c r="JC30" s="417"/>
      <c r="JD30" s="417"/>
      <c r="JE30" s="417"/>
      <c r="JF30" s="417"/>
      <c r="JG30" s="417"/>
      <c r="JH30" s="417"/>
      <c r="JI30" s="417"/>
      <c r="JJ30" s="417"/>
      <c r="JK30" s="417"/>
      <c r="JL30" s="417"/>
      <c r="JM30" s="417"/>
      <c r="JN30" s="417"/>
      <c r="JO30" s="417"/>
      <c r="JP30" s="417"/>
      <c r="JQ30" s="417"/>
      <c r="JR30" s="417"/>
      <c r="JS30" s="417"/>
      <c r="JT30" s="417"/>
      <c r="JU30" s="417"/>
      <c r="JV30" s="417"/>
      <c r="JW30" s="417"/>
      <c r="JX30" s="417"/>
      <c r="JY30" s="417"/>
      <c r="JZ30" s="417"/>
      <c r="KA30" s="417"/>
      <c r="KB30" s="417"/>
      <c r="KC30" s="417"/>
      <c r="KD30" s="417"/>
      <c r="KE30" s="417"/>
      <c r="KF30" s="417"/>
      <c r="KG30" s="417"/>
      <c r="KH30" s="417"/>
      <c r="KI30" s="417"/>
      <c r="KJ30" s="417"/>
      <c r="KK30" s="417"/>
      <c r="KL30" s="417"/>
      <c r="KM30" s="417"/>
      <c r="KN30" s="417"/>
      <c r="KO30" s="417"/>
      <c r="KP30" s="417"/>
      <c r="KQ30" s="417"/>
      <c r="KR30" s="417"/>
      <c r="KS30" s="417"/>
      <c r="KT30" s="417"/>
      <c r="KU30" s="417"/>
      <c r="KV30" s="417"/>
      <c r="KW30" s="417"/>
      <c r="KX30" s="417"/>
      <c r="KY30" s="417"/>
      <c r="KZ30" s="417"/>
      <c r="LA30" s="417"/>
      <c r="LB30" s="417"/>
      <c r="LC30" s="417"/>
      <c r="LD30" s="417"/>
      <c r="LE30" s="417"/>
      <c r="LF30" s="417"/>
      <c r="LG30" s="417"/>
      <c r="LH30" s="417"/>
      <c r="LI30" s="417"/>
      <c r="LJ30" s="417"/>
      <c r="LK30" s="417"/>
      <c r="LL30" s="417"/>
      <c r="LM30" s="417"/>
      <c r="LN30" s="417"/>
      <c r="LO30" s="417"/>
      <c r="LP30" s="417"/>
      <c r="LQ30" s="417"/>
      <c r="LR30" s="417"/>
      <c r="LS30" s="417"/>
      <c r="LT30" s="417"/>
      <c r="LU30" s="417"/>
      <c r="LV30" s="417"/>
      <c r="LW30" s="417"/>
      <c r="LX30" s="417"/>
      <c r="LY30" s="417"/>
      <c r="LZ30" s="417"/>
      <c r="MA30" s="417"/>
      <c r="MB30" s="417"/>
      <c r="MC30" s="417"/>
      <c r="MD30" s="417"/>
      <c r="ME30" s="417"/>
      <c r="MF30" s="417"/>
      <c r="MG30" s="417"/>
      <c r="MH30" s="417"/>
      <c r="MI30" s="417"/>
      <c r="MJ30" s="417"/>
      <c r="MK30" s="417"/>
      <c r="ML30" s="417"/>
      <c r="MM30" s="417"/>
      <c r="MN30" s="417"/>
      <c r="MO30" s="417"/>
      <c r="MP30" s="417"/>
      <c r="MQ30" s="417"/>
      <c r="MR30" s="417"/>
      <c r="MS30" s="417"/>
      <c r="MT30" s="417"/>
      <c r="MU30" s="417"/>
      <c r="MV30" s="417"/>
      <c r="MW30" s="417"/>
      <c r="MX30" s="417"/>
      <c r="MY30" s="417"/>
      <c r="MZ30" s="417"/>
      <c r="NA30" s="417"/>
      <c r="NB30" s="417"/>
      <c r="NC30" s="417"/>
      <c r="ND30" s="417"/>
      <c r="NE30" s="417"/>
      <c r="NF30" s="417"/>
      <c r="NG30" s="417"/>
      <c r="NH30" s="417"/>
      <c r="NI30" s="417"/>
      <c r="NJ30" s="417"/>
      <c r="NK30" s="417"/>
      <c r="NL30" s="417"/>
      <c r="NM30" s="417"/>
      <c r="NN30" s="417"/>
      <c r="NO30" s="417"/>
      <c r="NP30" s="417"/>
      <c r="NQ30" s="417"/>
      <c r="NR30" s="417"/>
      <c r="NS30" s="417"/>
      <c r="NT30" s="417"/>
      <c r="NU30" s="417"/>
      <c r="NV30" s="417"/>
      <c r="NW30" s="417"/>
      <c r="NX30" s="417"/>
      <c r="NY30" s="417"/>
      <c r="NZ30" s="417"/>
      <c r="OA30" s="417"/>
      <c r="OB30" s="417"/>
      <c r="OC30" s="417"/>
      <c r="OD30" s="417"/>
      <c r="OE30" s="417"/>
      <c r="OF30" s="417"/>
      <c r="OG30" s="417"/>
      <c r="OH30" s="417"/>
      <c r="OI30" s="385"/>
      <c r="OJ30" s="417"/>
      <c r="OK30" s="417"/>
      <c r="OL30" s="417"/>
      <c r="OM30" s="417"/>
      <c r="ON30" s="417"/>
      <c r="OO30" s="417"/>
      <c r="OP30" s="417"/>
      <c r="OQ30" s="417"/>
      <c r="OR30" s="417"/>
      <c r="OS30" s="417"/>
      <c r="OT30" s="417"/>
      <c r="OU30" s="417"/>
      <c r="OV30" s="417"/>
      <c r="OW30" s="417"/>
      <c r="OX30" s="417"/>
      <c r="OY30" s="417"/>
      <c r="OZ30" s="417"/>
      <c r="PA30" s="417"/>
      <c r="PB30" s="417"/>
      <c r="PC30" s="417"/>
      <c r="PD30" s="417"/>
      <c r="PE30" s="417"/>
      <c r="PF30" s="417"/>
      <c r="PG30" s="417"/>
    </row>
    <row r="31" spans="1:423" ht="15.75" customHeight="1" thickBot="1" x14ac:dyDescent="0.3">
      <c r="A31" s="415">
        <v>549754600392</v>
      </c>
      <c r="B31" s="384">
        <f t="shared" si="0"/>
        <v>73</v>
      </c>
      <c r="C31" s="384">
        <v>634</v>
      </c>
      <c r="D31" s="384">
        <f>SUMIF('Sap Inwarding'!F:F,'Front Dispatch'!$A31,'Sap Inwarding'!H:H)</f>
        <v>55</v>
      </c>
      <c r="E31" s="10">
        <f t="shared" si="1"/>
        <v>561</v>
      </c>
      <c r="F31" s="417"/>
      <c r="G31" s="417"/>
      <c r="H31" s="417">
        <v>10</v>
      </c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>
        <v>20</v>
      </c>
      <c r="W31" s="417"/>
      <c r="X31" s="417"/>
      <c r="Y31" s="385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385"/>
      <c r="AV31" s="385"/>
      <c r="AW31" s="385"/>
      <c r="AX31" s="385"/>
      <c r="AY31" s="385"/>
      <c r="AZ31" s="417"/>
      <c r="BA31" s="417"/>
      <c r="BB31" s="417"/>
      <c r="BC31" s="417">
        <v>10</v>
      </c>
      <c r="BD31" s="385"/>
      <c r="BE31" s="417"/>
      <c r="BF31" s="417"/>
      <c r="BG31" s="417"/>
      <c r="BH31" s="417"/>
      <c r="BI31" s="417"/>
      <c r="BJ31" s="417"/>
      <c r="BK31" s="417"/>
      <c r="BL31" s="417"/>
      <c r="BM31" s="417"/>
      <c r="BN31" s="417"/>
      <c r="BO31" s="417"/>
      <c r="BP31" s="417"/>
      <c r="BQ31" s="417"/>
      <c r="BR31" s="417"/>
      <c r="BS31" s="417"/>
      <c r="BT31" s="417"/>
      <c r="BU31" s="417"/>
      <c r="BV31" s="417"/>
      <c r="BW31" s="417"/>
      <c r="BX31" s="417"/>
      <c r="BY31" s="417">
        <v>10</v>
      </c>
      <c r="BZ31" s="417"/>
      <c r="CA31" s="385"/>
      <c r="CB31" s="417"/>
      <c r="CC31" s="417"/>
      <c r="CD31" s="417"/>
      <c r="CE31" s="385"/>
      <c r="CF31" s="385"/>
      <c r="CG31" s="385"/>
      <c r="CH31" s="417"/>
      <c r="CI31" s="417"/>
      <c r="CJ31" s="417"/>
      <c r="CK31" s="417"/>
      <c r="CL31" s="417"/>
      <c r="CM31" s="385"/>
      <c r="CN31" s="417"/>
      <c r="CO31" s="417"/>
      <c r="CP31" s="417"/>
      <c r="CQ31" s="385"/>
      <c r="CR31" s="385"/>
      <c r="CS31" s="417"/>
      <c r="CT31" s="417"/>
      <c r="CU31" s="417"/>
      <c r="CV31" s="417"/>
      <c r="CW31" s="417"/>
      <c r="CX31" s="417"/>
      <c r="CY31" s="417"/>
      <c r="CZ31" s="417"/>
      <c r="DA31" s="385"/>
      <c r="DB31" s="417"/>
      <c r="DC31" s="385"/>
      <c r="DD31" s="385"/>
      <c r="DE31" s="385"/>
      <c r="DF31" s="385"/>
      <c r="DG31" s="385"/>
      <c r="DH31" s="417"/>
      <c r="DI31" s="417"/>
      <c r="DJ31" s="417"/>
      <c r="DK31" s="385"/>
      <c r="DL31" s="385"/>
      <c r="DM31" s="385"/>
      <c r="DN31" s="417"/>
      <c r="DO31" s="417"/>
      <c r="DP31" s="385"/>
      <c r="DQ31" s="385"/>
      <c r="DR31" s="385"/>
      <c r="DS31" s="417"/>
      <c r="DT31" s="417"/>
      <c r="DU31" s="417"/>
      <c r="DV31" s="417"/>
      <c r="DW31" s="385"/>
      <c r="DX31" s="385"/>
      <c r="DY31" s="417"/>
      <c r="DZ31" s="417"/>
      <c r="EA31" s="417"/>
      <c r="EB31" s="385"/>
      <c r="EC31" s="385"/>
      <c r="ED31" s="65"/>
      <c r="EE31" s="417"/>
      <c r="EF31" s="417"/>
      <c r="EG31" s="417"/>
      <c r="EH31" s="417"/>
      <c r="EI31" s="417"/>
      <c r="EJ31" s="417"/>
      <c r="EK31" s="417"/>
      <c r="EL31" s="417"/>
      <c r="EM31" s="417"/>
      <c r="EN31" s="417"/>
      <c r="EO31" s="385"/>
      <c r="EP31" s="385"/>
      <c r="EQ31" s="417"/>
      <c r="ER31" s="417"/>
      <c r="ES31" s="417"/>
      <c r="ET31" s="417"/>
      <c r="EU31" s="417"/>
      <c r="EV31" s="385"/>
      <c r="EW31" s="385"/>
      <c r="EX31" s="385"/>
      <c r="EY31" s="385"/>
      <c r="EZ31" s="417"/>
      <c r="FA31" s="417"/>
      <c r="FB31" s="417"/>
      <c r="FC31" s="417"/>
      <c r="FD31" s="417"/>
      <c r="FE31" s="417"/>
      <c r="FF31" s="417"/>
      <c r="FG31" s="417"/>
      <c r="FH31" s="417"/>
      <c r="FI31" s="417"/>
      <c r="FJ31" s="417"/>
      <c r="FK31" s="385"/>
      <c r="FL31" s="417"/>
      <c r="FM31" s="385"/>
      <c r="FN31" s="417"/>
      <c r="FO31" s="417"/>
      <c r="FP31" s="417"/>
      <c r="FQ31" s="417"/>
      <c r="FR31" s="417"/>
      <c r="FS31" s="417"/>
      <c r="FT31" s="385"/>
      <c r="FU31" s="385"/>
      <c r="FV31" s="385"/>
      <c r="FW31" s="417"/>
      <c r="FX31" s="417"/>
      <c r="FY31" s="385"/>
      <c r="FZ31" s="417"/>
      <c r="GA31" s="417"/>
      <c r="GB31" s="385"/>
      <c r="GC31" s="417"/>
      <c r="GD31" s="417"/>
      <c r="GE31" s="417"/>
      <c r="GF31" s="385">
        <v>5</v>
      </c>
      <c r="GG31" s="417"/>
      <c r="GH31" s="385"/>
      <c r="GI31" s="417"/>
      <c r="GJ31" s="385"/>
      <c r="GK31" s="417"/>
      <c r="GL31" s="417"/>
      <c r="GM31" s="417"/>
      <c r="GN31" s="417"/>
      <c r="GO31" s="417"/>
      <c r="GP31" s="417"/>
      <c r="GQ31" s="417"/>
      <c r="GR31" s="417"/>
      <c r="GS31" s="385"/>
      <c r="GT31" s="385"/>
      <c r="GU31" s="417"/>
      <c r="GV31" s="385"/>
      <c r="GW31" s="417"/>
      <c r="GX31" s="385">
        <v>13</v>
      </c>
      <c r="GY31" s="385"/>
      <c r="GZ31" s="417"/>
      <c r="HA31" s="417"/>
      <c r="HB31" s="417"/>
      <c r="HC31" s="417"/>
      <c r="HD31" s="417"/>
      <c r="HE31" s="417"/>
      <c r="HF31" s="417"/>
      <c r="HG31" s="417"/>
      <c r="HH31" s="385"/>
      <c r="HI31" s="417"/>
      <c r="HJ31" s="417"/>
      <c r="HK31" s="417"/>
      <c r="HL31" s="417"/>
      <c r="HM31" s="417"/>
      <c r="HN31" s="385"/>
      <c r="HO31" s="417"/>
      <c r="HP31" s="417"/>
      <c r="HQ31" s="417"/>
      <c r="HR31" s="417"/>
      <c r="HS31" s="417"/>
      <c r="HT31" s="417"/>
      <c r="HU31" s="385">
        <v>5</v>
      </c>
      <c r="HV31" s="417"/>
      <c r="HW31" s="417"/>
      <c r="HX31" s="417"/>
      <c r="HY31" s="417"/>
      <c r="HZ31" s="417"/>
      <c r="IA31" s="417"/>
      <c r="IB31" s="417"/>
      <c r="IC31" s="417"/>
      <c r="ID31" s="417"/>
      <c r="IE31" s="417"/>
      <c r="IF31" s="417"/>
      <c r="IG31" s="417"/>
      <c r="IH31" s="417"/>
      <c r="II31" s="417"/>
      <c r="IJ31" s="417"/>
      <c r="IK31" s="417"/>
      <c r="IL31" s="417"/>
      <c r="IM31" s="417"/>
      <c r="IN31" s="417"/>
      <c r="IO31" s="417"/>
      <c r="IP31" s="417"/>
      <c r="IQ31" s="417"/>
      <c r="IR31" s="417"/>
      <c r="IS31" s="417"/>
      <c r="IT31" s="417"/>
      <c r="IU31" s="417"/>
      <c r="IV31" s="417"/>
      <c r="IW31" s="417"/>
      <c r="IX31" s="417"/>
      <c r="IY31" s="417"/>
      <c r="IZ31" s="417"/>
      <c r="JA31" s="417"/>
      <c r="JB31" s="417"/>
      <c r="JC31" s="417"/>
      <c r="JD31" s="417"/>
      <c r="JE31" s="417"/>
      <c r="JF31" s="417"/>
      <c r="JG31" s="417"/>
      <c r="JH31" s="417"/>
      <c r="JI31" s="417"/>
      <c r="JJ31" s="417"/>
      <c r="JK31" s="417"/>
      <c r="JL31" s="417"/>
      <c r="JM31" s="417"/>
      <c r="JN31" s="417"/>
      <c r="JO31" s="417"/>
      <c r="JP31" s="417"/>
      <c r="JQ31" s="417"/>
      <c r="JR31" s="417"/>
      <c r="JS31" s="417"/>
      <c r="JT31" s="417"/>
      <c r="JU31" s="417"/>
      <c r="JV31" s="417"/>
      <c r="JW31" s="417"/>
      <c r="JX31" s="417"/>
      <c r="JY31" s="417"/>
      <c r="JZ31" s="417"/>
      <c r="KA31" s="417"/>
      <c r="KB31" s="417"/>
      <c r="KC31" s="417"/>
      <c r="KD31" s="417"/>
      <c r="KE31" s="417"/>
      <c r="KF31" s="417"/>
      <c r="KG31" s="417"/>
      <c r="KH31" s="417"/>
      <c r="KI31" s="417"/>
      <c r="KJ31" s="417"/>
      <c r="KK31" s="417"/>
      <c r="KL31" s="417"/>
      <c r="KM31" s="417"/>
      <c r="KN31" s="417"/>
      <c r="KO31" s="417"/>
      <c r="KP31" s="417"/>
      <c r="KQ31" s="417"/>
      <c r="KR31" s="417"/>
      <c r="KS31" s="417"/>
      <c r="KT31" s="417"/>
      <c r="KU31" s="417"/>
      <c r="KV31" s="417"/>
      <c r="KW31" s="417"/>
      <c r="KX31" s="417"/>
      <c r="KY31" s="417"/>
      <c r="KZ31" s="417"/>
      <c r="LA31" s="417"/>
      <c r="LB31" s="417"/>
      <c r="LC31" s="417"/>
      <c r="LD31" s="417"/>
      <c r="LE31" s="417"/>
      <c r="LF31" s="417"/>
      <c r="LG31" s="417"/>
      <c r="LH31" s="417"/>
      <c r="LI31" s="417"/>
      <c r="LJ31" s="417"/>
      <c r="LK31" s="417"/>
      <c r="LL31" s="417"/>
      <c r="LM31" s="417"/>
      <c r="LN31" s="417"/>
      <c r="LO31" s="417"/>
      <c r="LP31" s="417"/>
      <c r="LQ31" s="417"/>
      <c r="LR31" s="417"/>
      <c r="LS31" s="417"/>
      <c r="LT31" s="417"/>
      <c r="LU31" s="417"/>
      <c r="LV31" s="417"/>
      <c r="LW31" s="417"/>
      <c r="LX31" s="417"/>
      <c r="LY31" s="417"/>
      <c r="LZ31" s="417"/>
      <c r="MA31" s="417"/>
      <c r="MB31" s="417"/>
      <c r="MC31" s="417"/>
      <c r="MD31" s="417"/>
      <c r="ME31" s="417"/>
      <c r="MF31" s="417"/>
      <c r="MG31" s="417"/>
      <c r="MH31" s="417"/>
      <c r="MI31" s="417"/>
      <c r="MJ31" s="417"/>
      <c r="MK31" s="417"/>
      <c r="ML31" s="417"/>
      <c r="MM31" s="417"/>
      <c r="MN31" s="417"/>
      <c r="MO31" s="417"/>
      <c r="MP31" s="417"/>
      <c r="MQ31" s="417"/>
      <c r="MR31" s="417"/>
      <c r="MS31" s="417"/>
      <c r="MT31" s="417"/>
      <c r="MU31" s="417"/>
      <c r="MV31" s="417"/>
      <c r="MW31" s="417"/>
      <c r="MX31" s="417"/>
      <c r="MY31" s="417"/>
      <c r="MZ31" s="417"/>
      <c r="NA31" s="417"/>
      <c r="NB31" s="417"/>
      <c r="NC31" s="417"/>
      <c r="ND31" s="417"/>
      <c r="NE31" s="417"/>
      <c r="NF31" s="417"/>
      <c r="NG31" s="417"/>
      <c r="NH31" s="417"/>
      <c r="NI31" s="417"/>
      <c r="NJ31" s="417"/>
      <c r="NK31" s="417"/>
      <c r="NL31" s="417"/>
      <c r="NM31" s="417"/>
      <c r="NN31" s="417"/>
      <c r="NO31" s="417"/>
      <c r="NP31" s="417"/>
      <c r="NQ31" s="417"/>
      <c r="NR31" s="417"/>
      <c r="NS31" s="417"/>
      <c r="NT31" s="417"/>
      <c r="NU31" s="417"/>
      <c r="NV31" s="417"/>
      <c r="NW31" s="417"/>
      <c r="NX31" s="417"/>
      <c r="NY31" s="417"/>
      <c r="NZ31" s="417"/>
      <c r="OA31" s="417"/>
      <c r="OB31" s="417"/>
      <c r="OC31" s="417"/>
      <c r="OD31" s="417"/>
      <c r="OE31" s="417"/>
      <c r="OF31" s="417"/>
      <c r="OG31" s="417"/>
      <c r="OH31" s="417"/>
      <c r="OI31" s="385"/>
      <c r="OJ31" s="417"/>
      <c r="OK31" s="417"/>
      <c r="OL31" s="417"/>
      <c r="OM31" s="417"/>
      <c r="ON31" s="417"/>
      <c r="OO31" s="417"/>
      <c r="OP31" s="417"/>
      <c r="OQ31" s="417"/>
      <c r="OR31" s="417"/>
      <c r="OS31" s="417"/>
      <c r="OT31" s="417"/>
      <c r="OU31" s="417"/>
      <c r="OV31" s="417"/>
      <c r="OW31" s="417"/>
      <c r="OX31" s="417"/>
      <c r="OY31" s="417"/>
      <c r="OZ31" s="417"/>
      <c r="PA31" s="417"/>
      <c r="PB31" s="417"/>
      <c r="PC31" s="417"/>
      <c r="PD31" s="417"/>
      <c r="PE31" s="417"/>
      <c r="PF31" s="417"/>
      <c r="PG31" s="417"/>
    </row>
    <row r="32" spans="1:423" ht="15.75" customHeight="1" thickBot="1" x14ac:dyDescent="0.3">
      <c r="A32" s="415">
        <v>549754600393</v>
      </c>
      <c r="B32" s="384">
        <f t="shared" si="0"/>
        <v>167</v>
      </c>
      <c r="C32" s="384">
        <v>176</v>
      </c>
      <c r="D32" s="384">
        <f>SUMIF('Sap Inwarding'!F:F,'Front Dispatch'!$A32,'Sap Inwarding'!H:H)</f>
        <v>143</v>
      </c>
      <c r="E32" s="10">
        <f t="shared" si="1"/>
        <v>9</v>
      </c>
      <c r="F32" s="417"/>
      <c r="G32" s="417"/>
      <c r="H32" s="417"/>
      <c r="I32" s="417">
        <v>5</v>
      </c>
      <c r="J32" s="417"/>
      <c r="K32" s="417"/>
      <c r="L32" s="417"/>
      <c r="M32" s="417"/>
      <c r="N32" s="417"/>
      <c r="O32" s="417"/>
      <c r="P32" s="417"/>
      <c r="Q32" s="417"/>
      <c r="R32" s="417"/>
      <c r="S32" s="417"/>
      <c r="T32" s="417"/>
      <c r="U32" s="417"/>
      <c r="V32" s="417"/>
      <c r="W32" s="417"/>
      <c r="X32" s="417"/>
      <c r="Y32" s="385">
        <v>5</v>
      </c>
      <c r="Z32" s="417"/>
      <c r="AA32" s="417"/>
      <c r="AB32" s="417"/>
      <c r="AC32" s="417"/>
      <c r="AD32" s="417"/>
      <c r="AE32" s="417"/>
      <c r="AF32" s="417"/>
      <c r="AG32" s="417"/>
      <c r="AH32" s="417">
        <v>5</v>
      </c>
      <c r="AI32" s="417"/>
      <c r="AJ32" s="417"/>
      <c r="AK32" s="417"/>
      <c r="AL32" s="417"/>
      <c r="AM32" s="417"/>
      <c r="AN32" s="417"/>
      <c r="AO32" s="417"/>
      <c r="AP32" s="417"/>
      <c r="AQ32" s="417"/>
      <c r="AR32" s="417"/>
      <c r="AS32" s="417"/>
      <c r="AT32" s="417"/>
      <c r="AU32" s="385"/>
      <c r="AV32" s="385"/>
      <c r="AW32" s="385"/>
      <c r="AX32" s="385"/>
      <c r="AY32" s="385"/>
      <c r="AZ32" s="417"/>
      <c r="BA32" s="417"/>
      <c r="BB32" s="417"/>
      <c r="BC32" s="417"/>
      <c r="BD32" s="385"/>
      <c r="BE32" s="417"/>
      <c r="BF32" s="417"/>
      <c r="BG32" s="417"/>
      <c r="BH32" s="417"/>
      <c r="BI32" s="417"/>
      <c r="BJ32" s="417">
        <v>10</v>
      </c>
      <c r="BK32" s="417"/>
      <c r="BL32" s="417"/>
      <c r="BM32" s="417"/>
      <c r="BN32" s="417"/>
      <c r="BO32" s="417"/>
      <c r="BP32" s="417"/>
      <c r="BQ32" s="417"/>
      <c r="BR32" s="417"/>
      <c r="BS32" s="417"/>
      <c r="BT32" s="417"/>
      <c r="BU32" s="417"/>
      <c r="BV32" s="417"/>
      <c r="BW32" s="417"/>
      <c r="BX32" s="417"/>
      <c r="BY32" s="417"/>
      <c r="BZ32" s="417"/>
      <c r="CA32" s="385"/>
      <c r="CB32" s="417"/>
      <c r="CC32" s="417"/>
      <c r="CD32" s="417"/>
      <c r="CE32" s="385"/>
      <c r="CF32" s="385"/>
      <c r="CG32" s="385"/>
      <c r="CH32" s="417"/>
      <c r="CI32" s="417"/>
      <c r="CJ32" s="417"/>
      <c r="CK32" s="417"/>
      <c r="CL32" s="417"/>
      <c r="CM32" s="385"/>
      <c r="CN32" s="417"/>
      <c r="CO32" s="417"/>
      <c r="CP32" s="417"/>
      <c r="CQ32" s="385"/>
      <c r="CR32" s="385"/>
      <c r="CS32" s="417"/>
      <c r="CT32" s="417"/>
      <c r="CU32" s="417"/>
      <c r="CV32" s="417"/>
      <c r="CW32" s="417"/>
      <c r="CX32" s="417"/>
      <c r="CY32" s="417"/>
      <c r="CZ32" s="417"/>
      <c r="DA32" s="385"/>
      <c r="DB32" s="417"/>
      <c r="DC32" s="385"/>
      <c r="DD32" s="385"/>
      <c r="DE32" s="385"/>
      <c r="DF32" s="385"/>
      <c r="DG32" s="385"/>
      <c r="DH32" s="417"/>
      <c r="DI32" s="417"/>
      <c r="DJ32" s="417"/>
      <c r="DK32" s="385">
        <v>15</v>
      </c>
      <c r="DL32" s="385"/>
      <c r="DM32" s="385"/>
      <c r="DN32" s="417">
        <v>23</v>
      </c>
      <c r="DO32" s="417"/>
      <c r="DP32" s="385"/>
      <c r="DQ32" s="385"/>
      <c r="DR32" s="385"/>
      <c r="DS32" s="417"/>
      <c r="DT32" s="417"/>
      <c r="DU32" s="417"/>
      <c r="DV32" s="417"/>
      <c r="DW32" s="385"/>
      <c r="DX32" s="385"/>
      <c r="DY32" s="417"/>
      <c r="DZ32" s="417"/>
      <c r="EA32" s="417">
        <v>1</v>
      </c>
      <c r="EB32" s="385"/>
      <c r="EC32" s="385"/>
      <c r="ED32" s="65">
        <v>8</v>
      </c>
      <c r="EE32" s="417"/>
      <c r="EF32" s="417"/>
      <c r="EG32" s="417"/>
      <c r="EH32" s="417"/>
      <c r="EI32" s="417"/>
      <c r="EJ32" s="417">
        <v>14</v>
      </c>
      <c r="EK32" s="417"/>
      <c r="EL32" s="417"/>
      <c r="EM32" s="417"/>
      <c r="EN32" s="417"/>
      <c r="EO32" s="385">
        <v>9</v>
      </c>
      <c r="EP32" s="385"/>
      <c r="EQ32" s="417">
        <v>8</v>
      </c>
      <c r="ER32" s="417"/>
      <c r="ES32" s="417"/>
      <c r="ET32" s="417"/>
      <c r="EU32" s="417"/>
      <c r="EV32" s="385">
        <v>5</v>
      </c>
      <c r="EW32" s="385"/>
      <c r="EX32" s="385"/>
      <c r="EY32" s="385"/>
      <c r="EZ32" s="417"/>
      <c r="FA32" s="417"/>
      <c r="FB32" s="417"/>
      <c r="FC32" s="417"/>
      <c r="FD32" s="417"/>
      <c r="FE32" s="417"/>
      <c r="FF32" s="417"/>
      <c r="FG32" s="417"/>
      <c r="FH32" s="417"/>
      <c r="FI32" s="417"/>
      <c r="FJ32" s="417"/>
      <c r="FK32" s="385"/>
      <c r="FL32" s="417"/>
      <c r="FM32" s="385"/>
      <c r="FN32" s="417"/>
      <c r="FO32" s="417"/>
      <c r="FP32" s="417"/>
      <c r="FQ32" s="417"/>
      <c r="FR32" s="417"/>
      <c r="FS32" s="417"/>
      <c r="FT32" s="385"/>
      <c r="FU32" s="385"/>
      <c r="FV32" s="385">
        <v>12</v>
      </c>
      <c r="FW32" s="417"/>
      <c r="FX32" s="417"/>
      <c r="FY32" s="385"/>
      <c r="FZ32" s="417"/>
      <c r="GA32" s="417"/>
      <c r="GB32" s="385">
        <v>23</v>
      </c>
      <c r="GC32" s="417"/>
      <c r="GD32" s="417"/>
      <c r="GE32" s="417"/>
      <c r="GF32" s="385"/>
      <c r="GG32" s="417"/>
      <c r="GH32" s="385"/>
      <c r="GI32" s="417"/>
      <c r="GJ32" s="385"/>
      <c r="GK32" s="417"/>
      <c r="GL32" s="417"/>
      <c r="GM32" s="417"/>
      <c r="GN32" s="417"/>
      <c r="GO32" s="417"/>
      <c r="GP32" s="417"/>
      <c r="GQ32" s="417"/>
      <c r="GR32" s="417"/>
      <c r="GS32" s="385"/>
      <c r="GT32" s="385"/>
      <c r="GU32" s="417"/>
      <c r="GV32" s="385"/>
      <c r="GW32" s="417"/>
      <c r="GX32" s="385">
        <v>8</v>
      </c>
      <c r="GY32" s="385"/>
      <c r="GZ32" s="417"/>
      <c r="HA32" s="417"/>
      <c r="HB32" s="417"/>
      <c r="HC32" s="417"/>
      <c r="HD32" s="417"/>
      <c r="HE32" s="417"/>
      <c r="HF32" s="417"/>
      <c r="HG32" s="417"/>
      <c r="HH32" s="385">
        <v>10</v>
      </c>
      <c r="HI32" s="417"/>
      <c r="HJ32" s="417"/>
      <c r="HK32" s="417"/>
      <c r="HL32" s="417"/>
      <c r="HM32" s="417"/>
      <c r="HN32" s="385"/>
      <c r="HO32" s="417"/>
      <c r="HP32" s="417"/>
      <c r="HQ32" s="417"/>
      <c r="HR32" s="417"/>
      <c r="HS32" s="417"/>
      <c r="HT32" s="417"/>
      <c r="HU32" s="385">
        <v>6</v>
      </c>
      <c r="HV32" s="417"/>
      <c r="HW32" s="417"/>
      <c r="HX32" s="417"/>
      <c r="HY32" s="417"/>
      <c r="HZ32" s="417"/>
      <c r="IA32" s="417"/>
      <c r="IB32" s="417"/>
      <c r="IC32" s="417"/>
      <c r="ID32" s="417"/>
      <c r="IE32" s="417"/>
      <c r="IF32" s="417"/>
      <c r="IG32" s="417"/>
      <c r="IH32" s="417"/>
      <c r="II32" s="417"/>
      <c r="IJ32" s="417"/>
      <c r="IK32" s="417"/>
      <c r="IL32" s="417"/>
      <c r="IM32" s="417"/>
      <c r="IN32" s="417"/>
      <c r="IO32" s="417"/>
      <c r="IP32" s="417"/>
      <c r="IQ32" s="417"/>
      <c r="IR32" s="417"/>
      <c r="IS32" s="417"/>
      <c r="IT32" s="417"/>
      <c r="IU32" s="417"/>
      <c r="IV32" s="417"/>
      <c r="IW32" s="417"/>
      <c r="IX32" s="417"/>
      <c r="IY32" s="417"/>
      <c r="IZ32" s="417"/>
      <c r="JA32" s="417"/>
      <c r="JB32" s="417"/>
      <c r="JC32" s="417"/>
      <c r="JD32" s="417"/>
      <c r="JE32" s="417"/>
      <c r="JF32" s="417"/>
      <c r="JG32" s="417"/>
      <c r="JH32" s="417"/>
      <c r="JI32" s="417"/>
      <c r="JJ32" s="417"/>
      <c r="JK32" s="417"/>
      <c r="JL32" s="417"/>
      <c r="JM32" s="417"/>
      <c r="JN32" s="417"/>
      <c r="JO32" s="417"/>
      <c r="JP32" s="417"/>
      <c r="JQ32" s="417"/>
      <c r="JR32" s="417"/>
      <c r="JS32" s="417"/>
      <c r="JT32" s="417"/>
      <c r="JU32" s="417"/>
      <c r="JV32" s="417"/>
      <c r="JW32" s="417"/>
      <c r="JX32" s="417"/>
      <c r="JY32" s="417"/>
      <c r="JZ32" s="417"/>
      <c r="KA32" s="417"/>
      <c r="KB32" s="417"/>
      <c r="KC32" s="417"/>
      <c r="KD32" s="417"/>
      <c r="KE32" s="417"/>
      <c r="KF32" s="417"/>
      <c r="KG32" s="417"/>
      <c r="KH32" s="417"/>
      <c r="KI32" s="417"/>
      <c r="KJ32" s="417"/>
      <c r="KK32" s="417"/>
      <c r="KL32" s="417"/>
      <c r="KM32" s="417"/>
      <c r="KN32" s="417"/>
      <c r="KO32" s="417"/>
      <c r="KP32" s="417"/>
      <c r="KQ32" s="417"/>
      <c r="KR32" s="417"/>
      <c r="KS32" s="417"/>
      <c r="KT32" s="417"/>
      <c r="KU32" s="417"/>
      <c r="KV32" s="417"/>
      <c r="KW32" s="417"/>
      <c r="KX32" s="417"/>
      <c r="KY32" s="417"/>
      <c r="KZ32" s="417"/>
      <c r="LA32" s="417"/>
      <c r="LB32" s="417"/>
      <c r="LC32" s="417"/>
      <c r="LD32" s="417"/>
      <c r="LE32" s="417"/>
      <c r="LF32" s="417"/>
      <c r="LG32" s="417"/>
      <c r="LH32" s="417"/>
      <c r="LI32" s="417"/>
      <c r="LJ32" s="417"/>
      <c r="LK32" s="417"/>
      <c r="LL32" s="417"/>
      <c r="LM32" s="417"/>
      <c r="LN32" s="417"/>
      <c r="LO32" s="417"/>
      <c r="LP32" s="417"/>
      <c r="LQ32" s="417"/>
      <c r="LR32" s="417"/>
      <c r="LS32" s="417"/>
      <c r="LT32" s="417"/>
      <c r="LU32" s="417"/>
      <c r="LV32" s="417"/>
      <c r="LW32" s="417"/>
      <c r="LX32" s="417"/>
      <c r="LY32" s="417"/>
      <c r="LZ32" s="417"/>
      <c r="MA32" s="417"/>
      <c r="MB32" s="417"/>
      <c r="MC32" s="417"/>
      <c r="MD32" s="417"/>
      <c r="ME32" s="417"/>
      <c r="MF32" s="417"/>
      <c r="MG32" s="417"/>
      <c r="MH32" s="417"/>
      <c r="MI32" s="417"/>
      <c r="MJ32" s="417"/>
      <c r="MK32" s="417"/>
      <c r="ML32" s="417"/>
      <c r="MM32" s="417"/>
      <c r="MN32" s="417"/>
      <c r="MO32" s="417"/>
      <c r="MP32" s="417"/>
      <c r="MQ32" s="417"/>
      <c r="MR32" s="417"/>
      <c r="MS32" s="417"/>
      <c r="MT32" s="417"/>
      <c r="MU32" s="417"/>
      <c r="MV32" s="417"/>
      <c r="MW32" s="417"/>
      <c r="MX32" s="417"/>
      <c r="MY32" s="417"/>
      <c r="MZ32" s="417"/>
      <c r="NA32" s="417"/>
      <c r="NB32" s="417"/>
      <c r="NC32" s="417"/>
      <c r="ND32" s="417"/>
      <c r="NE32" s="417"/>
      <c r="NF32" s="417"/>
      <c r="NG32" s="417"/>
      <c r="NH32" s="417"/>
      <c r="NI32" s="417"/>
      <c r="NJ32" s="417"/>
      <c r="NK32" s="417"/>
      <c r="NL32" s="417"/>
      <c r="NM32" s="417"/>
      <c r="NN32" s="417"/>
      <c r="NO32" s="417"/>
      <c r="NP32" s="417"/>
      <c r="NQ32" s="417"/>
      <c r="NR32" s="417"/>
      <c r="NS32" s="417"/>
      <c r="NT32" s="417"/>
      <c r="NU32" s="417"/>
      <c r="NV32" s="417"/>
      <c r="NW32" s="417"/>
      <c r="NX32" s="417"/>
      <c r="NY32" s="417"/>
      <c r="NZ32" s="417"/>
      <c r="OA32" s="417"/>
      <c r="OB32" s="417"/>
      <c r="OC32" s="417"/>
      <c r="OD32" s="417"/>
      <c r="OE32" s="417"/>
      <c r="OF32" s="417"/>
      <c r="OG32" s="417"/>
      <c r="OH32" s="417"/>
      <c r="OI32" s="385"/>
      <c r="OJ32" s="417"/>
      <c r="OK32" s="417"/>
      <c r="OL32" s="417"/>
      <c r="OM32" s="417"/>
      <c r="ON32" s="417"/>
      <c r="OO32" s="417"/>
      <c r="OP32" s="417"/>
      <c r="OQ32" s="417"/>
      <c r="OR32" s="417"/>
      <c r="OS32" s="417"/>
      <c r="OT32" s="417"/>
      <c r="OU32" s="417"/>
      <c r="OV32" s="417"/>
      <c r="OW32" s="417"/>
      <c r="OX32" s="417"/>
      <c r="OY32" s="417"/>
      <c r="OZ32" s="417"/>
      <c r="PA32" s="417"/>
      <c r="PB32" s="417"/>
      <c r="PC32" s="417"/>
      <c r="PD32" s="417"/>
      <c r="PE32" s="417"/>
      <c r="PF32" s="417"/>
      <c r="PG32" s="417"/>
    </row>
    <row r="33" spans="1:423" ht="15.75" customHeight="1" thickBot="1" x14ac:dyDescent="0.3">
      <c r="A33" s="415">
        <v>549754600394</v>
      </c>
      <c r="B33" s="384">
        <f t="shared" si="0"/>
        <v>0</v>
      </c>
      <c r="C33" s="384">
        <v>0</v>
      </c>
      <c r="D33" s="384">
        <f>SUMIF('Sap Inwarding'!F:F,'Front Dispatch'!$A33,'Sap Inwarding'!H:H)</f>
        <v>0</v>
      </c>
      <c r="E33" s="10">
        <f t="shared" si="1"/>
        <v>0</v>
      </c>
      <c r="F33" s="417"/>
      <c r="G33" s="417"/>
      <c r="H33" s="417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Y33" s="385"/>
      <c r="Z33" s="417"/>
      <c r="AA33" s="417"/>
      <c r="AB33" s="417"/>
      <c r="AC33" s="417"/>
      <c r="AD33" s="417"/>
      <c r="AE33" s="417"/>
      <c r="AF33" s="417"/>
      <c r="AG33" s="417"/>
      <c r="AH33" s="417"/>
      <c r="AI33" s="417"/>
      <c r="AJ33" s="417"/>
      <c r="AK33" s="417"/>
      <c r="AL33" s="417"/>
      <c r="AM33" s="417"/>
      <c r="AN33" s="417"/>
      <c r="AO33" s="417"/>
      <c r="AP33" s="417"/>
      <c r="AQ33" s="417"/>
      <c r="AR33" s="417"/>
      <c r="AS33" s="417"/>
      <c r="AT33" s="417"/>
      <c r="AU33" s="385"/>
      <c r="AV33" s="385"/>
      <c r="AW33" s="385"/>
      <c r="AX33" s="385"/>
      <c r="AY33" s="385"/>
      <c r="AZ33" s="417"/>
      <c r="BA33" s="417"/>
      <c r="BB33" s="417"/>
      <c r="BC33" s="417"/>
      <c r="BD33" s="385"/>
      <c r="BE33" s="417"/>
      <c r="BF33" s="417"/>
      <c r="BG33" s="417"/>
      <c r="BH33" s="417"/>
      <c r="BI33" s="417"/>
      <c r="BJ33" s="417"/>
      <c r="BK33" s="417"/>
      <c r="BL33" s="417"/>
      <c r="BM33" s="417"/>
      <c r="BN33" s="417"/>
      <c r="BO33" s="417"/>
      <c r="BP33" s="417"/>
      <c r="BQ33" s="417"/>
      <c r="BR33" s="417"/>
      <c r="BS33" s="417"/>
      <c r="BT33" s="417"/>
      <c r="BU33" s="417"/>
      <c r="BV33" s="417"/>
      <c r="BW33" s="417"/>
      <c r="BX33" s="417"/>
      <c r="BY33" s="417"/>
      <c r="BZ33" s="417"/>
      <c r="CA33" s="385"/>
      <c r="CB33" s="417"/>
      <c r="CC33" s="417"/>
      <c r="CD33" s="417"/>
      <c r="CE33" s="385"/>
      <c r="CF33" s="385"/>
      <c r="CG33" s="385"/>
      <c r="CH33" s="417"/>
      <c r="CI33" s="417"/>
      <c r="CJ33" s="417"/>
      <c r="CK33" s="417"/>
      <c r="CL33" s="417"/>
      <c r="CM33" s="385"/>
      <c r="CN33" s="417"/>
      <c r="CO33" s="417"/>
      <c r="CP33" s="417"/>
      <c r="CQ33" s="385"/>
      <c r="CR33" s="385"/>
      <c r="CS33" s="417"/>
      <c r="CT33" s="417"/>
      <c r="CU33" s="417"/>
      <c r="CV33" s="417"/>
      <c r="CW33" s="417"/>
      <c r="CX33" s="417"/>
      <c r="CY33" s="417"/>
      <c r="CZ33" s="417"/>
      <c r="DA33" s="385"/>
      <c r="DB33" s="417"/>
      <c r="DC33" s="385"/>
      <c r="DD33" s="385"/>
      <c r="DE33" s="385"/>
      <c r="DF33" s="385"/>
      <c r="DG33" s="385"/>
      <c r="DH33" s="417"/>
      <c r="DI33" s="417"/>
      <c r="DJ33" s="417"/>
      <c r="DK33" s="385"/>
      <c r="DL33" s="385"/>
      <c r="DM33" s="385"/>
      <c r="DN33" s="417"/>
      <c r="DO33" s="417"/>
      <c r="DP33" s="385"/>
      <c r="DQ33" s="385"/>
      <c r="DR33" s="385"/>
      <c r="DS33" s="417"/>
      <c r="DT33" s="417"/>
      <c r="DU33" s="417"/>
      <c r="DV33" s="417"/>
      <c r="DW33" s="385"/>
      <c r="DX33" s="385"/>
      <c r="DY33" s="417"/>
      <c r="DZ33" s="417"/>
      <c r="EA33" s="417"/>
      <c r="EB33" s="385"/>
      <c r="EC33" s="385"/>
      <c r="ED33" s="65"/>
      <c r="EE33" s="417"/>
      <c r="EF33" s="417"/>
      <c r="EG33" s="417"/>
      <c r="EH33" s="417"/>
      <c r="EI33" s="417"/>
      <c r="EJ33" s="417"/>
      <c r="EK33" s="417"/>
      <c r="EL33" s="417"/>
      <c r="EM33" s="417"/>
      <c r="EN33" s="417"/>
      <c r="EO33" s="385"/>
      <c r="EP33" s="385"/>
      <c r="EQ33" s="417"/>
      <c r="ER33" s="417"/>
      <c r="ES33" s="417"/>
      <c r="ET33" s="417"/>
      <c r="EU33" s="417"/>
      <c r="EV33" s="385"/>
      <c r="EW33" s="385"/>
      <c r="EX33" s="385"/>
      <c r="EY33" s="385"/>
      <c r="EZ33" s="417"/>
      <c r="FA33" s="417"/>
      <c r="FB33" s="417"/>
      <c r="FC33" s="417"/>
      <c r="FD33" s="417"/>
      <c r="FE33" s="417"/>
      <c r="FF33" s="417"/>
      <c r="FG33" s="417"/>
      <c r="FH33" s="417"/>
      <c r="FI33" s="417"/>
      <c r="FJ33" s="417"/>
      <c r="FK33" s="385"/>
      <c r="FL33" s="417"/>
      <c r="FM33" s="385"/>
      <c r="FN33" s="417"/>
      <c r="FO33" s="417"/>
      <c r="FP33" s="417"/>
      <c r="FQ33" s="417"/>
      <c r="FR33" s="417"/>
      <c r="FS33" s="417"/>
      <c r="FT33" s="385"/>
      <c r="FU33" s="385"/>
      <c r="FV33" s="385"/>
      <c r="FW33" s="417"/>
      <c r="FX33" s="417"/>
      <c r="FY33" s="385"/>
      <c r="FZ33" s="417"/>
      <c r="GA33" s="417"/>
      <c r="GB33" s="385"/>
      <c r="GC33" s="417"/>
      <c r="GD33" s="417"/>
      <c r="GE33" s="417"/>
      <c r="GF33" s="385"/>
      <c r="GG33" s="417"/>
      <c r="GH33" s="385"/>
      <c r="GI33" s="417"/>
      <c r="GJ33" s="385"/>
      <c r="GK33" s="417"/>
      <c r="GL33" s="417"/>
      <c r="GM33" s="417"/>
      <c r="GN33" s="417"/>
      <c r="GO33" s="417"/>
      <c r="GP33" s="417"/>
      <c r="GQ33" s="417"/>
      <c r="GR33" s="417"/>
      <c r="GS33" s="385"/>
      <c r="GT33" s="385"/>
      <c r="GU33" s="417"/>
      <c r="GV33" s="385"/>
      <c r="GW33" s="417"/>
      <c r="GX33" s="385"/>
      <c r="GY33" s="385"/>
      <c r="GZ33" s="417"/>
      <c r="HA33" s="417"/>
      <c r="HB33" s="417"/>
      <c r="HC33" s="417"/>
      <c r="HD33" s="417"/>
      <c r="HE33" s="417"/>
      <c r="HF33" s="417"/>
      <c r="HG33" s="417"/>
      <c r="HH33" s="385"/>
      <c r="HI33" s="417"/>
      <c r="HJ33" s="417"/>
      <c r="HK33" s="417"/>
      <c r="HL33" s="417"/>
      <c r="HM33" s="417"/>
      <c r="HN33" s="385"/>
      <c r="HO33" s="417"/>
      <c r="HP33" s="417"/>
      <c r="HQ33" s="417"/>
      <c r="HR33" s="417"/>
      <c r="HS33" s="417"/>
      <c r="HT33" s="417"/>
      <c r="HU33" s="385"/>
      <c r="HV33" s="417"/>
      <c r="HW33" s="417"/>
      <c r="HX33" s="417"/>
      <c r="HY33" s="417"/>
      <c r="HZ33" s="417"/>
      <c r="IA33" s="417"/>
      <c r="IB33" s="417"/>
      <c r="IC33" s="417"/>
      <c r="ID33" s="417"/>
      <c r="IE33" s="417"/>
      <c r="IF33" s="417"/>
      <c r="IG33" s="417"/>
      <c r="IH33" s="417"/>
      <c r="II33" s="417"/>
      <c r="IJ33" s="417"/>
      <c r="IK33" s="417"/>
      <c r="IL33" s="417"/>
      <c r="IM33" s="417"/>
      <c r="IN33" s="417"/>
      <c r="IO33" s="417"/>
      <c r="IP33" s="417"/>
      <c r="IQ33" s="417"/>
      <c r="IR33" s="417"/>
      <c r="IS33" s="417"/>
      <c r="IT33" s="417"/>
      <c r="IU33" s="417"/>
      <c r="IV33" s="417"/>
      <c r="IW33" s="417"/>
      <c r="IX33" s="417"/>
      <c r="IY33" s="417"/>
      <c r="IZ33" s="417"/>
      <c r="JA33" s="417"/>
      <c r="JB33" s="417"/>
      <c r="JC33" s="417"/>
      <c r="JD33" s="417"/>
      <c r="JE33" s="417"/>
      <c r="JF33" s="417"/>
      <c r="JG33" s="417"/>
      <c r="JH33" s="417"/>
      <c r="JI33" s="417"/>
      <c r="JJ33" s="417"/>
      <c r="JK33" s="417"/>
      <c r="JL33" s="417"/>
      <c r="JM33" s="417"/>
      <c r="JN33" s="417"/>
      <c r="JO33" s="417"/>
      <c r="JP33" s="417"/>
      <c r="JQ33" s="417"/>
      <c r="JR33" s="417"/>
      <c r="JS33" s="417"/>
      <c r="JT33" s="417"/>
      <c r="JU33" s="417"/>
      <c r="JV33" s="417"/>
      <c r="JW33" s="417"/>
      <c r="JX33" s="417"/>
      <c r="JY33" s="417"/>
      <c r="JZ33" s="417"/>
      <c r="KA33" s="417"/>
      <c r="KB33" s="417"/>
      <c r="KC33" s="417"/>
      <c r="KD33" s="417"/>
      <c r="KE33" s="417"/>
      <c r="KF33" s="417"/>
      <c r="KG33" s="417"/>
      <c r="KH33" s="417"/>
      <c r="KI33" s="417"/>
      <c r="KJ33" s="417"/>
      <c r="KK33" s="417"/>
      <c r="KL33" s="417"/>
      <c r="KM33" s="417"/>
      <c r="KN33" s="417"/>
      <c r="KO33" s="417"/>
      <c r="KP33" s="417"/>
      <c r="KQ33" s="417"/>
      <c r="KR33" s="417"/>
      <c r="KS33" s="417"/>
      <c r="KT33" s="417"/>
      <c r="KU33" s="417"/>
      <c r="KV33" s="417"/>
      <c r="KW33" s="417"/>
      <c r="KX33" s="417"/>
      <c r="KY33" s="417"/>
      <c r="KZ33" s="417"/>
      <c r="LA33" s="417"/>
      <c r="LB33" s="417"/>
      <c r="LC33" s="417"/>
      <c r="LD33" s="417"/>
      <c r="LE33" s="417"/>
      <c r="LF33" s="417"/>
      <c r="LG33" s="417"/>
      <c r="LH33" s="417"/>
      <c r="LI33" s="417"/>
      <c r="LJ33" s="417"/>
      <c r="LK33" s="417"/>
      <c r="LL33" s="417"/>
      <c r="LM33" s="417"/>
      <c r="LN33" s="417"/>
      <c r="LO33" s="417"/>
      <c r="LP33" s="417"/>
      <c r="LQ33" s="417"/>
      <c r="LR33" s="417"/>
      <c r="LS33" s="417"/>
      <c r="LT33" s="417"/>
      <c r="LU33" s="417"/>
      <c r="LV33" s="417"/>
      <c r="LW33" s="417"/>
      <c r="LX33" s="417"/>
      <c r="LY33" s="417"/>
      <c r="LZ33" s="417"/>
      <c r="MA33" s="417"/>
      <c r="MB33" s="417"/>
      <c r="MC33" s="417"/>
      <c r="MD33" s="417"/>
      <c r="ME33" s="417"/>
      <c r="MF33" s="417"/>
      <c r="MG33" s="417"/>
      <c r="MH33" s="417"/>
      <c r="MI33" s="417"/>
      <c r="MJ33" s="417"/>
      <c r="MK33" s="417"/>
      <c r="ML33" s="417"/>
      <c r="MM33" s="417"/>
      <c r="MN33" s="417"/>
      <c r="MO33" s="417"/>
      <c r="MP33" s="417"/>
      <c r="MQ33" s="417"/>
      <c r="MR33" s="417"/>
      <c r="MS33" s="417"/>
      <c r="MT33" s="417"/>
      <c r="MU33" s="417"/>
      <c r="MV33" s="417"/>
      <c r="MW33" s="417"/>
      <c r="MX33" s="417"/>
      <c r="MY33" s="417"/>
      <c r="MZ33" s="417"/>
      <c r="NA33" s="417"/>
      <c r="NB33" s="417"/>
      <c r="NC33" s="417"/>
      <c r="ND33" s="417"/>
      <c r="NE33" s="417"/>
      <c r="NF33" s="417"/>
      <c r="NG33" s="417"/>
      <c r="NH33" s="417"/>
      <c r="NI33" s="417"/>
      <c r="NJ33" s="417"/>
      <c r="NK33" s="417"/>
      <c r="NL33" s="417"/>
      <c r="NM33" s="417"/>
      <c r="NN33" s="417"/>
      <c r="NO33" s="417"/>
      <c r="NP33" s="417"/>
      <c r="NQ33" s="417"/>
      <c r="NR33" s="417"/>
      <c r="NS33" s="417"/>
      <c r="NT33" s="417"/>
      <c r="NU33" s="417"/>
      <c r="NV33" s="417"/>
      <c r="NW33" s="417"/>
      <c r="NX33" s="417"/>
      <c r="NY33" s="417"/>
      <c r="NZ33" s="417"/>
      <c r="OA33" s="417"/>
      <c r="OB33" s="417"/>
      <c r="OC33" s="417"/>
      <c r="OD33" s="417"/>
      <c r="OE33" s="417"/>
      <c r="OF33" s="417"/>
      <c r="OG33" s="417"/>
      <c r="OH33" s="417"/>
      <c r="OI33" s="385"/>
      <c r="OJ33" s="417"/>
      <c r="OK33" s="417"/>
      <c r="OL33" s="417"/>
      <c r="OM33" s="417"/>
      <c r="ON33" s="417"/>
      <c r="OO33" s="417"/>
      <c r="OP33" s="417"/>
      <c r="OQ33" s="417"/>
      <c r="OR33" s="417"/>
      <c r="OS33" s="417"/>
      <c r="OT33" s="417"/>
      <c r="OU33" s="417"/>
      <c r="OV33" s="417"/>
      <c r="OW33" s="417"/>
      <c r="OX33" s="417"/>
      <c r="OY33" s="417"/>
      <c r="OZ33" s="417"/>
      <c r="PA33" s="417"/>
      <c r="PB33" s="417"/>
      <c r="PC33" s="417"/>
      <c r="PD33" s="417"/>
      <c r="PE33" s="417"/>
      <c r="PF33" s="417"/>
      <c r="PG33" s="417"/>
    </row>
    <row r="34" spans="1:423" ht="15.75" customHeight="1" thickBot="1" x14ac:dyDescent="0.3">
      <c r="A34" s="416">
        <v>549754610175</v>
      </c>
      <c r="B34" s="384">
        <f t="shared" si="0"/>
        <v>0</v>
      </c>
      <c r="C34" s="384">
        <v>362</v>
      </c>
      <c r="D34" s="384">
        <f>SUMIF('Sap Inwarding'!F:F,'Front Dispatch'!$A34,'Sap Inwarding'!H:H)</f>
        <v>0</v>
      </c>
      <c r="E34" s="10">
        <f t="shared" si="1"/>
        <v>362</v>
      </c>
      <c r="F34" s="417"/>
      <c r="G34" s="417"/>
      <c r="H34" s="417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17"/>
      <c r="X34" s="417"/>
      <c r="Y34" s="385"/>
      <c r="Z34" s="417"/>
      <c r="AA34" s="417"/>
      <c r="AB34" s="417"/>
      <c r="AC34" s="417"/>
      <c r="AD34" s="417"/>
      <c r="AE34" s="417"/>
      <c r="AF34" s="417"/>
      <c r="AG34" s="417"/>
      <c r="AH34" s="417"/>
      <c r="AI34" s="417"/>
      <c r="AJ34" s="417"/>
      <c r="AK34" s="417"/>
      <c r="AL34" s="417"/>
      <c r="AM34" s="417"/>
      <c r="AN34" s="417"/>
      <c r="AO34" s="417"/>
      <c r="AP34" s="417"/>
      <c r="AQ34" s="417"/>
      <c r="AR34" s="417"/>
      <c r="AS34" s="417"/>
      <c r="AT34" s="417"/>
      <c r="AU34" s="385"/>
      <c r="AV34" s="385"/>
      <c r="AW34" s="385"/>
      <c r="AX34" s="385"/>
      <c r="AY34" s="385"/>
      <c r="AZ34" s="417"/>
      <c r="BA34" s="417"/>
      <c r="BB34" s="417"/>
      <c r="BC34" s="417"/>
      <c r="BD34" s="385"/>
      <c r="BE34" s="417"/>
      <c r="BF34" s="417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  <c r="BS34" s="417"/>
      <c r="BT34" s="417"/>
      <c r="BU34" s="417"/>
      <c r="BV34" s="417"/>
      <c r="BW34" s="417"/>
      <c r="BX34" s="417"/>
      <c r="BY34" s="417"/>
      <c r="BZ34" s="417"/>
      <c r="CA34" s="385"/>
      <c r="CB34" s="417"/>
      <c r="CC34" s="417"/>
      <c r="CD34" s="417"/>
      <c r="CE34" s="385"/>
      <c r="CF34" s="385"/>
      <c r="CG34" s="385"/>
      <c r="CH34" s="417"/>
      <c r="CI34" s="417"/>
      <c r="CJ34" s="417"/>
      <c r="CK34" s="417"/>
      <c r="CL34" s="417"/>
      <c r="CM34" s="385"/>
      <c r="CN34" s="417"/>
      <c r="CO34" s="417"/>
      <c r="CP34" s="417"/>
      <c r="CQ34" s="385"/>
      <c r="CR34" s="385"/>
      <c r="CS34" s="417"/>
      <c r="CT34" s="417"/>
      <c r="CU34" s="417"/>
      <c r="CV34" s="417"/>
      <c r="CW34" s="417"/>
      <c r="CX34" s="417"/>
      <c r="CY34" s="417"/>
      <c r="CZ34" s="417"/>
      <c r="DA34" s="385"/>
      <c r="DB34" s="417"/>
      <c r="DC34" s="385"/>
      <c r="DD34" s="385"/>
      <c r="DE34" s="385"/>
      <c r="DF34" s="385"/>
      <c r="DG34" s="385"/>
      <c r="DH34" s="417"/>
      <c r="DI34" s="417"/>
      <c r="DJ34" s="417"/>
      <c r="DK34" s="385"/>
      <c r="DL34" s="385"/>
      <c r="DM34" s="385"/>
      <c r="DN34" s="417"/>
      <c r="DO34" s="417"/>
      <c r="DP34" s="385"/>
      <c r="DQ34" s="385"/>
      <c r="DR34" s="385"/>
      <c r="DS34" s="417"/>
      <c r="DT34" s="417"/>
      <c r="DU34" s="417"/>
      <c r="DV34" s="417"/>
      <c r="DW34" s="385"/>
      <c r="DX34" s="385"/>
      <c r="DY34" s="417"/>
      <c r="DZ34" s="417"/>
      <c r="EA34" s="417"/>
      <c r="EB34" s="385"/>
      <c r="EC34" s="385"/>
      <c r="ED34" s="65"/>
      <c r="EE34" s="417"/>
      <c r="EF34" s="417"/>
      <c r="EG34" s="417"/>
      <c r="EH34" s="417"/>
      <c r="EI34" s="417"/>
      <c r="EJ34" s="417"/>
      <c r="EK34" s="417"/>
      <c r="EL34" s="417"/>
      <c r="EM34" s="417"/>
      <c r="EN34" s="417"/>
      <c r="EO34" s="385"/>
      <c r="EP34" s="385"/>
      <c r="EQ34" s="417"/>
      <c r="ER34" s="417"/>
      <c r="ES34" s="417"/>
      <c r="ET34" s="417"/>
      <c r="EU34" s="417"/>
      <c r="EV34" s="385"/>
      <c r="EW34" s="385"/>
      <c r="EX34" s="385"/>
      <c r="EY34" s="385"/>
      <c r="EZ34" s="417"/>
      <c r="FA34" s="417"/>
      <c r="FB34" s="417"/>
      <c r="FC34" s="417"/>
      <c r="FD34" s="417"/>
      <c r="FE34" s="417"/>
      <c r="FF34" s="417"/>
      <c r="FG34" s="417"/>
      <c r="FH34" s="417"/>
      <c r="FI34" s="417"/>
      <c r="FJ34" s="417"/>
      <c r="FK34" s="385"/>
      <c r="FL34" s="417"/>
      <c r="FM34" s="385"/>
      <c r="FN34" s="417"/>
      <c r="FO34" s="417"/>
      <c r="FP34" s="417"/>
      <c r="FQ34" s="417"/>
      <c r="FR34" s="417"/>
      <c r="FS34" s="417"/>
      <c r="FT34" s="385"/>
      <c r="FU34" s="385"/>
      <c r="FV34" s="385"/>
      <c r="FW34" s="417"/>
      <c r="FX34" s="417"/>
      <c r="FY34" s="385"/>
      <c r="FZ34" s="417"/>
      <c r="GA34" s="417"/>
      <c r="GB34" s="385"/>
      <c r="GC34" s="417"/>
      <c r="GD34" s="417"/>
      <c r="GE34" s="417"/>
      <c r="GF34" s="385"/>
      <c r="GG34" s="417"/>
      <c r="GH34" s="385"/>
      <c r="GI34" s="417"/>
      <c r="GJ34" s="385"/>
      <c r="GK34" s="417"/>
      <c r="GL34" s="417"/>
      <c r="GM34" s="417"/>
      <c r="GN34" s="417"/>
      <c r="GO34" s="417"/>
      <c r="GP34" s="417"/>
      <c r="GQ34" s="417"/>
      <c r="GR34" s="417"/>
      <c r="GS34" s="385"/>
      <c r="GT34" s="385"/>
      <c r="GU34" s="417"/>
      <c r="GV34" s="385"/>
      <c r="GW34" s="417"/>
      <c r="GX34" s="385"/>
      <c r="GY34" s="385"/>
      <c r="GZ34" s="417"/>
      <c r="HA34" s="417"/>
      <c r="HB34" s="417"/>
      <c r="HC34" s="417"/>
      <c r="HD34" s="417"/>
      <c r="HE34" s="417"/>
      <c r="HF34" s="417"/>
      <c r="HG34" s="417"/>
      <c r="HH34" s="385"/>
      <c r="HI34" s="417"/>
      <c r="HJ34" s="417"/>
      <c r="HK34" s="417"/>
      <c r="HL34" s="417"/>
      <c r="HM34" s="417"/>
      <c r="HN34" s="385"/>
      <c r="HO34" s="417"/>
      <c r="HP34" s="417"/>
      <c r="HQ34" s="417"/>
      <c r="HR34" s="417"/>
      <c r="HS34" s="417"/>
      <c r="HT34" s="417"/>
      <c r="HU34" s="385"/>
      <c r="HV34" s="417"/>
      <c r="HW34" s="417"/>
      <c r="HX34" s="417"/>
      <c r="HY34" s="417"/>
      <c r="HZ34" s="417"/>
      <c r="IA34" s="417"/>
      <c r="IB34" s="417"/>
      <c r="IC34" s="417"/>
      <c r="ID34" s="417"/>
      <c r="IE34" s="417"/>
      <c r="IF34" s="417"/>
      <c r="IG34" s="417"/>
      <c r="IH34" s="417"/>
      <c r="II34" s="417"/>
      <c r="IJ34" s="417"/>
      <c r="IK34" s="417"/>
      <c r="IL34" s="417"/>
      <c r="IM34" s="417"/>
      <c r="IN34" s="417"/>
      <c r="IO34" s="417"/>
      <c r="IP34" s="417"/>
      <c r="IQ34" s="417"/>
      <c r="IR34" s="417"/>
      <c r="IS34" s="417"/>
      <c r="IT34" s="417"/>
      <c r="IU34" s="417"/>
      <c r="IV34" s="417"/>
      <c r="IW34" s="417"/>
      <c r="IX34" s="417"/>
      <c r="IY34" s="417"/>
      <c r="IZ34" s="417"/>
      <c r="JA34" s="417"/>
      <c r="JB34" s="417"/>
      <c r="JC34" s="417"/>
      <c r="JD34" s="417"/>
      <c r="JE34" s="417"/>
      <c r="JF34" s="417"/>
      <c r="JG34" s="417"/>
      <c r="JH34" s="417"/>
      <c r="JI34" s="417"/>
      <c r="JJ34" s="417"/>
      <c r="JK34" s="417"/>
      <c r="JL34" s="417"/>
      <c r="JM34" s="417"/>
      <c r="JN34" s="417"/>
      <c r="JO34" s="417"/>
      <c r="JP34" s="417"/>
      <c r="JQ34" s="417"/>
      <c r="JR34" s="417"/>
      <c r="JS34" s="417"/>
      <c r="JT34" s="417"/>
      <c r="JU34" s="417"/>
      <c r="JV34" s="417"/>
      <c r="JW34" s="417"/>
      <c r="JX34" s="417"/>
      <c r="JY34" s="417"/>
      <c r="JZ34" s="417"/>
      <c r="KA34" s="417"/>
      <c r="KB34" s="417"/>
      <c r="KC34" s="417"/>
      <c r="KD34" s="417"/>
      <c r="KE34" s="417"/>
      <c r="KF34" s="417"/>
      <c r="KG34" s="417"/>
      <c r="KH34" s="417"/>
      <c r="KI34" s="417"/>
      <c r="KJ34" s="417"/>
      <c r="KK34" s="417"/>
      <c r="KL34" s="417"/>
      <c r="KM34" s="417"/>
      <c r="KN34" s="417"/>
      <c r="KO34" s="417"/>
      <c r="KP34" s="417"/>
      <c r="KQ34" s="417"/>
      <c r="KR34" s="417"/>
      <c r="KS34" s="417"/>
      <c r="KT34" s="417"/>
      <c r="KU34" s="417"/>
      <c r="KV34" s="417"/>
      <c r="KW34" s="417"/>
      <c r="KX34" s="417"/>
      <c r="KY34" s="417"/>
      <c r="KZ34" s="417"/>
      <c r="LA34" s="417"/>
      <c r="LB34" s="417"/>
      <c r="LC34" s="417"/>
      <c r="LD34" s="417"/>
      <c r="LE34" s="417"/>
      <c r="LF34" s="417"/>
      <c r="LG34" s="417"/>
      <c r="LH34" s="417"/>
      <c r="LI34" s="417"/>
      <c r="LJ34" s="417"/>
      <c r="LK34" s="417"/>
      <c r="LL34" s="417"/>
      <c r="LM34" s="417"/>
      <c r="LN34" s="417"/>
      <c r="LO34" s="417"/>
      <c r="LP34" s="417"/>
      <c r="LQ34" s="417"/>
      <c r="LR34" s="417"/>
      <c r="LS34" s="417"/>
      <c r="LT34" s="417"/>
      <c r="LU34" s="417"/>
      <c r="LV34" s="417"/>
      <c r="LW34" s="417"/>
      <c r="LX34" s="417"/>
      <c r="LY34" s="417"/>
      <c r="LZ34" s="417"/>
      <c r="MA34" s="417"/>
      <c r="MB34" s="417"/>
      <c r="MC34" s="417"/>
      <c r="MD34" s="417"/>
      <c r="ME34" s="417"/>
      <c r="MF34" s="417"/>
      <c r="MG34" s="417"/>
      <c r="MH34" s="417"/>
      <c r="MI34" s="417"/>
      <c r="MJ34" s="417"/>
      <c r="MK34" s="417"/>
      <c r="ML34" s="417"/>
      <c r="MM34" s="417"/>
      <c r="MN34" s="417"/>
      <c r="MO34" s="417"/>
      <c r="MP34" s="417"/>
      <c r="MQ34" s="417"/>
      <c r="MR34" s="417"/>
      <c r="MS34" s="417"/>
      <c r="MT34" s="417"/>
      <c r="MU34" s="417"/>
      <c r="MV34" s="417"/>
      <c r="MW34" s="417"/>
      <c r="MX34" s="417"/>
      <c r="MY34" s="417"/>
      <c r="MZ34" s="417"/>
      <c r="NA34" s="417"/>
      <c r="NB34" s="417"/>
      <c r="NC34" s="417"/>
      <c r="ND34" s="417"/>
      <c r="NE34" s="417"/>
      <c r="NF34" s="417"/>
      <c r="NG34" s="417"/>
      <c r="NH34" s="417"/>
      <c r="NI34" s="417"/>
      <c r="NJ34" s="417"/>
      <c r="NK34" s="417"/>
      <c r="NL34" s="417"/>
      <c r="NM34" s="417"/>
      <c r="NN34" s="417"/>
      <c r="NO34" s="417"/>
      <c r="NP34" s="417"/>
      <c r="NQ34" s="417"/>
      <c r="NR34" s="417"/>
      <c r="NS34" s="417"/>
      <c r="NT34" s="417"/>
      <c r="NU34" s="417"/>
      <c r="NV34" s="417"/>
      <c r="NW34" s="417"/>
      <c r="NX34" s="417"/>
      <c r="NY34" s="417"/>
      <c r="NZ34" s="417"/>
      <c r="OA34" s="417"/>
      <c r="OB34" s="417"/>
      <c r="OC34" s="417"/>
      <c r="OD34" s="417"/>
      <c r="OE34" s="417"/>
      <c r="OF34" s="417"/>
      <c r="OG34" s="417"/>
      <c r="OH34" s="417"/>
      <c r="OI34" s="385"/>
      <c r="OJ34" s="417"/>
      <c r="OK34" s="417"/>
      <c r="OL34" s="417"/>
      <c r="OM34" s="417"/>
      <c r="ON34" s="417"/>
      <c r="OO34" s="417"/>
      <c r="OP34" s="417"/>
      <c r="OQ34" s="417"/>
      <c r="OR34" s="417"/>
      <c r="OS34" s="417"/>
      <c r="OT34" s="417"/>
      <c r="OU34" s="417"/>
      <c r="OV34" s="417"/>
      <c r="OW34" s="417"/>
      <c r="OX34" s="417"/>
      <c r="OY34" s="417"/>
      <c r="OZ34" s="417"/>
      <c r="PA34" s="417"/>
      <c r="PB34" s="417"/>
      <c r="PC34" s="417"/>
      <c r="PD34" s="417"/>
      <c r="PE34" s="417"/>
      <c r="PF34" s="417"/>
      <c r="PG34" s="417"/>
    </row>
    <row r="35" spans="1:423" ht="15.75" customHeight="1" thickBot="1" x14ac:dyDescent="0.3">
      <c r="A35" s="416">
        <v>549754610191</v>
      </c>
      <c r="B35" s="384">
        <f t="shared" si="0"/>
        <v>152</v>
      </c>
      <c r="C35" s="384">
        <v>370</v>
      </c>
      <c r="D35" s="384">
        <f>SUMIF('Sap Inwarding'!F:F,'Front Dispatch'!$A35,'Sap Inwarding'!H:H)</f>
        <v>132</v>
      </c>
      <c r="E35" s="10">
        <f t="shared" si="1"/>
        <v>218</v>
      </c>
      <c r="F35" s="417"/>
      <c r="G35" s="417"/>
      <c r="H35" s="417">
        <v>15</v>
      </c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>
        <v>10</v>
      </c>
      <c r="V35" s="417"/>
      <c r="W35" s="417"/>
      <c r="X35" s="417"/>
      <c r="Y35" s="385">
        <v>5</v>
      </c>
      <c r="Z35" s="417"/>
      <c r="AA35" s="417"/>
      <c r="AB35" s="417"/>
      <c r="AC35" s="417"/>
      <c r="AD35" s="417"/>
      <c r="AE35" s="417"/>
      <c r="AF35" s="417"/>
      <c r="AG35" s="417"/>
      <c r="AH35" s="417">
        <v>5</v>
      </c>
      <c r="AI35" s="417"/>
      <c r="AJ35" s="417">
        <v>5</v>
      </c>
      <c r="AK35" s="417"/>
      <c r="AL35" s="417"/>
      <c r="AM35" s="417"/>
      <c r="AN35" s="417"/>
      <c r="AO35" s="417"/>
      <c r="AP35" s="417"/>
      <c r="AQ35" s="417"/>
      <c r="AR35" s="417"/>
      <c r="AS35" s="417"/>
      <c r="AT35" s="417"/>
      <c r="AU35" s="385"/>
      <c r="AV35" s="385">
        <v>10</v>
      </c>
      <c r="AW35" s="385">
        <v>10</v>
      </c>
      <c r="AX35" s="385"/>
      <c r="AY35" s="385"/>
      <c r="AZ35" s="417"/>
      <c r="BA35" s="417"/>
      <c r="BB35" s="417"/>
      <c r="BC35" s="417"/>
      <c r="BD35" s="385"/>
      <c r="BE35" s="417"/>
      <c r="BF35" s="417"/>
      <c r="BG35" s="417"/>
      <c r="BH35" s="417"/>
      <c r="BI35" s="417"/>
      <c r="BJ35" s="417"/>
      <c r="BK35" s="417"/>
      <c r="BL35" s="417"/>
      <c r="BM35" s="417"/>
      <c r="BN35" s="417"/>
      <c r="BO35" s="417"/>
      <c r="BP35" s="417"/>
      <c r="BQ35" s="417"/>
      <c r="BR35" s="417"/>
      <c r="BS35" s="417"/>
      <c r="BT35" s="417"/>
      <c r="BU35" s="417"/>
      <c r="BV35" s="417"/>
      <c r="BW35" s="417"/>
      <c r="BX35" s="417"/>
      <c r="BY35" s="417"/>
      <c r="BZ35" s="417"/>
      <c r="CA35" s="385"/>
      <c r="CB35" s="417"/>
      <c r="CC35" s="417"/>
      <c r="CD35" s="417"/>
      <c r="CE35" s="385"/>
      <c r="CF35" s="385"/>
      <c r="CG35" s="385"/>
      <c r="CH35" s="417"/>
      <c r="CI35" s="417"/>
      <c r="CJ35" s="417"/>
      <c r="CK35" s="417"/>
      <c r="CL35" s="417"/>
      <c r="CM35" s="385"/>
      <c r="CN35" s="417"/>
      <c r="CO35" s="417"/>
      <c r="CP35" s="417"/>
      <c r="CQ35" s="385"/>
      <c r="CR35" s="385"/>
      <c r="CS35" s="417"/>
      <c r="CT35" s="417"/>
      <c r="CU35" s="417"/>
      <c r="CV35" s="417"/>
      <c r="CW35" s="417"/>
      <c r="CX35" s="417"/>
      <c r="CY35" s="417"/>
      <c r="CZ35" s="417"/>
      <c r="DA35" s="385"/>
      <c r="DB35" s="417"/>
      <c r="DC35" s="385"/>
      <c r="DD35" s="385"/>
      <c r="DE35" s="385"/>
      <c r="DF35" s="385"/>
      <c r="DG35" s="385"/>
      <c r="DH35" s="417"/>
      <c r="DI35" s="417"/>
      <c r="DJ35" s="417"/>
      <c r="DK35" s="385"/>
      <c r="DL35" s="385"/>
      <c r="DM35" s="385"/>
      <c r="DN35" s="417"/>
      <c r="DO35" s="417"/>
      <c r="DP35" s="385"/>
      <c r="DQ35" s="385"/>
      <c r="DR35" s="385"/>
      <c r="DS35" s="417"/>
      <c r="DT35" s="417"/>
      <c r="DU35" s="417"/>
      <c r="DV35" s="417"/>
      <c r="DW35" s="385"/>
      <c r="DX35" s="385"/>
      <c r="DY35" s="417"/>
      <c r="DZ35" s="417"/>
      <c r="EA35" s="417"/>
      <c r="EB35" s="385"/>
      <c r="EC35" s="385"/>
      <c r="ED35" s="65"/>
      <c r="EE35" s="417"/>
      <c r="EF35" s="417"/>
      <c r="EG35" s="417"/>
      <c r="EH35" s="417"/>
      <c r="EI35" s="417"/>
      <c r="EJ35" s="417">
        <v>19</v>
      </c>
      <c r="EK35" s="417"/>
      <c r="EL35" s="417"/>
      <c r="EM35" s="417"/>
      <c r="EN35" s="417"/>
      <c r="EO35" s="385"/>
      <c r="EP35" s="385"/>
      <c r="EQ35" s="417"/>
      <c r="ER35" s="417"/>
      <c r="ES35" s="417"/>
      <c r="ET35" s="417"/>
      <c r="EU35" s="417"/>
      <c r="EV35" s="385">
        <v>20</v>
      </c>
      <c r="EW35" s="385"/>
      <c r="EX35" s="385">
        <v>6</v>
      </c>
      <c r="EY35" s="385"/>
      <c r="EZ35" s="417"/>
      <c r="FA35" s="417"/>
      <c r="FB35" s="417"/>
      <c r="FC35" s="417"/>
      <c r="FD35" s="417"/>
      <c r="FE35" s="417"/>
      <c r="FF35" s="417"/>
      <c r="FG35" s="417"/>
      <c r="FH35" s="417"/>
      <c r="FI35" s="417"/>
      <c r="FJ35" s="417">
        <v>6</v>
      </c>
      <c r="FK35" s="385"/>
      <c r="FL35" s="417"/>
      <c r="FM35" s="385"/>
      <c r="FN35" s="417"/>
      <c r="FO35" s="417"/>
      <c r="FP35" s="417"/>
      <c r="FQ35" s="417"/>
      <c r="FR35" s="417"/>
      <c r="FS35" s="417"/>
      <c r="FT35" s="385"/>
      <c r="FU35" s="385"/>
      <c r="FV35" s="385"/>
      <c r="FW35" s="417"/>
      <c r="FX35" s="417"/>
      <c r="FY35" s="385"/>
      <c r="FZ35" s="417"/>
      <c r="GA35" s="417"/>
      <c r="GB35" s="385">
        <v>14</v>
      </c>
      <c r="GC35" s="417"/>
      <c r="GD35" s="417"/>
      <c r="GE35" s="417"/>
      <c r="GF35" s="385"/>
      <c r="GG35" s="417"/>
      <c r="GH35" s="385"/>
      <c r="GI35" s="417"/>
      <c r="GJ35" s="385">
        <v>7</v>
      </c>
      <c r="GK35" s="417"/>
      <c r="GL35" s="417"/>
      <c r="GM35" s="417"/>
      <c r="GN35" s="417"/>
      <c r="GO35" s="417"/>
      <c r="GP35" s="417"/>
      <c r="GQ35" s="417"/>
      <c r="GR35" s="417"/>
      <c r="GS35" s="385"/>
      <c r="GT35" s="385"/>
      <c r="GU35" s="417"/>
      <c r="GV35" s="385"/>
      <c r="GW35" s="417"/>
      <c r="GX35" s="385">
        <v>10</v>
      </c>
      <c r="GY35" s="385"/>
      <c r="GZ35" s="417"/>
      <c r="HA35" s="417"/>
      <c r="HB35" s="417"/>
      <c r="HC35" s="417"/>
      <c r="HD35" s="417"/>
      <c r="HE35" s="417"/>
      <c r="HF35" s="417"/>
      <c r="HG35" s="417"/>
      <c r="HH35" s="385">
        <v>10</v>
      </c>
      <c r="HI35" s="417"/>
      <c r="HJ35" s="417"/>
      <c r="HK35" s="417"/>
      <c r="HL35" s="417"/>
      <c r="HM35" s="417"/>
      <c r="HN35" s="385"/>
      <c r="HO35" s="417"/>
      <c r="HP35" s="417"/>
      <c r="HQ35" s="417"/>
      <c r="HR35" s="417"/>
      <c r="HS35" s="417"/>
      <c r="HT35" s="417"/>
      <c r="HU35" s="385"/>
      <c r="HV35" s="417"/>
      <c r="HW35" s="417"/>
      <c r="HX35" s="417"/>
      <c r="HY35" s="417"/>
      <c r="HZ35" s="417"/>
      <c r="IA35" s="417"/>
      <c r="IB35" s="417"/>
      <c r="IC35" s="417"/>
      <c r="ID35" s="417"/>
      <c r="IE35" s="417"/>
      <c r="IF35" s="417"/>
      <c r="IG35" s="417"/>
      <c r="IH35" s="417"/>
      <c r="II35" s="417"/>
      <c r="IJ35" s="417"/>
      <c r="IK35" s="417"/>
      <c r="IL35" s="417"/>
      <c r="IM35" s="417"/>
      <c r="IN35" s="417"/>
      <c r="IO35" s="417"/>
      <c r="IP35" s="417"/>
      <c r="IQ35" s="417"/>
      <c r="IR35" s="417"/>
      <c r="IS35" s="417"/>
      <c r="IT35" s="417"/>
      <c r="IU35" s="417"/>
      <c r="IV35" s="417"/>
      <c r="IW35" s="417"/>
      <c r="IX35" s="417"/>
      <c r="IY35" s="417"/>
      <c r="IZ35" s="417"/>
      <c r="JA35" s="417"/>
      <c r="JB35" s="417"/>
      <c r="JC35" s="417"/>
      <c r="JD35" s="417"/>
      <c r="JE35" s="417"/>
      <c r="JF35" s="417"/>
      <c r="JG35" s="417"/>
      <c r="JH35" s="417"/>
      <c r="JI35" s="417"/>
      <c r="JJ35" s="417"/>
      <c r="JK35" s="417"/>
      <c r="JL35" s="417"/>
      <c r="JM35" s="417"/>
      <c r="JN35" s="417"/>
      <c r="JO35" s="417"/>
      <c r="JP35" s="417"/>
      <c r="JQ35" s="417"/>
      <c r="JR35" s="417"/>
      <c r="JS35" s="417"/>
      <c r="JT35" s="417"/>
      <c r="JU35" s="417"/>
      <c r="JV35" s="417"/>
      <c r="JW35" s="417"/>
      <c r="JX35" s="417"/>
      <c r="JY35" s="417"/>
      <c r="JZ35" s="417"/>
      <c r="KA35" s="417"/>
      <c r="KB35" s="417"/>
      <c r="KC35" s="417"/>
      <c r="KD35" s="417"/>
      <c r="KE35" s="417"/>
      <c r="KF35" s="417"/>
      <c r="KG35" s="417"/>
      <c r="KH35" s="417"/>
      <c r="KI35" s="417"/>
      <c r="KJ35" s="417"/>
      <c r="KK35" s="417"/>
      <c r="KL35" s="417"/>
      <c r="KM35" s="417"/>
      <c r="KN35" s="417"/>
      <c r="KO35" s="417"/>
      <c r="KP35" s="417"/>
      <c r="KQ35" s="417"/>
      <c r="KR35" s="417"/>
      <c r="KS35" s="417"/>
      <c r="KT35" s="417"/>
      <c r="KU35" s="417"/>
      <c r="KV35" s="417"/>
      <c r="KW35" s="417"/>
      <c r="KX35" s="417"/>
      <c r="KY35" s="417"/>
      <c r="KZ35" s="417"/>
      <c r="LA35" s="417"/>
      <c r="LB35" s="417"/>
      <c r="LC35" s="417"/>
      <c r="LD35" s="417"/>
      <c r="LE35" s="417"/>
      <c r="LF35" s="417"/>
      <c r="LG35" s="417"/>
      <c r="LH35" s="417"/>
      <c r="LI35" s="417"/>
      <c r="LJ35" s="417"/>
      <c r="LK35" s="417"/>
      <c r="LL35" s="417"/>
      <c r="LM35" s="417"/>
      <c r="LN35" s="417"/>
      <c r="LO35" s="417"/>
      <c r="LP35" s="417"/>
      <c r="LQ35" s="417"/>
      <c r="LR35" s="417"/>
      <c r="LS35" s="417"/>
      <c r="LT35" s="417"/>
      <c r="LU35" s="417"/>
      <c r="LV35" s="417"/>
      <c r="LW35" s="417"/>
      <c r="LX35" s="417"/>
      <c r="LY35" s="417"/>
      <c r="LZ35" s="417"/>
      <c r="MA35" s="417"/>
      <c r="MB35" s="417"/>
      <c r="MC35" s="417"/>
      <c r="MD35" s="417"/>
      <c r="ME35" s="417"/>
      <c r="MF35" s="417"/>
      <c r="MG35" s="417"/>
      <c r="MH35" s="417"/>
      <c r="MI35" s="417"/>
      <c r="MJ35" s="417"/>
      <c r="MK35" s="417"/>
      <c r="ML35" s="417"/>
      <c r="MM35" s="417"/>
      <c r="MN35" s="417"/>
      <c r="MO35" s="417"/>
      <c r="MP35" s="417"/>
      <c r="MQ35" s="417"/>
      <c r="MR35" s="417"/>
      <c r="MS35" s="417"/>
      <c r="MT35" s="417"/>
      <c r="MU35" s="417"/>
      <c r="MV35" s="417"/>
      <c r="MW35" s="417"/>
      <c r="MX35" s="417"/>
      <c r="MY35" s="417"/>
      <c r="MZ35" s="417"/>
      <c r="NA35" s="417"/>
      <c r="NB35" s="417"/>
      <c r="NC35" s="417"/>
      <c r="ND35" s="417"/>
      <c r="NE35" s="417"/>
      <c r="NF35" s="417"/>
      <c r="NG35" s="417"/>
      <c r="NH35" s="417"/>
      <c r="NI35" s="417"/>
      <c r="NJ35" s="417"/>
      <c r="NK35" s="417"/>
      <c r="NL35" s="417"/>
      <c r="NM35" s="417"/>
      <c r="NN35" s="417"/>
      <c r="NO35" s="417"/>
      <c r="NP35" s="417"/>
      <c r="NQ35" s="417"/>
      <c r="NR35" s="417"/>
      <c r="NS35" s="417"/>
      <c r="NT35" s="417"/>
      <c r="NU35" s="417"/>
      <c r="NV35" s="417"/>
      <c r="NW35" s="417"/>
      <c r="NX35" s="417"/>
      <c r="NY35" s="417"/>
      <c r="NZ35" s="417"/>
      <c r="OA35" s="417"/>
      <c r="OB35" s="417"/>
      <c r="OC35" s="417"/>
      <c r="OD35" s="417"/>
      <c r="OE35" s="417"/>
      <c r="OF35" s="417"/>
      <c r="OG35" s="417"/>
      <c r="OH35" s="417"/>
      <c r="OI35" s="385"/>
      <c r="OJ35" s="417"/>
      <c r="OK35" s="417"/>
      <c r="OL35" s="417"/>
      <c r="OM35" s="417"/>
      <c r="ON35" s="417"/>
      <c r="OO35" s="417"/>
      <c r="OP35" s="417"/>
      <c r="OQ35" s="417"/>
      <c r="OR35" s="417"/>
      <c r="OS35" s="417"/>
      <c r="OT35" s="417"/>
      <c r="OU35" s="417"/>
      <c r="OV35" s="417"/>
      <c r="OW35" s="417"/>
      <c r="OX35" s="417"/>
      <c r="OY35" s="417"/>
      <c r="OZ35" s="417"/>
      <c r="PA35" s="417"/>
      <c r="PB35" s="417"/>
      <c r="PC35" s="417"/>
      <c r="PD35" s="417"/>
      <c r="PE35" s="417"/>
      <c r="PF35" s="417"/>
      <c r="PG35" s="417"/>
    </row>
    <row r="36" spans="1:423" ht="15.75" customHeight="1" thickBot="1" x14ac:dyDescent="0.3">
      <c r="A36" s="416">
        <v>544254640126</v>
      </c>
      <c r="B36" s="384">
        <f t="shared" si="0"/>
        <v>0</v>
      </c>
      <c r="C36" s="384">
        <v>0</v>
      </c>
      <c r="D36" s="384">
        <f>SUMIF('Sap Inwarding'!F:F,'Front Dispatch'!$A36,'Sap Inwarding'!H:H)</f>
        <v>0</v>
      </c>
      <c r="E36" s="10">
        <f t="shared" si="1"/>
        <v>0</v>
      </c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385"/>
      <c r="Z36" s="417"/>
      <c r="AA36" s="417"/>
      <c r="AB36" s="417"/>
      <c r="AC36" s="417"/>
      <c r="AD36" s="417"/>
      <c r="AE36" s="417"/>
      <c r="AF36" s="417"/>
      <c r="AG36" s="417"/>
      <c r="AH36" s="417"/>
      <c r="AI36" s="417"/>
      <c r="AJ36" s="417"/>
      <c r="AK36" s="417"/>
      <c r="AL36" s="417"/>
      <c r="AM36" s="417"/>
      <c r="AN36" s="417"/>
      <c r="AO36" s="417"/>
      <c r="AP36" s="417"/>
      <c r="AQ36" s="417"/>
      <c r="AR36" s="417"/>
      <c r="AS36" s="417"/>
      <c r="AT36" s="417"/>
      <c r="AU36" s="385"/>
      <c r="AV36" s="385"/>
      <c r="AW36" s="385"/>
      <c r="AX36" s="385"/>
      <c r="AY36" s="385"/>
      <c r="AZ36" s="417"/>
      <c r="BA36" s="417"/>
      <c r="BB36" s="417"/>
      <c r="BC36" s="417"/>
      <c r="BD36" s="385"/>
      <c r="BE36" s="417"/>
      <c r="BF36" s="417"/>
      <c r="BG36" s="417"/>
      <c r="BH36" s="417"/>
      <c r="BI36" s="417"/>
      <c r="BJ36" s="417"/>
      <c r="BK36" s="417"/>
      <c r="BL36" s="417"/>
      <c r="BM36" s="417"/>
      <c r="BN36" s="417"/>
      <c r="BO36" s="417"/>
      <c r="BP36" s="417"/>
      <c r="BQ36" s="417"/>
      <c r="BR36" s="417"/>
      <c r="BS36" s="417"/>
      <c r="BT36" s="417"/>
      <c r="BU36" s="417"/>
      <c r="BV36" s="417"/>
      <c r="BW36" s="417"/>
      <c r="BX36" s="417"/>
      <c r="BY36" s="417"/>
      <c r="BZ36" s="417"/>
      <c r="CA36" s="385"/>
      <c r="CB36" s="417"/>
      <c r="CC36" s="417"/>
      <c r="CD36" s="417"/>
      <c r="CE36" s="385"/>
      <c r="CF36" s="385"/>
      <c r="CG36" s="385"/>
      <c r="CH36" s="417"/>
      <c r="CI36" s="417"/>
      <c r="CJ36" s="417"/>
      <c r="CK36" s="417"/>
      <c r="CL36" s="417"/>
      <c r="CM36" s="385"/>
      <c r="CN36" s="417"/>
      <c r="CO36" s="417"/>
      <c r="CP36" s="417"/>
      <c r="CQ36" s="385"/>
      <c r="CR36" s="385"/>
      <c r="CS36" s="417"/>
      <c r="CT36" s="417"/>
      <c r="CU36" s="417"/>
      <c r="CV36" s="417"/>
      <c r="CW36" s="417"/>
      <c r="CX36" s="417"/>
      <c r="CY36" s="417"/>
      <c r="CZ36" s="417"/>
      <c r="DA36" s="385"/>
      <c r="DB36" s="417"/>
      <c r="DC36" s="385"/>
      <c r="DD36" s="385"/>
      <c r="DE36" s="385"/>
      <c r="DF36" s="385"/>
      <c r="DG36" s="385"/>
      <c r="DH36" s="417"/>
      <c r="DI36" s="417"/>
      <c r="DJ36" s="417"/>
      <c r="DK36" s="385"/>
      <c r="DL36" s="385"/>
      <c r="DM36" s="385"/>
      <c r="DN36" s="417"/>
      <c r="DO36" s="417"/>
      <c r="DP36" s="385"/>
      <c r="DQ36" s="385"/>
      <c r="DR36" s="385"/>
      <c r="DS36" s="417"/>
      <c r="DT36" s="417"/>
      <c r="DU36" s="417"/>
      <c r="DV36" s="417"/>
      <c r="DW36" s="385"/>
      <c r="DX36" s="385"/>
      <c r="DY36" s="417"/>
      <c r="DZ36" s="417"/>
      <c r="EA36" s="417"/>
      <c r="EB36" s="385"/>
      <c r="EC36" s="385"/>
      <c r="ED36" s="65"/>
      <c r="EE36" s="417"/>
      <c r="EF36" s="417"/>
      <c r="EG36" s="417"/>
      <c r="EH36" s="417"/>
      <c r="EI36" s="417"/>
      <c r="EJ36" s="417"/>
      <c r="EK36" s="417"/>
      <c r="EL36" s="417"/>
      <c r="EM36" s="417"/>
      <c r="EN36" s="417"/>
      <c r="EO36" s="385"/>
      <c r="EP36" s="385"/>
      <c r="EQ36" s="417"/>
      <c r="ER36" s="417"/>
      <c r="ES36" s="417"/>
      <c r="ET36" s="417"/>
      <c r="EU36" s="417"/>
      <c r="EV36" s="385"/>
      <c r="EW36" s="385"/>
      <c r="EX36" s="385"/>
      <c r="EY36" s="385"/>
      <c r="EZ36" s="417"/>
      <c r="FA36" s="417"/>
      <c r="FB36" s="417"/>
      <c r="FC36" s="417"/>
      <c r="FD36" s="417"/>
      <c r="FE36" s="417"/>
      <c r="FF36" s="417"/>
      <c r="FG36" s="417"/>
      <c r="FH36" s="417"/>
      <c r="FI36" s="417"/>
      <c r="FJ36" s="417"/>
      <c r="FK36" s="385"/>
      <c r="FL36" s="417"/>
      <c r="FM36" s="385"/>
      <c r="FN36" s="417"/>
      <c r="FO36" s="417"/>
      <c r="FP36" s="417"/>
      <c r="FQ36" s="417"/>
      <c r="FR36" s="417"/>
      <c r="FS36" s="417"/>
      <c r="FT36" s="385"/>
      <c r="FU36" s="385"/>
      <c r="FV36" s="385"/>
      <c r="FW36" s="417"/>
      <c r="FX36" s="417"/>
      <c r="FY36" s="385"/>
      <c r="FZ36" s="417"/>
      <c r="GA36" s="417"/>
      <c r="GB36" s="385"/>
      <c r="GC36" s="417"/>
      <c r="GD36" s="417"/>
      <c r="GE36" s="417"/>
      <c r="GF36" s="385"/>
      <c r="GG36" s="417"/>
      <c r="GH36" s="385"/>
      <c r="GI36" s="417"/>
      <c r="GJ36" s="385"/>
      <c r="GK36" s="417"/>
      <c r="GL36" s="417"/>
      <c r="GM36" s="417"/>
      <c r="GN36" s="417"/>
      <c r="GO36" s="417"/>
      <c r="GP36" s="417"/>
      <c r="GQ36" s="417"/>
      <c r="GR36" s="417"/>
      <c r="GS36" s="385"/>
      <c r="GT36" s="385"/>
      <c r="GU36" s="417"/>
      <c r="GV36" s="385"/>
      <c r="GW36" s="417"/>
      <c r="GX36" s="385"/>
      <c r="GY36" s="385"/>
      <c r="GZ36" s="417"/>
      <c r="HA36" s="417"/>
      <c r="HB36" s="417"/>
      <c r="HC36" s="417"/>
      <c r="HD36" s="417"/>
      <c r="HE36" s="417"/>
      <c r="HF36" s="417"/>
      <c r="HG36" s="417"/>
      <c r="HH36" s="385"/>
      <c r="HI36" s="417"/>
      <c r="HJ36" s="417"/>
      <c r="HK36" s="417"/>
      <c r="HL36" s="417"/>
      <c r="HM36" s="417"/>
      <c r="HN36" s="385"/>
      <c r="HO36" s="417"/>
      <c r="HP36" s="417"/>
      <c r="HQ36" s="417"/>
      <c r="HR36" s="417"/>
      <c r="HS36" s="417"/>
      <c r="HT36" s="417"/>
      <c r="HU36" s="385"/>
      <c r="HV36" s="417"/>
      <c r="HW36" s="417"/>
      <c r="HX36" s="417"/>
      <c r="HY36" s="417"/>
      <c r="HZ36" s="417"/>
      <c r="IA36" s="417"/>
      <c r="IB36" s="417"/>
      <c r="IC36" s="417"/>
      <c r="ID36" s="417"/>
      <c r="IE36" s="417"/>
      <c r="IF36" s="417"/>
      <c r="IG36" s="417"/>
      <c r="IH36" s="417"/>
      <c r="II36" s="417"/>
      <c r="IJ36" s="417"/>
      <c r="IK36" s="417"/>
      <c r="IL36" s="417"/>
      <c r="IM36" s="417"/>
      <c r="IN36" s="417"/>
      <c r="IO36" s="417"/>
      <c r="IP36" s="417"/>
      <c r="IQ36" s="417"/>
      <c r="IR36" s="417"/>
      <c r="IS36" s="417"/>
      <c r="IT36" s="417"/>
      <c r="IU36" s="417"/>
      <c r="IV36" s="417"/>
      <c r="IW36" s="417"/>
      <c r="IX36" s="417"/>
      <c r="IY36" s="417"/>
      <c r="IZ36" s="417"/>
      <c r="JA36" s="417"/>
      <c r="JB36" s="417"/>
      <c r="JC36" s="417"/>
      <c r="JD36" s="417"/>
      <c r="JE36" s="417"/>
      <c r="JF36" s="417"/>
      <c r="JG36" s="417"/>
      <c r="JH36" s="417"/>
      <c r="JI36" s="417"/>
      <c r="JJ36" s="417"/>
      <c r="JK36" s="417"/>
      <c r="JL36" s="417"/>
      <c r="JM36" s="417"/>
      <c r="JN36" s="417"/>
      <c r="JO36" s="417"/>
      <c r="JP36" s="417"/>
      <c r="JQ36" s="417"/>
      <c r="JR36" s="417"/>
      <c r="JS36" s="417"/>
      <c r="JT36" s="417"/>
      <c r="JU36" s="417"/>
      <c r="JV36" s="417"/>
      <c r="JW36" s="417"/>
      <c r="JX36" s="417"/>
      <c r="JY36" s="417"/>
      <c r="JZ36" s="417"/>
      <c r="KA36" s="417"/>
      <c r="KB36" s="417"/>
      <c r="KC36" s="417"/>
      <c r="KD36" s="417"/>
      <c r="KE36" s="417"/>
      <c r="KF36" s="417"/>
      <c r="KG36" s="417"/>
      <c r="KH36" s="417"/>
      <c r="KI36" s="417"/>
      <c r="KJ36" s="417"/>
      <c r="KK36" s="417"/>
      <c r="KL36" s="417"/>
      <c r="KM36" s="417"/>
      <c r="KN36" s="417"/>
      <c r="KO36" s="417"/>
      <c r="KP36" s="417"/>
      <c r="KQ36" s="417"/>
      <c r="KR36" s="417"/>
      <c r="KS36" s="417"/>
      <c r="KT36" s="417"/>
      <c r="KU36" s="417"/>
      <c r="KV36" s="417"/>
      <c r="KW36" s="417"/>
      <c r="KX36" s="417"/>
      <c r="KY36" s="417"/>
      <c r="KZ36" s="417"/>
      <c r="LA36" s="417"/>
      <c r="LB36" s="417"/>
      <c r="LC36" s="417"/>
      <c r="LD36" s="417"/>
      <c r="LE36" s="417"/>
      <c r="LF36" s="417"/>
      <c r="LG36" s="417"/>
      <c r="LH36" s="417"/>
      <c r="LI36" s="417"/>
      <c r="LJ36" s="417"/>
      <c r="LK36" s="417"/>
      <c r="LL36" s="417"/>
      <c r="LM36" s="417"/>
      <c r="LN36" s="417"/>
      <c r="LO36" s="417"/>
      <c r="LP36" s="417"/>
      <c r="LQ36" s="417"/>
      <c r="LR36" s="417"/>
      <c r="LS36" s="417"/>
      <c r="LT36" s="417"/>
      <c r="LU36" s="417"/>
      <c r="LV36" s="417"/>
      <c r="LW36" s="417"/>
      <c r="LX36" s="417"/>
      <c r="LY36" s="417"/>
      <c r="LZ36" s="417"/>
      <c r="MA36" s="417"/>
      <c r="MB36" s="417"/>
      <c r="MC36" s="417"/>
      <c r="MD36" s="417"/>
      <c r="ME36" s="417"/>
      <c r="MF36" s="417"/>
      <c r="MG36" s="417"/>
      <c r="MH36" s="417"/>
      <c r="MI36" s="417"/>
      <c r="MJ36" s="417"/>
      <c r="MK36" s="417"/>
      <c r="ML36" s="417"/>
      <c r="MM36" s="417"/>
      <c r="MN36" s="417"/>
      <c r="MO36" s="417"/>
      <c r="MP36" s="417"/>
      <c r="MQ36" s="417"/>
      <c r="MR36" s="417"/>
      <c r="MS36" s="417"/>
      <c r="MT36" s="417"/>
      <c r="MU36" s="417"/>
      <c r="MV36" s="417"/>
      <c r="MW36" s="417"/>
      <c r="MX36" s="417"/>
      <c r="MY36" s="417"/>
      <c r="MZ36" s="417"/>
      <c r="NA36" s="417"/>
      <c r="NB36" s="417"/>
      <c r="NC36" s="417"/>
      <c r="ND36" s="417"/>
      <c r="NE36" s="417"/>
      <c r="NF36" s="417"/>
      <c r="NG36" s="417"/>
      <c r="NH36" s="417"/>
      <c r="NI36" s="417"/>
      <c r="NJ36" s="417"/>
      <c r="NK36" s="417"/>
      <c r="NL36" s="417"/>
      <c r="NM36" s="417"/>
      <c r="NN36" s="417"/>
      <c r="NO36" s="417"/>
      <c r="NP36" s="417"/>
      <c r="NQ36" s="417"/>
      <c r="NR36" s="417"/>
      <c r="NS36" s="417"/>
      <c r="NT36" s="417"/>
      <c r="NU36" s="417"/>
      <c r="NV36" s="417"/>
      <c r="NW36" s="417"/>
      <c r="NX36" s="417"/>
      <c r="NY36" s="417"/>
      <c r="NZ36" s="417"/>
      <c r="OA36" s="417"/>
      <c r="OB36" s="417"/>
      <c r="OC36" s="417"/>
      <c r="OD36" s="417"/>
      <c r="OE36" s="417"/>
      <c r="OF36" s="417"/>
      <c r="OG36" s="417"/>
      <c r="OH36" s="417"/>
      <c r="OI36" s="385"/>
      <c r="OJ36" s="417"/>
      <c r="OK36" s="417"/>
      <c r="OL36" s="417"/>
      <c r="OM36" s="417"/>
      <c r="ON36" s="417"/>
      <c r="OO36" s="417"/>
      <c r="OP36" s="417"/>
      <c r="OQ36" s="417"/>
      <c r="OR36" s="417"/>
      <c r="OS36" s="417"/>
      <c r="OT36" s="417"/>
      <c r="OU36" s="417"/>
      <c r="OV36" s="417"/>
      <c r="OW36" s="417"/>
      <c r="OX36" s="417"/>
      <c r="OY36" s="417"/>
      <c r="OZ36" s="417"/>
      <c r="PA36" s="417"/>
      <c r="PB36" s="417"/>
      <c r="PC36" s="417"/>
      <c r="PD36" s="417"/>
      <c r="PE36" s="417"/>
      <c r="PF36" s="417"/>
      <c r="PG36" s="417"/>
    </row>
    <row r="37" spans="1:423" ht="15.75" customHeight="1" thickBot="1" x14ac:dyDescent="0.3">
      <c r="A37" s="416">
        <v>544254640128</v>
      </c>
      <c r="B37" s="384">
        <f t="shared" si="0"/>
        <v>0</v>
      </c>
      <c r="C37" s="384">
        <v>0</v>
      </c>
      <c r="D37" s="384">
        <f>SUMIF('Sap Inwarding'!F:F,'Front Dispatch'!$A37,'Sap Inwarding'!H:H)</f>
        <v>0</v>
      </c>
      <c r="E37" s="10">
        <f t="shared" si="1"/>
        <v>0</v>
      </c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385"/>
      <c r="Z37" s="417"/>
      <c r="AA37" s="417"/>
      <c r="AB37" s="417"/>
      <c r="AC37" s="417"/>
      <c r="AD37" s="417"/>
      <c r="AE37" s="417"/>
      <c r="AF37" s="417"/>
      <c r="AG37" s="417"/>
      <c r="AH37" s="417"/>
      <c r="AI37" s="417"/>
      <c r="AJ37" s="417"/>
      <c r="AK37" s="417"/>
      <c r="AL37" s="417"/>
      <c r="AM37" s="417"/>
      <c r="AN37" s="417"/>
      <c r="AO37" s="417"/>
      <c r="AP37" s="417"/>
      <c r="AQ37" s="417"/>
      <c r="AR37" s="417"/>
      <c r="AS37" s="417"/>
      <c r="AT37" s="417"/>
      <c r="AU37" s="385"/>
      <c r="AV37" s="385"/>
      <c r="AW37" s="385"/>
      <c r="AX37" s="385"/>
      <c r="AY37" s="385"/>
      <c r="AZ37" s="417"/>
      <c r="BA37" s="417"/>
      <c r="BB37" s="417"/>
      <c r="BC37" s="417"/>
      <c r="BD37" s="385"/>
      <c r="BE37" s="417"/>
      <c r="BF37" s="417"/>
      <c r="BG37" s="417"/>
      <c r="BH37" s="417"/>
      <c r="BI37" s="417"/>
      <c r="BJ37" s="417"/>
      <c r="BK37" s="417"/>
      <c r="BL37" s="417"/>
      <c r="BM37" s="417"/>
      <c r="BN37" s="417"/>
      <c r="BO37" s="417"/>
      <c r="BP37" s="417"/>
      <c r="BQ37" s="417"/>
      <c r="BR37" s="417"/>
      <c r="BS37" s="417"/>
      <c r="BT37" s="417"/>
      <c r="BU37" s="417"/>
      <c r="BV37" s="417"/>
      <c r="BW37" s="417"/>
      <c r="BX37" s="417"/>
      <c r="BY37" s="417"/>
      <c r="BZ37" s="417"/>
      <c r="CA37" s="385"/>
      <c r="CB37" s="417"/>
      <c r="CC37" s="417"/>
      <c r="CD37" s="417"/>
      <c r="CE37" s="385"/>
      <c r="CF37" s="385"/>
      <c r="CG37" s="385"/>
      <c r="CH37" s="417"/>
      <c r="CI37" s="417"/>
      <c r="CJ37" s="417"/>
      <c r="CK37" s="417"/>
      <c r="CL37" s="417"/>
      <c r="CM37" s="385"/>
      <c r="CN37" s="417"/>
      <c r="CO37" s="417"/>
      <c r="CP37" s="417"/>
      <c r="CQ37" s="385"/>
      <c r="CR37" s="385"/>
      <c r="CS37" s="417"/>
      <c r="CT37" s="417"/>
      <c r="CU37" s="417"/>
      <c r="CV37" s="417"/>
      <c r="CW37" s="417"/>
      <c r="CX37" s="417"/>
      <c r="CY37" s="417"/>
      <c r="CZ37" s="417"/>
      <c r="DA37" s="385"/>
      <c r="DB37" s="417"/>
      <c r="DC37" s="385"/>
      <c r="DD37" s="385"/>
      <c r="DE37" s="385"/>
      <c r="DF37" s="385"/>
      <c r="DG37" s="385"/>
      <c r="DH37" s="417"/>
      <c r="DI37" s="417"/>
      <c r="DJ37" s="417"/>
      <c r="DK37" s="385"/>
      <c r="DL37" s="385"/>
      <c r="DM37" s="385"/>
      <c r="DN37" s="417"/>
      <c r="DO37" s="417"/>
      <c r="DP37" s="385"/>
      <c r="DQ37" s="385"/>
      <c r="DR37" s="385"/>
      <c r="DS37" s="417"/>
      <c r="DT37" s="417"/>
      <c r="DU37" s="417"/>
      <c r="DV37" s="417"/>
      <c r="DW37" s="385"/>
      <c r="DX37" s="385"/>
      <c r="DY37" s="417"/>
      <c r="DZ37" s="417"/>
      <c r="EA37" s="417"/>
      <c r="EB37" s="385"/>
      <c r="EC37" s="385"/>
      <c r="ED37" s="65"/>
      <c r="EE37" s="417"/>
      <c r="EF37" s="417"/>
      <c r="EG37" s="417"/>
      <c r="EH37" s="417"/>
      <c r="EI37" s="417"/>
      <c r="EJ37" s="417"/>
      <c r="EK37" s="417"/>
      <c r="EL37" s="417"/>
      <c r="EM37" s="417"/>
      <c r="EN37" s="417"/>
      <c r="EO37" s="385"/>
      <c r="EP37" s="385"/>
      <c r="EQ37" s="417"/>
      <c r="ER37" s="417"/>
      <c r="ES37" s="417"/>
      <c r="ET37" s="417"/>
      <c r="EU37" s="417"/>
      <c r="EV37" s="385"/>
      <c r="EW37" s="385"/>
      <c r="EX37" s="385"/>
      <c r="EY37" s="385"/>
      <c r="EZ37" s="417"/>
      <c r="FA37" s="417"/>
      <c r="FB37" s="417"/>
      <c r="FC37" s="417"/>
      <c r="FD37" s="417"/>
      <c r="FE37" s="417"/>
      <c r="FF37" s="417"/>
      <c r="FG37" s="417"/>
      <c r="FH37" s="417"/>
      <c r="FI37" s="417"/>
      <c r="FJ37" s="417"/>
      <c r="FK37" s="385"/>
      <c r="FL37" s="417"/>
      <c r="FM37" s="385"/>
      <c r="FN37" s="417"/>
      <c r="FO37" s="417"/>
      <c r="FP37" s="417"/>
      <c r="FQ37" s="417"/>
      <c r="FR37" s="417"/>
      <c r="FS37" s="417"/>
      <c r="FT37" s="385"/>
      <c r="FU37" s="385"/>
      <c r="FV37" s="385"/>
      <c r="FW37" s="417"/>
      <c r="FX37" s="417"/>
      <c r="FY37" s="385"/>
      <c r="FZ37" s="417"/>
      <c r="GA37" s="417"/>
      <c r="GB37" s="385"/>
      <c r="GC37" s="417"/>
      <c r="GD37" s="417"/>
      <c r="GE37" s="417"/>
      <c r="GF37" s="385"/>
      <c r="GG37" s="417"/>
      <c r="GH37" s="385"/>
      <c r="GI37" s="417"/>
      <c r="GJ37" s="385"/>
      <c r="GK37" s="417"/>
      <c r="GL37" s="417"/>
      <c r="GM37" s="417"/>
      <c r="GN37" s="417"/>
      <c r="GO37" s="417"/>
      <c r="GP37" s="417"/>
      <c r="GQ37" s="417"/>
      <c r="GR37" s="417"/>
      <c r="GS37" s="385"/>
      <c r="GT37" s="385"/>
      <c r="GU37" s="417"/>
      <c r="GV37" s="385"/>
      <c r="GW37" s="417"/>
      <c r="GX37" s="385"/>
      <c r="GY37" s="385"/>
      <c r="GZ37" s="417"/>
      <c r="HA37" s="417"/>
      <c r="HB37" s="417"/>
      <c r="HC37" s="417"/>
      <c r="HD37" s="417"/>
      <c r="HE37" s="417"/>
      <c r="HF37" s="417"/>
      <c r="HG37" s="417"/>
      <c r="HH37" s="385"/>
      <c r="HI37" s="417"/>
      <c r="HJ37" s="417"/>
      <c r="HK37" s="417"/>
      <c r="HL37" s="417"/>
      <c r="HM37" s="417"/>
      <c r="HN37" s="385"/>
      <c r="HO37" s="417"/>
      <c r="HP37" s="417"/>
      <c r="HQ37" s="417"/>
      <c r="HR37" s="417"/>
      <c r="HS37" s="417"/>
      <c r="HT37" s="417"/>
      <c r="HU37" s="385"/>
      <c r="HV37" s="417"/>
      <c r="HW37" s="417"/>
      <c r="HX37" s="417"/>
      <c r="HY37" s="417"/>
      <c r="HZ37" s="417"/>
      <c r="IA37" s="417"/>
      <c r="IB37" s="417"/>
      <c r="IC37" s="417"/>
      <c r="ID37" s="417"/>
      <c r="IE37" s="417"/>
      <c r="IF37" s="417"/>
      <c r="IG37" s="417"/>
      <c r="IH37" s="417"/>
      <c r="II37" s="417"/>
      <c r="IJ37" s="417"/>
      <c r="IK37" s="417"/>
      <c r="IL37" s="417"/>
      <c r="IM37" s="417"/>
      <c r="IN37" s="417"/>
      <c r="IO37" s="417"/>
      <c r="IP37" s="417"/>
      <c r="IQ37" s="417"/>
      <c r="IR37" s="417"/>
      <c r="IS37" s="417"/>
      <c r="IT37" s="417"/>
      <c r="IU37" s="417"/>
      <c r="IV37" s="417"/>
      <c r="IW37" s="417"/>
      <c r="IX37" s="417"/>
      <c r="IY37" s="417"/>
      <c r="IZ37" s="417"/>
      <c r="JA37" s="417"/>
      <c r="JB37" s="417"/>
      <c r="JC37" s="417"/>
      <c r="JD37" s="417"/>
      <c r="JE37" s="417"/>
      <c r="JF37" s="417"/>
      <c r="JG37" s="417"/>
      <c r="JH37" s="417"/>
      <c r="JI37" s="417"/>
      <c r="JJ37" s="417"/>
      <c r="JK37" s="417"/>
      <c r="JL37" s="417"/>
      <c r="JM37" s="417"/>
      <c r="JN37" s="417"/>
      <c r="JO37" s="417"/>
      <c r="JP37" s="417"/>
      <c r="JQ37" s="417"/>
      <c r="JR37" s="417"/>
      <c r="JS37" s="417"/>
      <c r="JT37" s="417"/>
      <c r="JU37" s="417"/>
      <c r="JV37" s="417"/>
      <c r="JW37" s="417"/>
      <c r="JX37" s="417"/>
      <c r="JY37" s="417"/>
      <c r="JZ37" s="417"/>
      <c r="KA37" s="417"/>
      <c r="KB37" s="417"/>
      <c r="KC37" s="417"/>
      <c r="KD37" s="417"/>
      <c r="KE37" s="417"/>
      <c r="KF37" s="417"/>
      <c r="KG37" s="417"/>
      <c r="KH37" s="417"/>
      <c r="KI37" s="417"/>
      <c r="KJ37" s="417"/>
      <c r="KK37" s="417"/>
      <c r="KL37" s="417"/>
      <c r="KM37" s="417"/>
      <c r="KN37" s="417"/>
      <c r="KO37" s="417"/>
      <c r="KP37" s="417"/>
      <c r="KQ37" s="417"/>
      <c r="KR37" s="417"/>
      <c r="KS37" s="417"/>
      <c r="KT37" s="417"/>
      <c r="KU37" s="417"/>
      <c r="KV37" s="417"/>
      <c r="KW37" s="417"/>
      <c r="KX37" s="417"/>
      <c r="KY37" s="417"/>
      <c r="KZ37" s="417"/>
      <c r="LA37" s="417"/>
      <c r="LB37" s="417"/>
      <c r="LC37" s="417"/>
      <c r="LD37" s="417"/>
      <c r="LE37" s="417"/>
      <c r="LF37" s="417"/>
      <c r="LG37" s="417"/>
      <c r="LH37" s="417"/>
      <c r="LI37" s="417"/>
      <c r="LJ37" s="417"/>
      <c r="LK37" s="417"/>
      <c r="LL37" s="417"/>
      <c r="LM37" s="417"/>
      <c r="LN37" s="417"/>
      <c r="LO37" s="417"/>
      <c r="LP37" s="417"/>
      <c r="LQ37" s="417"/>
      <c r="LR37" s="417"/>
      <c r="LS37" s="417"/>
      <c r="LT37" s="417"/>
      <c r="LU37" s="417"/>
      <c r="LV37" s="417"/>
      <c r="LW37" s="417"/>
      <c r="LX37" s="417"/>
      <c r="LY37" s="417"/>
      <c r="LZ37" s="417"/>
      <c r="MA37" s="417"/>
      <c r="MB37" s="417"/>
      <c r="MC37" s="417"/>
      <c r="MD37" s="417"/>
      <c r="ME37" s="417"/>
      <c r="MF37" s="417"/>
      <c r="MG37" s="417"/>
      <c r="MH37" s="417"/>
      <c r="MI37" s="417"/>
      <c r="MJ37" s="417"/>
      <c r="MK37" s="417"/>
      <c r="ML37" s="417"/>
      <c r="MM37" s="417"/>
      <c r="MN37" s="417"/>
      <c r="MO37" s="417"/>
      <c r="MP37" s="417"/>
      <c r="MQ37" s="417"/>
      <c r="MR37" s="417"/>
      <c r="MS37" s="417"/>
      <c r="MT37" s="417"/>
      <c r="MU37" s="417"/>
      <c r="MV37" s="417"/>
      <c r="MW37" s="417"/>
      <c r="MX37" s="417"/>
      <c r="MY37" s="417"/>
      <c r="MZ37" s="417"/>
      <c r="NA37" s="417"/>
      <c r="NB37" s="417"/>
      <c r="NC37" s="417"/>
      <c r="ND37" s="417"/>
      <c r="NE37" s="417"/>
      <c r="NF37" s="417"/>
      <c r="NG37" s="417"/>
      <c r="NH37" s="417"/>
      <c r="NI37" s="417"/>
      <c r="NJ37" s="417"/>
      <c r="NK37" s="417"/>
      <c r="NL37" s="417"/>
      <c r="NM37" s="417"/>
      <c r="NN37" s="417"/>
      <c r="NO37" s="417"/>
      <c r="NP37" s="417"/>
      <c r="NQ37" s="417"/>
      <c r="NR37" s="417"/>
      <c r="NS37" s="417"/>
      <c r="NT37" s="417"/>
      <c r="NU37" s="417"/>
      <c r="NV37" s="417"/>
      <c r="NW37" s="417"/>
      <c r="NX37" s="417"/>
      <c r="NY37" s="417"/>
      <c r="NZ37" s="417"/>
      <c r="OA37" s="417"/>
      <c r="OB37" s="417"/>
      <c r="OC37" s="417"/>
      <c r="OD37" s="417"/>
      <c r="OE37" s="417"/>
      <c r="OF37" s="417"/>
      <c r="OG37" s="417"/>
      <c r="OH37" s="417"/>
      <c r="OI37" s="385"/>
      <c r="OJ37" s="417"/>
      <c r="OK37" s="417"/>
      <c r="OL37" s="417"/>
      <c r="OM37" s="417"/>
      <c r="ON37" s="417"/>
      <c r="OO37" s="417"/>
      <c r="OP37" s="417"/>
      <c r="OQ37" s="417"/>
      <c r="OR37" s="417"/>
      <c r="OS37" s="417"/>
      <c r="OT37" s="417"/>
      <c r="OU37" s="417"/>
      <c r="OV37" s="417"/>
      <c r="OW37" s="417"/>
      <c r="OX37" s="417"/>
      <c r="OY37" s="417"/>
      <c r="OZ37" s="417"/>
      <c r="PA37" s="417"/>
      <c r="PB37" s="417"/>
      <c r="PC37" s="417"/>
      <c r="PD37" s="417"/>
      <c r="PE37" s="417"/>
      <c r="PF37" s="417"/>
      <c r="PG37" s="417"/>
    </row>
    <row r="38" spans="1:423" ht="15.75" customHeight="1" thickBot="1" x14ac:dyDescent="0.3">
      <c r="A38" s="416">
        <v>544254630816</v>
      </c>
      <c r="B38" s="384">
        <f t="shared" si="0"/>
        <v>0</v>
      </c>
      <c r="C38" s="384">
        <v>0</v>
      </c>
      <c r="D38" s="384">
        <f>SUMIF('Sap Inwarding'!F:F,'Front Dispatch'!$A38,'Sap Inwarding'!H:H)</f>
        <v>0</v>
      </c>
      <c r="E38" s="10">
        <f t="shared" si="1"/>
        <v>0</v>
      </c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385"/>
      <c r="Z38" s="417"/>
      <c r="AA38" s="417"/>
      <c r="AB38" s="417"/>
      <c r="AC38" s="417"/>
      <c r="AD38" s="417"/>
      <c r="AE38" s="417"/>
      <c r="AF38" s="417"/>
      <c r="AG38" s="417"/>
      <c r="AH38" s="417"/>
      <c r="AI38" s="417"/>
      <c r="AJ38" s="417"/>
      <c r="AK38" s="417"/>
      <c r="AL38" s="417"/>
      <c r="AM38" s="417"/>
      <c r="AN38" s="417"/>
      <c r="AO38" s="417"/>
      <c r="AP38" s="417"/>
      <c r="AQ38" s="417"/>
      <c r="AR38" s="417"/>
      <c r="AS38" s="417"/>
      <c r="AT38" s="417"/>
      <c r="AU38" s="385"/>
      <c r="AV38" s="385"/>
      <c r="AW38" s="385"/>
      <c r="AX38" s="385"/>
      <c r="AY38" s="385"/>
      <c r="AZ38" s="417"/>
      <c r="BA38" s="417"/>
      <c r="BB38" s="417"/>
      <c r="BC38" s="417"/>
      <c r="BD38" s="385"/>
      <c r="BE38" s="417"/>
      <c r="BF38" s="417"/>
      <c r="BG38" s="417"/>
      <c r="BH38" s="417"/>
      <c r="BI38" s="417"/>
      <c r="BJ38" s="417"/>
      <c r="BK38" s="417"/>
      <c r="BL38" s="417"/>
      <c r="BM38" s="417"/>
      <c r="BN38" s="417"/>
      <c r="BO38" s="417"/>
      <c r="BP38" s="417"/>
      <c r="BQ38" s="417"/>
      <c r="BR38" s="417"/>
      <c r="BS38" s="417"/>
      <c r="BT38" s="417"/>
      <c r="BU38" s="417"/>
      <c r="BV38" s="417"/>
      <c r="BW38" s="417"/>
      <c r="BX38" s="417"/>
      <c r="BY38" s="417"/>
      <c r="BZ38" s="417"/>
      <c r="CA38" s="385"/>
      <c r="CB38" s="417"/>
      <c r="CC38" s="417"/>
      <c r="CD38" s="417"/>
      <c r="CE38" s="385"/>
      <c r="CF38" s="385"/>
      <c r="CG38" s="385"/>
      <c r="CH38" s="417"/>
      <c r="CI38" s="417"/>
      <c r="CJ38" s="417"/>
      <c r="CK38" s="417"/>
      <c r="CL38" s="417"/>
      <c r="CM38" s="385"/>
      <c r="CN38" s="417"/>
      <c r="CO38" s="417"/>
      <c r="CP38" s="417"/>
      <c r="CQ38" s="385"/>
      <c r="CR38" s="385"/>
      <c r="CS38" s="417"/>
      <c r="CT38" s="417"/>
      <c r="CU38" s="417"/>
      <c r="CV38" s="417"/>
      <c r="CW38" s="417"/>
      <c r="CX38" s="417"/>
      <c r="CY38" s="417"/>
      <c r="CZ38" s="417"/>
      <c r="DA38" s="385"/>
      <c r="DB38" s="417"/>
      <c r="DC38" s="385"/>
      <c r="DD38" s="385"/>
      <c r="DE38" s="385"/>
      <c r="DF38" s="385"/>
      <c r="DG38" s="385"/>
      <c r="DH38" s="417"/>
      <c r="DI38" s="417"/>
      <c r="DJ38" s="417"/>
      <c r="DK38" s="385"/>
      <c r="DL38" s="385"/>
      <c r="DM38" s="385"/>
      <c r="DN38" s="417"/>
      <c r="DO38" s="417"/>
      <c r="DP38" s="385"/>
      <c r="DQ38" s="385"/>
      <c r="DR38" s="385"/>
      <c r="DS38" s="417"/>
      <c r="DT38" s="417"/>
      <c r="DU38" s="417"/>
      <c r="DV38" s="417"/>
      <c r="DW38" s="385"/>
      <c r="DX38" s="385"/>
      <c r="DY38" s="417"/>
      <c r="DZ38" s="417"/>
      <c r="EA38" s="417"/>
      <c r="EB38" s="385"/>
      <c r="EC38" s="385"/>
      <c r="ED38" s="65"/>
      <c r="EE38" s="417"/>
      <c r="EF38" s="417"/>
      <c r="EG38" s="417"/>
      <c r="EH38" s="417"/>
      <c r="EI38" s="417"/>
      <c r="EJ38" s="417"/>
      <c r="EK38" s="417"/>
      <c r="EL38" s="417"/>
      <c r="EM38" s="417"/>
      <c r="EN38" s="417"/>
      <c r="EO38" s="385"/>
      <c r="EP38" s="385"/>
      <c r="EQ38" s="417"/>
      <c r="ER38" s="417"/>
      <c r="ES38" s="417"/>
      <c r="ET38" s="417"/>
      <c r="EU38" s="417"/>
      <c r="EV38" s="385"/>
      <c r="EW38" s="385"/>
      <c r="EX38" s="385"/>
      <c r="EY38" s="385"/>
      <c r="EZ38" s="417"/>
      <c r="FA38" s="417"/>
      <c r="FB38" s="417"/>
      <c r="FC38" s="417"/>
      <c r="FD38" s="417"/>
      <c r="FE38" s="417"/>
      <c r="FF38" s="417"/>
      <c r="FG38" s="417"/>
      <c r="FH38" s="417"/>
      <c r="FI38" s="417"/>
      <c r="FJ38" s="417"/>
      <c r="FK38" s="385"/>
      <c r="FL38" s="417"/>
      <c r="FM38" s="385"/>
      <c r="FN38" s="417"/>
      <c r="FO38" s="417"/>
      <c r="FP38" s="417"/>
      <c r="FQ38" s="417"/>
      <c r="FR38" s="417"/>
      <c r="FS38" s="417"/>
      <c r="FT38" s="385"/>
      <c r="FU38" s="385"/>
      <c r="FV38" s="385"/>
      <c r="FW38" s="417"/>
      <c r="FX38" s="417"/>
      <c r="FY38" s="385"/>
      <c r="FZ38" s="417"/>
      <c r="GA38" s="417"/>
      <c r="GB38" s="385"/>
      <c r="GC38" s="417"/>
      <c r="GD38" s="417"/>
      <c r="GE38" s="417"/>
      <c r="GF38" s="385"/>
      <c r="GG38" s="417"/>
      <c r="GH38" s="385"/>
      <c r="GI38" s="417"/>
      <c r="GJ38" s="385"/>
      <c r="GK38" s="417"/>
      <c r="GL38" s="417"/>
      <c r="GM38" s="417"/>
      <c r="GN38" s="417"/>
      <c r="GO38" s="417"/>
      <c r="GP38" s="417"/>
      <c r="GQ38" s="417"/>
      <c r="GR38" s="417"/>
      <c r="GS38" s="385"/>
      <c r="GT38" s="385"/>
      <c r="GU38" s="417"/>
      <c r="GV38" s="385"/>
      <c r="GW38" s="417"/>
      <c r="GX38" s="385"/>
      <c r="GY38" s="385"/>
      <c r="GZ38" s="417"/>
      <c r="HA38" s="417"/>
      <c r="HB38" s="417"/>
      <c r="HC38" s="417"/>
      <c r="HD38" s="417"/>
      <c r="HE38" s="417"/>
      <c r="HF38" s="417"/>
      <c r="HG38" s="417"/>
      <c r="HH38" s="385"/>
      <c r="HI38" s="417"/>
      <c r="HJ38" s="417"/>
      <c r="HK38" s="417"/>
      <c r="HL38" s="417"/>
      <c r="HM38" s="417"/>
      <c r="HN38" s="385"/>
      <c r="HO38" s="417"/>
      <c r="HP38" s="417"/>
      <c r="HQ38" s="417"/>
      <c r="HR38" s="417"/>
      <c r="HS38" s="417"/>
      <c r="HT38" s="417"/>
      <c r="HU38" s="385"/>
      <c r="HV38" s="417"/>
      <c r="HW38" s="417"/>
      <c r="HX38" s="417"/>
      <c r="HY38" s="417"/>
      <c r="HZ38" s="417"/>
      <c r="IA38" s="417"/>
      <c r="IB38" s="417"/>
      <c r="IC38" s="417"/>
      <c r="ID38" s="417"/>
      <c r="IE38" s="417"/>
      <c r="IF38" s="417"/>
      <c r="IG38" s="417"/>
      <c r="IH38" s="417"/>
      <c r="II38" s="417"/>
      <c r="IJ38" s="417"/>
      <c r="IK38" s="417"/>
      <c r="IL38" s="417"/>
      <c r="IM38" s="417"/>
      <c r="IN38" s="417"/>
      <c r="IO38" s="417"/>
      <c r="IP38" s="417"/>
      <c r="IQ38" s="417"/>
      <c r="IR38" s="417"/>
      <c r="IS38" s="417"/>
      <c r="IT38" s="417"/>
      <c r="IU38" s="417"/>
      <c r="IV38" s="417"/>
      <c r="IW38" s="417"/>
      <c r="IX38" s="417"/>
      <c r="IY38" s="417"/>
      <c r="IZ38" s="417"/>
      <c r="JA38" s="417"/>
      <c r="JB38" s="417"/>
      <c r="JC38" s="417"/>
      <c r="JD38" s="417"/>
      <c r="JE38" s="417"/>
      <c r="JF38" s="417"/>
      <c r="JG38" s="417"/>
      <c r="JH38" s="417"/>
      <c r="JI38" s="417"/>
      <c r="JJ38" s="417"/>
      <c r="JK38" s="417"/>
      <c r="JL38" s="417"/>
      <c r="JM38" s="417"/>
      <c r="JN38" s="417"/>
      <c r="JO38" s="417"/>
      <c r="JP38" s="417"/>
      <c r="JQ38" s="417"/>
      <c r="JR38" s="417"/>
      <c r="JS38" s="417"/>
      <c r="JT38" s="417"/>
      <c r="JU38" s="417"/>
      <c r="JV38" s="417"/>
      <c r="JW38" s="417"/>
      <c r="JX38" s="417"/>
      <c r="JY38" s="417"/>
      <c r="JZ38" s="417"/>
      <c r="KA38" s="417"/>
      <c r="KB38" s="417"/>
      <c r="KC38" s="417"/>
      <c r="KD38" s="417"/>
      <c r="KE38" s="417"/>
      <c r="KF38" s="417"/>
      <c r="KG38" s="417"/>
      <c r="KH38" s="417"/>
      <c r="KI38" s="417"/>
      <c r="KJ38" s="417"/>
      <c r="KK38" s="417"/>
      <c r="KL38" s="417"/>
      <c r="KM38" s="417"/>
      <c r="KN38" s="417"/>
      <c r="KO38" s="417"/>
      <c r="KP38" s="417"/>
      <c r="KQ38" s="417"/>
      <c r="KR38" s="417"/>
      <c r="KS38" s="417"/>
      <c r="KT38" s="417"/>
      <c r="KU38" s="417"/>
      <c r="KV38" s="417"/>
      <c r="KW38" s="417"/>
      <c r="KX38" s="417"/>
      <c r="KY38" s="417"/>
      <c r="KZ38" s="417"/>
      <c r="LA38" s="417"/>
      <c r="LB38" s="417"/>
      <c r="LC38" s="417"/>
      <c r="LD38" s="417"/>
      <c r="LE38" s="417"/>
      <c r="LF38" s="417"/>
      <c r="LG38" s="417"/>
      <c r="LH38" s="417"/>
      <c r="LI38" s="417"/>
      <c r="LJ38" s="417"/>
      <c r="LK38" s="417"/>
      <c r="LL38" s="417"/>
      <c r="LM38" s="417"/>
      <c r="LN38" s="417"/>
      <c r="LO38" s="417"/>
      <c r="LP38" s="417"/>
      <c r="LQ38" s="417"/>
      <c r="LR38" s="417"/>
      <c r="LS38" s="417"/>
      <c r="LT38" s="417"/>
      <c r="LU38" s="417"/>
      <c r="LV38" s="417"/>
      <c r="LW38" s="417"/>
      <c r="LX38" s="417"/>
      <c r="LY38" s="417"/>
      <c r="LZ38" s="417"/>
      <c r="MA38" s="417"/>
      <c r="MB38" s="417"/>
      <c r="MC38" s="417"/>
      <c r="MD38" s="417"/>
      <c r="ME38" s="417"/>
      <c r="MF38" s="417"/>
      <c r="MG38" s="417"/>
      <c r="MH38" s="417"/>
      <c r="MI38" s="417"/>
      <c r="MJ38" s="417"/>
      <c r="MK38" s="417"/>
      <c r="ML38" s="417"/>
      <c r="MM38" s="417"/>
      <c r="MN38" s="417"/>
      <c r="MO38" s="417"/>
      <c r="MP38" s="417"/>
      <c r="MQ38" s="417"/>
      <c r="MR38" s="417"/>
      <c r="MS38" s="417"/>
      <c r="MT38" s="417"/>
      <c r="MU38" s="417"/>
      <c r="MV38" s="417"/>
      <c r="MW38" s="417"/>
      <c r="MX38" s="417"/>
      <c r="MY38" s="417"/>
      <c r="MZ38" s="417"/>
      <c r="NA38" s="417"/>
      <c r="NB38" s="417"/>
      <c r="NC38" s="417"/>
      <c r="ND38" s="417"/>
      <c r="NE38" s="417"/>
      <c r="NF38" s="417"/>
      <c r="NG38" s="417"/>
      <c r="NH38" s="417"/>
      <c r="NI38" s="417"/>
      <c r="NJ38" s="417"/>
      <c r="NK38" s="417"/>
      <c r="NL38" s="417"/>
      <c r="NM38" s="417"/>
      <c r="NN38" s="417"/>
      <c r="NO38" s="417"/>
      <c r="NP38" s="417"/>
      <c r="NQ38" s="417"/>
      <c r="NR38" s="417"/>
      <c r="NS38" s="417"/>
      <c r="NT38" s="417"/>
      <c r="NU38" s="417"/>
      <c r="NV38" s="417"/>
      <c r="NW38" s="417"/>
      <c r="NX38" s="417"/>
      <c r="NY38" s="417"/>
      <c r="NZ38" s="417"/>
      <c r="OA38" s="417"/>
      <c r="OB38" s="417"/>
      <c r="OC38" s="417"/>
      <c r="OD38" s="417"/>
      <c r="OE38" s="417"/>
      <c r="OF38" s="417"/>
      <c r="OG38" s="417"/>
      <c r="OH38" s="417"/>
      <c r="OI38" s="385"/>
      <c r="OJ38" s="417"/>
      <c r="OK38" s="417"/>
      <c r="OL38" s="417"/>
      <c r="OM38" s="417"/>
      <c r="ON38" s="417"/>
      <c r="OO38" s="417"/>
      <c r="OP38" s="417"/>
      <c r="OQ38" s="417"/>
      <c r="OR38" s="417"/>
      <c r="OS38" s="417"/>
      <c r="OT38" s="417"/>
      <c r="OU38" s="417"/>
      <c r="OV38" s="417"/>
      <c r="OW38" s="417"/>
      <c r="OX38" s="417"/>
      <c r="OY38" s="417"/>
      <c r="OZ38" s="417"/>
      <c r="PA38" s="417"/>
      <c r="PB38" s="417"/>
      <c r="PC38" s="417"/>
      <c r="PD38" s="417"/>
      <c r="PE38" s="417"/>
      <c r="PF38" s="417"/>
      <c r="PG38" s="417"/>
    </row>
    <row r="39" spans="1:423" ht="15.75" customHeight="1" thickBot="1" x14ac:dyDescent="0.3">
      <c r="A39" s="416">
        <v>544254630825</v>
      </c>
      <c r="B39" s="384">
        <f t="shared" si="0"/>
        <v>0</v>
      </c>
      <c r="C39" s="384">
        <v>0</v>
      </c>
      <c r="D39" s="384">
        <f>SUMIF('Sap Inwarding'!F:F,'Front Dispatch'!$A39,'Sap Inwarding'!H:H)</f>
        <v>0</v>
      </c>
      <c r="E39" s="10">
        <f t="shared" si="1"/>
        <v>0</v>
      </c>
      <c r="F39" s="417"/>
      <c r="G39" s="417"/>
      <c r="H39" s="417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Y39" s="385"/>
      <c r="Z39" s="417"/>
      <c r="AA39" s="417"/>
      <c r="AB39" s="417"/>
      <c r="AC39" s="417"/>
      <c r="AD39" s="417"/>
      <c r="AE39" s="417"/>
      <c r="AF39" s="417"/>
      <c r="AG39" s="417"/>
      <c r="AH39" s="417"/>
      <c r="AI39" s="417"/>
      <c r="AJ39" s="417"/>
      <c r="AK39" s="417"/>
      <c r="AL39" s="417"/>
      <c r="AM39" s="417"/>
      <c r="AN39" s="417"/>
      <c r="AO39" s="417"/>
      <c r="AP39" s="417"/>
      <c r="AQ39" s="417"/>
      <c r="AR39" s="417"/>
      <c r="AS39" s="417"/>
      <c r="AT39" s="417"/>
      <c r="AU39" s="385"/>
      <c r="AV39" s="385"/>
      <c r="AW39" s="385"/>
      <c r="AX39" s="385"/>
      <c r="AY39" s="385"/>
      <c r="AZ39" s="417"/>
      <c r="BA39" s="417"/>
      <c r="BB39" s="417"/>
      <c r="BC39" s="417"/>
      <c r="BD39" s="385"/>
      <c r="BE39" s="417"/>
      <c r="BF39" s="417"/>
      <c r="BG39" s="417"/>
      <c r="BH39" s="417"/>
      <c r="BI39" s="417"/>
      <c r="BJ39" s="417"/>
      <c r="BK39" s="417"/>
      <c r="BL39" s="417"/>
      <c r="BM39" s="417"/>
      <c r="BN39" s="417"/>
      <c r="BO39" s="417"/>
      <c r="BP39" s="417"/>
      <c r="BQ39" s="417"/>
      <c r="BR39" s="417"/>
      <c r="BS39" s="417"/>
      <c r="BT39" s="417"/>
      <c r="BU39" s="417"/>
      <c r="BV39" s="417"/>
      <c r="BW39" s="417"/>
      <c r="BX39" s="417"/>
      <c r="BY39" s="417"/>
      <c r="BZ39" s="417"/>
      <c r="CA39" s="385"/>
      <c r="CB39" s="417"/>
      <c r="CC39" s="417"/>
      <c r="CD39" s="417"/>
      <c r="CE39" s="385"/>
      <c r="CF39" s="385"/>
      <c r="CG39" s="385"/>
      <c r="CH39" s="417"/>
      <c r="CI39" s="417"/>
      <c r="CJ39" s="417"/>
      <c r="CK39" s="417"/>
      <c r="CL39" s="417"/>
      <c r="CM39" s="385"/>
      <c r="CN39" s="417"/>
      <c r="CO39" s="417"/>
      <c r="CP39" s="417"/>
      <c r="CQ39" s="385"/>
      <c r="CR39" s="385"/>
      <c r="CS39" s="417"/>
      <c r="CT39" s="417"/>
      <c r="CU39" s="417"/>
      <c r="CV39" s="417"/>
      <c r="CW39" s="417"/>
      <c r="CX39" s="417"/>
      <c r="CY39" s="417"/>
      <c r="CZ39" s="417"/>
      <c r="DA39" s="385"/>
      <c r="DB39" s="417"/>
      <c r="DC39" s="385"/>
      <c r="DD39" s="385"/>
      <c r="DE39" s="385"/>
      <c r="DF39" s="385"/>
      <c r="DG39" s="385"/>
      <c r="DH39" s="417"/>
      <c r="DI39" s="417"/>
      <c r="DJ39" s="417"/>
      <c r="DK39" s="385"/>
      <c r="DL39" s="385"/>
      <c r="DM39" s="385"/>
      <c r="DN39" s="417"/>
      <c r="DO39" s="417"/>
      <c r="DP39" s="385"/>
      <c r="DQ39" s="385"/>
      <c r="DR39" s="385"/>
      <c r="DS39" s="417"/>
      <c r="DT39" s="417"/>
      <c r="DU39" s="417"/>
      <c r="DV39" s="417"/>
      <c r="DW39" s="385"/>
      <c r="DX39" s="385"/>
      <c r="DY39" s="417"/>
      <c r="DZ39" s="417"/>
      <c r="EA39" s="417"/>
      <c r="EB39" s="385"/>
      <c r="EC39" s="385"/>
      <c r="ED39" s="65"/>
      <c r="EE39" s="417"/>
      <c r="EF39" s="417"/>
      <c r="EG39" s="417"/>
      <c r="EH39" s="417"/>
      <c r="EI39" s="417"/>
      <c r="EJ39" s="417"/>
      <c r="EK39" s="417"/>
      <c r="EL39" s="417"/>
      <c r="EM39" s="417"/>
      <c r="EN39" s="417"/>
      <c r="EO39" s="385"/>
      <c r="EP39" s="385"/>
      <c r="EQ39" s="417"/>
      <c r="ER39" s="417"/>
      <c r="ES39" s="417"/>
      <c r="ET39" s="417"/>
      <c r="EU39" s="417"/>
      <c r="EV39" s="385"/>
      <c r="EW39" s="385"/>
      <c r="EX39" s="385"/>
      <c r="EY39" s="385"/>
      <c r="EZ39" s="417"/>
      <c r="FA39" s="417"/>
      <c r="FB39" s="417"/>
      <c r="FC39" s="417"/>
      <c r="FD39" s="417"/>
      <c r="FE39" s="417"/>
      <c r="FF39" s="417"/>
      <c r="FG39" s="417"/>
      <c r="FH39" s="417"/>
      <c r="FI39" s="417"/>
      <c r="FJ39" s="417"/>
      <c r="FK39" s="385"/>
      <c r="FL39" s="417"/>
      <c r="FM39" s="385"/>
      <c r="FN39" s="417"/>
      <c r="FO39" s="417"/>
      <c r="FP39" s="417"/>
      <c r="FQ39" s="417"/>
      <c r="FR39" s="417"/>
      <c r="FS39" s="417"/>
      <c r="FT39" s="385"/>
      <c r="FU39" s="385"/>
      <c r="FV39" s="385"/>
      <c r="FW39" s="417"/>
      <c r="FX39" s="417"/>
      <c r="FY39" s="385"/>
      <c r="FZ39" s="417"/>
      <c r="GA39" s="417"/>
      <c r="GB39" s="385"/>
      <c r="GC39" s="417"/>
      <c r="GD39" s="417"/>
      <c r="GE39" s="417"/>
      <c r="GF39" s="385"/>
      <c r="GG39" s="417"/>
      <c r="GH39" s="385"/>
      <c r="GI39" s="417"/>
      <c r="GJ39" s="385"/>
      <c r="GK39" s="417"/>
      <c r="GL39" s="417"/>
      <c r="GM39" s="417"/>
      <c r="GN39" s="417"/>
      <c r="GO39" s="417"/>
      <c r="GP39" s="417"/>
      <c r="GQ39" s="417"/>
      <c r="GR39" s="417"/>
      <c r="GS39" s="385"/>
      <c r="GT39" s="385"/>
      <c r="GU39" s="417"/>
      <c r="GV39" s="385"/>
      <c r="GW39" s="417"/>
      <c r="GX39" s="385"/>
      <c r="GY39" s="385"/>
      <c r="GZ39" s="417"/>
      <c r="HA39" s="417"/>
      <c r="HB39" s="417"/>
      <c r="HC39" s="417"/>
      <c r="HD39" s="417"/>
      <c r="HE39" s="417"/>
      <c r="HF39" s="417"/>
      <c r="HG39" s="417"/>
      <c r="HH39" s="385"/>
      <c r="HI39" s="417"/>
      <c r="HJ39" s="417"/>
      <c r="HK39" s="417"/>
      <c r="HL39" s="417"/>
      <c r="HM39" s="417"/>
      <c r="HN39" s="385"/>
      <c r="HO39" s="417"/>
      <c r="HP39" s="417"/>
      <c r="HQ39" s="417"/>
      <c r="HR39" s="417"/>
      <c r="HS39" s="417"/>
      <c r="HT39" s="417"/>
      <c r="HU39" s="385"/>
      <c r="HV39" s="417"/>
      <c r="HW39" s="417"/>
      <c r="HX39" s="417"/>
      <c r="HY39" s="417"/>
      <c r="HZ39" s="417"/>
      <c r="IA39" s="417"/>
      <c r="IB39" s="417"/>
      <c r="IC39" s="417"/>
      <c r="ID39" s="417"/>
      <c r="IE39" s="417"/>
      <c r="IF39" s="417"/>
      <c r="IG39" s="417"/>
      <c r="IH39" s="417"/>
      <c r="II39" s="417"/>
      <c r="IJ39" s="417"/>
      <c r="IK39" s="417"/>
      <c r="IL39" s="417"/>
      <c r="IM39" s="417"/>
      <c r="IN39" s="417"/>
      <c r="IO39" s="417"/>
      <c r="IP39" s="417"/>
      <c r="IQ39" s="417"/>
      <c r="IR39" s="417"/>
      <c r="IS39" s="417"/>
      <c r="IT39" s="417"/>
      <c r="IU39" s="417"/>
      <c r="IV39" s="417"/>
      <c r="IW39" s="417"/>
      <c r="IX39" s="417"/>
      <c r="IY39" s="417"/>
      <c r="IZ39" s="417"/>
      <c r="JA39" s="417"/>
      <c r="JB39" s="417"/>
      <c r="JC39" s="417"/>
      <c r="JD39" s="417"/>
      <c r="JE39" s="417"/>
      <c r="JF39" s="417"/>
      <c r="JG39" s="417"/>
      <c r="JH39" s="417"/>
      <c r="JI39" s="417"/>
      <c r="JJ39" s="417"/>
      <c r="JK39" s="417"/>
      <c r="JL39" s="417"/>
      <c r="JM39" s="417"/>
      <c r="JN39" s="417"/>
      <c r="JO39" s="417"/>
      <c r="JP39" s="417"/>
      <c r="JQ39" s="417"/>
      <c r="JR39" s="417"/>
      <c r="JS39" s="417"/>
      <c r="JT39" s="417"/>
      <c r="JU39" s="417"/>
      <c r="JV39" s="417"/>
      <c r="JW39" s="417"/>
      <c r="JX39" s="417"/>
      <c r="JY39" s="417"/>
      <c r="JZ39" s="417"/>
      <c r="KA39" s="417"/>
      <c r="KB39" s="417"/>
      <c r="KC39" s="417"/>
      <c r="KD39" s="417"/>
      <c r="KE39" s="417"/>
      <c r="KF39" s="417"/>
      <c r="KG39" s="417"/>
      <c r="KH39" s="417"/>
      <c r="KI39" s="417"/>
      <c r="KJ39" s="417"/>
      <c r="KK39" s="417"/>
      <c r="KL39" s="417"/>
      <c r="KM39" s="417"/>
      <c r="KN39" s="417"/>
      <c r="KO39" s="417"/>
      <c r="KP39" s="417"/>
      <c r="KQ39" s="417"/>
      <c r="KR39" s="417"/>
      <c r="KS39" s="417"/>
      <c r="KT39" s="417"/>
      <c r="KU39" s="417"/>
      <c r="KV39" s="417"/>
      <c r="KW39" s="417"/>
      <c r="KX39" s="417"/>
      <c r="KY39" s="417"/>
      <c r="KZ39" s="417"/>
      <c r="LA39" s="417"/>
      <c r="LB39" s="417"/>
      <c r="LC39" s="417"/>
      <c r="LD39" s="417"/>
      <c r="LE39" s="417"/>
      <c r="LF39" s="417"/>
      <c r="LG39" s="417"/>
      <c r="LH39" s="417"/>
      <c r="LI39" s="417"/>
      <c r="LJ39" s="417"/>
      <c r="LK39" s="417"/>
      <c r="LL39" s="417"/>
      <c r="LM39" s="417"/>
      <c r="LN39" s="417"/>
      <c r="LO39" s="417"/>
      <c r="LP39" s="417"/>
      <c r="LQ39" s="417"/>
      <c r="LR39" s="417"/>
      <c r="LS39" s="417"/>
      <c r="LT39" s="417"/>
      <c r="LU39" s="417"/>
      <c r="LV39" s="417"/>
      <c r="LW39" s="417"/>
      <c r="LX39" s="417"/>
      <c r="LY39" s="417"/>
      <c r="LZ39" s="417"/>
      <c r="MA39" s="417"/>
      <c r="MB39" s="417"/>
      <c r="MC39" s="417"/>
      <c r="MD39" s="417"/>
      <c r="ME39" s="417"/>
      <c r="MF39" s="417"/>
      <c r="MG39" s="417"/>
      <c r="MH39" s="417"/>
      <c r="MI39" s="417"/>
      <c r="MJ39" s="417"/>
      <c r="MK39" s="417"/>
      <c r="ML39" s="417"/>
      <c r="MM39" s="417"/>
      <c r="MN39" s="417"/>
      <c r="MO39" s="417"/>
      <c r="MP39" s="417"/>
      <c r="MQ39" s="417"/>
      <c r="MR39" s="417"/>
      <c r="MS39" s="417"/>
      <c r="MT39" s="417"/>
      <c r="MU39" s="417"/>
      <c r="MV39" s="417"/>
      <c r="MW39" s="417"/>
      <c r="MX39" s="417"/>
      <c r="MY39" s="417"/>
      <c r="MZ39" s="417"/>
      <c r="NA39" s="417"/>
      <c r="NB39" s="417"/>
      <c r="NC39" s="417"/>
      <c r="ND39" s="417"/>
      <c r="NE39" s="417"/>
      <c r="NF39" s="417"/>
      <c r="NG39" s="417"/>
      <c r="NH39" s="417"/>
      <c r="NI39" s="417"/>
      <c r="NJ39" s="417"/>
      <c r="NK39" s="417"/>
      <c r="NL39" s="417"/>
      <c r="NM39" s="417"/>
      <c r="NN39" s="417"/>
      <c r="NO39" s="417"/>
      <c r="NP39" s="417"/>
      <c r="NQ39" s="417"/>
      <c r="NR39" s="417"/>
      <c r="NS39" s="417"/>
      <c r="NT39" s="417"/>
      <c r="NU39" s="417"/>
      <c r="NV39" s="417"/>
      <c r="NW39" s="417"/>
      <c r="NX39" s="417"/>
      <c r="NY39" s="417"/>
      <c r="NZ39" s="417"/>
      <c r="OA39" s="417"/>
      <c r="OB39" s="417"/>
      <c r="OC39" s="417"/>
      <c r="OD39" s="417"/>
      <c r="OE39" s="417"/>
      <c r="OF39" s="417"/>
      <c r="OG39" s="417"/>
      <c r="OH39" s="417"/>
      <c r="OI39" s="385"/>
      <c r="OJ39" s="417"/>
      <c r="OK39" s="417"/>
      <c r="OL39" s="417"/>
      <c r="OM39" s="417"/>
      <c r="ON39" s="417"/>
      <c r="OO39" s="417"/>
      <c r="OP39" s="417"/>
      <c r="OQ39" s="417"/>
      <c r="OR39" s="417"/>
      <c r="OS39" s="417"/>
      <c r="OT39" s="417"/>
      <c r="OU39" s="417"/>
      <c r="OV39" s="417"/>
      <c r="OW39" s="417"/>
      <c r="OX39" s="417"/>
      <c r="OY39" s="417"/>
      <c r="OZ39" s="417"/>
      <c r="PA39" s="417"/>
      <c r="PB39" s="417"/>
      <c r="PC39" s="417"/>
      <c r="PD39" s="417"/>
      <c r="PE39" s="417"/>
      <c r="PF39" s="417"/>
      <c r="PG39" s="417"/>
    </row>
    <row r="40" spans="1:423" ht="15.75" customHeight="1" thickBot="1" x14ac:dyDescent="0.3">
      <c r="A40" s="416">
        <v>544254650127</v>
      </c>
      <c r="B40" s="384">
        <f t="shared" si="0"/>
        <v>0</v>
      </c>
      <c r="C40" s="384">
        <v>0</v>
      </c>
      <c r="D40" s="384">
        <f>SUMIF('Sap Inwarding'!F:F,'Front Dispatch'!$A40,'Sap Inwarding'!H:H)</f>
        <v>0</v>
      </c>
      <c r="E40" s="10">
        <f t="shared" si="1"/>
        <v>0</v>
      </c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385"/>
      <c r="Z40" s="417"/>
      <c r="AA40" s="417"/>
      <c r="AB40" s="417"/>
      <c r="AC40" s="417"/>
      <c r="AD40" s="417"/>
      <c r="AE40" s="417"/>
      <c r="AF40" s="417"/>
      <c r="AG40" s="417"/>
      <c r="AH40" s="417"/>
      <c r="AI40" s="417"/>
      <c r="AJ40" s="417"/>
      <c r="AK40" s="417"/>
      <c r="AL40" s="417"/>
      <c r="AM40" s="417"/>
      <c r="AN40" s="417"/>
      <c r="AO40" s="417"/>
      <c r="AP40" s="417"/>
      <c r="AQ40" s="417"/>
      <c r="AR40" s="417"/>
      <c r="AS40" s="417"/>
      <c r="AT40" s="417"/>
      <c r="AU40" s="385"/>
      <c r="AV40" s="385"/>
      <c r="AW40" s="385"/>
      <c r="AX40" s="385"/>
      <c r="AY40" s="385"/>
      <c r="AZ40" s="417"/>
      <c r="BA40" s="417"/>
      <c r="BB40" s="417"/>
      <c r="BC40" s="417"/>
      <c r="BD40" s="385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  <c r="BS40" s="417"/>
      <c r="BT40" s="417"/>
      <c r="BU40" s="417"/>
      <c r="BV40" s="417"/>
      <c r="BW40" s="417"/>
      <c r="BX40" s="417"/>
      <c r="BY40" s="417"/>
      <c r="BZ40" s="417"/>
      <c r="CA40" s="385"/>
      <c r="CB40" s="417"/>
      <c r="CC40" s="417"/>
      <c r="CD40" s="417"/>
      <c r="CE40" s="385"/>
      <c r="CF40" s="385"/>
      <c r="CG40" s="385"/>
      <c r="CH40" s="417"/>
      <c r="CI40" s="417"/>
      <c r="CJ40" s="417"/>
      <c r="CK40" s="417"/>
      <c r="CL40" s="417"/>
      <c r="CM40" s="385"/>
      <c r="CN40" s="417"/>
      <c r="CO40" s="417"/>
      <c r="CP40" s="417"/>
      <c r="CQ40" s="385"/>
      <c r="CR40" s="385"/>
      <c r="CS40" s="417"/>
      <c r="CT40" s="417"/>
      <c r="CU40" s="417"/>
      <c r="CV40" s="417"/>
      <c r="CW40" s="417"/>
      <c r="CX40" s="417"/>
      <c r="CY40" s="417"/>
      <c r="CZ40" s="417"/>
      <c r="DA40" s="385"/>
      <c r="DB40" s="417"/>
      <c r="DC40" s="385"/>
      <c r="DD40" s="385"/>
      <c r="DE40" s="385"/>
      <c r="DF40" s="385"/>
      <c r="DG40" s="385"/>
      <c r="DH40" s="417"/>
      <c r="DI40" s="417"/>
      <c r="DJ40" s="417"/>
      <c r="DK40" s="385"/>
      <c r="DL40" s="385"/>
      <c r="DM40" s="385"/>
      <c r="DN40" s="417"/>
      <c r="DO40" s="417"/>
      <c r="DP40" s="385"/>
      <c r="DQ40" s="385"/>
      <c r="DR40" s="385"/>
      <c r="DS40" s="417"/>
      <c r="DT40" s="417"/>
      <c r="DU40" s="417"/>
      <c r="DV40" s="417"/>
      <c r="DW40" s="385"/>
      <c r="DX40" s="385"/>
      <c r="DY40" s="417"/>
      <c r="DZ40" s="417"/>
      <c r="EA40" s="417"/>
      <c r="EB40" s="385"/>
      <c r="EC40" s="385"/>
      <c r="ED40" s="65"/>
      <c r="EE40" s="417"/>
      <c r="EF40" s="417"/>
      <c r="EG40" s="417"/>
      <c r="EH40" s="417"/>
      <c r="EI40" s="417"/>
      <c r="EJ40" s="417"/>
      <c r="EK40" s="417"/>
      <c r="EL40" s="417"/>
      <c r="EM40" s="417"/>
      <c r="EN40" s="417"/>
      <c r="EO40" s="385"/>
      <c r="EP40" s="385"/>
      <c r="EQ40" s="417"/>
      <c r="ER40" s="417"/>
      <c r="ES40" s="417"/>
      <c r="ET40" s="417"/>
      <c r="EU40" s="417"/>
      <c r="EV40" s="385"/>
      <c r="EW40" s="385"/>
      <c r="EX40" s="385"/>
      <c r="EY40" s="385"/>
      <c r="EZ40" s="417"/>
      <c r="FA40" s="417"/>
      <c r="FB40" s="417"/>
      <c r="FC40" s="417"/>
      <c r="FD40" s="417"/>
      <c r="FE40" s="417"/>
      <c r="FF40" s="417"/>
      <c r="FG40" s="417"/>
      <c r="FH40" s="417"/>
      <c r="FI40" s="417"/>
      <c r="FJ40" s="417"/>
      <c r="FK40" s="385"/>
      <c r="FL40" s="417"/>
      <c r="FM40" s="385"/>
      <c r="FN40" s="417"/>
      <c r="FO40" s="417"/>
      <c r="FP40" s="417"/>
      <c r="FQ40" s="417"/>
      <c r="FR40" s="417"/>
      <c r="FS40" s="417"/>
      <c r="FT40" s="385"/>
      <c r="FU40" s="385"/>
      <c r="FV40" s="385"/>
      <c r="FW40" s="417"/>
      <c r="FX40" s="417"/>
      <c r="FY40" s="385"/>
      <c r="FZ40" s="417"/>
      <c r="GA40" s="417"/>
      <c r="GB40" s="385"/>
      <c r="GC40" s="417"/>
      <c r="GD40" s="417"/>
      <c r="GE40" s="417"/>
      <c r="GF40" s="385"/>
      <c r="GG40" s="417"/>
      <c r="GH40" s="385"/>
      <c r="GI40" s="417"/>
      <c r="GJ40" s="385"/>
      <c r="GK40" s="417"/>
      <c r="GL40" s="417"/>
      <c r="GM40" s="417"/>
      <c r="GN40" s="417"/>
      <c r="GO40" s="417"/>
      <c r="GP40" s="417"/>
      <c r="GQ40" s="417"/>
      <c r="GR40" s="417"/>
      <c r="GS40" s="385"/>
      <c r="GT40" s="385"/>
      <c r="GU40" s="417"/>
      <c r="GV40" s="385"/>
      <c r="GW40" s="417"/>
      <c r="GX40" s="385"/>
      <c r="GY40" s="385"/>
      <c r="GZ40" s="417"/>
      <c r="HA40" s="417"/>
      <c r="HB40" s="417"/>
      <c r="HC40" s="417"/>
      <c r="HD40" s="417"/>
      <c r="HE40" s="417"/>
      <c r="HF40" s="417"/>
      <c r="HG40" s="417"/>
      <c r="HH40" s="385"/>
      <c r="HI40" s="417"/>
      <c r="HJ40" s="417"/>
      <c r="HK40" s="417"/>
      <c r="HL40" s="417"/>
      <c r="HM40" s="417"/>
      <c r="HN40" s="385"/>
      <c r="HO40" s="417"/>
      <c r="HP40" s="417"/>
      <c r="HQ40" s="417"/>
      <c r="HR40" s="417"/>
      <c r="HS40" s="417"/>
      <c r="HT40" s="417"/>
      <c r="HU40" s="385"/>
      <c r="HV40" s="417"/>
      <c r="HW40" s="417"/>
      <c r="HX40" s="417"/>
      <c r="HY40" s="417"/>
      <c r="HZ40" s="417"/>
      <c r="IA40" s="417"/>
      <c r="IB40" s="417"/>
      <c r="IC40" s="417"/>
      <c r="ID40" s="417"/>
      <c r="IE40" s="417"/>
      <c r="IF40" s="417"/>
      <c r="IG40" s="417"/>
      <c r="IH40" s="417"/>
      <c r="II40" s="417"/>
      <c r="IJ40" s="417"/>
      <c r="IK40" s="417"/>
      <c r="IL40" s="417"/>
      <c r="IM40" s="417"/>
      <c r="IN40" s="417"/>
      <c r="IO40" s="417"/>
      <c r="IP40" s="417"/>
      <c r="IQ40" s="417"/>
      <c r="IR40" s="417"/>
      <c r="IS40" s="417"/>
      <c r="IT40" s="417"/>
      <c r="IU40" s="417"/>
      <c r="IV40" s="417"/>
      <c r="IW40" s="417"/>
      <c r="IX40" s="417"/>
      <c r="IY40" s="417"/>
      <c r="IZ40" s="417"/>
      <c r="JA40" s="417"/>
      <c r="JB40" s="417"/>
      <c r="JC40" s="417"/>
      <c r="JD40" s="417"/>
      <c r="JE40" s="417"/>
      <c r="JF40" s="417"/>
      <c r="JG40" s="417"/>
      <c r="JH40" s="417"/>
      <c r="JI40" s="417"/>
      <c r="JJ40" s="417"/>
      <c r="JK40" s="417"/>
      <c r="JL40" s="417"/>
      <c r="JM40" s="417"/>
      <c r="JN40" s="417"/>
      <c r="JO40" s="417"/>
      <c r="JP40" s="417"/>
      <c r="JQ40" s="417"/>
      <c r="JR40" s="417"/>
      <c r="JS40" s="417"/>
      <c r="JT40" s="417"/>
      <c r="JU40" s="417"/>
      <c r="JV40" s="417"/>
      <c r="JW40" s="417"/>
      <c r="JX40" s="417"/>
      <c r="JY40" s="417"/>
      <c r="JZ40" s="417"/>
      <c r="KA40" s="417"/>
      <c r="KB40" s="417"/>
      <c r="KC40" s="417"/>
      <c r="KD40" s="417"/>
      <c r="KE40" s="417"/>
      <c r="KF40" s="417"/>
      <c r="KG40" s="417"/>
      <c r="KH40" s="417"/>
      <c r="KI40" s="417"/>
      <c r="KJ40" s="417"/>
      <c r="KK40" s="417"/>
      <c r="KL40" s="417"/>
      <c r="KM40" s="417"/>
      <c r="KN40" s="417"/>
      <c r="KO40" s="417"/>
      <c r="KP40" s="417"/>
      <c r="KQ40" s="417"/>
      <c r="KR40" s="417"/>
      <c r="KS40" s="417"/>
      <c r="KT40" s="417"/>
      <c r="KU40" s="417"/>
      <c r="KV40" s="417"/>
      <c r="KW40" s="417"/>
      <c r="KX40" s="417"/>
      <c r="KY40" s="417"/>
      <c r="KZ40" s="417"/>
      <c r="LA40" s="417"/>
      <c r="LB40" s="417"/>
      <c r="LC40" s="417"/>
      <c r="LD40" s="417"/>
      <c r="LE40" s="417"/>
      <c r="LF40" s="417"/>
      <c r="LG40" s="417"/>
      <c r="LH40" s="417"/>
      <c r="LI40" s="417"/>
      <c r="LJ40" s="417"/>
      <c r="LK40" s="417"/>
      <c r="LL40" s="417"/>
      <c r="LM40" s="417"/>
      <c r="LN40" s="417"/>
      <c r="LO40" s="417"/>
      <c r="LP40" s="417"/>
      <c r="LQ40" s="417"/>
      <c r="LR40" s="417"/>
      <c r="LS40" s="417"/>
      <c r="LT40" s="417"/>
      <c r="LU40" s="417"/>
      <c r="LV40" s="417"/>
      <c r="LW40" s="417"/>
      <c r="LX40" s="417"/>
      <c r="LY40" s="417"/>
      <c r="LZ40" s="417"/>
      <c r="MA40" s="417"/>
      <c r="MB40" s="417"/>
      <c r="MC40" s="417"/>
      <c r="MD40" s="417"/>
      <c r="ME40" s="417"/>
      <c r="MF40" s="417"/>
      <c r="MG40" s="417"/>
      <c r="MH40" s="417"/>
      <c r="MI40" s="417"/>
      <c r="MJ40" s="417"/>
      <c r="MK40" s="417"/>
      <c r="ML40" s="417"/>
      <c r="MM40" s="417"/>
      <c r="MN40" s="417"/>
      <c r="MO40" s="417"/>
      <c r="MP40" s="417"/>
      <c r="MQ40" s="417"/>
      <c r="MR40" s="417"/>
      <c r="MS40" s="417"/>
      <c r="MT40" s="417"/>
      <c r="MU40" s="417"/>
      <c r="MV40" s="417"/>
      <c r="MW40" s="417"/>
      <c r="MX40" s="417"/>
      <c r="MY40" s="417"/>
      <c r="MZ40" s="417"/>
      <c r="NA40" s="417"/>
      <c r="NB40" s="417"/>
      <c r="NC40" s="417"/>
      <c r="ND40" s="417"/>
      <c r="NE40" s="417"/>
      <c r="NF40" s="417"/>
      <c r="NG40" s="417"/>
      <c r="NH40" s="417"/>
      <c r="NI40" s="417"/>
      <c r="NJ40" s="417"/>
      <c r="NK40" s="417"/>
      <c r="NL40" s="417"/>
      <c r="NM40" s="417"/>
      <c r="NN40" s="417"/>
      <c r="NO40" s="417"/>
      <c r="NP40" s="417"/>
      <c r="NQ40" s="417"/>
      <c r="NR40" s="417"/>
      <c r="NS40" s="417"/>
      <c r="NT40" s="417"/>
      <c r="NU40" s="417"/>
      <c r="NV40" s="417"/>
      <c r="NW40" s="417"/>
      <c r="NX40" s="417"/>
      <c r="NY40" s="417"/>
      <c r="NZ40" s="417"/>
      <c r="OA40" s="417"/>
      <c r="OB40" s="417"/>
      <c r="OC40" s="417"/>
      <c r="OD40" s="417"/>
      <c r="OE40" s="417"/>
      <c r="OF40" s="417"/>
      <c r="OG40" s="417"/>
      <c r="OH40" s="417"/>
      <c r="OI40" s="385"/>
      <c r="OJ40" s="417"/>
      <c r="OK40" s="417"/>
      <c r="OL40" s="417"/>
      <c r="OM40" s="417"/>
      <c r="ON40" s="417"/>
      <c r="OO40" s="417"/>
      <c r="OP40" s="417"/>
      <c r="OQ40" s="417"/>
      <c r="OR40" s="417"/>
      <c r="OS40" s="417"/>
      <c r="OT40" s="417"/>
      <c r="OU40" s="417"/>
      <c r="OV40" s="417"/>
      <c r="OW40" s="417"/>
      <c r="OX40" s="417"/>
      <c r="OY40" s="417"/>
      <c r="OZ40" s="417"/>
      <c r="PA40" s="417"/>
      <c r="PB40" s="417"/>
      <c r="PC40" s="417"/>
      <c r="PD40" s="417"/>
      <c r="PE40" s="417"/>
      <c r="PF40" s="417"/>
      <c r="PG40" s="417"/>
    </row>
    <row r="41" spans="1:423" ht="15.75" customHeight="1" thickBot="1" x14ac:dyDescent="0.3">
      <c r="A41" s="416">
        <v>544254640260</v>
      </c>
      <c r="B41" s="384">
        <f t="shared" si="0"/>
        <v>0</v>
      </c>
      <c r="C41" s="384">
        <v>0</v>
      </c>
      <c r="D41" s="384">
        <f>SUMIF('Sap Inwarding'!F:F,'Front Dispatch'!$A41,'Sap Inwarding'!H:H)</f>
        <v>0</v>
      </c>
      <c r="E41" s="10">
        <f t="shared" si="1"/>
        <v>0</v>
      </c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385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385"/>
      <c r="AV41" s="385"/>
      <c r="AW41" s="385"/>
      <c r="AX41" s="385"/>
      <c r="AY41" s="385"/>
      <c r="AZ41" s="417"/>
      <c r="BA41" s="417"/>
      <c r="BB41" s="417"/>
      <c r="BC41" s="417"/>
      <c r="BD41" s="385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BS41" s="417"/>
      <c r="BT41" s="417"/>
      <c r="BU41" s="417"/>
      <c r="BV41" s="417"/>
      <c r="BW41" s="417"/>
      <c r="BX41" s="417"/>
      <c r="BY41" s="417"/>
      <c r="BZ41" s="417"/>
      <c r="CA41" s="385"/>
      <c r="CB41" s="417"/>
      <c r="CC41" s="417"/>
      <c r="CD41" s="417"/>
      <c r="CE41" s="385"/>
      <c r="CF41" s="385"/>
      <c r="CG41" s="385"/>
      <c r="CH41" s="417"/>
      <c r="CI41" s="417"/>
      <c r="CJ41" s="417"/>
      <c r="CK41" s="417"/>
      <c r="CL41" s="417"/>
      <c r="CM41" s="385"/>
      <c r="CN41" s="417"/>
      <c r="CO41" s="417"/>
      <c r="CP41" s="417"/>
      <c r="CQ41" s="385"/>
      <c r="CR41" s="385"/>
      <c r="CS41" s="417"/>
      <c r="CT41" s="417"/>
      <c r="CU41" s="417"/>
      <c r="CV41" s="417"/>
      <c r="CW41" s="417"/>
      <c r="CX41" s="417"/>
      <c r="CY41" s="417"/>
      <c r="CZ41" s="417"/>
      <c r="DA41" s="385"/>
      <c r="DB41" s="417"/>
      <c r="DC41" s="385"/>
      <c r="DD41" s="385"/>
      <c r="DE41" s="385"/>
      <c r="DF41" s="385"/>
      <c r="DG41" s="385"/>
      <c r="DH41" s="417"/>
      <c r="DI41" s="417"/>
      <c r="DJ41" s="417"/>
      <c r="DK41" s="385"/>
      <c r="DL41" s="385"/>
      <c r="DM41" s="385"/>
      <c r="DN41" s="417"/>
      <c r="DO41" s="417"/>
      <c r="DP41" s="385"/>
      <c r="DQ41" s="385"/>
      <c r="DR41" s="385"/>
      <c r="DS41" s="417"/>
      <c r="DT41" s="417"/>
      <c r="DU41" s="417"/>
      <c r="DV41" s="417"/>
      <c r="DW41" s="385"/>
      <c r="DX41" s="385"/>
      <c r="DY41" s="417"/>
      <c r="DZ41" s="417"/>
      <c r="EA41" s="417"/>
      <c r="EB41" s="385"/>
      <c r="EC41" s="385"/>
      <c r="ED41" s="65"/>
      <c r="EE41" s="417"/>
      <c r="EF41" s="417"/>
      <c r="EG41" s="417"/>
      <c r="EH41" s="417"/>
      <c r="EI41" s="417"/>
      <c r="EJ41" s="417"/>
      <c r="EK41" s="417"/>
      <c r="EL41" s="417"/>
      <c r="EM41" s="417"/>
      <c r="EN41" s="417"/>
      <c r="EO41" s="385"/>
      <c r="EP41" s="385"/>
      <c r="EQ41" s="417"/>
      <c r="ER41" s="417"/>
      <c r="ES41" s="417"/>
      <c r="ET41" s="417"/>
      <c r="EU41" s="417"/>
      <c r="EV41" s="385"/>
      <c r="EW41" s="385"/>
      <c r="EX41" s="385"/>
      <c r="EY41" s="385"/>
      <c r="EZ41" s="417"/>
      <c r="FA41" s="417"/>
      <c r="FB41" s="417"/>
      <c r="FC41" s="417"/>
      <c r="FD41" s="417"/>
      <c r="FE41" s="417"/>
      <c r="FF41" s="417"/>
      <c r="FG41" s="417"/>
      <c r="FH41" s="417"/>
      <c r="FI41" s="417"/>
      <c r="FJ41" s="417"/>
      <c r="FK41" s="385"/>
      <c r="FL41" s="417"/>
      <c r="FM41" s="385"/>
      <c r="FN41" s="417"/>
      <c r="FO41" s="417"/>
      <c r="FP41" s="417"/>
      <c r="FQ41" s="417"/>
      <c r="FR41" s="417"/>
      <c r="FS41" s="417"/>
      <c r="FT41" s="385"/>
      <c r="FU41" s="385"/>
      <c r="FV41" s="385"/>
      <c r="FW41" s="417"/>
      <c r="FX41" s="417"/>
      <c r="FY41" s="385"/>
      <c r="FZ41" s="417"/>
      <c r="GA41" s="417"/>
      <c r="GB41" s="385"/>
      <c r="GC41" s="417"/>
      <c r="GD41" s="417"/>
      <c r="GE41" s="417"/>
      <c r="GF41" s="385"/>
      <c r="GG41" s="417"/>
      <c r="GH41" s="385"/>
      <c r="GI41" s="417"/>
      <c r="GJ41" s="385"/>
      <c r="GK41" s="417"/>
      <c r="GL41" s="417"/>
      <c r="GM41" s="417"/>
      <c r="GN41" s="417"/>
      <c r="GO41" s="417"/>
      <c r="GP41" s="417"/>
      <c r="GQ41" s="417"/>
      <c r="GR41" s="417"/>
      <c r="GS41" s="385"/>
      <c r="GT41" s="385"/>
      <c r="GU41" s="417"/>
      <c r="GV41" s="385"/>
      <c r="GW41" s="417"/>
      <c r="GX41" s="385"/>
      <c r="GY41" s="385"/>
      <c r="GZ41" s="417"/>
      <c r="HA41" s="417"/>
      <c r="HB41" s="417"/>
      <c r="HC41" s="417"/>
      <c r="HD41" s="417"/>
      <c r="HE41" s="417"/>
      <c r="HF41" s="417"/>
      <c r="HG41" s="417"/>
      <c r="HH41" s="385"/>
      <c r="HI41" s="417"/>
      <c r="HJ41" s="417"/>
      <c r="HK41" s="417"/>
      <c r="HL41" s="417"/>
      <c r="HM41" s="417"/>
      <c r="HN41" s="385"/>
      <c r="HO41" s="417"/>
      <c r="HP41" s="417"/>
      <c r="HQ41" s="417"/>
      <c r="HR41" s="417"/>
      <c r="HS41" s="417"/>
      <c r="HT41" s="417"/>
      <c r="HU41" s="385"/>
      <c r="HV41" s="417"/>
      <c r="HW41" s="417"/>
      <c r="HX41" s="417"/>
      <c r="HY41" s="417"/>
      <c r="HZ41" s="417"/>
      <c r="IA41" s="417"/>
      <c r="IB41" s="417"/>
      <c r="IC41" s="417"/>
      <c r="ID41" s="417"/>
      <c r="IE41" s="417"/>
      <c r="IF41" s="417"/>
      <c r="IG41" s="417"/>
      <c r="IH41" s="417"/>
      <c r="II41" s="417"/>
      <c r="IJ41" s="417"/>
      <c r="IK41" s="417"/>
      <c r="IL41" s="417"/>
      <c r="IM41" s="417"/>
      <c r="IN41" s="417"/>
      <c r="IO41" s="417"/>
      <c r="IP41" s="417"/>
      <c r="IQ41" s="417"/>
      <c r="IR41" s="417"/>
      <c r="IS41" s="417"/>
      <c r="IT41" s="417"/>
      <c r="IU41" s="417"/>
      <c r="IV41" s="417"/>
      <c r="IW41" s="417"/>
      <c r="IX41" s="417"/>
      <c r="IY41" s="417"/>
      <c r="IZ41" s="417"/>
      <c r="JA41" s="417"/>
      <c r="JB41" s="417"/>
      <c r="JC41" s="417"/>
      <c r="JD41" s="417"/>
      <c r="JE41" s="417"/>
      <c r="JF41" s="417"/>
      <c r="JG41" s="417"/>
      <c r="JH41" s="417"/>
      <c r="JI41" s="417"/>
      <c r="JJ41" s="417"/>
      <c r="JK41" s="417"/>
      <c r="JL41" s="417"/>
      <c r="JM41" s="417"/>
      <c r="JN41" s="417"/>
      <c r="JO41" s="417"/>
      <c r="JP41" s="417"/>
      <c r="JQ41" s="417"/>
      <c r="JR41" s="417"/>
      <c r="JS41" s="417"/>
      <c r="JT41" s="417"/>
      <c r="JU41" s="417"/>
      <c r="JV41" s="417"/>
      <c r="JW41" s="417"/>
      <c r="JX41" s="417"/>
      <c r="JY41" s="417"/>
      <c r="JZ41" s="417"/>
      <c r="KA41" s="417"/>
      <c r="KB41" s="417"/>
      <c r="KC41" s="417"/>
      <c r="KD41" s="417"/>
      <c r="KE41" s="417"/>
      <c r="KF41" s="417"/>
      <c r="KG41" s="417"/>
      <c r="KH41" s="417"/>
      <c r="KI41" s="417"/>
      <c r="KJ41" s="417"/>
      <c r="KK41" s="417"/>
      <c r="KL41" s="417"/>
      <c r="KM41" s="417"/>
      <c r="KN41" s="417"/>
      <c r="KO41" s="417"/>
      <c r="KP41" s="417"/>
      <c r="KQ41" s="417"/>
      <c r="KR41" s="417"/>
      <c r="KS41" s="417"/>
      <c r="KT41" s="417"/>
      <c r="KU41" s="417"/>
      <c r="KV41" s="417"/>
      <c r="KW41" s="417"/>
      <c r="KX41" s="417"/>
      <c r="KY41" s="417"/>
      <c r="KZ41" s="417"/>
      <c r="LA41" s="417"/>
      <c r="LB41" s="417"/>
      <c r="LC41" s="417"/>
      <c r="LD41" s="417"/>
      <c r="LE41" s="417"/>
      <c r="LF41" s="417"/>
      <c r="LG41" s="417"/>
      <c r="LH41" s="417"/>
      <c r="LI41" s="417"/>
      <c r="LJ41" s="417"/>
      <c r="LK41" s="417"/>
      <c r="LL41" s="417"/>
      <c r="LM41" s="417"/>
      <c r="LN41" s="417"/>
      <c r="LO41" s="417"/>
      <c r="LP41" s="417"/>
      <c r="LQ41" s="417"/>
      <c r="LR41" s="417"/>
      <c r="LS41" s="417"/>
      <c r="LT41" s="417"/>
      <c r="LU41" s="417"/>
      <c r="LV41" s="417"/>
      <c r="LW41" s="417"/>
      <c r="LX41" s="417"/>
      <c r="LY41" s="417"/>
      <c r="LZ41" s="417"/>
      <c r="MA41" s="417"/>
      <c r="MB41" s="417"/>
      <c r="MC41" s="417"/>
      <c r="MD41" s="417"/>
      <c r="ME41" s="417"/>
      <c r="MF41" s="417"/>
      <c r="MG41" s="417"/>
      <c r="MH41" s="417"/>
      <c r="MI41" s="417"/>
      <c r="MJ41" s="417"/>
      <c r="MK41" s="417"/>
      <c r="ML41" s="417"/>
      <c r="MM41" s="417"/>
      <c r="MN41" s="417"/>
      <c r="MO41" s="417"/>
      <c r="MP41" s="417"/>
      <c r="MQ41" s="417"/>
      <c r="MR41" s="417"/>
      <c r="MS41" s="417"/>
      <c r="MT41" s="417"/>
      <c r="MU41" s="417"/>
      <c r="MV41" s="417"/>
      <c r="MW41" s="417"/>
      <c r="MX41" s="417"/>
      <c r="MY41" s="417"/>
      <c r="MZ41" s="417"/>
      <c r="NA41" s="417"/>
      <c r="NB41" s="417"/>
      <c r="NC41" s="417"/>
      <c r="ND41" s="417"/>
      <c r="NE41" s="417"/>
      <c r="NF41" s="417"/>
      <c r="NG41" s="417"/>
      <c r="NH41" s="417"/>
      <c r="NI41" s="417"/>
      <c r="NJ41" s="417"/>
      <c r="NK41" s="417"/>
      <c r="NL41" s="417"/>
      <c r="NM41" s="417"/>
      <c r="NN41" s="417"/>
      <c r="NO41" s="417"/>
      <c r="NP41" s="417"/>
      <c r="NQ41" s="417"/>
      <c r="NR41" s="417"/>
      <c r="NS41" s="417"/>
      <c r="NT41" s="417"/>
      <c r="NU41" s="417"/>
      <c r="NV41" s="417"/>
      <c r="NW41" s="417"/>
      <c r="NX41" s="417"/>
      <c r="NY41" s="417"/>
      <c r="NZ41" s="417"/>
      <c r="OA41" s="417"/>
      <c r="OB41" s="417"/>
      <c r="OC41" s="417"/>
      <c r="OD41" s="417"/>
      <c r="OE41" s="417"/>
      <c r="OF41" s="417"/>
      <c r="OG41" s="417"/>
      <c r="OH41" s="417"/>
      <c r="OI41" s="385"/>
      <c r="OJ41" s="417"/>
      <c r="OK41" s="417"/>
      <c r="OL41" s="417"/>
      <c r="OM41" s="417"/>
      <c r="ON41" s="417"/>
      <c r="OO41" s="417"/>
      <c r="OP41" s="417"/>
      <c r="OQ41" s="417"/>
      <c r="OR41" s="417"/>
      <c r="OS41" s="417"/>
      <c r="OT41" s="417"/>
      <c r="OU41" s="417"/>
      <c r="OV41" s="417"/>
      <c r="OW41" s="417"/>
      <c r="OX41" s="417"/>
      <c r="OY41" s="417"/>
      <c r="OZ41" s="417"/>
      <c r="PA41" s="417"/>
      <c r="PB41" s="417"/>
      <c r="PC41" s="417"/>
      <c r="PD41" s="417"/>
      <c r="PE41" s="417"/>
      <c r="PF41" s="417"/>
      <c r="PG41" s="417"/>
    </row>
    <row r="42" spans="1:423" ht="15.75" customHeight="1" thickBot="1" x14ac:dyDescent="0.3">
      <c r="A42" s="416">
        <v>544254630819</v>
      </c>
      <c r="B42" s="384">
        <f t="shared" si="0"/>
        <v>0</v>
      </c>
      <c r="C42" s="384">
        <v>0</v>
      </c>
      <c r="D42" s="384">
        <f>SUMIF('Sap Inwarding'!F:F,'Front Dispatch'!$A42,'Sap Inwarding'!H:H)</f>
        <v>0</v>
      </c>
      <c r="E42" s="10">
        <f t="shared" si="1"/>
        <v>0</v>
      </c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385"/>
      <c r="Z42" s="417"/>
      <c r="AA42" s="417"/>
      <c r="AB42" s="417"/>
      <c r="AC42" s="417"/>
      <c r="AD42" s="417"/>
      <c r="AE42" s="417"/>
      <c r="AF42" s="417"/>
      <c r="AG42" s="417"/>
      <c r="AH42" s="417"/>
      <c r="AI42" s="417"/>
      <c r="AJ42" s="417"/>
      <c r="AK42" s="417"/>
      <c r="AL42" s="417"/>
      <c r="AM42" s="417"/>
      <c r="AN42" s="417"/>
      <c r="AO42" s="417"/>
      <c r="AP42" s="417"/>
      <c r="AQ42" s="417"/>
      <c r="AR42" s="417"/>
      <c r="AS42" s="417"/>
      <c r="AT42" s="417"/>
      <c r="AU42" s="385"/>
      <c r="AV42" s="385"/>
      <c r="AW42" s="385"/>
      <c r="AX42" s="385"/>
      <c r="AY42" s="385"/>
      <c r="AZ42" s="417"/>
      <c r="BA42" s="417"/>
      <c r="BB42" s="417"/>
      <c r="BC42" s="417"/>
      <c r="BD42" s="385"/>
      <c r="BE42" s="417"/>
      <c r="BF42" s="417"/>
      <c r="BG42" s="417"/>
      <c r="BH42" s="417"/>
      <c r="BI42" s="417"/>
      <c r="BJ42" s="417"/>
      <c r="BK42" s="417"/>
      <c r="BL42" s="417"/>
      <c r="BM42" s="417"/>
      <c r="BN42" s="417"/>
      <c r="BO42" s="417"/>
      <c r="BP42" s="417"/>
      <c r="BQ42" s="417"/>
      <c r="BR42" s="417"/>
      <c r="BS42" s="417"/>
      <c r="BT42" s="417"/>
      <c r="BU42" s="417"/>
      <c r="BV42" s="417"/>
      <c r="BW42" s="417"/>
      <c r="BX42" s="417"/>
      <c r="BY42" s="417"/>
      <c r="BZ42" s="417"/>
      <c r="CA42" s="385"/>
      <c r="CB42" s="417"/>
      <c r="CC42" s="417"/>
      <c r="CD42" s="417"/>
      <c r="CE42" s="385"/>
      <c r="CF42" s="385"/>
      <c r="CG42" s="385"/>
      <c r="CH42" s="417"/>
      <c r="CI42" s="417"/>
      <c r="CJ42" s="417"/>
      <c r="CK42" s="417"/>
      <c r="CL42" s="417"/>
      <c r="CM42" s="385"/>
      <c r="CN42" s="417"/>
      <c r="CO42" s="417"/>
      <c r="CP42" s="417"/>
      <c r="CQ42" s="385"/>
      <c r="CR42" s="385"/>
      <c r="CS42" s="417"/>
      <c r="CT42" s="417"/>
      <c r="CU42" s="417"/>
      <c r="CV42" s="417"/>
      <c r="CW42" s="417"/>
      <c r="CX42" s="417"/>
      <c r="CY42" s="417"/>
      <c r="CZ42" s="417"/>
      <c r="DA42" s="385"/>
      <c r="DB42" s="417"/>
      <c r="DC42" s="385"/>
      <c r="DD42" s="385"/>
      <c r="DE42" s="385"/>
      <c r="DF42" s="385"/>
      <c r="DG42" s="385"/>
      <c r="DH42" s="417"/>
      <c r="DI42" s="417"/>
      <c r="DJ42" s="417"/>
      <c r="DK42" s="385"/>
      <c r="DL42" s="385"/>
      <c r="DM42" s="385"/>
      <c r="DN42" s="417"/>
      <c r="DO42" s="417"/>
      <c r="DP42" s="385"/>
      <c r="DQ42" s="385"/>
      <c r="DR42" s="385"/>
      <c r="DS42" s="417"/>
      <c r="DT42" s="417"/>
      <c r="DU42" s="417"/>
      <c r="DV42" s="417"/>
      <c r="DW42" s="385"/>
      <c r="DX42" s="385"/>
      <c r="DY42" s="417"/>
      <c r="DZ42" s="417"/>
      <c r="EA42" s="417"/>
      <c r="EB42" s="385"/>
      <c r="EC42" s="385"/>
      <c r="ED42" s="65"/>
      <c r="EE42" s="417"/>
      <c r="EF42" s="417"/>
      <c r="EG42" s="417"/>
      <c r="EH42" s="417"/>
      <c r="EI42" s="417"/>
      <c r="EJ42" s="417"/>
      <c r="EK42" s="417"/>
      <c r="EL42" s="417"/>
      <c r="EM42" s="417"/>
      <c r="EN42" s="417"/>
      <c r="EO42" s="385"/>
      <c r="EP42" s="385"/>
      <c r="EQ42" s="417"/>
      <c r="ER42" s="417"/>
      <c r="ES42" s="417"/>
      <c r="ET42" s="417"/>
      <c r="EU42" s="417"/>
      <c r="EV42" s="385"/>
      <c r="EW42" s="385"/>
      <c r="EX42" s="385"/>
      <c r="EY42" s="385"/>
      <c r="EZ42" s="417"/>
      <c r="FA42" s="417"/>
      <c r="FB42" s="417"/>
      <c r="FC42" s="417"/>
      <c r="FD42" s="417"/>
      <c r="FE42" s="417"/>
      <c r="FF42" s="417"/>
      <c r="FG42" s="417"/>
      <c r="FH42" s="417"/>
      <c r="FI42" s="417"/>
      <c r="FJ42" s="417"/>
      <c r="FK42" s="385"/>
      <c r="FL42" s="417"/>
      <c r="FM42" s="385"/>
      <c r="FN42" s="417"/>
      <c r="FO42" s="417"/>
      <c r="FP42" s="417"/>
      <c r="FQ42" s="417"/>
      <c r="FR42" s="417"/>
      <c r="FS42" s="417"/>
      <c r="FT42" s="385"/>
      <c r="FU42" s="385"/>
      <c r="FV42" s="385"/>
      <c r="FW42" s="417"/>
      <c r="FX42" s="417"/>
      <c r="FY42" s="385"/>
      <c r="FZ42" s="417"/>
      <c r="GA42" s="417"/>
      <c r="GB42" s="385"/>
      <c r="GC42" s="417"/>
      <c r="GD42" s="417"/>
      <c r="GE42" s="417"/>
      <c r="GF42" s="385"/>
      <c r="GG42" s="417"/>
      <c r="GH42" s="385"/>
      <c r="GI42" s="417"/>
      <c r="GJ42" s="385"/>
      <c r="GK42" s="417"/>
      <c r="GL42" s="417"/>
      <c r="GM42" s="417"/>
      <c r="GN42" s="417"/>
      <c r="GO42" s="417"/>
      <c r="GP42" s="417"/>
      <c r="GQ42" s="417"/>
      <c r="GR42" s="417"/>
      <c r="GS42" s="385"/>
      <c r="GT42" s="385"/>
      <c r="GU42" s="417"/>
      <c r="GV42" s="385"/>
      <c r="GW42" s="417"/>
      <c r="GX42" s="385"/>
      <c r="GY42" s="385"/>
      <c r="GZ42" s="417"/>
      <c r="HA42" s="417"/>
      <c r="HB42" s="417"/>
      <c r="HC42" s="417"/>
      <c r="HD42" s="417"/>
      <c r="HE42" s="417"/>
      <c r="HF42" s="417"/>
      <c r="HG42" s="417"/>
      <c r="HH42" s="385"/>
      <c r="HI42" s="417"/>
      <c r="HJ42" s="417"/>
      <c r="HK42" s="417"/>
      <c r="HL42" s="417"/>
      <c r="HM42" s="417"/>
      <c r="HN42" s="385"/>
      <c r="HO42" s="417"/>
      <c r="HP42" s="417"/>
      <c r="HQ42" s="417"/>
      <c r="HR42" s="417"/>
      <c r="HS42" s="417"/>
      <c r="HT42" s="417"/>
      <c r="HU42" s="385"/>
      <c r="HV42" s="417"/>
      <c r="HW42" s="417"/>
      <c r="HX42" s="417"/>
      <c r="HY42" s="417"/>
      <c r="HZ42" s="417"/>
      <c r="IA42" s="417"/>
      <c r="IB42" s="417"/>
      <c r="IC42" s="417"/>
      <c r="ID42" s="417"/>
      <c r="IE42" s="417"/>
      <c r="IF42" s="417"/>
      <c r="IG42" s="417"/>
      <c r="IH42" s="417"/>
      <c r="II42" s="417"/>
      <c r="IJ42" s="417"/>
      <c r="IK42" s="417"/>
      <c r="IL42" s="417"/>
      <c r="IM42" s="417"/>
      <c r="IN42" s="417"/>
      <c r="IO42" s="417"/>
      <c r="IP42" s="417"/>
      <c r="IQ42" s="417"/>
      <c r="IR42" s="417"/>
      <c r="IS42" s="417"/>
      <c r="IT42" s="417"/>
      <c r="IU42" s="417"/>
      <c r="IV42" s="417"/>
      <c r="IW42" s="417"/>
      <c r="IX42" s="417"/>
      <c r="IY42" s="417"/>
      <c r="IZ42" s="417"/>
      <c r="JA42" s="417"/>
      <c r="JB42" s="417"/>
      <c r="JC42" s="417"/>
      <c r="JD42" s="417"/>
      <c r="JE42" s="417"/>
      <c r="JF42" s="417"/>
      <c r="JG42" s="417"/>
      <c r="JH42" s="417"/>
      <c r="JI42" s="417"/>
      <c r="JJ42" s="417"/>
      <c r="JK42" s="417"/>
      <c r="JL42" s="417"/>
      <c r="JM42" s="417"/>
      <c r="JN42" s="417"/>
      <c r="JO42" s="417"/>
      <c r="JP42" s="417"/>
      <c r="JQ42" s="417"/>
      <c r="JR42" s="417"/>
      <c r="JS42" s="417"/>
      <c r="JT42" s="417"/>
      <c r="JU42" s="417"/>
      <c r="JV42" s="417"/>
      <c r="JW42" s="417"/>
      <c r="JX42" s="417"/>
      <c r="JY42" s="417"/>
      <c r="JZ42" s="417"/>
      <c r="KA42" s="417"/>
      <c r="KB42" s="417"/>
      <c r="KC42" s="417"/>
      <c r="KD42" s="417"/>
      <c r="KE42" s="417"/>
      <c r="KF42" s="417"/>
      <c r="KG42" s="417"/>
      <c r="KH42" s="417"/>
      <c r="KI42" s="417"/>
      <c r="KJ42" s="417"/>
      <c r="KK42" s="417"/>
      <c r="KL42" s="417"/>
      <c r="KM42" s="417"/>
      <c r="KN42" s="417"/>
      <c r="KO42" s="417"/>
      <c r="KP42" s="417"/>
      <c r="KQ42" s="417"/>
      <c r="KR42" s="417"/>
      <c r="KS42" s="417"/>
      <c r="KT42" s="417"/>
      <c r="KU42" s="417"/>
      <c r="KV42" s="417"/>
      <c r="KW42" s="417"/>
      <c r="KX42" s="417"/>
      <c r="KY42" s="417"/>
      <c r="KZ42" s="417"/>
      <c r="LA42" s="417"/>
      <c r="LB42" s="417"/>
      <c r="LC42" s="417"/>
      <c r="LD42" s="417"/>
      <c r="LE42" s="417"/>
      <c r="LF42" s="417"/>
      <c r="LG42" s="417"/>
      <c r="LH42" s="417"/>
      <c r="LI42" s="417"/>
      <c r="LJ42" s="417"/>
      <c r="LK42" s="417"/>
      <c r="LL42" s="417"/>
      <c r="LM42" s="417"/>
      <c r="LN42" s="417"/>
      <c r="LO42" s="417"/>
      <c r="LP42" s="417"/>
      <c r="LQ42" s="417"/>
      <c r="LR42" s="417"/>
      <c r="LS42" s="417"/>
      <c r="LT42" s="417"/>
      <c r="LU42" s="417"/>
      <c r="LV42" s="417"/>
      <c r="LW42" s="417"/>
      <c r="LX42" s="417"/>
      <c r="LY42" s="417"/>
      <c r="LZ42" s="417"/>
      <c r="MA42" s="417"/>
      <c r="MB42" s="417"/>
      <c r="MC42" s="417"/>
      <c r="MD42" s="417"/>
      <c r="ME42" s="417"/>
      <c r="MF42" s="417"/>
      <c r="MG42" s="417"/>
      <c r="MH42" s="417"/>
      <c r="MI42" s="417"/>
      <c r="MJ42" s="417"/>
      <c r="MK42" s="417"/>
      <c r="ML42" s="417"/>
      <c r="MM42" s="417"/>
      <c r="MN42" s="417"/>
      <c r="MO42" s="417"/>
      <c r="MP42" s="417"/>
      <c r="MQ42" s="417"/>
      <c r="MR42" s="417"/>
      <c r="MS42" s="417"/>
      <c r="MT42" s="417"/>
      <c r="MU42" s="417"/>
      <c r="MV42" s="417"/>
      <c r="MW42" s="417"/>
      <c r="MX42" s="417"/>
      <c r="MY42" s="417"/>
      <c r="MZ42" s="417"/>
      <c r="NA42" s="417"/>
      <c r="NB42" s="417"/>
      <c r="NC42" s="417"/>
      <c r="ND42" s="417"/>
      <c r="NE42" s="417"/>
      <c r="NF42" s="417"/>
      <c r="NG42" s="417"/>
      <c r="NH42" s="417"/>
      <c r="NI42" s="417"/>
      <c r="NJ42" s="417"/>
      <c r="NK42" s="417"/>
      <c r="NL42" s="417"/>
      <c r="NM42" s="417"/>
      <c r="NN42" s="417"/>
      <c r="NO42" s="417"/>
      <c r="NP42" s="417"/>
      <c r="NQ42" s="417"/>
      <c r="NR42" s="417"/>
      <c r="NS42" s="417"/>
      <c r="NT42" s="417"/>
      <c r="NU42" s="417"/>
      <c r="NV42" s="417"/>
      <c r="NW42" s="417"/>
      <c r="NX42" s="417"/>
      <c r="NY42" s="417"/>
      <c r="NZ42" s="417"/>
      <c r="OA42" s="417"/>
      <c r="OB42" s="417"/>
      <c r="OC42" s="417"/>
      <c r="OD42" s="417"/>
      <c r="OE42" s="417"/>
      <c r="OF42" s="417"/>
      <c r="OG42" s="417"/>
      <c r="OH42" s="417"/>
      <c r="OI42" s="385"/>
      <c r="OJ42" s="417"/>
      <c r="OK42" s="417"/>
      <c r="OL42" s="417"/>
      <c r="OM42" s="417"/>
      <c r="ON42" s="417"/>
      <c r="OO42" s="417"/>
      <c r="OP42" s="417"/>
      <c r="OQ42" s="417"/>
      <c r="OR42" s="417"/>
      <c r="OS42" s="417"/>
      <c r="OT42" s="417"/>
      <c r="OU42" s="417"/>
      <c r="OV42" s="417"/>
      <c r="OW42" s="417"/>
      <c r="OX42" s="417"/>
      <c r="OY42" s="417"/>
      <c r="OZ42" s="417"/>
      <c r="PA42" s="417"/>
      <c r="PB42" s="417"/>
      <c r="PC42" s="417"/>
      <c r="PD42" s="417"/>
      <c r="PE42" s="417"/>
      <c r="PF42" s="417"/>
      <c r="PG42" s="417"/>
    </row>
    <row r="43" spans="1:423" ht="15.75" customHeight="1" thickBot="1" x14ac:dyDescent="0.3">
      <c r="A43" s="416">
        <v>544254630820</v>
      </c>
      <c r="B43" s="384">
        <f t="shared" si="0"/>
        <v>0</v>
      </c>
      <c r="C43" s="384">
        <v>0</v>
      </c>
      <c r="D43" s="384">
        <f>SUMIF('Sap Inwarding'!F:F,'Front Dispatch'!$A43,'Sap Inwarding'!H:H)</f>
        <v>0</v>
      </c>
      <c r="E43" s="10">
        <f t="shared" si="1"/>
        <v>0</v>
      </c>
      <c r="F43" s="417"/>
      <c r="G43" s="417"/>
      <c r="H43" s="417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Y43" s="385"/>
      <c r="Z43" s="417"/>
      <c r="AA43" s="417"/>
      <c r="AB43" s="417"/>
      <c r="AC43" s="417"/>
      <c r="AD43" s="417"/>
      <c r="AE43" s="417"/>
      <c r="AF43" s="417"/>
      <c r="AG43" s="417"/>
      <c r="AH43" s="417"/>
      <c r="AI43" s="417"/>
      <c r="AJ43" s="417"/>
      <c r="AK43" s="417"/>
      <c r="AL43" s="417"/>
      <c r="AM43" s="417"/>
      <c r="AN43" s="417"/>
      <c r="AO43" s="417"/>
      <c r="AP43" s="417"/>
      <c r="AQ43" s="417"/>
      <c r="AR43" s="417"/>
      <c r="AS43" s="417"/>
      <c r="AT43" s="417"/>
      <c r="AU43" s="385"/>
      <c r="AV43" s="385"/>
      <c r="AW43" s="385"/>
      <c r="AX43" s="385"/>
      <c r="AY43" s="385"/>
      <c r="AZ43" s="417"/>
      <c r="BA43" s="417"/>
      <c r="BB43" s="417"/>
      <c r="BC43" s="417"/>
      <c r="BD43" s="385"/>
      <c r="BE43" s="417"/>
      <c r="BF43" s="417"/>
      <c r="BG43" s="417"/>
      <c r="BH43" s="417"/>
      <c r="BI43" s="417"/>
      <c r="BJ43" s="417"/>
      <c r="BK43" s="417"/>
      <c r="BL43" s="417"/>
      <c r="BM43" s="417"/>
      <c r="BN43" s="417"/>
      <c r="BO43" s="417"/>
      <c r="BP43" s="417"/>
      <c r="BQ43" s="417"/>
      <c r="BR43" s="417"/>
      <c r="BS43" s="417"/>
      <c r="BT43" s="417"/>
      <c r="BU43" s="417"/>
      <c r="BV43" s="417"/>
      <c r="BW43" s="417"/>
      <c r="BX43" s="417"/>
      <c r="BY43" s="417"/>
      <c r="BZ43" s="417"/>
      <c r="CA43" s="385"/>
      <c r="CB43" s="417"/>
      <c r="CC43" s="417"/>
      <c r="CD43" s="417"/>
      <c r="CE43" s="385"/>
      <c r="CF43" s="385"/>
      <c r="CG43" s="385"/>
      <c r="CH43" s="417"/>
      <c r="CI43" s="417"/>
      <c r="CJ43" s="417"/>
      <c r="CK43" s="417"/>
      <c r="CL43" s="417"/>
      <c r="CM43" s="385"/>
      <c r="CN43" s="417"/>
      <c r="CO43" s="417"/>
      <c r="CP43" s="417"/>
      <c r="CQ43" s="385"/>
      <c r="CR43" s="385"/>
      <c r="CS43" s="417"/>
      <c r="CT43" s="417"/>
      <c r="CU43" s="417"/>
      <c r="CV43" s="417"/>
      <c r="CW43" s="417"/>
      <c r="CX43" s="417"/>
      <c r="CY43" s="417"/>
      <c r="CZ43" s="417"/>
      <c r="DA43" s="385"/>
      <c r="DB43" s="417"/>
      <c r="DC43" s="385"/>
      <c r="DD43" s="385"/>
      <c r="DE43" s="385"/>
      <c r="DF43" s="385"/>
      <c r="DG43" s="385"/>
      <c r="DH43" s="417"/>
      <c r="DI43" s="417"/>
      <c r="DJ43" s="417"/>
      <c r="DK43" s="385"/>
      <c r="DL43" s="385"/>
      <c r="DM43" s="385"/>
      <c r="DN43" s="417"/>
      <c r="DO43" s="417"/>
      <c r="DP43" s="385"/>
      <c r="DQ43" s="385"/>
      <c r="DR43" s="385"/>
      <c r="DS43" s="417"/>
      <c r="DT43" s="417"/>
      <c r="DU43" s="417"/>
      <c r="DV43" s="417"/>
      <c r="DW43" s="385"/>
      <c r="DX43" s="385"/>
      <c r="DY43" s="417"/>
      <c r="DZ43" s="417"/>
      <c r="EA43" s="417"/>
      <c r="EB43" s="385"/>
      <c r="EC43" s="385"/>
      <c r="ED43" s="65"/>
      <c r="EE43" s="417"/>
      <c r="EF43" s="417"/>
      <c r="EG43" s="417"/>
      <c r="EH43" s="417"/>
      <c r="EI43" s="417"/>
      <c r="EJ43" s="417"/>
      <c r="EK43" s="417"/>
      <c r="EL43" s="417"/>
      <c r="EM43" s="417"/>
      <c r="EN43" s="417"/>
      <c r="EO43" s="385"/>
      <c r="EP43" s="385"/>
      <c r="EQ43" s="417"/>
      <c r="ER43" s="417"/>
      <c r="ES43" s="417"/>
      <c r="ET43" s="417"/>
      <c r="EU43" s="417"/>
      <c r="EV43" s="385"/>
      <c r="EW43" s="385"/>
      <c r="EX43" s="385"/>
      <c r="EY43" s="385"/>
      <c r="EZ43" s="417"/>
      <c r="FA43" s="417"/>
      <c r="FB43" s="417"/>
      <c r="FC43" s="417"/>
      <c r="FD43" s="417"/>
      <c r="FE43" s="417"/>
      <c r="FF43" s="417"/>
      <c r="FG43" s="417"/>
      <c r="FH43" s="417"/>
      <c r="FI43" s="417"/>
      <c r="FJ43" s="417"/>
      <c r="FK43" s="385"/>
      <c r="FL43" s="417"/>
      <c r="FM43" s="385"/>
      <c r="FN43" s="417"/>
      <c r="FO43" s="417"/>
      <c r="FP43" s="417"/>
      <c r="FQ43" s="417"/>
      <c r="FR43" s="417"/>
      <c r="FS43" s="417"/>
      <c r="FT43" s="385"/>
      <c r="FU43" s="385"/>
      <c r="FV43" s="385"/>
      <c r="FW43" s="417"/>
      <c r="FX43" s="417"/>
      <c r="FY43" s="385"/>
      <c r="FZ43" s="417"/>
      <c r="GA43" s="417"/>
      <c r="GB43" s="385"/>
      <c r="GC43" s="417"/>
      <c r="GD43" s="417"/>
      <c r="GE43" s="417"/>
      <c r="GF43" s="385"/>
      <c r="GG43" s="417"/>
      <c r="GH43" s="385"/>
      <c r="GI43" s="417"/>
      <c r="GJ43" s="385"/>
      <c r="GK43" s="417"/>
      <c r="GL43" s="417"/>
      <c r="GM43" s="417"/>
      <c r="GN43" s="417"/>
      <c r="GO43" s="417"/>
      <c r="GP43" s="417"/>
      <c r="GQ43" s="417"/>
      <c r="GR43" s="417"/>
      <c r="GS43" s="385"/>
      <c r="GT43" s="385"/>
      <c r="GU43" s="417"/>
      <c r="GV43" s="385"/>
      <c r="GW43" s="417"/>
      <c r="GX43" s="385"/>
      <c r="GY43" s="385"/>
      <c r="GZ43" s="417"/>
      <c r="HA43" s="417"/>
      <c r="HB43" s="417"/>
      <c r="HC43" s="417"/>
      <c r="HD43" s="417"/>
      <c r="HE43" s="417"/>
      <c r="HF43" s="417"/>
      <c r="HG43" s="417"/>
      <c r="HH43" s="385"/>
      <c r="HI43" s="417"/>
      <c r="HJ43" s="417"/>
      <c r="HK43" s="417"/>
      <c r="HL43" s="417"/>
      <c r="HM43" s="417"/>
      <c r="HN43" s="385"/>
      <c r="HO43" s="417"/>
      <c r="HP43" s="417"/>
      <c r="HQ43" s="417"/>
      <c r="HR43" s="417"/>
      <c r="HS43" s="417"/>
      <c r="HT43" s="417"/>
      <c r="HU43" s="385"/>
      <c r="HV43" s="417"/>
      <c r="HW43" s="417"/>
      <c r="HX43" s="417"/>
      <c r="HY43" s="417"/>
      <c r="HZ43" s="417"/>
      <c r="IA43" s="417"/>
      <c r="IB43" s="417"/>
      <c r="IC43" s="417"/>
      <c r="ID43" s="417"/>
      <c r="IE43" s="417"/>
      <c r="IF43" s="417"/>
      <c r="IG43" s="417"/>
      <c r="IH43" s="417"/>
      <c r="II43" s="417"/>
      <c r="IJ43" s="417"/>
      <c r="IK43" s="417"/>
      <c r="IL43" s="417"/>
      <c r="IM43" s="417"/>
      <c r="IN43" s="417"/>
      <c r="IO43" s="417"/>
      <c r="IP43" s="417"/>
      <c r="IQ43" s="417"/>
      <c r="IR43" s="417"/>
      <c r="IS43" s="417"/>
      <c r="IT43" s="417"/>
      <c r="IU43" s="417"/>
      <c r="IV43" s="417"/>
      <c r="IW43" s="417"/>
      <c r="IX43" s="417"/>
      <c r="IY43" s="417"/>
      <c r="IZ43" s="417"/>
      <c r="JA43" s="417"/>
      <c r="JB43" s="417"/>
      <c r="JC43" s="417"/>
      <c r="JD43" s="417"/>
      <c r="JE43" s="417"/>
      <c r="JF43" s="417"/>
      <c r="JG43" s="417"/>
      <c r="JH43" s="417"/>
      <c r="JI43" s="417"/>
      <c r="JJ43" s="417"/>
      <c r="JK43" s="417"/>
      <c r="JL43" s="417"/>
      <c r="JM43" s="417"/>
      <c r="JN43" s="417"/>
      <c r="JO43" s="417"/>
      <c r="JP43" s="417"/>
      <c r="JQ43" s="417"/>
      <c r="JR43" s="417"/>
      <c r="JS43" s="417"/>
      <c r="JT43" s="417"/>
      <c r="JU43" s="417"/>
      <c r="JV43" s="417"/>
      <c r="JW43" s="417"/>
      <c r="JX43" s="417"/>
      <c r="JY43" s="417"/>
      <c r="JZ43" s="417"/>
      <c r="KA43" s="417"/>
      <c r="KB43" s="417"/>
      <c r="KC43" s="417"/>
      <c r="KD43" s="417"/>
      <c r="KE43" s="417"/>
      <c r="KF43" s="417"/>
      <c r="KG43" s="417"/>
      <c r="KH43" s="417"/>
      <c r="KI43" s="417"/>
      <c r="KJ43" s="417"/>
      <c r="KK43" s="417"/>
      <c r="KL43" s="417"/>
      <c r="KM43" s="417"/>
      <c r="KN43" s="417"/>
      <c r="KO43" s="417"/>
      <c r="KP43" s="417"/>
      <c r="KQ43" s="417"/>
      <c r="KR43" s="417"/>
      <c r="KS43" s="417"/>
      <c r="KT43" s="417"/>
      <c r="KU43" s="417"/>
      <c r="KV43" s="417"/>
      <c r="KW43" s="417"/>
      <c r="KX43" s="417"/>
      <c r="KY43" s="417"/>
      <c r="KZ43" s="417"/>
      <c r="LA43" s="417"/>
      <c r="LB43" s="417"/>
      <c r="LC43" s="417"/>
      <c r="LD43" s="417"/>
      <c r="LE43" s="417"/>
      <c r="LF43" s="417"/>
      <c r="LG43" s="417"/>
      <c r="LH43" s="417"/>
      <c r="LI43" s="417"/>
      <c r="LJ43" s="417"/>
      <c r="LK43" s="417"/>
      <c r="LL43" s="417"/>
      <c r="LM43" s="417"/>
      <c r="LN43" s="417"/>
      <c r="LO43" s="417"/>
      <c r="LP43" s="417"/>
      <c r="LQ43" s="417"/>
      <c r="LR43" s="417"/>
      <c r="LS43" s="417"/>
      <c r="LT43" s="417"/>
      <c r="LU43" s="417"/>
      <c r="LV43" s="417"/>
      <c r="LW43" s="417"/>
      <c r="LX43" s="417"/>
      <c r="LY43" s="417"/>
      <c r="LZ43" s="417"/>
      <c r="MA43" s="417"/>
      <c r="MB43" s="417"/>
      <c r="MC43" s="417"/>
      <c r="MD43" s="417"/>
      <c r="ME43" s="417"/>
      <c r="MF43" s="417"/>
      <c r="MG43" s="417"/>
      <c r="MH43" s="417"/>
      <c r="MI43" s="417"/>
      <c r="MJ43" s="417"/>
      <c r="MK43" s="417"/>
      <c r="ML43" s="417"/>
      <c r="MM43" s="417"/>
      <c r="MN43" s="417"/>
      <c r="MO43" s="417"/>
      <c r="MP43" s="417"/>
      <c r="MQ43" s="417"/>
      <c r="MR43" s="417"/>
      <c r="MS43" s="417"/>
      <c r="MT43" s="417"/>
      <c r="MU43" s="417"/>
      <c r="MV43" s="417"/>
      <c r="MW43" s="417"/>
      <c r="MX43" s="417"/>
      <c r="MY43" s="417"/>
      <c r="MZ43" s="417"/>
      <c r="NA43" s="417"/>
      <c r="NB43" s="417"/>
      <c r="NC43" s="417"/>
      <c r="ND43" s="417"/>
      <c r="NE43" s="417"/>
      <c r="NF43" s="417"/>
      <c r="NG43" s="417"/>
      <c r="NH43" s="417"/>
      <c r="NI43" s="417"/>
      <c r="NJ43" s="417"/>
      <c r="NK43" s="417"/>
      <c r="NL43" s="417"/>
      <c r="NM43" s="417"/>
      <c r="NN43" s="417"/>
      <c r="NO43" s="417"/>
      <c r="NP43" s="417"/>
      <c r="NQ43" s="417"/>
      <c r="NR43" s="417"/>
      <c r="NS43" s="417"/>
      <c r="NT43" s="417"/>
      <c r="NU43" s="417"/>
      <c r="NV43" s="417"/>
      <c r="NW43" s="417"/>
      <c r="NX43" s="417"/>
      <c r="NY43" s="417"/>
      <c r="NZ43" s="417"/>
      <c r="OA43" s="417"/>
      <c r="OB43" s="417"/>
      <c r="OC43" s="417"/>
      <c r="OD43" s="417"/>
      <c r="OE43" s="417"/>
      <c r="OF43" s="417"/>
      <c r="OG43" s="417"/>
      <c r="OH43" s="417"/>
      <c r="OI43" s="385"/>
      <c r="OJ43" s="417"/>
      <c r="OK43" s="417"/>
      <c r="OL43" s="417"/>
      <c r="OM43" s="417"/>
      <c r="ON43" s="417"/>
      <c r="OO43" s="417"/>
      <c r="OP43" s="417"/>
      <c r="OQ43" s="417"/>
      <c r="OR43" s="417"/>
      <c r="OS43" s="417"/>
      <c r="OT43" s="417"/>
      <c r="OU43" s="417"/>
      <c r="OV43" s="417"/>
      <c r="OW43" s="417"/>
      <c r="OX43" s="417"/>
      <c r="OY43" s="417"/>
      <c r="OZ43" s="417"/>
      <c r="PA43" s="417"/>
      <c r="PB43" s="417"/>
      <c r="PC43" s="417"/>
      <c r="PD43" s="417"/>
      <c r="PE43" s="417"/>
      <c r="PF43" s="417"/>
      <c r="PG43" s="417"/>
    </row>
    <row r="44" spans="1:423" ht="15.75" customHeight="1" thickBot="1" x14ac:dyDescent="0.3">
      <c r="A44" s="416">
        <v>544254640129</v>
      </c>
      <c r="B44" s="384">
        <f t="shared" si="0"/>
        <v>0</v>
      </c>
      <c r="C44" s="384">
        <v>0</v>
      </c>
      <c r="D44" s="384">
        <f>SUMIF('Sap Inwarding'!F:F,'Front Dispatch'!$A44,'Sap Inwarding'!H:H)</f>
        <v>0</v>
      </c>
      <c r="E44" s="10">
        <f t="shared" si="1"/>
        <v>0</v>
      </c>
      <c r="F44" s="417"/>
      <c r="G44" s="417"/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385"/>
      <c r="Z44" s="417"/>
      <c r="AA44" s="417"/>
      <c r="AB44" s="417"/>
      <c r="AC44" s="417"/>
      <c r="AD44" s="417"/>
      <c r="AE44" s="417"/>
      <c r="AF44" s="417"/>
      <c r="AG44" s="417"/>
      <c r="AH44" s="417"/>
      <c r="AI44" s="417"/>
      <c r="AJ44" s="417"/>
      <c r="AK44" s="417"/>
      <c r="AL44" s="417"/>
      <c r="AM44" s="417"/>
      <c r="AN44" s="417"/>
      <c r="AO44" s="417"/>
      <c r="AP44" s="417"/>
      <c r="AQ44" s="417"/>
      <c r="AR44" s="417"/>
      <c r="AS44" s="417"/>
      <c r="AT44" s="417"/>
      <c r="AU44" s="385"/>
      <c r="AV44" s="385"/>
      <c r="AW44" s="385"/>
      <c r="AX44" s="385"/>
      <c r="AY44" s="385"/>
      <c r="AZ44" s="417"/>
      <c r="BA44" s="417"/>
      <c r="BB44" s="417"/>
      <c r="BC44" s="417"/>
      <c r="BD44" s="385"/>
      <c r="BE44" s="417"/>
      <c r="BF44" s="417"/>
      <c r="BG44" s="417"/>
      <c r="BH44" s="417"/>
      <c r="BI44" s="417"/>
      <c r="BJ44" s="417"/>
      <c r="BK44" s="417"/>
      <c r="BL44" s="417"/>
      <c r="BM44" s="417"/>
      <c r="BN44" s="417"/>
      <c r="BO44" s="417"/>
      <c r="BP44" s="417"/>
      <c r="BQ44" s="417"/>
      <c r="BR44" s="417"/>
      <c r="BS44" s="417"/>
      <c r="BT44" s="417"/>
      <c r="BU44" s="417"/>
      <c r="BV44" s="417"/>
      <c r="BW44" s="417"/>
      <c r="BX44" s="417"/>
      <c r="BY44" s="417"/>
      <c r="BZ44" s="417"/>
      <c r="CA44" s="385"/>
      <c r="CB44" s="417"/>
      <c r="CC44" s="417"/>
      <c r="CD44" s="417"/>
      <c r="CE44" s="385"/>
      <c r="CF44" s="385"/>
      <c r="CG44" s="385"/>
      <c r="CH44" s="417"/>
      <c r="CI44" s="417"/>
      <c r="CJ44" s="417"/>
      <c r="CK44" s="417"/>
      <c r="CL44" s="417"/>
      <c r="CM44" s="385"/>
      <c r="CN44" s="417"/>
      <c r="CO44" s="417"/>
      <c r="CP44" s="417"/>
      <c r="CQ44" s="385"/>
      <c r="CR44" s="385"/>
      <c r="CS44" s="417"/>
      <c r="CT44" s="417"/>
      <c r="CU44" s="417"/>
      <c r="CV44" s="417"/>
      <c r="CW44" s="417"/>
      <c r="CX44" s="417"/>
      <c r="CY44" s="417"/>
      <c r="CZ44" s="417"/>
      <c r="DA44" s="385"/>
      <c r="DB44" s="417"/>
      <c r="DC44" s="385"/>
      <c r="DD44" s="385"/>
      <c r="DE44" s="385"/>
      <c r="DF44" s="385"/>
      <c r="DG44" s="385"/>
      <c r="DH44" s="417"/>
      <c r="DI44" s="417"/>
      <c r="DJ44" s="417"/>
      <c r="DK44" s="385"/>
      <c r="DL44" s="385"/>
      <c r="DM44" s="385"/>
      <c r="DN44" s="417"/>
      <c r="DO44" s="417"/>
      <c r="DP44" s="385"/>
      <c r="DQ44" s="385"/>
      <c r="DR44" s="385"/>
      <c r="DS44" s="417"/>
      <c r="DT44" s="417"/>
      <c r="DU44" s="417"/>
      <c r="DV44" s="417"/>
      <c r="DW44" s="385"/>
      <c r="DX44" s="385"/>
      <c r="DY44" s="417"/>
      <c r="DZ44" s="417"/>
      <c r="EA44" s="417"/>
      <c r="EB44" s="385"/>
      <c r="EC44" s="385"/>
      <c r="ED44" s="65"/>
      <c r="EE44" s="417"/>
      <c r="EF44" s="417"/>
      <c r="EG44" s="417"/>
      <c r="EH44" s="417"/>
      <c r="EI44" s="417"/>
      <c r="EJ44" s="417"/>
      <c r="EK44" s="417"/>
      <c r="EL44" s="417"/>
      <c r="EM44" s="417"/>
      <c r="EN44" s="417"/>
      <c r="EO44" s="385"/>
      <c r="EP44" s="385"/>
      <c r="EQ44" s="417"/>
      <c r="ER44" s="417"/>
      <c r="ES44" s="417"/>
      <c r="ET44" s="417"/>
      <c r="EU44" s="417"/>
      <c r="EV44" s="385"/>
      <c r="EW44" s="385"/>
      <c r="EX44" s="385"/>
      <c r="EY44" s="385"/>
      <c r="EZ44" s="417"/>
      <c r="FA44" s="417"/>
      <c r="FB44" s="417"/>
      <c r="FC44" s="417"/>
      <c r="FD44" s="417"/>
      <c r="FE44" s="417"/>
      <c r="FF44" s="417"/>
      <c r="FG44" s="417"/>
      <c r="FH44" s="417"/>
      <c r="FI44" s="417"/>
      <c r="FJ44" s="417"/>
      <c r="FK44" s="385"/>
      <c r="FL44" s="417"/>
      <c r="FM44" s="385"/>
      <c r="FN44" s="417"/>
      <c r="FO44" s="417"/>
      <c r="FP44" s="417"/>
      <c r="FQ44" s="417"/>
      <c r="FR44" s="417"/>
      <c r="FS44" s="417"/>
      <c r="FT44" s="385"/>
      <c r="FU44" s="385"/>
      <c r="FV44" s="385"/>
      <c r="FW44" s="417"/>
      <c r="FX44" s="417"/>
      <c r="FY44" s="385"/>
      <c r="FZ44" s="417"/>
      <c r="GA44" s="417"/>
      <c r="GB44" s="385"/>
      <c r="GC44" s="417"/>
      <c r="GD44" s="417"/>
      <c r="GE44" s="417"/>
      <c r="GF44" s="385"/>
      <c r="GG44" s="417"/>
      <c r="GH44" s="385"/>
      <c r="GI44" s="417"/>
      <c r="GJ44" s="385"/>
      <c r="GK44" s="417"/>
      <c r="GL44" s="417"/>
      <c r="GM44" s="417"/>
      <c r="GN44" s="417"/>
      <c r="GO44" s="417"/>
      <c r="GP44" s="417"/>
      <c r="GQ44" s="417"/>
      <c r="GR44" s="417"/>
      <c r="GS44" s="385"/>
      <c r="GT44" s="385"/>
      <c r="GU44" s="417"/>
      <c r="GV44" s="385"/>
      <c r="GW44" s="417"/>
      <c r="GX44" s="385"/>
      <c r="GY44" s="385"/>
      <c r="GZ44" s="417"/>
      <c r="HA44" s="417"/>
      <c r="HB44" s="417"/>
      <c r="HC44" s="417"/>
      <c r="HD44" s="417"/>
      <c r="HE44" s="417"/>
      <c r="HF44" s="417"/>
      <c r="HG44" s="417"/>
      <c r="HH44" s="385"/>
      <c r="HI44" s="417"/>
      <c r="HJ44" s="417"/>
      <c r="HK44" s="417"/>
      <c r="HL44" s="417"/>
      <c r="HM44" s="417"/>
      <c r="HN44" s="385"/>
      <c r="HO44" s="417"/>
      <c r="HP44" s="417"/>
      <c r="HQ44" s="417"/>
      <c r="HR44" s="417"/>
      <c r="HS44" s="417"/>
      <c r="HT44" s="417"/>
      <c r="HU44" s="385"/>
      <c r="HV44" s="417"/>
      <c r="HW44" s="417"/>
      <c r="HX44" s="417"/>
      <c r="HY44" s="417"/>
      <c r="HZ44" s="417"/>
      <c r="IA44" s="417"/>
      <c r="IB44" s="417"/>
      <c r="IC44" s="417"/>
      <c r="ID44" s="417"/>
      <c r="IE44" s="417"/>
      <c r="IF44" s="417"/>
      <c r="IG44" s="417"/>
      <c r="IH44" s="417"/>
      <c r="II44" s="417"/>
      <c r="IJ44" s="417"/>
      <c r="IK44" s="417"/>
      <c r="IL44" s="417"/>
      <c r="IM44" s="417"/>
      <c r="IN44" s="417"/>
      <c r="IO44" s="417"/>
      <c r="IP44" s="417"/>
      <c r="IQ44" s="417"/>
      <c r="IR44" s="417"/>
      <c r="IS44" s="417"/>
      <c r="IT44" s="417"/>
      <c r="IU44" s="417"/>
      <c r="IV44" s="417"/>
      <c r="IW44" s="417"/>
      <c r="IX44" s="417"/>
      <c r="IY44" s="417"/>
      <c r="IZ44" s="417"/>
      <c r="JA44" s="417"/>
      <c r="JB44" s="417"/>
      <c r="JC44" s="417"/>
      <c r="JD44" s="417"/>
      <c r="JE44" s="417"/>
      <c r="JF44" s="417"/>
      <c r="JG44" s="417"/>
      <c r="JH44" s="417"/>
      <c r="JI44" s="417"/>
      <c r="JJ44" s="417"/>
      <c r="JK44" s="417"/>
      <c r="JL44" s="417"/>
      <c r="JM44" s="417"/>
      <c r="JN44" s="417"/>
      <c r="JO44" s="417"/>
      <c r="JP44" s="417"/>
      <c r="JQ44" s="417"/>
      <c r="JR44" s="417"/>
      <c r="JS44" s="417"/>
      <c r="JT44" s="417"/>
      <c r="JU44" s="417"/>
      <c r="JV44" s="417"/>
      <c r="JW44" s="417"/>
      <c r="JX44" s="417"/>
      <c r="JY44" s="417"/>
      <c r="JZ44" s="417"/>
      <c r="KA44" s="417"/>
      <c r="KB44" s="417"/>
      <c r="KC44" s="417"/>
      <c r="KD44" s="417"/>
      <c r="KE44" s="417"/>
      <c r="KF44" s="417"/>
      <c r="KG44" s="417"/>
      <c r="KH44" s="417"/>
      <c r="KI44" s="417"/>
      <c r="KJ44" s="417"/>
      <c r="KK44" s="417"/>
      <c r="KL44" s="417"/>
      <c r="KM44" s="417"/>
      <c r="KN44" s="417"/>
      <c r="KO44" s="417"/>
      <c r="KP44" s="417"/>
      <c r="KQ44" s="417"/>
      <c r="KR44" s="417"/>
      <c r="KS44" s="417"/>
      <c r="KT44" s="417"/>
      <c r="KU44" s="417"/>
      <c r="KV44" s="417"/>
      <c r="KW44" s="417"/>
      <c r="KX44" s="417"/>
      <c r="KY44" s="417"/>
      <c r="KZ44" s="417"/>
      <c r="LA44" s="417"/>
      <c r="LB44" s="417"/>
      <c r="LC44" s="417"/>
      <c r="LD44" s="417"/>
      <c r="LE44" s="417"/>
      <c r="LF44" s="417"/>
      <c r="LG44" s="417"/>
      <c r="LH44" s="417"/>
      <c r="LI44" s="417"/>
      <c r="LJ44" s="417"/>
      <c r="LK44" s="417"/>
      <c r="LL44" s="417"/>
      <c r="LM44" s="417"/>
      <c r="LN44" s="417"/>
      <c r="LO44" s="417"/>
      <c r="LP44" s="417"/>
      <c r="LQ44" s="417"/>
      <c r="LR44" s="417"/>
      <c r="LS44" s="417"/>
      <c r="LT44" s="417"/>
      <c r="LU44" s="417"/>
      <c r="LV44" s="417"/>
      <c r="LW44" s="417"/>
      <c r="LX44" s="417"/>
      <c r="LY44" s="417"/>
      <c r="LZ44" s="417"/>
      <c r="MA44" s="417"/>
      <c r="MB44" s="417"/>
      <c r="MC44" s="417"/>
      <c r="MD44" s="417"/>
      <c r="ME44" s="417"/>
      <c r="MF44" s="417"/>
      <c r="MG44" s="417"/>
      <c r="MH44" s="417"/>
      <c r="MI44" s="417"/>
      <c r="MJ44" s="417"/>
      <c r="MK44" s="417"/>
      <c r="ML44" s="417"/>
      <c r="MM44" s="417"/>
      <c r="MN44" s="417"/>
      <c r="MO44" s="417"/>
      <c r="MP44" s="417"/>
      <c r="MQ44" s="417"/>
      <c r="MR44" s="417"/>
      <c r="MS44" s="417"/>
      <c r="MT44" s="417"/>
      <c r="MU44" s="417"/>
      <c r="MV44" s="417"/>
      <c r="MW44" s="417"/>
      <c r="MX44" s="417"/>
      <c r="MY44" s="417"/>
      <c r="MZ44" s="417"/>
      <c r="NA44" s="417"/>
      <c r="NB44" s="417"/>
      <c r="NC44" s="417"/>
      <c r="ND44" s="417"/>
      <c r="NE44" s="417"/>
      <c r="NF44" s="417"/>
      <c r="NG44" s="417"/>
      <c r="NH44" s="417"/>
      <c r="NI44" s="417"/>
      <c r="NJ44" s="417"/>
      <c r="NK44" s="417"/>
      <c r="NL44" s="417"/>
      <c r="NM44" s="417"/>
      <c r="NN44" s="417"/>
      <c r="NO44" s="417"/>
      <c r="NP44" s="417"/>
      <c r="NQ44" s="417"/>
      <c r="NR44" s="417"/>
      <c r="NS44" s="417"/>
      <c r="NT44" s="417"/>
      <c r="NU44" s="417"/>
      <c r="NV44" s="417"/>
      <c r="NW44" s="417"/>
      <c r="NX44" s="417"/>
      <c r="NY44" s="417"/>
      <c r="NZ44" s="417"/>
      <c r="OA44" s="417"/>
      <c r="OB44" s="417"/>
      <c r="OC44" s="417"/>
      <c r="OD44" s="417"/>
      <c r="OE44" s="417"/>
      <c r="OF44" s="417"/>
      <c r="OG44" s="417"/>
      <c r="OH44" s="417"/>
      <c r="OI44" s="385"/>
      <c r="OJ44" s="417"/>
      <c r="OK44" s="417"/>
      <c r="OL44" s="417"/>
      <c r="OM44" s="417"/>
      <c r="ON44" s="417"/>
      <c r="OO44" s="417"/>
      <c r="OP44" s="417"/>
      <c r="OQ44" s="417"/>
      <c r="OR44" s="417"/>
      <c r="OS44" s="417"/>
      <c r="OT44" s="417"/>
      <c r="OU44" s="417"/>
      <c r="OV44" s="417"/>
      <c r="OW44" s="417"/>
      <c r="OX44" s="417"/>
      <c r="OY44" s="417"/>
      <c r="OZ44" s="417"/>
      <c r="PA44" s="417"/>
      <c r="PB44" s="417"/>
      <c r="PC44" s="417"/>
      <c r="PD44" s="417"/>
      <c r="PE44" s="417"/>
      <c r="PF44" s="417"/>
      <c r="PG44" s="417"/>
    </row>
    <row r="45" spans="1:423" ht="15.75" customHeight="1" thickBot="1" x14ac:dyDescent="0.3">
      <c r="A45" s="541"/>
      <c r="B45" s="384">
        <f t="shared" si="0"/>
        <v>0</v>
      </c>
      <c r="C45" s="384">
        <v>0</v>
      </c>
      <c r="D45" s="384">
        <f>SUMIF('Sap Inwarding'!F:F,'Front Dispatch'!$A45,'Sap Inwarding'!H:H)</f>
        <v>0</v>
      </c>
      <c r="E45" s="10">
        <f t="shared" si="1"/>
        <v>0</v>
      </c>
      <c r="F45" s="417"/>
      <c r="G45" s="417"/>
      <c r="H45" s="417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385"/>
      <c r="Z45" s="417"/>
      <c r="AA45" s="417"/>
      <c r="AB45" s="417"/>
      <c r="AC45" s="417"/>
      <c r="AD45" s="417"/>
      <c r="AE45" s="417"/>
      <c r="AF45" s="417"/>
      <c r="AG45" s="417"/>
      <c r="AH45" s="417"/>
      <c r="AI45" s="417"/>
      <c r="AJ45" s="417"/>
      <c r="AK45" s="417"/>
      <c r="AL45" s="417"/>
      <c r="AM45" s="417"/>
      <c r="AN45" s="417"/>
      <c r="AO45" s="417"/>
      <c r="AP45" s="417"/>
      <c r="AQ45" s="417"/>
      <c r="AR45" s="417"/>
      <c r="AS45" s="417"/>
      <c r="AT45" s="417"/>
      <c r="AU45" s="385"/>
      <c r="AV45" s="385"/>
      <c r="AW45" s="385"/>
      <c r="AX45" s="385"/>
      <c r="AY45" s="385"/>
      <c r="AZ45" s="417"/>
      <c r="BA45" s="417"/>
      <c r="BB45" s="417"/>
      <c r="BC45" s="417"/>
      <c r="BD45" s="385"/>
      <c r="BE45" s="417"/>
      <c r="BF45" s="417"/>
      <c r="BG45" s="417"/>
      <c r="BH45" s="417"/>
      <c r="BI45" s="417"/>
      <c r="BJ45" s="417"/>
      <c r="BK45" s="417"/>
      <c r="BL45" s="417"/>
      <c r="BM45" s="417"/>
      <c r="BN45" s="417"/>
      <c r="BO45" s="417"/>
      <c r="BP45" s="417"/>
      <c r="BQ45" s="417"/>
      <c r="BR45" s="417"/>
      <c r="BS45" s="417"/>
      <c r="BT45" s="417"/>
      <c r="BU45" s="417"/>
      <c r="BV45" s="417"/>
      <c r="BW45" s="417"/>
      <c r="BX45" s="417"/>
      <c r="BY45" s="417"/>
      <c r="BZ45" s="417"/>
      <c r="CA45" s="385"/>
      <c r="CB45" s="417"/>
      <c r="CC45" s="417"/>
      <c r="CD45" s="417"/>
      <c r="CE45" s="385"/>
      <c r="CF45" s="385"/>
      <c r="CG45" s="385"/>
      <c r="CH45" s="417"/>
      <c r="CI45" s="417"/>
      <c r="CJ45" s="417"/>
      <c r="CK45" s="417"/>
      <c r="CL45" s="417"/>
      <c r="CM45" s="385"/>
      <c r="CN45" s="417"/>
      <c r="CO45" s="417"/>
      <c r="CP45" s="417"/>
      <c r="CQ45" s="385"/>
      <c r="CR45" s="385"/>
      <c r="CS45" s="417"/>
      <c r="CT45" s="417"/>
      <c r="CU45" s="417"/>
      <c r="CV45" s="417"/>
      <c r="CW45" s="417"/>
      <c r="CX45" s="417"/>
      <c r="CY45" s="417"/>
      <c r="CZ45" s="417"/>
      <c r="DA45" s="385"/>
      <c r="DB45" s="417"/>
      <c r="DC45" s="385"/>
      <c r="DD45" s="385"/>
      <c r="DE45" s="385"/>
      <c r="DF45" s="385"/>
      <c r="DG45" s="385"/>
      <c r="DH45" s="417"/>
      <c r="DI45" s="417"/>
      <c r="DJ45" s="417"/>
      <c r="DK45" s="385"/>
      <c r="DL45" s="385"/>
      <c r="DM45" s="385"/>
      <c r="DN45" s="417"/>
      <c r="DO45" s="417"/>
      <c r="DP45" s="385"/>
      <c r="DQ45" s="385"/>
      <c r="DR45" s="385"/>
      <c r="DS45" s="417"/>
      <c r="DT45" s="417"/>
      <c r="DU45" s="417"/>
      <c r="DV45" s="417"/>
      <c r="DW45" s="385"/>
      <c r="DX45" s="385"/>
      <c r="DY45" s="417"/>
      <c r="DZ45" s="417"/>
      <c r="EA45" s="417"/>
      <c r="EB45" s="385"/>
      <c r="EC45" s="385"/>
      <c r="ED45" s="65"/>
      <c r="EE45" s="417"/>
      <c r="EF45" s="417"/>
      <c r="EG45" s="417"/>
      <c r="EH45" s="417"/>
      <c r="EI45" s="417"/>
      <c r="EJ45" s="417"/>
      <c r="EK45" s="417"/>
      <c r="EL45" s="417"/>
      <c r="EM45" s="417"/>
      <c r="EN45" s="417"/>
      <c r="EO45" s="385"/>
      <c r="EP45" s="385"/>
      <c r="EQ45" s="417"/>
      <c r="ER45" s="417"/>
      <c r="ES45" s="417"/>
      <c r="ET45" s="417"/>
      <c r="EU45" s="417"/>
      <c r="EV45" s="385"/>
      <c r="EW45" s="385"/>
      <c r="EX45" s="385"/>
      <c r="EY45" s="385"/>
      <c r="EZ45" s="417"/>
      <c r="FA45" s="417"/>
      <c r="FB45" s="417"/>
      <c r="FC45" s="417"/>
      <c r="FD45" s="417"/>
      <c r="FE45" s="417"/>
      <c r="FF45" s="417"/>
      <c r="FG45" s="417"/>
      <c r="FH45" s="417"/>
      <c r="FI45" s="417"/>
      <c r="FJ45" s="417"/>
      <c r="FK45" s="385"/>
      <c r="FL45" s="417"/>
      <c r="FM45" s="385"/>
      <c r="FN45" s="417"/>
      <c r="FO45" s="417"/>
      <c r="FP45" s="417"/>
      <c r="FQ45" s="417"/>
      <c r="FR45" s="417"/>
      <c r="FS45" s="417"/>
      <c r="FT45" s="385"/>
      <c r="FU45" s="385"/>
      <c r="FV45" s="385"/>
      <c r="FW45" s="417"/>
      <c r="FX45" s="417"/>
      <c r="FY45" s="385"/>
      <c r="FZ45" s="417"/>
      <c r="GA45" s="417"/>
      <c r="GB45" s="385"/>
      <c r="GC45" s="417"/>
      <c r="GD45" s="417"/>
      <c r="GE45" s="417"/>
      <c r="GF45" s="385"/>
      <c r="GG45" s="417"/>
      <c r="GH45" s="385"/>
      <c r="GI45" s="417"/>
      <c r="GJ45" s="385"/>
      <c r="GK45" s="417"/>
      <c r="GL45" s="417"/>
      <c r="GM45" s="417"/>
      <c r="GN45" s="417"/>
      <c r="GO45" s="417"/>
      <c r="GP45" s="417"/>
      <c r="GQ45" s="417"/>
      <c r="GR45" s="417"/>
      <c r="GS45" s="385"/>
      <c r="GT45" s="385"/>
      <c r="GU45" s="417"/>
      <c r="GV45" s="385"/>
      <c r="GW45" s="417"/>
      <c r="GX45" s="385"/>
      <c r="GY45" s="385"/>
      <c r="GZ45" s="417"/>
      <c r="HA45" s="417"/>
      <c r="HB45" s="417"/>
      <c r="HC45" s="417"/>
      <c r="HD45" s="417"/>
      <c r="HE45" s="417"/>
      <c r="HF45" s="417"/>
      <c r="HG45" s="417"/>
      <c r="HH45" s="385"/>
      <c r="HI45" s="417"/>
      <c r="HJ45" s="417"/>
      <c r="HK45" s="417"/>
      <c r="HL45" s="417"/>
      <c r="HM45" s="417"/>
      <c r="HN45" s="385"/>
      <c r="HO45" s="417"/>
      <c r="HP45" s="417"/>
      <c r="HQ45" s="417"/>
      <c r="HR45" s="417"/>
      <c r="HS45" s="417"/>
      <c r="HT45" s="417"/>
      <c r="HU45" s="385"/>
      <c r="HV45" s="417"/>
      <c r="HW45" s="417"/>
      <c r="HX45" s="417"/>
      <c r="HY45" s="417"/>
      <c r="HZ45" s="417"/>
      <c r="IA45" s="417"/>
      <c r="IB45" s="417"/>
      <c r="IC45" s="417"/>
      <c r="ID45" s="417"/>
      <c r="IE45" s="417"/>
      <c r="IF45" s="417"/>
      <c r="IG45" s="417"/>
      <c r="IH45" s="417"/>
      <c r="II45" s="417"/>
      <c r="IJ45" s="417"/>
      <c r="IK45" s="417"/>
      <c r="IL45" s="417"/>
      <c r="IM45" s="417"/>
      <c r="IN45" s="417"/>
      <c r="IO45" s="417"/>
      <c r="IP45" s="417"/>
      <c r="IQ45" s="417"/>
      <c r="IR45" s="417"/>
      <c r="IS45" s="417"/>
      <c r="IT45" s="417"/>
      <c r="IU45" s="417"/>
      <c r="IV45" s="417"/>
      <c r="IW45" s="417"/>
      <c r="IX45" s="417"/>
      <c r="IY45" s="417"/>
      <c r="IZ45" s="417"/>
      <c r="JA45" s="417"/>
      <c r="JB45" s="417"/>
      <c r="JC45" s="417"/>
      <c r="JD45" s="417"/>
      <c r="JE45" s="417"/>
      <c r="JF45" s="417"/>
      <c r="JG45" s="417"/>
      <c r="JH45" s="417"/>
      <c r="JI45" s="417"/>
      <c r="JJ45" s="417"/>
      <c r="JK45" s="417"/>
      <c r="JL45" s="417"/>
      <c r="JM45" s="417"/>
      <c r="JN45" s="417"/>
      <c r="JO45" s="417"/>
      <c r="JP45" s="417"/>
      <c r="JQ45" s="417"/>
      <c r="JR45" s="417"/>
      <c r="JS45" s="417"/>
      <c r="JT45" s="417"/>
      <c r="JU45" s="417"/>
      <c r="JV45" s="417"/>
      <c r="JW45" s="417"/>
      <c r="JX45" s="417"/>
      <c r="JY45" s="417"/>
      <c r="JZ45" s="417"/>
      <c r="KA45" s="417"/>
      <c r="KB45" s="417"/>
      <c r="KC45" s="417"/>
      <c r="KD45" s="417"/>
      <c r="KE45" s="417"/>
      <c r="KF45" s="417"/>
      <c r="KG45" s="417"/>
      <c r="KH45" s="417"/>
      <c r="KI45" s="417"/>
      <c r="KJ45" s="417"/>
      <c r="KK45" s="417"/>
      <c r="KL45" s="417"/>
      <c r="KM45" s="417"/>
      <c r="KN45" s="417"/>
      <c r="KO45" s="417"/>
      <c r="KP45" s="417"/>
      <c r="KQ45" s="417"/>
      <c r="KR45" s="417"/>
      <c r="KS45" s="417"/>
      <c r="KT45" s="417"/>
      <c r="KU45" s="417"/>
      <c r="KV45" s="417"/>
      <c r="KW45" s="417"/>
      <c r="KX45" s="417"/>
      <c r="KY45" s="417"/>
      <c r="KZ45" s="417"/>
      <c r="LA45" s="417"/>
      <c r="LB45" s="417"/>
      <c r="LC45" s="417"/>
      <c r="LD45" s="417"/>
      <c r="LE45" s="417"/>
      <c r="LF45" s="417"/>
      <c r="LG45" s="417"/>
      <c r="LH45" s="417"/>
      <c r="LI45" s="417"/>
      <c r="LJ45" s="417"/>
      <c r="LK45" s="417"/>
      <c r="LL45" s="417"/>
      <c r="LM45" s="417"/>
      <c r="LN45" s="417"/>
      <c r="LO45" s="417"/>
      <c r="LP45" s="417"/>
      <c r="LQ45" s="417"/>
      <c r="LR45" s="417"/>
      <c r="LS45" s="417"/>
      <c r="LT45" s="417"/>
      <c r="LU45" s="417"/>
      <c r="LV45" s="417"/>
      <c r="LW45" s="417"/>
      <c r="LX45" s="417"/>
      <c r="LY45" s="417"/>
      <c r="LZ45" s="417"/>
      <c r="MA45" s="417"/>
      <c r="MB45" s="417"/>
      <c r="MC45" s="417"/>
      <c r="MD45" s="417"/>
      <c r="ME45" s="417"/>
      <c r="MF45" s="417"/>
      <c r="MG45" s="417"/>
      <c r="MH45" s="417"/>
      <c r="MI45" s="417"/>
      <c r="MJ45" s="417"/>
      <c r="MK45" s="417"/>
      <c r="ML45" s="417"/>
      <c r="MM45" s="417"/>
      <c r="MN45" s="417"/>
      <c r="MO45" s="417"/>
      <c r="MP45" s="417"/>
      <c r="MQ45" s="417"/>
      <c r="MR45" s="417"/>
      <c r="MS45" s="417"/>
      <c r="MT45" s="417"/>
      <c r="MU45" s="417"/>
      <c r="MV45" s="417"/>
      <c r="MW45" s="417"/>
      <c r="MX45" s="417"/>
      <c r="MY45" s="417"/>
      <c r="MZ45" s="417"/>
      <c r="NA45" s="417"/>
      <c r="NB45" s="417"/>
      <c r="NC45" s="417"/>
      <c r="ND45" s="417"/>
      <c r="NE45" s="417"/>
      <c r="NF45" s="417"/>
      <c r="NG45" s="417"/>
      <c r="NH45" s="417"/>
      <c r="NI45" s="417"/>
      <c r="NJ45" s="417"/>
      <c r="NK45" s="417"/>
      <c r="NL45" s="417"/>
      <c r="NM45" s="417"/>
      <c r="NN45" s="417"/>
      <c r="NO45" s="417"/>
      <c r="NP45" s="417"/>
      <c r="NQ45" s="417"/>
      <c r="NR45" s="417"/>
      <c r="NS45" s="417"/>
      <c r="NT45" s="417"/>
      <c r="NU45" s="417"/>
      <c r="NV45" s="417"/>
      <c r="NW45" s="417"/>
      <c r="NX45" s="417"/>
      <c r="NY45" s="417"/>
      <c r="NZ45" s="417"/>
      <c r="OA45" s="417"/>
      <c r="OB45" s="417"/>
      <c r="OC45" s="417"/>
      <c r="OD45" s="417"/>
      <c r="OE45" s="417"/>
      <c r="OF45" s="417"/>
      <c r="OG45" s="417"/>
      <c r="OH45" s="417"/>
      <c r="OI45" s="385"/>
      <c r="OJ45" s="417"/>
      <c r="OK45" s="417"/>
      <c r="OL45" s="417"/>
      <c r="OM45" s="417"/>
      <c r="ON45" s="417"/>
      <c r="OO45" s="417"/>
      <c r="OP45" s="417"/>
      <c r="OQ45" s="417"/>
      <c r="OR45" s="417"/>
      <c r="OS45" s="417"/>
      <c r="OT45" s="417"/>
      <c r="OU45" s="417"/>
      <c r="OV45" s="417"/>
      <c r="OW45" s="417"/>
      <c r="OX45" s="417"/>
      <c r="OY45" s="417"/>
      <c r="OZ45" s="417"/>
      <c r="PA45" s="417"/>
      <c r="PB45" s="417"/>
      <c r="PC45" s="417"/>
      <c r="PD45" s="417"/>
      <c r="PE45" s="417"/>
      <c r="PF45" s="417"/>
      <c r="PG45" s="417"/>
    </row>
    <row r="46" spans="1:423" ht="15.75" customHeight="1" x14ac:dyDescent="0.25">
      <c r="A46" s="527" t="s">
        <v>577</v>
      </c>
      <c r="B46" s="384">
        <f t="shared" si="0"/>
        <v>0</v>
      </c>
      <c r="C46" s="384">
        <v>0</v>
      </c>
      <c r="D46" s="384">
        <v>0</v>
      </c>
      <c r="E46" s="10">
        <f t="shared" si="1"/>
        <v>0</v>
      </c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385"/>
      <c r="Z46" s="417"/>
      <c r="AA46" s="417"/>
      <c r="AB46" s="417"/>
      <c r="AC46" s="417"/>
      <c r="AD46" s="417"/>
      <c r="AE46" s="417"/>
      <c r="AF46" s="417"/>
      <c r="AG46" s="417"/>
      <c r="AH46" s="417"/>
      <c r="AI46" s="417"/>
      <c r="AJ46" s="417"/>
      <c r="AK46" s="417"/>
      <c r="AL46" s="417"/>
      <c r="AM46" s="417"/>
      <c r="AN46" s="417"/>
      <c r="AO46" s="417"/>
      <c r="AP46" s="417"/>
      <c r="AQ46" s="417"/>
      <c r="AR46" s="417"/>
      <c r="AS46" s="417"/>
      <c r="AT46" s="417"/>
      <c r="AU46" s="385"/>
      <c r="AV46" s="385"/>
      <c r="AW46" s="385"/>
      <c r="AX46" s="385"/>
      <c r="AY46" s="385"/>
      <c r="AZ46" s="417"/>
      <c r="BA46" s="417"/>
      <c r="BB46" s="417"/>
      <c r="BC46" s="417"/>
      <c r="BD46" s="385"/>
      <c r="BE46" s="417"/>
      <c r="BF46" s="417"/>
      <c r="BG46" s="417"/>
      <c r="BH46" s="417"/>
      <c r="BI46" s="417"/>
      <c r="BJ46" s="417"/>
      <c r="BK46" s="417"/>
      <c r="BL46" s="417"/>
      <c r="BM46" s="417"/>
      <c r="BN46" s="417"/>
      <c r="BO46" s="417"/>
      <c r="BP46" s="417"/>
      <c r="BQ46" s="417"/>
      <c r="BR46" s="417"/>
      <c r="BS46" s="417"/>
      <c r="BT46" s="417"/>
      <c r="BU46" s="417"/>
      <c r="BV46" s="417"/>
      <c r="BW46" s="417"/>
      <c r="BX46" s="417"/>
      <c r="BY46" s="417"/>
      <c r="BZ46" s="417"/>
      <c r="CA46" s="385"/>
      <c r="CB46" s="417"/>
      <c r="CC46" s="417"/>
      <c r="CD46" s="417"/>
      <c r="CE46" s="385"/>
      <c r="CF46" s="385"/>
      <c r="CG46" s="385"/>
      <c r="CH46" s="417"/>
      <c r="CI46" s="417"/>
      <c r="CJ46" s="417"/>
      <c r="CK46" s="417"/>
      <c r="CL46" s="417"/>
      <c r="CM46" s="385"/>
      <c r="CN46" s="417"/>
      <c r="CO46" s="417"/>
      <c r="CP46" s="417"/>
      <c r="CQ46" s="385"/>
      <c r="CR46" s="385"/>
      <c r="CS46" s="417"/>
      <c r="CT46" s="417"/>
      <c r="CU46" s="417"/>
      <c r="CV46" s="417"/>
      <c r="CW46" s="417"/>
      <c r="CX46" s="417"/>
      <c r="CY46" s="417"/>
      <c r="CZ46" s="417"/>
      <c r="DA46" s="385"/>
      <c r="DB46" s="417"/>
      <c r="DC46" s="385"/>
      <c r="DD46" s="385"/>
      <c r="DE46" s="385"/>
      <c r="DF46" s="385"/>
      <c r="DG46" s="385"/>
      <c r="DH46" s="417"/>
      <c r="DI46" s="417"/>
      <c r="DJ46" s="417"/>
      <c r="DK46" s="385"/>
      <c r="DL46" s="385"/>
      <c r="DM46" s="385"/>
      <c r="DN46" s="417"/>
      <c r="DO46" s="417"/>
      <c r="DP46" s="385"/>
      <c r="DQ46" s="385"/>
      <c r="DR46" s="385"/>
      <c r="DS46" s="417"/>
      <c r="DT46" s="417"/>
      <c r="DU46" s="417"/>
      <c r="DV46" s="417"/>
      <c r="DW46" s="385"/>
      <c r="DX46" s="385"/>
      <c r="DY46" s="417"/>
      <c r="DZ46" s="417"/>
      <c r="EA46" s="417"/>
      <c r="EB46" s="385"/>
      <c r="EC46" s="385"/>
      <c r="ED46" s="65"/>
      <c r="EE46" s="417"/>
      <c r="EF46" s="417"/>
      <c r="EG46" s="417"/>
      <c r="EH46" s="417"/>
      <c r="EI46" s="417"/>
      <c r="EJ46" s="417"/>
      <c r="EK46" s="417"/>
      <c r="EL46" s="417"/>
      <c r="EM46" s="417"/>
      <c r="EN46" s="417"/>
      <c r="EO46" s="385"/>
      <c r="EP46" s="385"/>
      <c r="EQ46" s="417"/>
      <c r="ER46" s="417"/>
      <c r="ES46" s="417"/>
      <c r="ET46" s="417"/>
      <c r="EU46" s="417"/>
      <c r="EV46" s="385"/>
      <c r="EW46" s="385"/>
      <c r="EX46" s="385"/>
      <c r="EY46" s="385"/>
      <c r="EZ46" s="417"/>
      <c r="FA46" s="417"/>
      <c r="FB46" s="417"/>
      <c r="FC46" s="417"/>
      <c r="FD46" s="417"/>
      <c r="FE46" s="417"/>
      <c r="FF46" s="417"/>
      <c r="FG46" s="417"/>
      <c r="FH46" s="417"/>
      <c r="FI46" s="417"/>
      <c r="FJ46" s="417"/>
      <c r="FK46" s="385"/>
      <c r="FL46" s="417"/>
      <c r="FM46" s="385"/>
      <c r="FN46" s="417"/>
      <c r="FO46" s="417"/>
      <c r="FP46" s="417"/>
      <c r="FQ46" s="417"/>
      <c r="FR46" s="417"/>
      <c r="FS46" s="417"/>
      <c r="FT46" s="385"/>
      <c r="FU46" s="385"/>
      <c r="FV46" s="385"/>
      <c r="FW46" s="417"/>
      <c r="FX46" s="417"/>
      <c r="FY46" s="385"/>
      <c r="FZ46" s="417"/>
      <c r="GA46" s="417"/>
      <c r="GB46" s="385"/>
      <c r="GC46" s="417"/>
      <c r="GD46" s="417"/>
      <c r="GE46" s="417"/>
      <c r="GF46" s="385"/>
      <c r="GG46" s="417"/>
      <c r="GH46" s="385"/>
      <c r="GI46" s="417"/>
      <c r="GJ46" s="385"/>
      <c r="GK46" s="417"/>
      <c r="GL46" s="417"/>
      <c r="GM46" s="417"/>
      <c r="GN46" s="417"/>
      <c r="GO46" s="417"/>
      <c r="GP46" s="417"/>
      <c r="GQ46" s="417"/>
      <c r="GR46" s="417"/>
      <c r="GS46" s="385"/>
      <c r="GT46" s="385"/>
      <c r="GU46" s="417"/>
      <c r="GV46" s="385"/>
      <c r="GW46" s="417"/>
      <c r="GX46" s="385"/>
      <c r="GY46" s="385"/>
      <c r="GZ46" s="417"/>
      <c r="HA46" s="417"/>
      <c r="HB46" s="417"/>
      <c r="HC46" s="417"/>
      <c r="HD46" s="417"/>
      <c r="HE46" s="417"/>
      <c r="HF46" s="417"/>
      <c r="HG46" s="417"/>
      <c r="HH46" s="385"/>
      <c r="HI46" s="417"/>
      <c r="HJ46" s="417"/>
      <c r="HK46" s="417"/>
      <c r="HL46" s="417"/>
      <c r="HM46" s="417"/>
      <c r="HN46" s="385"/>
      <c r="HO46" s="417"/>
      <c r="HP46" s="417"/>
      <c r="HQ46" s="417"/>
      <c r="HR46" s="417"/>
      <c r="HS46" s="417"/>
      <c r="HT46" s="417"/>
      <c r="HU46" s="385"/>
      <c r="HV46" s="417"/>
      <c r="HW46" s="417"/>
      <c r="HX46" s="417"/>
      <c r="HY46" s="417"/>
      <c r="HZ46" s="417"/>
      <c r="IA46" s="417"/>
      <c r="IB46" s="417"/>
      <c r="IC46" s="417"/>
      <c r="ID46" s="417"/>
      <c r="IE46" s="417"/>
      <c r="IF46" s="417"/>
      <c r="IG46" s="417"/>
      <c r="IH46" s="417"/>
      <c r="II46" s="417"/>
      <c r="IJ46" s="417"/>
      <c r="IK46" s="417"/>
      <c r="IL46" s="417"/>
      <c r="IM46" s="417"/>
      <c r="IN46" s="417"/>
      <c r="IO46" s="417"/>
      <c r="IP46" s="417"/>
      <c r="IQ46" s="417"/>
      <c r="IR46" s="417"/>
      <c r="IS46" s="417"/>
      <c r="IT46" s="417"/>
      <c r="IU46" s="417"/>
      <c r="IV46" s="417"/>
      <c r="IW46" s="417"/>
      <c r="IX46" s="417"/>
      <c r="IY46" s="417"/>
      <c r="IZ46" s="417"/>
      <c r="JA46" s="417"/>
      <c r="JB46" s="417"/>
      <c r="JC46" s="417"/>
      <c r="JD46" s="417"/>
      <c r="JE46" s="417"/>
      <c r="JF46" s="417"/>
      <c r="JG46" s="417"/>
      <c r="JH46" s="417"/>
      <c r="JI46" s="417"/>
      <c r="JJ46" s="417"/>
      <c r="JK46" s="417"/>
      <c r="JL46" s="417"/>
      <c r="JM46" s="417"/>
      <c r="JN46" s="417"/>
      <c r="JO46" s="417"/>
      <c r="JP46" s="417"/>
      <c r="JQ46" s="417"/>
      <c r="JR46" s="417"/>
      <c r="JS46" s="417"/>
      <c r="JT46" s="417"/>
      <c r="JU46" s="417"/>
      <c r="JV46" s="417"/>
      <c r="JW46" s="417"/>
      <c r="JX46" s="417"/>
      <c r="JY46" s="417"/>
      <c r="JZ46" s="417"/>
      <c r="KA46" s="417"/>
      <c r="KB46" s="417"/>
      <c r="KC46" s="417"/>
      <c r="KD46" s="417"/>
      <c r="KE46" s="417"/>
      <c r="KF46" s="417"/>
      <c r="KG46" s="417"/>
      <c r="KH46" s="417"/>
      <c r="KI46" s="417"/>
      <c r="KJ46" s="417"/>
      <c r="KK46" s="417"/>
      <c r="KL46" s="417"/>
      <c r="KM46" s="417"/>
      <c r="KN46" s="417"/>
      <c r="KO46" s="417"/>
      <c r="KP46" s="417"/>
      <c r="KQ46" s="417"/>
      <c r="KR46" s="417"/>
      <c r="KS46" s="417"/>
      <c r="KT46" s="417"/>
      <c r="KU46" s="417"/>
      <c r="KV46" s="417"/>
      <c r="KW46" s="417"/>
      <c r="KX46" s="417"/>
      <c r="KY46" s="417"/>
      <c r="KZ46" s="417"/>
      <c r="LA46" s="417"/>
      <c r="LB46" s="417"/>
      <c r="LC46" s="417"/>
      <c r="LD46" s="417"/>
      <c r="LE46" s="417"/>
      <c r="LF46" s="417"/>
      <c r="LG46" s="417"/>
      <c r="LH46" s="417"/>
      <c r="LI46" s="417"/>
      <c r="LJ46" s="417"/>
      <c r="LK46" s="417"/>
      <c r="LL46" s="417"/>
      <c r="LM46" s="417"/>
      <c r="LN46" s="417"/>
      <c r="LO46" s="417"/>
      <c r="LP46" s="417"/>
      <c r="LQ46" s="417"/>
      <c r="LR46" s="417"/>
      <c r="LS46" s="417"/>
      <c r="LT46" s="417"/>
      <c r="LU46" s="417"/>
      <c r="LV46" s="417"/>
      <c r="LW46" s="417"/>
      <c r="LX46" s="417"/>
      <c r="LY46" s="417"/>
      <c r="LZ46" s="417"/>
      <c r="MA46" s="417"/>
      <c r="MB46" s="417"/>
      <c r="MC46" s="417"/>
      <c r="MD46" s="417"/>
      <c r="ME46" s="417"/>
      <c r="MF46" s="417"/>
      <c r="MG46" s="417"/>
      <c r="MH46" s="417"/>
      <c r="MI46" s="417"/>
      <c r="MJ46" s="417"/>
      <c r="MK46" s="417"/>
      <c r="ML46" s="417"/>
      <c r="MM46" s="417"/>
      <c r="MN46" s="417"/>
      <c r="MO46" s="417"/>
      <c r="MP46" s="417"/>
      <c r="MQ46" s="417"/>
      <c r="MR46" s="417"/>
      <c r="MS46" s="417"/>
      <c r="MT46" s="417"/>
      <c r="MU46" s="417"/>
      <c r="MV46" s="417"/>
      <c r="MW46" s="417"/>
      <c r="MX46" s="417"/>
      <c r="MY46" s="417"/>
      <c r="MZ46" s="417"/>
      <c r="NA46" s="417"/>
      <c r="NB46" s="417"/>
      <c r="NC46" s="417"/>
      <c r="ND46" s="417"/>
      <c r="NE46" s="417"/>
      <c r="NF46" s="417"/>
      <c r="NG46" s="417"/>
      <c r="NH46" s="417"/>
      <c r="NI46" s="417"/>
      <c r="NJ46" s="417"/>
      <c r="NK46" s="417"/>
      <c r="NL46" s="417"/>
      <c r="NM46" s="417"/>
      <c r="NN46" s="417"/>
      <c r="NO46" s="417"/>
      <c r="NP46" s="417"/>
      <c r="NQ46" s="417"/>
      <c r="NR46" s="417"/>
      <c r="NS46" s="417"/>
      <c r="NT46" s="417"/>
      <c r="NU46" s="417"/>
      <c r="NV46" s="417"/>
      <c r="NW46" s="417"/>
      <c r="NX46" s="417"/>
      <c r="NY46" s="417"/>
      <c r="NZ46" s="417"/>
      <c r="OA46" s="417"/>
      <c r="OB46" s="417"/>
      <c r="OC46" s="417"/>
      <c r="OD46" s="417"/>
      <c r="OE46" s="417"/>
      <c r="OF46" s="417"/>
      <c r="OG46" s="417"/>
      <c r="OH46" s="417"/>
      <c r="OI46" s="385"/>
      <c r="OJ46" s="417"/>
      <c r="OK46" s="417"/>
      <c r="OL46" s="417"/>
      <c r="OM46" s="417"/>
      <c r="ON46" s="417"/>
      <c r="OO46" s="417"/>
      <c r="OP46" s="417"/>
      <c r="OQ46" s="417"/>
      <c r="OR46" s="417"/>
      <c r="OS46" s="417"/>
      <c r="OT46" s="417"/>
      <c r="OU46" s="417"/>
      <c r="OV46" s="417"/>
      <c r="OW46" s="417"/>
      <c r="OX46" s="417"/>
      <c r="OY46" s="417"/>
      <c r="OZ46" s="417"/>
      <c r="PA46" s="417"/>
      <c r="PB46" s="417"/>
      <c r="PC46" s="417"/>
      <c r="PD46" s="417"/>
      <c r="PE46" s="417"/>
      <c r="PF46" s="417"/>
      <c r="PG46" s="417"/>
    </row>
    <row r="47" spans="1:423" ht="15.75" thickBot="1" x14ac:dyDescent="0.3">
      <c r="A47" s="391"/>
      <c r="B47" s="392">
        <f t="shared" ref="B47:T47" si="2">SUM(B5:B46)</f>
        <v>9016</v>
      </c>
      <c r="C47" s="392">
        <f t="shared" si="2"/>
        <v>20000</v>
      </c>
      <c r="D47" s="392">
        <f t="shared" si="2"/>
        <v>8120</v>
      </c>
      <c r="E47" s="392">
        <f t="shared" si="2"/>
        <v>10984</v>
      </c>
      <c r="F47" s="393">
        <f t="shared" si="2"/>
        <v>60</v>
      </c>
      <c r="G47" s="393">
        <f t="shared" si="2"/>
        <v>72</v>
      </c>
      <c r="H47" s="393">
        <f t="shared" si="2"/>
        <v>105</v>
      </c>
      <c r="I47" s="393">
        <f t="shared" si="2"/>
        <v>105</v>
      </c>
      <c r="J47" s="393">
        <f t="shared" si="2"/>
        <v>0</v>
      </c>
      <c r="K47" s="393">
        <f t="shared" si="2"/>
        <v>0</v>
      </c>
      <c r="L47" s="393">
        <f t="shared" si="2"/>
        <v>11</v>
      </c>
      <c r="M47" s="393">
        <f t="shared" si="2"/>
        <v>0</v>
      </c>
      <c r="N47" s="393">
        <f t="shared" si="2"/>
        <v>0</v>
      </c>
      <c r="O47" s="393">
        <f t="shared" si="2"/>
        <v>0</v>
      </c>
      <c r="P47" s="393">
        <f t="shared" si="2"/>
        <v>0</v>
      </c>
      <c r="Q47" s="393">
        <f t="shared" si="2"/>
        <v>0</v>
      </c>
      <c r="R47" s="393">
        <f t="shared" si="2"/>
        <v>0</v>
      </c>
      <c r="S47" s="393">
        <f t="shared" si="2"/>
        <v>0</v>
      </c>
      <c r="T47" s="393">
        <f t="shared" si="2"/>
        <v>115</v>
      </c>
      <c r="U47" s="393"/>
      <c r="V47" s="393"/>
      <c r="W47" s="393">
        <f t="shared" ref="W47:BB47" si="3">SUM(W5:W46)</f>
        <v>6</v>
      </c>
      <c r="X47" s="393">
        <f t="shared" si="3"/>
        <v>20</v>
      </c>
      <c r="Y47" s="393">
        <f t="shared" si="3"/>
        <v>95</v>
      </c>
      <c r="Z47" s="393">
        <f t="shared" si="3"/>
        <v>0</v>
      </c>
      <c r="AA47" s="393">
        <f t="shared" si="3"/>
        <v>0</v>
      </c>
      <c r="AB47" s="393">
        <f t="shared" si="3"/>
        <v>0</v>
      </c>
      <c r="AC47" s="393">
        <f t="shared" si="3"/>
        <v>0</v>
      </c>
      <c r="AD47" s="393">
        <f t="shared" si="3"/>
        <v>0</v>
      </c>
      <c r="AE47" s="393">
        <f t="shared" si="3"/>
        <v>0</v>
      </c>
      <c r="AF47" s="393">
        <f t="shared" si="3"/>
        <v>0</v>
      </c>
      <c r="AG47" s="393">
        <f t="shared" si="3"/>
        <v>0</v>
      </c>
      <c r="AH47" s="393">
        <f t="shared" si="3"/>
        <v>115</v>
      </c>
      <c r="AI47" s="393">
        <f t="shared" si="3"/>
        <v>88</v>
      </c>
      <c r="AJ47" s="393">
        <f t="shared" si="3"/>
        <v>100</v>
      </c>
      <c r="AK47" s="393">
        <f t="shared" si="3"/>
        <v>336</v>
      </c>
      <c r="AL47" s="393">
        <f t="shared" si="3"/>
        <v>50</v>
      </c>
      <c r="AM47" s="393">
        <f t="shared" si="3"/>
        <v>0</v>
      </c>
      <c r="AN47" s="393">
        <f t="shared" si="3"/>
        <v>0</v>
      </c>
      <c r="AO47" s="393">
        <f t="shared" si="3"/>
        <v>0</v>
      </c>
      <c r="AP47" s="393">
        <f t="shared" si="3"/>
        <v>0</v>
      </c>
      <c r="AQ47" s="393">
        <f t="shared" si="3"/>
        <v>0</v>
      </c>
      <c r="AR47" s="393">
        <f t="shared" si="3"/>
        <v>0</v>
      </c>
      <c r="AS47" s="393">
        <f t="shared" si="3"/>
        <v>0</v>
      </c>
      <c r="AT47" s="393">
        <f t="shared" si="3"/>
        <v>0</v>
      </c>
      <c r="AU47" s="393">
        <f t="shared" si="3"/>
        <v>65</v>
      </c>
      <c r="AV47" s="393">
        <f t="shared" si="3"/>
        <v>45</v>
      </c>
      <c r="AW47" s="393">
        <f t="shared" si="3"/>
        <v>110</v>
      </c>
      <c r="AX47" s="393">
        <f t="shared" si="3"/>
        <v>50</v>
      </c>
      <c r="AY47" s="393">
        <f t="shared" si="3"/>
        <v>98</v>
      </c>
      <c r="AZ47" s="393">
        <f t="shared" si="3"/>
        <v>89</v>
      </c>
      <c r="BA47" s="393">
        <f t="shared" si="3"/>
        <v>50</v>
      </c>
      <c r="BB47" s="393">
        <f t="shared" si="3"/>
        <v>74</v>
      </c>
      <c r="BC47" s="393">
        <f t="shared" ref="BC47:CH47" si="4">SUM(BC5:BC46)</f>
        <v>30</v>
      </c>
      <c r="BD47" s="393">
        <f t="shared" si="4"/>
        <v>115</v>
      </c>
      <c r="BE47" s="393">
        <f t="shared" si="4"/>
        <v>86</v>
      </c>
      <c r="BF47" s="393">
        <f t="shared" si="4"/>
        <v>0</v>
      </c>
      <c r="BG47" s="393">
        <f t="shared" si="4"/>
        <v>0</v>
      </c>
      <c r="BH47" s="393">
        <f t="shared" si="4"/>
        <v>0</v>
      </c>
      <c r="BI47" s="393">
        <f t="shared" si="4"/>
        <v>70</v>
      </c>
      <c r="BJ47" s="393">
        <f t="shared" si="4"/>
        <v>55</v>
      </c>
      <c r="BK47" s="393">
        <f t="shared" si="4"/>
        <v>0</v>
      </c>
      <c r="BL47" s="393">
        <f t="shared" si="4"/>
        <v>0</v>
      </c>
      <c r="BM47" s="393">
        <f t="shared" si="4"/>
        <v>0</v>
      </c>
      <c r="BN47" s="393">
        <f t="shared" si="4"/>
        <v>0</v>
      </c>
      <c r="BO47" s="393">
        <f t="shared" si="4"/>
        <v>0</v>
      </c>
      <c r="BP47" s="393">
        <f t="shared" si="4"/>
        <v>0</v>
      </c>
      <c r="BQ47" s="393">
        <f t="shared" si="4"/>
        <v>0</v>
      </c>
      <c r="BR47" s="393">
        <f t="shared" si="4"/>
        <v>0</v>
      </c>
      <c r="BS47" s="393">
        <f t="shared" si="4"/>
        <v>0</v>
      </c>
      <c r="BT47" s="393">
        <f t="shared" si="4"/>
        <v>0</v>
      </c>
      <c r="BU47" s="393">
        <f t="shared" si="4"/>
        <v>0</v>
      </c>
      <c r="BV47" s="393">
        <f t="shared" si="4"/>
        <v>70</v>
      </c>
      <c r="BW47" s="393">
        <f t="shared" si="4"/>
        <v>95</v>
      </c>
      <c r="BX47" s="393">
        <f t="shared" si="4"/>
        <v>94</v>
      </c>
      <c r="BY47" s="393">
        <f t="shared" si="4"/>
        <v>75</v>
      </c>
      <c r="BZ47" s="393">
        <f t="shared" si="4"/>
        <v>70</v>
      </c>
      <c r="CA47" s="393">
        <f t="shared" si="4"/>
        <v>87</v>
      </c>
      <c r="CB47" s="393">
        <f t="shared" si="4"/>
        <v>48</v>
      </c>
      <c r="CC47" s="393">
        <f t="shared" si="4"/>
        <v>0</v>
      </c>
      <c r="CD47" s="393">
        <f t="shared" si="4"/>
        <v>0</v>
      </c>
      <c r="CE47" s="393">
        <f t="shared" si="4"/>
        <v>0</v>
      </c>
      <c r="CF47" s="393">
        <f t="shared" si="4"/>
        <v>0</v>
      </c>
      <c r="CG47" s="393">
        <f t="shared" si="4"/>
        <v>0</v>
      </c>
      <c r="CH47" s="393">
        <f t="shared" si="4"/>
        <v>0</v>
      </c>
      <c r="CI47" s="393">
        <f t="shared" ref="CI47:DK47" si="5">SUM(CI5:CI46)</f>
        <v>0</v>
      </c>
      <c r="CJ47" s="393">
        <f t="shared" si="5"/>
        <v>0</v>
      </c>
      <c r="CK47" s="393">
        <f t="shared" si="5"/>
        <v>95</v>
      </c>
      <c r="CL47" s="393">
        <f t="shared" si="5"/>
        <v>70</v>
      </c>
      <c r="CM47" s="393">
        <f t="shared" si="5"/>
        <v>106</v>
      </c>
      <c r="CN47" s="393">
        <f t="shared" si="5"/>
        <v>0</v>
      </c>
      <c r="CO47" s="393">
        <f t="shared" si="5"/>
        <v>0</v>
      </c>
      <c r="CP47" s="393">
        <f t="shared" si="5"/>
        <v>0</v>
      </c>
      <c r="CQ47" s="393">
        <f t="shared" si="5"/>
        <v>0</v>
      </c>
      <c r="CR47" s="393">
        <f t="shared" si="5"/>
        <v>0</v>
      </c>
      <c r="CS47" s="393">
        <f t="shared" si="5"/>
        <v>0</v>
      </c>
      <c r="CT47" s="393">
        <f t="shared" si="5"/>
        <v>0</v>
      </c>
      <c r="CU47" s="393">
        <f t="shared" si="5"/>
        <v>0</v>
      </c>
      <c r="CV47" s="393">
        <f t="shared" si="5"/>
        <v>0</v>
      </c>
      <c r="CW47" s="393">
        <f t="shared" si="5"/>
        <v>72</v>
      </c>
      <c r="CX47" s="393">
        <f t="shared" si="5"/>
        <v>40</v>
      </c>
      <c r="CY47" s="393">
        <f t="shared" si="5"/>
        <v>116</v>
      </c>
      <c r="CZ47" s="393">
        <f t="shared" si="5"/>
        <v>10</v>
      </c>
      <c r="DA47" s="393">
        <f t="shared" si="5"/>
        <v>114</v>
      </c>
      <c r="DB47" s="393">
        <f t="shared" si="5"/>
        <v>0</v>
      </c>
      <c r="DC47" s="393">
        <f t="shared" si="5"/>
        <v>0</v>
      </c>
      <c r="DD47" s="393">
        <f t="shared" si="5"/>
        <v>0</v>
      </c>
      <c r="DE47" s="393">
        <f t="shared" si="5"/>
        <v>0</v>
      </c>
      <c r="DF47" s="393">
        <f t="shared" si="5"/>
        <v>0</v>
      </c>
      <c r="DG47" s="393">
        <f t="shared" si="5"/>
        <v>0</v>
      </c>
      <c r="DH47" s="393">
        <f t="shared" si="5"/>
        <v>0</v>
      </c>
      <c r="DI47" s="393">
        <f t="shared" si="5"/>
        <v>0</v>
      </c>
      <c r="DJ47" s="393">
        <f t="shared" si="5"/>
        <v>0</v>
      </c>
      <c r="DK47" s="393">
        <f t="shared" si="5"/>
        <v>64</v>
      </c>
      <c r="DL47" s="393">
        <v>66</v>
      </c>
      <c r="DM47" s="393">
        <f t="shared" ref="DM47:EC47" si="6">SUM(DM5:DM46)</f>
        <v>94</v>
      </c>
      <c r="DN47" s="393">
        <f t="shared" si="6"/>
        <v>83</v>
      </c>
      <c r="DO47" s="393">
        <f t="shared" si="6"/>
        <v>30</v>
      </c>
      <c r="DP47" s="393">
        <f t="shared" si="6"/>
        <v>80</v>
      </c>
      <c r="DQ47" s="393">
        <f t="shared" si="6"/>
        <v>71</v>
      </c>
      <c r="DR47" s="393">
        <f t="shared" si="6"/>
        <v>52</v>
      </c>
      <c r="DS47" s="393">
        <f t="shared" si="6"/>
        <v>0</v>
      </c>
      <c r="DT47" s="393">
        <f t="shared" si="6"/>
        <v>0</v>
      </c>
      <c r="DU47" s="393">
        <f t="shared" si="6"/>
        <v>0</v>
      </c>
      <c r="DV47" s="393">
        <f t="shared" si="6"/>
        <v>0</v>
      </c>
      <c r="DW47" s="393">
        <f t="shared" si="6"/>
        <v>107</v>
      </c>
      <c r="DX47" s="393">
        <f t="shared" si="6"/>
        <v>81</v>
      </c>
      <c r="DY47" s="393">
        <f t="shared" si="6"/>
        <v>75</v>
      </c>
      <c r="DZ47" s="393">
        <f t="shared" si="6"/>
        <v>38</v>
      </c>
      <c r="EA47" s="393">
        <f t="shared" si="6"/>
        <v>74</v>
      </c>
      <c r="EB47" s="393">
        <f t="shared" si="6"/>
        <v>64</v>
      </c>
      <c r="EC47" s="393">
        <f t="shared" si="6"/>
        <v>76</v>
      </c>
      <c r="ED47" s="393">
        <f>SUM(ED6:ED46)</f>
        <v>111</v>
      </c>
      <c r="EE47" s="393">
        <f t="shared" ref="EE47:EO47" si="7">SUM(EE5:EE46)</f>
        <v>0</v>
      </c>
      <c r="EF47" s="393">
        <f t="shared" si="7"/>
        <v>0</v>
      </c>
      <c r="EG47" s="393">
        <f t="shared" si="7"/>
        <v>0</v>
      </c>
      <c r="EH47" s="393">
        <f t="shared" si="7"/>
        <v>0</v>
      </c>
      <c r="EI47" s="393">
        <f t="shared" si="7"/>
        <v>0</v>
      </c>
      <c r="EJ47" s="393">
        <f t="shared" si="7"/>
        <v>121</v>
      </c>
      <c r="EK47" s="393">
        <f t="shared" si="7"/>
        <v>95</v>
      </c>
      <c r="EL47" s="393">
        <f t="shared" si="7"/>
        <v>25</v>
      </c>
      <c r="EM47" s="393">
        <f t="shared" si="7"/>
        <v>110</v>
      </c>
      <c r="EN47" s="393">
        <f t="shared" si="7"/>
        <v>90</v>
      </c>
      <c r="EO47" s="393">
        <f t="shared" si="7"/>
        <v>115</v>
      </c>
      <c r="EP47" s="393"/>
      <c r="EQ47" s="393">
        <f t="shared" ref="EQ47:FV47" si="8">SUM(EQ5:EQ46)</f>
        <v>72</v>
      </c>
      <c r="ER47" s="393">
        <f t="shared" si="8"/>
        <v>0</v>
      </c>
      <c r="ES47" s="393">
        <f t="shared" si="8"/>
        <v>0</v>
      </c>
      <c r="ET47" s="393">
        <f t="shared" si="8"/>
        <v>0</v>
      </c>
      <c r="EU47" s="393">
        <f t="shared" si="8"/>
        <v>0</v>
      </c>
      <c r="EV47" s="393">
        <f t="shared" si="8"/>
        <v>102</v>
      </c>
      <c r="EW47" s="393">
        <f t="shared" si="8"/>
        <v>82</v>
      </c>
      <c r="EX47" s="393">
        <f t="shared" si="8"/>
        <v>110</v>
      </c>
      <c r="EY47" s="393">
        <f t="shared" si="8"/>
        <v>45</v>
      </c>
      <c r="EZ47" s="393">
        <f t="shared" si="8"/>
        <v>50</v>
      </c>
      <c r="FA47" s="393">
        <f t="shared" si="8"/>
        <v>0</v>
      </c>
      <c r="FB47" s="393">
        <f t="shared" si="8"/>
        <v>0</v>
      </c>
      <c r="FC47" s="393">
        <f t="shared" si="8"/>
        <v>0</v>
      </c>
      <c r="FD47" s="393">
        <f t="shared" si="8"/>
        <v>0</v>
      </c>
      <c r="FE47" s="393">
        <f t="shared" si="8"/>
        <v>0</v>
      </c>
      <c r="FF47" s="393">
        <f t="shared" si="8"/>
        <v>0</v>
      </c>
      <c r="FG47" s="393">
        <f t="shared" si="8"/>
        <v>0</v>
      </c>
      <c r="FH47" s="393">
        <f t="shared" si="8"/>
        <v>75</v>
      </c>
      <c r="FI47" s="393">
        <f t="shared" si="8"/>
        <v>85</v>
      </c>
      <c r="FJ47" s="393">
        <f t="shared" si="8"/>
        <v>108</v>
      </c>
      <c r="FK47" s="393">
        <f t="shared" si="8"/>
        <v>109</v>
      </c>
      <c r="FL47" s="393">
        <f t="shared" si="8"/>
        <v>12</v>
      </c>
      <c r="FM47" s="393">
        <f t="shared" si="8"/>
        <v>105</v>
      </c>
      <c r="FN47" s="393">
        <f t="shared" si="8"/>
        <v>53</v>
      </c>
      <c r="FO47" s="393">
        <f t="shared" si="8"/>
        <v>0</v>
      </c>
      <c r="FP47" s="393">
        <f t="shared" si="8"/>
        <v>0</v>
      </c>
      <c r="FQ47" s="393">
        <f t="shared" si="8"/>
        <v>0</v>
      </c>
      <c r="FR47" s="393">
        <f t="shared" si="8"/>
        <v>0</v>
      </c>
      <c r="FS47" s="393">
        <f t="shared" si="8"/>
        <v>0</v>
      </c>
      <c r="FT47" s="393">
        <f t="shared" si="8"/>
        <v>65</v>
      </c>
      <c r="FU47" s="393">
        <f t="shared" si="8"/>
        <v>102</v>
      </c>
      <c r="FV47" s="393">
        <f t="shared" si="8"/>
        <v>102</v>
      </c>
      <c r="FW47" s="393">
        <f t="shared" ref="FW47:GV47" si="9">SUM(FW5:FW46)</f>
        <v>60</v>
      </c>
      <c r="FX47" s="393">
        <f t="shared" si="9"/>
        <v>85</v>
      </c>
      <c r="FY47" s="393">
        <f t="shared" si="9"/>
        <v>60</v>
      </c>
      <c r="FZ47" s="393">
        <f t="shared" si="9"/>
        <v>105</v>
      </c>
      <c r="GA47" s="393">
        <f t="shared" si="9"/>
        <v>63</v>
      </c>
      <c r="GB47" s="393">
        <f t="shared" si="9"/>
        <v>86</v>
      </c>
      <c r="GC47" s="393">
        <f t="shared" si="9"/>
        <v>0</v>
      </c>
      <c r="GD47" s="393">
        <f t="shared" si="9"/>
        <v>0</v>
      </c>
      <c r="GE47" s="393">
        <f t="shared" si="9"/>
        <v>0</v>
      </c>
      <c r="GF47" s="393">
        <f t="shared" si="9"/>
        <v>67</v>
      </c>
      <c r="GG47" s="393">
        <f t="shared" si="9"/>
        <v>100</v>
      </c>
      <c r="GH47" s="393">
        <f t="shared" si="9"/>
        <v>102</v>
      </c>
      <c r="GI47" s="393">
        <f t="shared" si="9"/>
        <v>110</v>
      </c>
      <c r="GJ47" s="393">
        <f t="shared" si="9"/>
        <v>100</v>
      </c>
      <c r="GK47" s="393">
        <f t="shared" si="9"/>
        <v>66</v>
      </c>
      <c r="GL47" s="393">
        <f t="shared" si="9"/>
        <v>100</v>
      </c>
      <c r="GM47" s="393">
        <f t="shared" si="9"/>
        <v>0</v>
      </c>
      <c r="GN47" s="393">
        <f t="shared" si="9"/>
        <v>0</v>
      </c>
      <c r="GO47" s="393">
        <f t="shared" si="9"/>
        <v>0</v>
      </c>
      <c r="GP47" s="393">
        <f t="shared" si="9"/>
        <v>0</v>
      </c>
      <c r="GQ47" s="393">
        <f t="shared" si="9"/>
        <v>0</v>
      </c>
      <c r="GR47" s="393">
        <f t="shared" si="9"/>
        <v>0</v>
      </c>
      <c r="GS47" s="393">
        <f t="shared" si="9"/>
        <v>56</v>
      </c>
      <c r="GT47" s="393">
        <f t="shared" si="9"/>
        <v>43</v>
      </c>
      <c r="GU47" s="393">
        <f t="shared" si="9"/>
        <v>100</v>
      </c>
      <c r="GV47" s="393">
        <f t="shared" si="9"/>
        <v>88</v>
      </c>
      <c r="GW47" s="393">
        <f t="shared" ref="GW47:IB47" si="10">SUM(GW5:GW46)</f>
        <v>78</v>
      </c>
      <c r="GX47" s="393">
        <f t="shared" si="10"/>
        <v>117</v>
      </c>
      <c r="GY47" s="393">
        <f t="shared" si="10"/>
        <v>78</v>
      </c>
      <c r="GZ47" s="393">
        <f t="shared" si="10"/>
        <v>0</v>
      </c>
      <c r="HA47" s="393">
        <f t="shared" si="10"/>
        <v>0</v>
      </c>
      <c r="HB47" s="393">
        <f t="shared" si="10"/>
        <v>0</v>
      </c>
      <c r="HC47" s="393">
        <f t="shared" si="10"/>
        <v>0</v>
      </c>
      <c r="HD47" s="393">
        <f t="shared" si="10"/>
        <v>0</v>
      </c>
      <c r="HE47" s="393">
        <f t="shared" si="10"/>
        <v>0</v>
      </c>
      <c r="HF47" s="393">
        <f t="shared" si="10"/>
        <v>0</v>
      </c>
      <c r="HG47" s="393">
        <f t="shared" si="10"/>
        <v>82</v>
      </c>
      <c r="HH47" s="393">
        <f t="shared" si="10"/>
        <v>110</v>
      </c>
      <c r="HI47" s="393">
        <f t="shared" si="10"/>
        <v>46</v>
      </c>
      <c r="HJ47" s="393">
        <f t="shared" si="10"/>
        <v>70</v>
      </c>
      <c r="HK47" s="393">
        <f t="shared" si="10"/>
        <v>60</v>
      </c>
      <c r="HL47" s="393">
        <f t="shared" si="10"/>
        <v>70</v>
      </c>
      <c r="HM47" s="393">
        <f t="shared" si="10"/>
        <v>70</v>
      </c>
      <c r="HN47" s="393">
        <f t="shared" si="10"/>
        <v>75</v>
      </c>
      <c r="HO47" s="393">
        <f t="shared" si="10"/>
        <v>0</v>
      </c>
      <c r="HP47" s="393">
        <f t="shared" si="10"/>
        <v>0</v>
      </c>
      <c r="HQ47" s="393">
        <f t="shared" si="10"/>
        <v>0</v>
      </c>
      <c r="HR47" s="393">
        <f t="shared" si="10"/>
        <v>0</v>
      </c>
      <c r="HS47" s="393">
        <f t="shared" si="10"/>
        <v>0</v>
      </c>
      <c r="HT47" s="393">
        <f t="shared" si="10"/>
        <v>0</v>
      </c>
      <c r="HU47" s="393">
        <f t="shared" si="10"/>
        <v>118</v>
      </c>
      <c r="HV47" s="393">
        <f t="shared" si="10"/>
        <v>0</v>
      </c>
      <c r="HW47" s="393">
        <f t="shared" si="10"/>
        <v>0</v>
      </c>
      <c r="HX47" s="393">
        <f t="shared" si="10"/>
        <v>0</v>
      </c>
      <c r="HY47" s="393">
        <f t="shared" si="10"/>
        <v>0</v>
      </c>
      <c r="HZ47" s="393">
        <f t="shared" si="10"/>
        <v>0</v>
      </c>
      <c r="IA47" s="393">
        <f t="shared" si="10"/>
        <v>0</v>
      </c>
      <c r="IB47" s="393">
        <f t="shared" si="10"/>
        <v>0</v>
      </c>
      <c r="IC47" s="393">
        <f t="shared" ref="IC47:JH47" si="11">SUM(IC5:IC46)</f>
        <v>0</v>
      </c>
      <c r="ID47" s="393">
        <f t="shared" si="11"/>
        <v>0</v>
      </c>
      <c r="IE47" s="393">
        <f t="shared" si="11"/>
        <v>0</v>
      </c>
      <c r="IF47" s="393">
        <f t="shared" si="11"/>
        <v>0</v>
      </c>
      <c r="IG47" s="393">
        <f t="shared" si="11"/>
        <v>0</v>
      </c>
      <c r="IH47" s="393">
        <f t="shared" si="11"/>
        <v>0</v>
      </c>
      <c r="II47" s="393">
        <f t="shared" si="11"/>
        <v>0</v>
      </c>
      <c r="IJ47" s="393">
        <f t="shared" si="11"/>
        <v>0</v>
      </c>
      <c r="IK47" s="393">
        <f t="shared" si="11"/>
        <v>0</v>
      </c>
      <c r="IL47" s="393">
        <f t="shared" si="11"/>
        <v>0</v>
      </c>
      <c r="IM47" s="393">
        <f t="shared" si="11"/>
        <v>0</v>
      </c>
      <c r="IN47" s="393">
        <f t="shared" si="11"/>
        <v>0</v>
      </c>
      <c r="IO47" s="393">
        <f t="shared" si="11"/>
        <v>0</v>
      </c>
      <c r="IP47" s="393">
        <f t="shared" si="11"/>
        <v>0</v>
      </c>
      <c r="IQ47" s="393">
        <f t="shared" si="11"/>
        <v>0</v>
      </c>
      <c r="IR47" s="393">
        <f t="shared" si="11"/>
        <v>0</v>
      </c>
      <c r="IS47" s="393">
        <f t="shared" si="11"/>
        <v>0</v>
      </c>
      <c r="IT47" s="393">
        <f t="shared" si="11"/>
        <v>0</v>
      </c>
      <c r="IU47" s="393">
        <f t="shared" si="11"/>
        <v>0</v>
      </c>
      <c r="IV47" s="393">
        <f t="shared" si="11"/>
        <v>0</v>
      </c>
      <c r="IW47" s="393">
        <f t="shared" si="11"/>
        <v>0</v>
      </c>
      <c r="IX47" s="393">
        <f t="shared" si="11"/>
        <v>0</v>
      </c>
      <c r="IY47" s="393">
        <f t="shared" si="11"/>
        <v>0</v>
      </c>
      <c r="IZ47" s="393">
        <f t="shared" si="11"/>
        <v>0</v>
      </c>
      <c r="JA47" s="393">
        <f t="shared" si="11"/>
        <v>0</v>
      </c>
      <c r="JB47" s="393">
        <f t="shared" si="11"/>
        <v>0</v>
      </c>
      <c r="JC47" s="393">
        <f t="shared" si="11"/>
        <v>0</v>
      </c>
      <c r="JD47" s="393">
        <f t="shared" si="11"/>
        <v>0</v>
      </c>
      <c r="JE47" s="393">
        <f t="shared" si="11"/>
        <v>0</v>
      </c>
      <c r="JF47" s="393">
        <f t="shared" si="11"/>
        <v>0</v>
      </c>
      <c r="JG47" s="393">
        <f t="shared" si="11"/>
        <v>0</v>
      </c>
      <c r="JH47" s="393">
        <f t="shared" si="11"/>
        <v>0</v>
      </c>
      <c r="JI47" s="393">
        <f t="shared" ref="JI47:KF47" si="12">SUM(JI5:JI46)</f>
        <v>0</v>
      </c>
      <c r="JJ47" s="393">
        <f t="shared" si="12"/>
        <v>0</v>
      </c>
      <c r="JK47" s="393">
        <f t="shared" si="12"/>
        <v>0</v>
      </c>
      <c r="JL47" s="393">
        <f t="shared" si="12"/>
        <v>0</v>
      </c>
      <c r="JM47" s="393">
        <f t="shared" si="12"/>
        <v>0</v>
      </c>
      <c r="JN47" s="393">
        <f t="shared" si="12"/>
        <v>0</v>
      </c>
      <c r="JO47" s="393">
        <f t="shared" si="12"/>
        <v>0</v>
      </c>
      <c r="JP47" s="393">
        <f t="shared" si="12"/>
        <v>0</v>
      </c>
      <c r="JQ47" s="393">
        <f t="shared" si="12"/>
        <v>0</v>
      </c>
      <c r="JR47" s="393">
        <f t="shared" si="12"/>
        <v>0</v>
      </c>
      <c r="JS47" s="393">
        <f t="shared" si="12"/>
        <v>0</v>
      </c>
      <c r="JT47" s="393">
        <f t="shared" si="12"/>
        <v>0</v>
      </c>
      <c r="JU47" s="393">
        <f t="shared" si="12"/>
        <v>0</v>
      </c>
      <c r="JV47" s="393">
        <f t="shared" si="12"/>
        <v>0</v>
      </c>
      <c r="JW47" s="393">
        <f t="shared" si="12"/>
        <v>0</v>
      </c>
      <c r="JX47" s="393">
        <f t="shared" si="12"/>
        <v>0</v>
      </c>
      <c r="JY47" s="393">
        <f t="shared" si="12"/>
        <v>0</v>
      </c>
      <c r="JZ47" s="393">
        <f t="shared" si="12"/>
        <v>0</v>
      </c>
      <c r="KA47" s="393">
        <f t="shared" si="12"/>
        <v>0</v>
      </c>
      <c r="KB47" s="393">
        <f t="shared" si="12"/>
        <v>0</v>
      </c>
      <c r="KC47" s="393">
        <f t="shared" si="12"/>
        <v>0</v>
      </c>
      <c r="KD47" s="393">
        <f t="shared" si="12"/>
        <v>0</v>
      </c>
      <c r="KE47" s="393">
        <f t="shared" si="12"/>
        <v>0</v>
      </c>
      <c r="KF47" s="393">
        <f t="shared" si="12"/>
        <v>0</v>
      </c>
      <c r="KG47" s="393"/>
      <c r="KH47" s="393">
        <f t="shared" ref="KH47:LM47" si="13">SUM(KH5:KH46)</f>
        <v>0</v>
      </c>
      <c r="KI47" s="393">
        <f t="shared" si="13"/>
        <v>0</v>
      </c>
      <c r="KJ47" s="393">
        <f t="shared" si="13"/>
        <v>0</v>
      </c>
      <c r="KK47" s="393">
        <f t="shared" si="13"/>
        <v>0</v>
      </c>
      <c r="KL47" s="393">
        <f t="shared" si="13"/>
        <v>0</v>
      </c>
      <c r="KM47" s="393">
        <f t="shared" si="13"/>
        <v>0</v>
      </c>
      <c r="KN47" s="393">
        <f t="shared" si="13"/>
        <v>0</v>
      </c>
      <c r="KO47" s="393">
        <f t="shared" si="13"/>
        <v>0</v>
      </c>
      <c r="KP47" s="393">
        <f t="shared" si="13"/>
        <v>0</v>
      </c>
      <c r="KQ47" s="393">
        <f t="shared" si="13"/>
        <v>0</v>
      </c>
      <c r="KR47" s="393">
        <f t="shared" si="13"/>
        <v>0</v>
      </c>
      <c r="KS47" s="393">
        <f t="shared" si="13"/>
        <v>0</v>
      </c>
      <c r="KT47" s="393">
        <f t="shared" si="13"/>
        <v>0</v>
      </c>
      <c r="KU47" s="393">
        <f t="shared" si="13"/>
        <v>0</v>
      </c>
      <c r="KV47" s="393">
        <f t="shared" si="13"/>
        <v>0</v>
      </c>
      <c r="KW47" s="393">
        <f t="shared" si="13"/>
        <v>0</v>
      </c>
      <c r="KX47" s="393">
        <f t="shared" si="13"/>
        <v>0</v>
      </c>
      <c r="KY47" s="393">
        <f t="shared" si="13"/>
        <v>0</v>
      </c>
      <c r="KZ47" s="393">
        <f t="shared" si="13"/>
        <v>0</v>
      </c>
      <c r="LA47" s="393">
        <f t="shared" si="13"/>
        <v>0</v>
      </c>
      <c r="LB47" s="393">
        <f t="shared" si="13"/>
        <v>0</v>
      </c>
      <c r="LC47" s="393">
        <f t="shared" si="13"/>
        <v>0</v>
      </c>
      <c r="LD47" s="393">
        <f t="shared" si="13"/>
        <v>0</v>
      </c>
      <c r="LE47" s="393">
        <f t="shared" si="13"/>
        <v>0</v>
      </c>
      <c r="LF47" s="393">
        <f t="shared" si="13"/>
        <v>0</v>
      </c>
      <c r="LG47" s="393">
        <f t="shared" si="13"/>
        <v>0</v>
      </c>
      <c r="LH47" s="393">
        <f t="shared" si="13"/>
        <v>0</v>
      </c>
      <c r="LI47" s="393">
        <f t="shared" si="13"/>
        <v>0</v>
      </c>
      <c r="LJ47" s="393">
        <f t="shared" si="13"/>
        <v>0</v>
      </c>
      <c r="LK47" s="393">
        <f t="shared" si="13"/>
        <v>0</v>
      </c>
      <c r="LL47" s="393">
        <f t="shared" si="13"/>
        <v>0</v>
      </c>
      <c r="LM47" s="393">
        <f t="shared" si="13"/>
        <v>0</v>
      </c>
      <c r="LN47" s="393">
        <f t="shared" ref="LN47:MS47" si="14">SUM(LN5:LN46)</f>
        <v>0</v>
      </c>
      <c r="LO47" s="393">
        <f t="shared" si="14"/>
        <v>0</v>
      </c>
      <c r="LP47" s="393">
        <f t="shared" si="14"/>
        <v>0</v>
      </c>
      <c r="LQ47" s="393">
        <f t="shared" si="14"/>
        <v>0</v>
      </c>
      <c r="LR47" s="393">
        <f t="shared" si="14"/>
        <v>0</v>
      </c>
      <c r="LS47" s="393">
        <f t="shared" si="14"/>
        <v>0</v>
      </c>
      <c r="LT47" s="393">
        <f t="shared" si="14"/>
        <v>0</v>
      </c>
      <c r="LU47" s="393">
        <f t="shared" si="14"/>
        <v>0</v>
      </c>
      <c r="LV47" s="393">
        <f t="shared" si="14"/>
        <v>0</v>
      </c>
      <c r="LW47" s="393">
        <f t="shared" si="14"/>
        <v>0</v>
      </c>
      <c r="LX47" s="393">
        <f t="shared" si="14"/>
        <v>0</v>
      </c>
      <c r="LY47" s="393">
        <f t="shared" si="14"/>
        <v>0</v>
      </c>
      <c r="LZ47" s="393">
        <f t="shared" si="14"/>
        <v>0</v>
      </c>
      <c r="MA47" s="393">
        <f t="shared" si="14"/>
        <v>0</v>
      </c>
      <c r="MB47" s="393">
        <f t="shared" si="14"/>
        <v>0</v>
      </c>
      <c r="MC47" s="393">
        <f t="shared" si="14"/>
        <v>0</v>
      </c>
      <c r="MD47" s="393">
        <f t="shared" si="14"/>
        <v>0</v>
      </c>
      <c r="ME47" s="393">
        <f t="shared" si="14"/>
        <v>0</v>
      </c>
      <c r="MF47" s="393">
        <f t="shared" si="14"/>
        <v>0</v>
      </c>
      <c r="MG47" s="393">
        <f t="shared" si="14"/>
        <v>0</v>
      </c>
      <c r="MH47" s="393">
        <f t="shared" si="14"/>
        <v>0</v>
      </c>
      <c r="MI47" s="393">
        <f t="shared" si="14"/>
        <v>0</v>
      </c>
      <c r="MJ47" s="393">
        <f t="shared" si="14"/>
        <v>0</v>
      </c>
      <c r="MK47" s="393">
        <f t="shared" si="14"/>
        <v>0</v>
      </c>
      <c r="ML47" s="393">
        <f t="shared" si="14"/>
        <v>0</v>
      </c>
      <c r="MM47" s="393">
        <f t="shared" si="14"/>
        <v>0</v>
      </c>
      <c r="MN47" s="393">
        <f t="shared" si="14"/>
        <v>0</v>
      </c>
      <c r="MO47" s="393">
        <f t="shared" si="14"/>
        <v>0</v>
      </c>
      <c r="MP47" s="393">
        <f t="shared" si="14"/>
        <v>0</v>
      </c>
      <c r="MQ47" s="393">
        <f t="shared" si="14"/>
        <v>0</v>
      </c>
      <c r="MR47" s="393">
        <f t="shared" si="14"/>
        <v>0</v>
      </c>
      <c r="MS47" s="393">
        <f t="shared" si="14"/>
        <v>0</v>
      </c>
      <c r="MT47" s="393">
        <f t="shared" ref="MT47:NY47" si="15">SUM(MT5:MT46)</f>
        <v>0</v>
      </c>
      <c r="MU47" s="393">
        <f t="shared" si="15"/>
        <v>0</v>
      </c>
      <c r="MV47" s="393">
        <f t="shared" si="15"/>
        <v>0</v>
      </c>
      <c r="MW47" s="393">
        <f t="shared" si="15"/>
        <v>0</v>
      </c>
      <c r="MX47" s="393">
        <f t="shared" si="15"/>
        <v>0</v>
      </c>
      <c r="MY47" s="393">
        <f t="shared" si="15"/>
        <v>0</v>
      </c>
      <c r="MZ47" s="393">
        <f t="shared" si="15"/>
        <v>0</v>
      </c>
      <c r="NA47" s="393">
        <f t="shared" si="15"/>
        <v>0</v>
      </c>
      <c r="NB47" s="393">
        <f t="shared" si="15"/>
        <v>0</v>
      </c>
      <c r="NC47" s="393">
        <f t="shared" si="15"/>
        <v>0</v>
      </c>
      <c r="ND47" s="393">
        <f t="shared" si="15"/>
        <v>0</v>
      </c>
      <c r="NE47" s="393">
        <f t="shared" si="15"/>
        <v>0</v>
      </c>
      <c r="NF47" s="393">
        <f t="shared" si="15"/>
        <v>0</v>
      </c>
      <c r="NG47" s="393">
        <f t="shared" si="15"/>
        <v>0</v>
      </c>
      <c r="NH47" s="393">
        <f t="shared" si="15"/>
        <v>0</v>
      </c>
      <c r="NI47" s="393">
        <f t="shared" si="15"/>
        <v>0</v>
      </c>
      <c r="NJ47" s="393">
        <f t="shared" si="15"/>
        <v>0</v>
      </c>
      <c r="NK47" s="393">
        <f t="shared" si="15"/>
        <v>0</v>
      </c>
      <c r="NL47" s="393">
        <f t="shared" si="15"/>
        <v>0</v>
      </c>
      <c r="NM47" s="393">
        <f t="shared" si="15"/>
        <v>0</v>
      </c>
      <c r="NN47" s="393">
        <f t="shared" si="15"/>
        <v>0</v>
      </c>
      <c r="NO47" s="393">
        <f t="shared" si="15"/>
        <v>0</v>
      </c>
      <c r="NP47" s="393">
        <f t="shared" si="15"/>
        <v>0</v>
      </c>
      <c r="NQ47" s="393">
        <f t="shared" si="15"/>
        <v>0</v>
      </c>
      <c r="NR47" s="393">
        <f t="shared" si="15"/>
        <v>0</v>
      </c>
      <c r="NS47" s="393">
        <f t="shared" si="15"/>
        <v>0</v>
      </c>
      <c r="NT47" s="393">
        <f t="shared" si="15"/>
        <v>0</v>
      </c>
      <c r="NU47" s="393">
        <f t="shared" si="15"/>
        <v>0</v>
      </c>
      <c r="NV47" s="393">
        <f t="shared" si="15"/>
        <v>0</v>
      </c>
      <c r="NW47" s="393">
        <f t="shared" si="15"/>
        <v>0</v>
      </c>
      <c r="NX47" s="393">
        <f t="shared" si="15"/>
        <v>0</v>
      </c>
      <c r="NY47" s="393">
        <f t="shared" si="15"/>
        <v>0</v>
      </c>
      <c r="NZ47" s="393">
        <f t="shared" ref="NZ47:PE47" si="16">SUM(NZ5:NZ46)</f>
        <v>0</v>
      </c>
      <c r="OA47" s="393">
        <f t="shared" si="16"/>
        <v>0</v>
      </c>
      <c r="OB47" s="393">
        <f t="shared" si="16"/>
        <v>0</v>
      </c>
      <c r="OC47" s="393">
        <f t="shared" si="16"/>
        <v>0</v>
      </c>
      <c r="OD47" s="393">
        <f t="shared" si="16"/>
        <v>0</v>
      </c>
      <c r="OE47" s="393">
        <f t="shared" si="16"/>
        <v>0</v>
      </c>
      <c r="OF47" s="393">
        <f t="shared" si="16"/>
        <v>0</v>
      </c>
      <c r="OG47" s="393">
        <f t="shared" si="16"/>
        <v>0</v>
      </c>
      <c r="OH47" s="393">
        <f t="shared" si="16"/>
        <v>0</v>
      </c>
      <c r="OI47" s="393">
        <f t="shared" si="16"/>
        <v>0</v>
      </c>
      <c r="OJ47" s="393">
        <f t="shared" si="16"/>
        <v>0</v>
      </c>
      <c r="OK47" s="393">
        <f t="shared" si="16"/>
        <v>0</v>
      </c>
      <c r="OL47" s="393">
        <f t="shared" si="16"/>
        <v>0</v>
      </c>
      <c r="OM47" s="393">
        <f t="shared" si="16"/>
        <v>0</v>
      </c>
      <c r="ON47" s="393">
        <f t="shared" si="16"/>
        <v>0</v>
      </c>
      <c r="OO47" s="393">
        <f t="shared" si="16"/>
        <v>0</v>
      </c>
      <c r="OP47" s="393">
        <f t="shared" si="16"/>
        <v>0</v>
      </c>
      <c r="OQ47" s="393">
        <f t="shared" si="16"/>
        <v>0</v>
      </c>
      <c r="OR47" s="393">
        <f t="shared" si="16"/>
        <v>0</v>
      </c>
      <c r="OS47" s="393">
        <f t="shared" si="16"/>
        <v>0</v>
      </c>
      <c r="OT47" s="393">
        <f t="shared" si="16"/>
        <v>0</v>
      </c>
      <c r="OU47" s="393">
        <f t="shared" si="16"/>
        <v>0</v>
      </c>
      <c r="OV47" s="393">
        <f t="shared" si="16"/>
        <v>0</v>
      </c>
      <c r="OW47" s="393">
        <f t="shared" si="16"/>
        <v>0</v>
      </c>
      <c r="OX47" s="393">
        <f t="shared" si="16"/>
        <v>0</v>
      </c>
      <c r="OY47" s="393">
        <f t="shared" si="16"/>
        <v>0</v>
      </c>
      <c r="OZ47" s="393">
        <f t="shared" si="16"/>
        <v>0</v>
      </c>
      <c r="PA47" s="393">
        <f t="shared" si="16"/>
        <v>0</v>
      </c>
      <c r="PB47" s="393">
        <f t="shared" si="16"/>
        <v>0</v>
      </c>
      <c r="PC47" s="393">
        <f t="shared" si="16"/>
        <v>0</v>
      </c>
      <c r="PD47" s="393">
        <f t="shared" si="16"/>
        <v>0</v>
      </c>
      <c r="PE47" s="393">
        <f t="shared" si="16"/>
        <v>0</v>
      </c>
      <c r="PF47" s="393">
        <f>SUM(PF5:PF46)</f>
        <v>0</v>
      </c>
      <c r="PG47" s="393">
        <f>SUM(PG5:PG46)</f>
        <v>0</v>
      </c>
    </row>
  </sheetData>
  <autoFilter ref="A4:PH47" xr:uid="{00000000-0009-0000-0000-00000C000000}"/>
  <mergeCells count="36">
    <mergeCell ref="OF1:OS1"/>
    <mergeCell ref="OT1:PG1"/>
    <mergeCell ref="IW1:JI1"/>
    <mergeCell ref="JJ1:JW1"/>
    <mergeCell ref="JX1:KK1"/>
    <mergeCell ref="KL1:KZ1"/>
    <mergeCell ref="LA1:LN1"/>
    <mergeCell ref="NS1:OE1"/>
    <mergeCell ref="MC1:MP1"/>
    <mergeCell ref="MQ1:ND1"/>
    <mergeCell ref="NE1:NR1"/>
    <mergeCell ref="T1:AG1"/>
    <mergeCell ref="D1:D4"/>
    <mergeCell ref="GS1:HF1"/>
    <mergeCell ref="HG1:HT1"/>
    <mergeCell ref="HU1:IH1"/>
    <mergeCell ref="FT1:GE1"/>
    <mergeCell ref="GF1:GR1"/>
    <mergeCell ref="DK1:DV1"/>
    <mergeCell ref="DW1:EI1"/>
    <mergeCell ref="EV1:FG1"/>
    <mergeCell ref="FH1:FS1"/>
    <mergeCell ref="EJ1:EU1"/>
    <mergeCell ref="II1:IV1"/>
    <mergeCell ref="LO1:MB1"/>
    <mergeCell ref="AH1:AT1"/>
    <mergeCell ref="AU1:BH1"/>
    <mergeCell ref="BI1:BV1"/>
    <mergeCell ref="BW1:CJ1"/>
    <mergeCell ref="CK1:CW1"/>
    <mergeCell ref="CX1:DJ1"/>
    <mergeCell ref="A1:A4"/>
    <mergeCell ref="B1:B4"/>
    <mergeCell ref="C1:C4"/>
    <mergeCell ref="E1:E4"/>
    <mergeCell ref="F1:S1"/>
  </mergeCells>
  <phoneticPr fontId="92" type="noConversion"/>
  <conditionalFormatting sqref="A1">
    <cfRule type="duplicateValues" dxfId="64" priority="3832"/>
  </conditionalFormatting>
  <conditionalFormatting sqref="A16:A34 A46">
    <cfRule type="duplicateValues" dxfId="63" priority="15"/>
  </conditionalFormatting>
  <conditionalFormatting sqref="A35:A44">
    <cfRule type="duplicateValues" dxfId="62" priority="1"/>
  </conditionalFormatting>
  <conditionalFormatting sqref="D5:D46">
    <cfRule type="cellIs" dxfId="61" priority="8" operator="lessThan">
      <formula>$B5</formula>
    </cfRule>
    <cfRule type="cellIs" dxfId="60" priority="9" operator="greaterThan">
      <formula>$B5</formula>
    </cfRule>
    <cfRule type="cellIs" dxfId="59" priority="10" operator="equal">
      <formula>$B5</formula>
    </cfRule>
    <cfRule type="cellIs" dxfId="58" priority="12" operator="equal">
      <formula>$B$16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P426"/>
  <sheetViews>
    <sheetView zoomScale="90" zoomScaleNormal="90" workbookViewId="0">
      <selection activeCell="A2" sqref="A2:P426"/>
    </sheetView>
  </sheetViews>
  <sheetFormatPr defaultColWidth="9.140625" defaultRowHeight="15" x14ac:dyDescent="0.25"/>
  <cols>
    <col min="1" max="1" width="7" style="529" bestFit="1" customWidth="1"/>
    <col min="2" max="2" width="5" style="529" bestFit="1" customWidth="1"/>
    <col min="3" max="3" width="13.140625" style="529" customWidth="1"/>
    <col min="4" max="4" width="15" style="529" bestFit="1" customWidth="1"/>
    <col min="5" max="5" width="19" style="529" bestFit="1" customWidth="1"/>
    <col min="6" max="6" width="14" style="529" bestFit="1" customWidth="1"/>
    <col min="7" max="7" width="12" style="529" customWidth="1"/>
    <col min="8" max="8" width="10" style="529" bestFit="1" customWidth="1"/>
    <col min="9" max="9" width="14" style="529" bestFit="1" customWidth="1"/>
    <col min="10" max="10" width="6" style="529" bestFit="1" customWidth="1"/>
    <col min="11" max="11" width="14" style="529" bestFit="1" customWidth="1"/>
    <col min="12" max="12" width="34" style="529" bestFit="1" customWidth="1"/>
    <col min="13" max="13" width="12" style="529" bestFit="1" customWidth="1"/>
    <col min="14" max="14" width="13" style="529" bestFit="1" customWidth="1"/>
    <col min="15" max="15" width="8" style="529" bestFit="1" customWidth="1"/>
    <col min="16" max="16" width="12" style="529" bestFit="1" customWidth="1"/>
    <col min="17" max="16384" width="9.140625" style="529"/>
  </cols>
  <sheetData>
    <row r="1" spans="1:16" s="146" customFormat="1" ht="51" x14ac:dyDescent="0.25">
      <c r="A1" s="761" t="s">
        <v>705</v>
      </c>
      <c r="B1" s="762" t="s">
        <v>706</v>
      </c>
      <c r="C1" s="761" t="s">
        <v>707</v>
      </c>
      <c r="D1" s="761" t="s">
        <v>708</v>
      </c>
      <c r="E1" s="761" t="s">
        <v>709</v>
      </c>
      <c r="F1" s="761" t="s">
        <v>541</v>
      </c>
      <c r="G1" s="762" t="s">
        <v>542</v>
      </c>
      <c r="H1" s="761" t="s">
        <v>710</v>
      </c>
      <c r="I1" s="761" t="s">
        <v>711</v>
      </c>
      <c r="J1" s="762" t="s">
        <v>712</v>
      </c>
      <c r="K1" s="761" t="s">
        <v>717</v>
      </c>
      <c r="L1" s="761" t="s">
        <v>713</v>
      </c>
      <c r="M1" s="761" t="s">
        <v>714</v>
      </c>
      <c r="N1" s="762" t="s">
        <v>715</v>
      </c>
      <c r="O1" s="761" t="s">
        <v>716</v>
      </c>
      <c r="P1" s="761" t="s">
        <v>718</v>
      </c>
    </row>
    <row r="2" spans="1:16" x14ac:dyDescent="0.25">
      <c r="A2" s="529" t="s">
        <v>796</v>
      </c>
      <c r="B2" s="529" t="s">
        <v>797</v>
      </c>
      <c r="C2" s="808">
        <v>46205</v>
      </c>
      <c r="D2" s="809">
        <v>0.71393518518518995</v>
      </c>
      <c r="E2" s="529" t="s">
        <v>798</v>
      </c>
      <c r="F2" s="529" t="s">
        <v>799</v>
      </c>
      <c r="G2" s="529" t="s">
        <v>800</v>
      </c>
      <c r="H2" s="810">
        <v>30</v>
      </c>
      <c r="I2" s="811">
        <v>182857.8</v>
      </c>
      <c r="J2" s="529" t="s">
        <v>801</v>
      </c>
      <c r="K2" s="529" t="s">
        <v>802</v>
      </c>
      <c r="L2" s="529" t="s">
        <v>803</v>
      </c>
      <c r="M2" s="529" t="s">
        <v>911</v>
      </c>
      <c r="N2" s="529" t="s">
        <v>804</v>
      </c>
      <c r="O2" s="529" t="s">
        <v>577</v>
      </c>
      <c r="P2" s="529" t="s">
        <v>805</v>
      </c>
    </row>
    <row r="3" spans="1:16" x14ac:dyDescent="0.25">
      <c r="A3" s="529" t="s">
        <v>796</v>
      </c>
      <c r="B3" s="529" t="s">
        <v>797</v>
      </c>
      <c r="C3" s="808">
        <v>46205</v>
      </c>
      <c r="D3" s="809">
        <v>0.76133101851852003</v>
      </c>
      <c r="E3" s="529" t="s">
        <v>808</v>
      </c>
      <c r="F3" s="529" t="s">
        <v>799</v>
      </c>
      <c r="G3" s="529" t="s">
        <v>800</v>
      </c>
      <c r="H3" s="810">
        <v>50</v>
      </c>
      <c r="I3" s="811">
        <v>304763</v>
      </c>
      <c r="J3" s="529" t="s">
        <v>801</v>
      </c>
      <c r="K3" s="529" t="s">
        <v>802</v>
      </c>
      <c r="L3" s="529" t="s">
        <v>809</v>
      </c>
      <c r="M3" s="529" t="s">
        <v>912</v>
      </c>
      <c r="N3" s="529" t="s">
        <v>804</v>
      </c>
      <c r="O3" s="529" t="s">
        <v>577</v>
      </c>
      <c r="P3" s="529" t="s">
        <v>810</v>
      </c>
    </row>
    <row r="4" spans="1:16" x14ac:dyDescent="0.25">
      <c r="A4" s="529" t="s">
        <v>796</v>
      </c>
      <c r="B4" s="529" t="s">
        <v>797</v>
      </c>
      <c r="C4" s="808">
        <v>46205</v>
      </c>
      <c r="D4" s="809">
        <v>0.76114583333332997</v>
      </c>
      <c r="E4" s="529" t="s">
        <v>806</v>
      </c>
      <c r="F4" s="529" t="s">
        <v>799</v>
      </c>
      <c r="G4" s="529" t="s">
        <v>800</v>
      </c>
      <c r="H4" s="810">
        <v>45</v>
      </c>
      <c r="I4" s="811">
        <v>274286.7</v>
      </c>
      <c r="J4" s="529" t="s">
        <v>801</v>
      </c>
      <c r="K4" s="529" t="s">
        <v>802</v>
      </c>
      <c r="L4" s="529" t="s">
        <v>803</v>
      </c>
      <c r="M4" s="529" t="s">
        <v>1217</v>
      </c>
      <c r="N4" s="529" t="s">
        <v>804</v>
      </c>
      <c r="O4" s="529" t="s">
        <v>577</v>
      </c>
      <c r="P4" s="529" t="s">
        <v>807</v>
      </c>
    </row>
    <row r="5" spans="1:16" x14ac:dyDescent="0.25">
      <c r="A5" s="529" t="s">
        <v>796</v>
      </c>
      <c r="B5" s="529" t="s">
        <v>797</v>
      </c>
      <c r="C5" s="808">
        <v>46205</v>
      </c>
      <c r="D5" s="809">
        <v>0.76100694444443995</v>
      </c>
      <c r="E5" s="529" t="s">
        <v>811</v>
      </c>
      <c r="F5" s="529" t="s">
        <v>812</v>
      </c>
      <c r="G5" s="529" t="s">
        <v>800</v>
      </c>
      <c r="H5" s="810">
        <v>27</v>
      </c>
      <c r="I5" s="811">
        <v>171845.28</v>
      </c>
      <c r="J5" s="529" t="s">
        <v>801</v>
      </c>
      <c r="K5" s="529" t="s">
        <v>802</v>
      </c>
      <c r="L5" s="529" t="s">
        <v>803</v>
      </c>
      <c r="M5" s="529" t="s">
        <v>1218</v>
      </c>
      <c r="N5" s="529" t="s">
        <v>804</v>
      </c>
      <c r="O5" s="529" t="s">
        <v>577</v>
      </c>
      <c r="P5" s="529" t="s">
        <v>813</v>
      </c>
    </row>
    <row r="6" spans="1:16" x14ac:dyDescent="0.25">
      <c r="A6" s="529" t="s">
        <v>796</v>
      </c>
      <c r="B6" s="529" t="s">
        <v>797</v>
      </c>
      <c r="C6" s="808">
        <v>46205</v>
      </c>
      <c r="D6" s="809">
        <v>0.76148148148147998</v>
      </c>
      <c r="E6" s="529" t="s">
        <v>818</v>
      </c>
      <c r="F6" s="529" t="s">
        <v>815</v>
      </c>
      <c r="G6" s="529" t="s">
        <v>800</v>
      </c>
      <c r="H6" s="810">
        <v>60</v>
      </c>
      <c r="I6" s="811">
        <v>374541</v>
      </c>
      <c r="J6" s="529" t="s">
        <v>816</v>
      </c>
      <c r="K6" s="529" t="s">
        <v>802</v>
      </c>
      <c r="L6" s="529" t="s">
        <v>803</v>
      </c>
      <c r="M6" s="529" t="s">
        <v>1219</v>
      </c>
      <c r="N6" s="529" t="s">
        <v>804</v>
      </c>
      <c r="O6" s="529" t="s">
        <v>577</v>
      </c>
      <c r="P6" s="529" t="s">
        <v>819</v>
      </c>
    </row>
    <row r="7" spans="1:16" x14ac:dyDescent="0.25">
      <c r="A7" s="529" t="s">
        <v>796</v>
      </c>
      <c r="B7" s="529" t="s">
        <v>797</v>
      </c>
      <c r="C7" s="808">
        <v>46205</v>
      </c>
      <c r="D7" s="809">
        <v>0.71405092592593</v>
      </c>
      <c r="E7" s="529" t="s">
        <v>814</v>
      </c>
      <c r="F7" s="529" t="s">
        <v>815</v>
      </c>
      <c r="G7" s="529" t="s">
        <v>800</v>
      </c>
      <c r="H7" s="810">
        <v>30</v>
      </c>
      <c r="I7" s="811">
        <v>187270.5</v>
      </c>
      <c r="J7" s="529" t="s">
        <v>816</v>
      </c>
      <c r="K7" s="529" t="s">
        <v>802</v>
      </c>
      <c r="L7" s="529" t="s">
        <v>803</v>
      </c>
      <c r="M7" s="529" t="s">
        <v>913</v>
      </c>
      <c r="N7" s="529" t="s">
        <v>804</v>
      </c>
      <c r="O7" s="529" t="s">
        <v>577</v>
      </c>
      <c r="P7" s="529" t="s">
        <v>817</v>
      </c>
    </row>
    <row r="8" spans="1:16" x14ac:dyDescent="0.25">
      <c r="A8" s="529" t="s">
        <v>796</v>
      </c>
      <c r="B8" s="529" t="s">
        <v>797</v>
      </c>
      <c r="C8" s="808">
        <v>46205</v>
      </c>
      <c r="D8" s="809">
        <v>0.76135416666667</v>
      </c>
      <c r="E8" s="529" t="s">
        <v>820</v>
      </c>
      <c r="F8" s="529" t="s">
        <v>821</v>
      </c>
      <c r="G8" s="529" t="s">
        <v>800</v>
      </c>
      <c r="H8" s="810">
        <v>15</v>
      </c>
      <c r="I8" s="811">
        <v>97146.45</v>
      </c>
      <c r="J8" s="529" t="s">
        <v>801</v>
      </c>
      <c r="K8" s="529" t="s">
        <v>802</v>
      </c>
      <c r="L8" s="529" t="s">
        <v>803</v>
      </c>
      <c r="M8" s="529" t="s">
        <v>1220</v>
      </c>
      <c r="N8" s="529" t="s">
        <v>804</v>
      </c>
      <c r="O8" s="529" t="s">
        <v>577</v>
      </c>
      <c r="P8" s="529" t="s">
        <v>822</v>
      </c>
    </row>
    <row r="9" spans="1:16" x14ac:dyDescent="0.25">
      <c r="A9" s="529" t="s">
        <v>796</v>
      </c>
      <c r="B9" s="529" t="s">
        <v>797</v>
      </c>
      <c r="C9" s="808">
        <v>46205</v>
      </c>
      <c r="D9" s="809">
        <v>0.76144675925925998</v>
      </c>
      <c r="E9" s="529" t="s">
        <v>826</v>
      </c>
      <c r="F9" s="529" t="s">
        <v>824</v>
      </c>
      <c r="G9" s="529" t="s">
        <v>800</v>
      </c>
      <c r="H9" s="810">
        <v>5</v>
      </c>
      <c r="I9" s="811">
        <v>31604.799999999999</v>
      </c>
      <c r="J9" s="529" t="s">
        <v>816</v>
      </c>
      <c r="K9" s="529" t="s">
        <v>802</v>
      </c>
      <c r="L9" s="529" t="s">
        <v>803</v>
      </c>
      <c r="M9" s="529" t="s">
        <v>1221</v>
      </c>
      <c r="N9" s="529" t="s">
        <v>804</v>
      </c>
      <c r="O9" s="529" t="s">
        <v>577</v>
      </c>
      <c r="P9" s="529" t="s">
        <v>827</v>
      </c>
    </row>
    <row r="10" spans="1:16" x14ac:dyDescent="0.25">
      <c r="A10" s="529" t="s">
        <v>796</v>
      </c>
      <c r="B10" s="529" t="s">
        <v>797</v>
      </c>
      <c r="C10" s="808">
        <v>46205</v>
      </c>
      <c r="D10" s="809">
        <v>0.76138888888889</v>
      </c>
      <c r="E10" s="529" t="s">
        <v>823</v>
      </c>
      <c r="F10" s="529" t="s">
        <v>824</v>
      </c>
      <c r="G10" s="529" t="s">
        <v>800</v>
      </c>
      <c r="H10" s="810">
        <v>20</v>
      </c>
      <c r="I10" s="811">
        <v>126419.2</v>
      </c>
      <c r="J10" s="529" t="s">
        <v>816</v>
      </c>
      <c r="K10" s="529" t="s">
        <v>802</v>
      </c>
      <c r="L10" s="529" t="s">
        <v>809</v>
      </c>
      <c r="M10" s="529" t="s">
        <v>914</v>
      </c>
      <c r="N10" s="529" t="s">
        <v>804</v>
      </c>
      <c r="O10" s="529" t="s">
        <v>577</v>
      </c>
      <c r="P10" s="529" t="s">
        <v>825</v>
      </c>
    </row>
    <row r="11" spans="1:16" x14ac:dyDescent="0.25">
      <c r="A11" s="529" t="s">
        <v>796</v>
      </c>
      <c r="B11" s="529" t="s">
        <v>797</v>
      </c>
      <c r="C11" s="808">
        <v>46205</v>
      </c>
      <c r="D11" s="809">
        <v>0.76093750000000004</v>
      </c>
      <c r="E11" s="529" t="s">
        <v>828</v>
      </c>
      <c r="F11" s="529" t="s">
        <v>829</v>
      </c>
      <c r="G11" s="529" t="s">
        <v>800</v>
      </c>
      <c r="H11" s="810">
        <v>10</v>
      </c>
      <c r="I11" s="811">
        <v>64912.3</v>
      </c>
      <c r="J11" s="529" t="s">
        <v>816</v>
      </c>
      <c r="K11" s="529" t="s">
        <v>802</v>
      </c>
      <c r="L11" s="529" t="s">
        <v>809</v>
      </c>
      <c r="M11" s="529" t="s">
        <v>915</v>
      </c>
      <c r="N11" s="529" t="s">
        <v>804</v>
      </c>
      <c r="O11" s="529" t="s">
        <v>577</v>
      </c>
      <c r="P11" s="529" t="s">
        <v>830</v>
      </c>
    </row>
    <row r="12" spans="1:16" x14ac:dyDescent="0.25">
      <c r="A12" s="529" t="s">
        <v>796</v>
      </c>
      <c r="B12" s="529" t="s">
        <v>797</v>
      </c>
      <c r="C12" s="808">
        <v>46205</v>
      </c>
      <c r="D12" s="809">
        <v>0.76143518518519004</v>
      </c>
      <c r="E12" s="529" t="s">
        <v>831</v>
      </c>
      <c r="F12" s="529" t="s">
        <v>832</v>
      </c>
      <c r="G12" s="529" t="s">
        <v>800</v>
      </c>
      <c r="H12" s="810">
        <v>20</v>
      </c>
      <c r="I12" s="811">
        <v>132374</v>
      </c>
      <c r="J12" s="529" t="s">
        <v>816</v>
      </c>
      <c r="K12" s="529" t="s">
        <v>802</v>
      </c>
      <c r="L12" s="529" t="s">
        <v>809</v>
      </c>
      <c r="M12" s="529" t="s">
        <v>916</v>
      </c>
      <c r="N12" s="529" t="s">
        <v>804</v>
      </c>
      <c r="O12" s="529" t="s">
        <v>577</v>
      </c>
      <c r="P12" s="529" t="s">
        <v>833</v>
      </c>
    </row>
    <row r="13" spans="1:16" x14ac:dyDescent="0.25">
      <c r="A13" s="529" t="s">
        <v>796</v>
      </c>
      <c r="B13" s="529" t="s">
        <v>797</v>
      </c>
      <c r="C13" s="808">
        <v>46205</v>
      </c>
      <c r="D13" s="809">
        <v>0.76140046296296005</v>
      </c>
      <c r="E13" s="529" t="s">
        <v>834</v>
      </c>
      <c r="F13" s="529" t="s">
        <v>835</v>
      </c>
      <c r="G13" s="529" t="s">
        <v>800</v>
      </c>
      <c r="H13" s="810">
        <v>10</v>
      </c>
      <c r="I13" s="811">
        <v>63317.3</v>
      </c>
      <c r="J13" s="529" t="s">
        <v>801</v>
      </c>
      <c r="K13" s="529" t="s">
        <v>802</v>
      </c>
      <c r="L13" s="529" t="s">
        <v>803</v>
      </c>
      <c r="M13" s="529" t="s">
        <v>1222</v>
      </c>
      <c r="N13" s="529" t="s">
        <v>804</v>
      </c>
      <c r="O13" s="529" t="s">
        <v>577</v>
      </c>
      <c r="P13" s="529" t="s">
        <v>836</v>
      </c>
    </row>
    <row r="14" spans="1:16" x14ac:dyDescent="0.25">
      <c r="A14" s="529" t="s">
        <v>796</v>
      </c>
      <c r="B14" s="529" t="s">
        <v>797</v>
      </c>
      <c r="C14" s="808">
        <v>46205</v>
      </c>
      <c r="D14" s="809">
        <v>0.76122685185185002</v>
      </c>
      <c r="E14" s="529" t="s">
        <v>837</v>
      </c>
      <c r="F14" s="529" t="s">
        <v>838</v>
      </c>
      <c r="G14" s="529" t="s">
        <v>800</v>
      </c>
      <c r="H14" s="810">
        <v>5</v>
      </c>
      <c r="I14" s="811">
        <v>32580.3</v>
      </c>
      <c r="J14" s="529" t="s">
        <v>801</v>
      </c>
      <c r="K14" s="529" t="s">
        <v>802</v>
      </c>
      <c r="L14" s="529" t="s">
        <v>809</v>
      </c>
      <c r="M14" s="529" t="s">
        <v>917</v>
      </c>
      <c r="N14" s="529" t="s">
        <v>804</v>
      </c>
      <c r="O14" s="529" t="s">
        <v>577</v>
      </c>
      <c r="P14" s="529" t="s">
        <v>839</v>
      </c>
    </row>
    <row r="15" spans="1:16" x14ac:dyDescent="0.25">
      <c r="A15" s="529" t="s">
        <v>796</v>
      </c>
      <c r="B15" s="529" t="s">
        <v>797</v>
      </c>
      <c r="C15" s="808">
        <v>46205</v>
      </c>
      <c r="D15" s="809">
        <v>0.76199074074074002</v>
      </c>
      <c r="E15" s="529" t="s">
        <v>840</v>
      </c>
      <c r="F15" s="529" t="s">
        <v>841</v>
      </c>
      <c r="G15" s="529" t="s">
        <v>800</v>
      </c>
      <c r="H15" s="810">
        <v>15</v>
      </c>
      <c r="I15" s="811">
        <v>104067.45</v>
      </c>
      <c r="J15" s="529" t="s">
        <v>801</v>
      </c>
      <c r="K15" s="529" t="s">
        <v>802</v>
      </c>
      <c r="L15" s="529" t="s">
        <v>803</v>
      </c>
      <c r="M15" s="529" t="s">
        <v>1223</v>
      </c>
      <c r="N15" s="529" t="s">
        <v>804</v>
      </c>
      <c r="O15" s="529" t="s">
        <v>577</v>
      </c>
      <c r="P15" s="529" t="s">
        <v>842</v>
      </c>
    </row>
    <row r="16" spans="1:16" x14ac:dyDescent="0.25">
      <c r="A16" s="529" t="s">
        <v>796</v>
      </c>
      <c r="B16" s="529" t="s">
        <v>797</v>
      </c>
      <c r="C16" s="808">
        <v>46206</v>
      </c>
      <c r="D16" s="809">
        <v>0.90759259259258995</v>
      </c>
      <c r="E16" s="529" t="s">
        <v>926</v>
      </c>
      <c r="F16" s="529" t="s">
        <v>919</v>
      </c>
      <c r="G16" s="529" t="s">
        <v>800</v>
      </c>
      <c r="H16" s="810">
        <v>20</v>
      </c>
      <c r="I16" s="811">
        <v>120721.2</v>
      </c>
      <c r="J16" s="529" t="s">
        <v>816</v>
      </c>
      <c r="K16" s="529" t="s">
        <v>802</v>
      </c>
      <c r="L16" s="529" t="s">
        <v>857</v>
      </c>
      <c r="M16" s="529" t="s">
        <v>927</v>
      </c>
      <c r="N16" s="529" t="s">
        <v>804</v>
      </c>
      <c r="O16" s="529" t="s">
        <v>577</v>
      </c>
      <c r="P16" s="529" t="s">
        <v>928</v>
      </c>
    </row>
    <row r="17" spans="1:16" x14ac:dyDescent="0.25">
      <c r="A17" s="529" t="s">
        <v>796</v>
      </c>
      <c r="B17" s="529" t="s">
        <v>797</v>
      </c>
      <c r="C17" s="808">
        <v>46206</v>
      </c>
      <c r="D17" s="809">
        <v>0.46954861111111001</v>
      </c>
      <c r="E17" s="529" t="s">
        <v>918</v>
      </c>
      <c r="F17" s="529" t="s">
        <v>919</v>
      </c>
      <c r="G17" s="529" t="s">
        <v>800</v>
      </c>
      <c r="H17" s="810">
        <v>15</v>
      </c>
      <c r="I17" s="811">
        <v>90540.9</v>
      </c>
      <c r="J17" s="529" t="s">
        <v>816</v>
      </c>
      <c r="K17" s="529" t="s">
        <v>802</v>
      </c>
      <c r="L17" s="529" t="s">
        <v>920</v>
      </c>
      <c r="M17" s="529" t="s">
        <v>921</v>
      </c>
      <c r="N17" s="529" t="s">
        <v>804</v>
      </c>
      <c r="O17" s="529" t="s">
        <v>577</v>
      </c>
      <c r="P17" s="529" t="s">
        <v>922</v>
      </c>
    </row>
    <row r="18" spans="1:16" x14ac:dyDescent="0.25">
      <c r="A18" s="529" t="s">
        <v>796</v>
      </c>
      <c r="B18" s="529" t="s">
        <v>797</v>
      </c>
      <c r="C18" s="808">
        <v>46206</v>
      </c>
      <c r="D18" s="809">
        <v>0.55714120370370002</v>
      </c>
      <c r="E18" s="529" t="s">
        <v>923</v>
      </c>
      <c r="F18" s="529" t="s">
        <v>919</v>
      </c>
      <c r="G18" s="529" t="s">
        <v>800</v>
      </c>
      <c r="H18" s="810">
        <v>6</v>
      </c>
      <c r="I18" s="811">
        <v>36216.36</v>
      </c>
      <c r="J18" s="529" t="s">
        <v>816</v>
      </c>
      <c r="K18" s="529" t="s">
        <v>802</v>
      </c>
      <c r="L18" s="529" t="s">
        <v>857</v>
      </c>
      <c r="M18" s="529" t="s">
        <v>924</v>
      </c>
      <c r="N18" s="529" t="s">
        <v>804</v>
      </c>
      <c r="O18" s="529" t="s">
        <v>577</v>
      </c>
      <c r="P18" s="529" t="s">
        <v>925</v>
      </c>
    </row>
    <row r="19" spans="1:16" x14ac:dyDescent="0.25">
      <c r="A19" s="529" t="s">
        <v>796</v>
      </c>
      <c r="B19" s="529" t="s">
        <v>797</v>
      </c>
      <c r="C19" s="808">
        <v>46206</v>
      </c>
      <c r="D19" s="809">
        <v>0.22812499999999999</v>
      </c>
      <c r="E19" s="529" t="s">
        <v>843</v>
      </c>
      <c r="F19" s="529" t="s">
        <v>799</v>
      </c>
      <c r="G19" s="529" t="s">
        <v>800</v>
      </c>
      <c r="H19" s="810">
        <v>20</v>
      </c>
      <c r="I19" s="811">
        <v>121905.2</v>
      </c>
      <c r="J19" s="529" t="s">
        <v>801</v>
      </c>
      <c r="K19" s="529" t="s">
        <v>802</v>
      </c>
      <c r="L19" s="529" t="s">
        <v>844</v>
      </c>
      <c r="M19" s="529" t="s">
        <v>845</v>
      </c>
      <c r="N19" s="529" t="s">
        <v>804</v>
      </c>
      <c r="O19" s="529" t="s">
        <v>577</v>
      </c>
      <c r="P19" s="529" t="s">
        <v>846</v>
      </c>
    </row>
    <row r="20" spans="1:16" x14ac:dyDescent="0.25">
      <c r="A20" s="529" t="s">
        <v>796</v>
      </c>
      <c r="B20" s="529" t="s">
        <v>797</v>
      </c>
      <c r="C20" s="808">
        <v>46206</v>
      </c>
      <c r="D20" s="809">
        <v>0.37774305555555998</v>
      </c>
      <c r="E20" s="529" t="s">
        <v>847</v>
      </c>
      <c r="F20" s="529" t="s">
        <v>799</v>
      </c>
      <c r="G20" s="529" t="s">
        <v>800</v>
      </c>
      <c r="H20" s="810">
        <v>30</v>
      </c>
      <c r="I20" s="811">
        <v>182857.8</v>
      </c>
      <c r="J20" s="529" t="s">
        <v>801</v>
      </c>
      <c r="K20" s="529" t="s">
        <v>802</v>
      </c>
      <c r="L20" s="529" t="s">
        <v>848</v>
      </c>
      <c r="M20" s="529" t="s">
        <v>941</v>
      </c>
      <c r="N20" s="529" t="s">
        <v>804</v>
      </c>
      <c r="O20" s="529" t="s">
        <v>577</v>
      </c>
      <c r="P20" s="529" t="s">
        <v>849</v>
      </c>
    </row>
    <row r="21" spans="1:16" x14ac:dyDescent="0.25">
      <c r="A21" s="529" t="s">
        <v>796</v>
      </c>
      <c r="B21" s="529" t="s">
        <v>797</v>
      </c>
      <c r="C21" s="808">
        <v>46206</v>
      </c>
      <c r="D21" s="809">
        <v>0.73560185185185001</v>
      </c>
      <c r="E21" s="529" t="s">
        <v>929</v>
      </c>
      <c r="F21" s="529" t="s">
        <v>799</v>
      </c>
      <c r="G21" s="529" t="s">
        <v>800</v>
      </c>
      <c r="H21" s="810">
        <v>70</v>
      </c>
      <c r="I21" s="811">
        <v>426668.2</v>
      </c>
      <c r="J21" s="529" t="s">
        <v>801</v>
      </c>
      <c r="K21" s="529" t="s">
        <v>802</v>
      </c>
      <c r="L21" s="529" t="s">
        <v>857</v>
      </c>
      <c r="M21" s="529" t="s">
        <v>930</v>
      </c>
      <c r="N21" s="529" t="s">
        <v>804</v>
      </c>
      <c r="O21" s="529" t="s">
        <v>577</v>
      </c>
      <c r="P21" s="529" t="s">
        <v>931</v>
      </c>
    </row>
    <row r="22" spans="1:16" x14ac:dyDescent="0.25">
      <c r="A22" s="529" t="s">
        <v>796</v>
      </c>
      <c r="B22" s="529" t="s">
        <v>797</v>
      </c>
      <c r="C22" s="808">
        <v>46206</v>
      </c>
      <c r="D22" s="809">
        <v>0.55674768518519002</v>
      </c>
      <c r="E22" s="529" t="s">
        <v>935</v>
      </c>
      <c r="F22" s="529" t="s">
        <v>799</v>
      </c>
      <c r="G22" s="529" t="s">
        <v>800</v>
      </c>
      <c r="H22" s="810">
        <v>33</v>
      </c>
      <c r="I22" s="811">
        <v>201143.58</v>
      </c>
      <c r="J22" s="529" t="s">
        <v>801</v>
      </c>
      <c r="K22" s="529" t="s">
        <v>802</v>
      </c>
      <c r="L22" s="529" t="s">
        <v>857</v>
      </c>
      <c r="M22" s="529" t="s">
        <v>936</v>
      </c>
      <c r="N22" s="529" t="s">
        <v>804</v>
      </c>
      <c r="O22" s="529" t="s">
        <v>577</v>
      </c>
      <c r="P22" s="529" t="s">
        <v>937</v>
      </c>
    </row>
    <row r="23" spans="1:16" x14ac:dyDescent="0.25">
      <c r="A23" s="529" t="s">
        <v>796</v>
      </c>
      <c r="B23" s="529" t="s">
        <v>797</v>
      </c>
      <c r="C23" s="808">
        <v>46206</v>
      </c>
      <c r="D23" s="809">
        <v>0.90774305555556001</v>
      </c>
      <c r="E23" s="529" t="s">
        <v>932</v>
      </c>
      <c r="F23" s="529" t="s">
        <v>799</v>
      </c>
      <c r="G23" s="529" t="s">
        <v>800</v>
      </c>
      <c r="H23" s="810">
        <v>30</v>
      </c>
      <c r="I23" s="811">
        <v>182857.8</v>
      </c>
      <c r="J23" s="529" t="s">
        <v>801</v>
      </c>
      <c r="K23" s="529" t="s">
        <v>802</v>
      </c>
      <c r="L23" s="529" t="s">
        <v>857</v>
      </c>
      <c r="M23" s="529" t="s">
        <v>933</v>
      </c>
      <c r="N23" s="529" t="s">
        <v>804</v>
      </c>
      <c r="O23" s="529" t="s">
        <v>577</v>
      </c>
      <c r="P23" s="529" t="s">
        <v>934</v>
      </c>
    </row>
    <row r="24" spans="1:16" x14ac:dyDescent="0.25">
      <c r="A24" s="529" t="s">
        <v>796</v>
      </c>
      <c r="B24" s="529" t="s">
        <v>797</v>
      </c>
      <c r="C24" s="808">
        <v>46206</v>
      </c>
      <c r="D24" s="809">
        <v>0.46969907407407002</v>
      </c>
      <c r="E24" s="529" t="s">
        <v>938</v>
      </c>
      <c r="F24" s="529" t="s">
        <v>799</v>
      </c>
      <c r="G24" s="529" t="s">
        <v>800</v>
      </c>
      <c r="H24" s="810">
        <v>30</v>
      </c>
      <c r="I24" s="811">
        <v>182857.8</v>
      </c>
      <c r="J24" s="529" t="s">
        <v>801</v>
      </c>
      <c r="K24" s="529" t="s">
        <v>802</v>
      </c>
      <c r="L24" s="529" t="s">
        <v>920</v>
      </c>
      <c r="M24" s="529" t="s">
        <v>939</v>
      </c>
      <c r="N24" s="529" t="s">
        <v>804</v>
      </c>
      <c r="O24" s="529" t="s">
        <v>577</v>
      </c>
      <c r="P24" s="529" t="s">
        <v>940</v>
      </c>
    </row>
    <row r="25" spans="1:16" x14ac:dyDescent="0.25">
      <c r="A25" s="529" t="s">
        <v>796</v>
      </c>
      <c r="B25" s="529" t="s">
        <v>797</v>
      </c>
      <c r="C25" s="808">
        <v>46206</v>
      </c>
      <c r="D25" s="809">
        <v>0.37681712962962999</v>
      </c>
      <c r="E25" s="529" t="s">
        <v>854</v>
      </c>
      <c r="F25" s="529" t="s">
        <v>851</v>
      </c>
      <c r="G25" s="529" t="s">
        <v>800</v>
      </c>
      <c r="H25" s="810">
        <v>10</v>
      </c>
      <c r="I25" s="811">
        <v>62504.2</v>
      </c>
      <c r="J25" s="529" t="s">
        <v>816</v>
      </c>
      <c r="K25" s="529" t="s">
        <v>802</v>
      </c>
      <c r="L25" s="529" t="s">
        <v>848</v>
      </c>
      <c r="M25" s="529" t="s">
        <v>942</v>
      </c>
      <c r="N25" s="529" t="s">
        <v>804</v>
      </c>
      <c r="O25" s="529" t="s">
        <v>577</v>
      </c>
      <c r="P25" s="529" t="s">
        <v>855</v>
      </c>
    </row>
    <row r="26" spans="1:16" x14ac:dyDescent="0.25">
      <c r="A26" s="529" t="s">
        <v>796</v>
      </c>
      <c r="B26" s="529" t="s">
        <v>797</v>
      </c>
      <c r="C26" s="808">
        <v>46206</v>
      </c>
      <c r="D26" s="809">
        <v>0.73481481481481004</v>
      </c>
      <c r="E26" s="529" t="s">
        <v>943</v>
      </c>
      <c r="F26" s="529" t="s">
        <v>851</v>
      </c>
      <c r="G26" s="529" t="s">
        <v>800</v>
      </c>
      <c r="H26" s="810">
        <v>12</v>
      </c>
      <c r="I26" s="811">
        <v>75005.039999999994</v>
      </c>
      <c r="J26" s="529" t="s">
        <v>816</v>
      </c>
      <c r="K26" s="529" t="s">
        <v>802</v>
      </c>
      <c r="L26" s="529" t="s">
        <v>857</v>
      </c>
      <c r="M26" s="529" t="s">
        <v>944</v>
      </c>
      <c r="N26" s="529" t="s">
        <v>804</v>
      </c>
      <c r="O26" s="529" t="s">
        <v>577</v>
      </c>
      <c r="P26" s="529" t="s">
        <v>945</v>
      </c>
    </row>
    <row r="27" spans="1:16" x14ac:dyDescent="0.25">
      <c r="A27" s="529" t="s">
        <v>796</v>
      </c>
      <c r="B27" s="529" t="s">
        <v>797</v>
      </c>
      <c r="C27" s="808">
        <v>46206</v>
      </c>
      <c r="D27" s="809">
        <v>0.22747685185184999</v>
      </c>
      <c r="E27" s="529" t="s">
        <v>850</v>
      </c>
      <c r="F27" s="529" t="s">
        <v>851</v>
      </c>
      <c r="G27" s="529" t="s">
        <v>800</v>
      </c>
      <c r="H27" s="810">
        <v>10</v>
      </c>
      <c r="I27" s="811">
        <v>62504.2</v>
      </c>
      <c r="J27" s="529" t="s">
        <v>816</v>
      </c>
      <c r="K27" s="529" t="s">
        <v>802</v>
      </c>
      <c r="L27" s="529" t="s">
        <v>844</v>
      </c>
      <c r="M27" s="529" t="s">
        <v>852</v>
      </c>
      <c r="N27" s="529" t="s">
        <v>804</v>
      </c>
      <c r="O27" s="529" t="s">
        <v>577</v>
      </c>
      <c r="P27" s="529" t="s">
        <v>853</v>
      </c>
    </row>
    <row r="28" spans="1:16" x14ac:dyDescent="0.25">
      <c r="A28" s="529" t="s">
        <v>796</v>
      </c>
      <c r="B28" s="529" t="s">
        <v>797</v>
      </c>
      <c r="C28" s="808">
        <v>46206</v>
      </c>
      <c r="D28" s="809">
        <v>0.22761574074074001</v>
      </c>
      <c r="E28" s="529" t="s">
        <v>860</v>
      </c>
      <c r="F28" s="529" t="s">
        <v>812</v>
      </c>
      <c r="G28" s="529" t="s">
        <v>800</v>
      </c>
      <c r="H28" s="810">
        <v>15</v>
      </c>
      <c r="I28" s="811">
        <v>95469.6</v>
      </c>
      <c r="J28" s="529" t="s">
        <v>801</v>
      </c>
      <c r="K28" s="529" t="s">
        <v>802</v>
      </c>
      <c r="L28" s="529" t="s">
        <v>844</v>
      </c>
      <c r="M28" s="529" t="s">
        <v>861</v>
      </c>
      <c r="N28" s="529" t="s">
        <v>804</v>
      </c>
      <c r="O28" s="529" t="s">
        <v>577</v>
      </c>
      <c r="P28" s="529" t="s">
        <v>862</v>
      </c>
    </row>
    <row r="29" spans="1:16" x14ac:dyDescent="0.25">
      <c r="A29" s="529" t="s">
        <v>796</v>
      </c>
      <c r="B29" s="529" t="s">
        <v>797</v>
      </c>
      <c r="C29" s="808">
        <v>46206</v>
      </c>
      <c r="D29" s="809">
        <v>0.73508101851852004</v>
      </c>
      <c r="E29" s="529" t="s">
        <v>946</v>
      </c>
      <c r="F29" s="529" t="s">
        <v>812</v>
      </c>
      <c r="G29" s="529" t="s">
        <v>800</v>
      </c>
      <c r="H29" s="810">
        <v>55</v>
      </c>
      <c r="I29" s="811">
        <v>350055.2</v>
      </c>
      <c r="J29" s="529" t="s">
        <v>801</v>
      </c>
      <c r="K29" s="529" t="s">
        <v>802</v>
      </c>
      <c r="L29" s="529" t="s">
        <v>857</v>
      </c>
      <c r="M29" s="529" t="s">
        <v>947</v>
      </c>
      <c r="N29" s="529" t="s">
        <v>804</v>
      </c>
      <c r="O29" s="529" t="s">
        <v>577</v>
      </c>
      <c r="P29" s="529" t="s">
        <v>948</v>
      </c>
    </row>
    <row r="30" spans="1:16" x14ac:dyDescent="0.25">
      <c r="A30" s="529" t="s">
        <v>796</v>
      </c>
      <c r="B30" s="529" t="s">
        <v>797</v>
      </c>
      <c r="C30" s="808">
        <v>46206</v>
      </c>
      <c r="D30" s="809">
        <v>0.55636574074073997</v>
      </c>
      <c r="E30" s="529" t="s">
        <v>949</v>
      </c>
      <c r="F30" s="529" t="s">
        <v>812</v>
      </c>
      <c r="G30" s="529" t="s">
        <v>800</v>
      </c>
      <c r="H30" s="810">
        <v>12</v>
      </c>
      <c r="I30" s="811">
        <v>76375.679999999993</v>
      </c>
      <c r="J30" s="529" t="s">
        <v>801</v>
      </c>
      <c r="K30" s="529" t="s">
        <v>802</v>
      </c>
      <c r="L30" s="529" t="s">
        <v>857</v>
      </c>
      <c r="M30" s="529" t="s">
        <v>950</v>
      </c>
      <c r="N30" s="529" t="s">
        <v>804</v>
      </c>
      <c r="O30" s="529" t="s">
        <v>577</v>
      </c>
      <c r="P30" s="529" t="s">
        <v>951</v>
      </c>
    </row>
    <row r="31" spans="1:16" x14ac:dyDescent="0.25">
      <c r="A31" s="529" t="s">
        <v>796</v>
      </c>
      <c r="B31" s="529" t="s">
        <v>797</v>
      </c>
      <c r="C31" s="808">
        <v>46206</v>
      </c>
      <c r="D31" s="809">
        <v>0.13469907407407</v>
      </c>
      <c r="E31" s="529" t="s">
        <v>856</v>
      </c>
      <c r="F31" s="529" t="s">
        <v>812</v>
      </c>
      <c r="G31" s="529" t="s">
        <v>800</v>
      </c>
      <c r="H31" s="810">
        <v>20</v>
      </c>
      <c r="I31" s="811">
        <v>127292.8</v>
      </c>
      <c r="J31" s="529" t="s">
        <v>801</v>
      </c>
      <c r="K31" s="529" t="s">
        <v>802</v>
      </c>
      <c r="L31" s="529" t="s">
        <v>857</v>
      </c>
      <c r="M31" s="529" t="s">
        <v>858</v>
      </c>
      <c r="N31" s="529" t="s">
        <v>804</v>
      </c>
      <c r="O31" s="529" t="s">
        <v>577</v>
      </c>
      <c r="P31" s="529" t="s">
        <v>859</v>
      </c>
    </row>
    <row r="32" spans="1:16" x14ac:dyDescent="0.25">
      <c r="A32" s="529" t="s">
        <v>796</v>
      </c>
      <c r="B32" s="529" t="s">
        <v>797</v>
      </c>
      <c r="C32" s="808">
        <v>46206</v>
      </c>
      <c r="D32" s="809">
        <v>0.37789351851851999</v>
      </c>
      <c r="E32" s="529" t="s">
        <v>863</v>
      </c>
      <c r="F32" s="529" t="s">
        <v>864</v>
      </c>
      <c r="G32" s="529" t="s">
        <v>800</v>
      </c>
      <c r="H32" s="810">
        <v>15</v>
      </c>
      <c r="I32" s="811">
        <v>97488.9</v>
      </c>
      <c r="J32" s="529" t="s">
        <v>816</v>
      </c>
      <c r="K32" s="529" t="s">
        <v>802</v>
      </c>
      <c r="L32" s="529" t="s">
        <v>848</v>
      </c>
      <c r="M32" s="529" t="s">
        <v>952</v>
      </c>
      <c r="N32" s="529" t="s">
        <v>804</v>
      </c>
      <c r="O32" s="529" t="s">
        <v>577</v>
      </c>
      <c r="P32" s="529" t="s">
        <v>865</v>
      </c>
    </row>
    <row r="33" spans="1:16" x14ac:dyDescent="0.25">
      <c r="A33" s="529" t="s">
        <v>796</v>
      </c>
      <c r="B33" s="529" t="s">
        <v>797</v>
      </c>
      <c r="C33" s="808">
        <v>46206</v>
      </c>
      <c r="D33" s="809">
        <v>0.73574074074074003</v>
      </c>
      <c r="E33" s="529" t="s">
        <v>953</v>
      </c>
      <c r="F33" s="529" t="s">
        <v>864</v>
      </c>
      <c r="G33" s="529" t="s">
        <v>800</v>
      </c>
      <c r="H33" s="810">
        <v>22</v>
      </c>
      <c r="I33" s="811">
        <v>142983.72</v>
      </c>
      <c r="J33" s="529" t="s">
        <v>816</v>
      </c>
      <c r="K33" s="529" t="s">
        <v>802</v>
      </c>
      <c r="L33" s="529" t="s">
        <v>857</v>
      </c>
      <c r="M33" s="529" t="s">
        <v>954</v>
      </c>
      <c r="N33" s="529" t="s">
        <v>804</v>
      </c>
      <c r="O33" s="529" t="s">
        <v>577</v>
      </c>
      <c r="P33" s="529" t="s">
        <v>955</v>
      </c>
    </row>
    <row r="34" spans="1:16" x14ac:dyDescent="0.25">
      <c r="A34" s="529" t="s">
        <v>796</v>
      </c>
      <c r="B34" s="529" t="s">
        <v>797</v>
      </c>
      <c r="C34" s="808">
        <v>46206</v>
      </c>
      <c r="D34" s="809">
        <v>0.73547453703704002</v>
      </c>
      <c r="E34" s="529" t="s">
        <v>956</v>
      </c>
      <c r="F34" s="529" t="s">
        <v>957</v>
      </c>
      <c r="G34" s="529" t="s">
        <v>800</v>
      </c>
      <c r="H34" s="810">
        <v>60</v>
      </c>
      <c r="I34" s="811">
        <v>371615.4</v>
      </c>
      <c r="J34" s="529" t="s">
        <v>816</v>
      </c>
      <c r="K34" s="529" t="s">
        <v>802</v>
      </c>
      <c r="L34" s="529" t="s">
        <v>857</v>
      </c>
      <c r="M34" s="529" t="s">
        <v>958</v>
      </c>
      <c r="N34" s="529" t="s">
        <v>804</v>
      </c>
      <c r="O34" s="529" t="s">
        <v>577</v>
      </c>
      <c r="P34" s="529" t="s">
        <v>959</v>
      </c>
    </row>
    <row r="35" spans="1:16" x14ac:dyDescent="0.25">
      <c r="A35" s="529" t="s">
        <v>796</v>
      </c>
      <c r="B35" s="529" t="s">
        <v>797</v>
      </c>
      <c r="C35" s="808">
        <v>46206</v>
      </c>
      <c r="D35" s="809">
        <v>0.73601851851851996</v>
      </c>
      <c r="E35" s="529" t="s">
        <v>960</v>
      </c>
      <c r="F35" s="529" t="s">
        <v>815</v>
      </c>
      <c r="G35" s="529" t="s">
        <v>800</v>
      </c>
      <c r="H35" s="810">
        <v>21</v>
      </c>
      <c r="I35" s="811">
        <v>131089.35</v>
      </c>
      <c r="J35" s="529" t="s">
        <v>816</v>
      </c>
      <c r="K35" s="529" t="s">
        <v>802</v>
      </c>
      <c r="L35" s="529" t="s">
        <v>857</v>
      </c>
      <c r="M35" s="529" t="s">
        <v>961</v>
      </c>
      <c r="N35" s="529" t="s">
        <v>804</v>
      </c>
      <c r="O35" s="529" t="s">
        <v>577</v>
      </c>
      <c r="P35" s="529" t="s">
        <v>962</v>
      </c>
    </row>
    <row r="36" spans="1:16" x14ac:dyDescent="0.25">
      <c r="A36" s="529" t="s">
        <v>796</v>
      </c>
      <c r="B36" s="529" t="s">
        <v>797</v>
      </c>
      <c r="C36" s="808">
        <v>46206</v>
      </c>
      <c r="D36" s="809">
        <v>0.22857638888889001</v>
      </c>
      <c r="E36" s="529" t="s">
        <v>866</v>
      </c>
      <c r="F36" s="529" t="s">
        <v>815</v>
      </c>
      <c r="G36" s="529" t="s">
        <v>800</v>
      </c>
      <c r="H36" s="810">
        <v>20</v>
      </c>
      <c r="I36" s="811">
        <v>124847</v>
      </c>
      <c r="J36" s="529" t="s">
        <v>816</v>
      </c>
      <c r="K36" s="529" t="s">
        <v>802</v>
      </c>
      <c r="L36" s="529" t="s">
        <v>844</v>
      </c>
      <c r="M36" s="529" t="s">
        <v>867</v>
      </c>
      <c r="N36" s="529" t="s">
        <v>804</v>
      </c>
      <c r="O36" s="529" t="s">
        <v>577</v>
      </c>
      <c r="P36" s="529" t="s">
        <v>868</v>
      </c>
    </row>
    <row r="37" spans="1:16" x14ac:dyDescent="0.25">
      <c r="A37" s="529" t="s">
        <v>796</v>
      </c>
      <c r="B37" s="529" t="s">
        <v>797</v>
      </c>
      <c r="C37" s="808">
        <v>46206</v>
      </c>
      <c r="D37" s="809">
        <v>0.46984953703704002</v>
      </c>
      <c r="E37" s="529" t="s">
        <v>966</v>
      </c>
      <c r="F37" s="529" t="s">
        <v>815</v>
      </c>
      <c r="G37" s="529" t="s">
        <v>800</v>
      </c>
      <c r="H37" s="810">
        <v>25</v>
      </c>
      <c r="I37" s="811">
        <v>156058.75</v>
      </c>
      <c r="J37" s="529" t="s">
        <v>816</v>
      </c>
      <c r="K37" s="529" t="s">
        <v>802</v>
      </c>
      <c r="L37" s="529" t="s">
        <v>920</v>
      </c>
      <c r="M37" s="529" t="s">
        <v>967</v>
      </c>
      <c r="N37" s="529" t="s">
        <v>804</v>
      </c>
      <c r="O37" s="529" t="s">
        <v>577</v>
      </c>
      <c r="P37" s="529" t="s">
        <v>968</v>
      </c>
    </row>
    <row r="38" spans="1:16" x14ac:dyDescent="0.25">
      <c r="A38" s="529" t="s">
        <v>796</v>
      </c>
      <c r="B38" s="529" t="s">
        <v>797</v>
      </c>
      <c r="C38" s="808">
        <v>46206</v>
      </c>
      <c r="D38" s="809">
        <v>0.37825231481480998</v>
      </c>
      <c r="E38" s="529" t="s">
        <v>869</v>
      </c>
      <c r="F38" s="529" t="s">
        <v>815</v>
      </c>
      <c r="G38" s="529" t="s">
        <v>800</v>
      </c>
      <c r="H38" s="810">
        <v>30</v>
      </c>
      <c r="I38" s="811">
        <v>187270.5</v>
      </c>
      <c r="J38" s="529" t="s">
        <v>816</v>
      </c>
      <c r="K38" s="529" t="s">
        <v>802</v>
      </c>
      <c r="L38" s="529" t="s">
        <v>848</v>
      </c>
      <c r="M38" s="529" t="s">
        <v>969</v>
      </c>
      <c r="N38" s="529" t="s">
        <v>804</v>
      </c>
      <c r="O38" s="529" t="s">
        <v>577</v>
      </c>
      <c r="P38" s="529" t="s">
        <v>870</v>
      </c>
    </row>
    <row r="39" spans="1:16" x14ac:dyDescent="0.25">
      <c r="A39" s="529" t="s">
        <v>796</v>
      </c>
      <c r="B39" s="529" t="s">
        <v>797</v>
      </c>
      <c r="C39" s="808">
        <v>46206</v>
      </c>
      <c r="D39" s="809">
        <v>0.55701388888889003</v>
      </c>
      <c r="E39" s="529" t="s">
        <v>963</v>
      </c>
      <c r="F39" s="529" t="s">
        <v>815</v>
      </c>
      <c r="G39" s="529" t="s">
        <v>800</v>
      </c>
      <c r="H39" s="810">
        <v>20</v>
      </c>
      <c r="I39" s="811">
        <v>124847</v>
      </c>
      <c r="J39" s="529" t="s">
        <v>816</v>
      </c>
      <c r="K39" s="529" t="s">
        <v>802</v>
      </c>
      <c r="L39" s="529" t="s">
        <v>857</v>
      </c>
      <c r="M39" s="529" t="s">
        <v>964</v>
      </c>
      <c r="N39" s="529" t="s">
        <v>804</v>
      </c>
      <c r="O39" s="529" t="s">
        <v>577</v>
      </c>
      <c r="P39" s="529" t="s">
        <v>965</v>
      </c>
    </row>
    <row r="40" spans="1:16" x14ac:dyDescent="0.25">
      <c r="A40" s="529" t="s">
        <v>796</v>
      </c>
      <c r="B40" s="529" t="s">
        <v>797</v>
      </c>
      <c r="C40" s="808">
        <v>46206</v>
      </c>
      <c r="D40" s="809">
        <v>0.37696759259259</v>
      </c>
      <c r="E40" s="529" t="s">
        <v>871</v>
      </c>
      <c r="F40" s="529" t="s">
        <v>821</v>
      </c>
      <c r="G40" s="529" t="s">
        <v>800</v>
      </c>
      <c r="H40" s="810">
        <v>10</v>
      </c>
      <c r="I40" s="811">
        <v>64764.3</v>
      </c>
      <c r="J40" s="529" t="s">
        <v>801</v>
      </c>
      <c r="K40" s="529" t="s">
        <v>802</v>
      </c>
      <c r="L40" s="529" t="s">
        <v>848</v>
      </c>
      <c r="M40" s="529" t="s">
        <v>976</v>
      </c>
      <c r="N40" s="529" t="s">
        <v>804</v>
      </c>
      <c r="O40" s="529" t="s">
        <v>577</v>
      </c>
      <c r="P40" s="529" t="s">
        <v>872</v>
      </c>
    </row>
    <row r="41" spans="1:16" x14ac:dyDescent="0.25">
      <c r="A41" s="529" t="s">
        <v>796</v>
      </c>
      <c r="B41" s="529" t="s">
        <v>797</v>
      </c>
      <c r="C41" s="808">
        <v>46206</v>
      </c>
      <c r="D41" s="809">
        <v>0.55623842592592998</v>
      </c>
      <c r="E41" s="529" t="s">
        <v>973</v>
      </c>
      <c r="F41" s="529" t="s">
        <v>821</v>
      </c>
      <c r="G41" s="529" t="s">
        <v>800</v>
      </c>
      <c r="H41" s="810">
        <v>10</v>
      </c>
      <c r="I41" s="811">
        <v>64764.3</v>
      </c>
      <c r="J41" s="529" t="s">
        <v>801</v>
      </c>
      <c r="K41" s="529" t="s">
        <v>802</v>
      </c>
      <c r="L41" s="529" t="s">
        <v>857</v>
      </c>
      <c r="M41" s="529" t="s">
        <v>974</v>
      </c>
      <c r="N41" s="529" t="s">
        <v>804</v>
      </c>
      <c r="O41" s="529" t="s">
        <v>577</v>
      </c>
      <c r="P41" s="529" t="s">
        <v>975</v>
      </c>
    </row>
    <row r="42" spans="1:16" x14ac:dyDescent="0.25">
      <c r="A42" s="529" t="s">
        <v>796</v>
      </c>
      <c r="B42" s="529" t="s">
        <v>797</v>
      </c>
      <c r="C42" s="808">
        <v>46206</v>
      </c>
      <c r="D42" s="809">
        <v>0.73495370370369995</v>
      </c>
      <c r="E42" s="529" t="s">
        <v>970</v>
      </c>
      <c r="F42" s="529" t="s">
        <v>821</v>
      </c>
      <c r="G42" s="529" t="s">
        <v>800</v>
      </c>
      <c r="H42" s="810">
        <v>15</v>
      </c>
      <c r="I42" s="811">
        <v>97146.45</v>
      </c>
      <c r="J42" s="529" t="s">
        <v>801</v>
      </c>
      <c r="K42" s="529" t="s">
        <v>802</v>
      </c>
      <c r="L42" s="529" t="s">
        <v>857</v>
      </c>
      <c r="M42" s="529" t="s">
        <v>971</v>
      </c>
      <c r="N42" s="529" t="s">
        <v>804</v>
      </c>
      <c r="O42" s="529" t="s">
        <v>577</v>
      </c>
      <c r="P42" s="529" t="s">
        <v>972</v>
      </c>
    </row>
    <row r="43" spans="1:16" x14ac:dyDescent="0.25">
      <c r="A43" s="529" t="s">
        <v>796</v>
      </c>
      <c r="B43" s="529" t="s">
        <v>797</v>
      </c>
      <c r="C43" s="808">
        <v>46206</v>
      </c>
      <c r="D43" s="809">
        <v>0.22828703703704001</v>
      </c>
      <c r="E43" s="529" t="s">
        <v>873</v>
      </c>
      <c r="F43" s="529" t="s">
        <v>824</v>
      </c>
      <c r="G43" s="529" t="s">
        <v>800</v>
      </c>
      <c r="H43" s="810">
        <v>5</v>
      </c>
      <c r="I43" s="811">
        <v>31604.799999999999</v>
      </c>
      <c r="J43" s="529" t="s">
        <v>816</v>
      </c>
      <c r="K43" s="529" t="s">
        <v>802</v>
      </c>
      <c r="L43" s="529" t="s">
        <v>844</v>
      </c>
      <c r="M43" s="529" t="s">
        <v>874</v>
      </c>
      <c r="N43" s="529" t="s">
        <v>804</v>
      </c>
      <c r="O43" s="529" t="s">
        <v>577</v>
      </c>
      <c r="P43" s="529" t="s">
        <v>875</v>
      </c>
    </row>
    <row r="44" spans="1:16" x14ac:dyDescent="0.25">
      <c r="A44" s="529" t="s">
        <v>796</v>
      </c>
      <c r="B44" s="529" t="s">
        <v>797</v>
      </c>
      <c r="C44" s="808">
        <v>46206</v>
      </c>
      <c r="D44" s="809">
        <v>0.73520833333333002</v>
      </c>
      <c r="E44" s="529" t="s">
        <v>977</v>
      </c>
      <c r="F44" s="529" t="s">
        <v>829</v>
      </c>
      <c r="G44" s="529" t="s">
        <v>800</v>
      </c>
      <c r="H44" s="810">
        <v>40</v>
      </c>
      <c r="I44" s="811">
        <v>259649.2</v>
      </c>
      <c r="J44" s="529" t="s">
        <v>816</v>
      </c>
      <c r="K44" s="529" t="s">
        <v>802</v>
      </c>
      <c r="L44" s="529" t="s">
        <v>857</v>
      </c>
      <c r="M44" s="529" t="s">
        <v>978</v>
      </c>
      <c r="N44" s="529" t="s">
        <v>804</v>
      </c>
      <c r="O44" s="529" t="s">
        <v>577</v>
      </c>
      <c r="P44" s="529" t="s">
        <v>979</v>
      </c>
    </row>
    <row r="45" spans="1:16" x14ac:dyDescent="0.25">
      <c r="A45" s="529" t="s">
        <v>796</v>
      </c>
      <c r="B45" s="529" t="s">
        <v>797</v>
      </c>
      <c r="C45" s="808">
        <v>46206</v>
      </c>
      <c r="D45" s="809">
        <v>0.73533564814815</v>
      </c>
      <c r="E45" s="529" t="s">
        <v>980</v>
      </c>
      <c r="F45" s="529" t="s">
        <v>981</v>
      </c>
      <c r="G45" s="529" t="s">
        <v>800</v>
      </c>
      <c r="H45" s="810">
        <v>20</v>
      </c>
      <c r="I45" s="811">
        <v>129894.39999999999</v>
      </c>
      <c r="J45" s="529" t="s">
        <v>801</v>
      </c>
      <c r="K45" s="529" t="s">
        <v>802</v>
      </c>
      <c r="L45" s="529" t="s">
        <v>857</v>
      </c>
      <c r="M45" s="529" t="s">
        <v>982</v>
      </c>
      <c r="N45" s="529" t="s">
        <v>804</v>
      </c>
      <c r="O45" s="529" t="s">
        <v>577</v>
      </c>
      <c r="P45" s="529" t="s">
        <v>983</v>
      </c>
    </row>
    <row r="46" spans="1:16" x14ac:dyDescent="0.25">
      <c r="A46" s="529" t="s">
        <v>796</v>
      </c>
      <c r="B46" s="529" t="s">
        <v>797</v>
      </c>
      <c r="C46" s="808">
        <v>46206</v>
      </c>
      <c r="D46" s="809">
        <v>0.55649305555555995</v>
      </c>
      <c r="E46" s="529" t="s">
        <v>985</v>
      </c>
      <c r="F46" s="529" t="s">
        <v>877</v>
      </c>
      <c r="G46" s="529" t="s">
        <v>800</v>
      </c>
      <c r="H46" s="810">
        <v>4</v>
      </c>
      <c r="I46" s="811">
        <v>25748.16</v>
      </c>
      <c r="J46" s="529" t="s">
        <v>816</v>
      </c>
      <c r="K46" s="529" t="s">
        <v>802</v>
      </c>
      <c r="L46" s="529" t="s">
        <v>857</v>
      </c>
      <c r="M46" s="529" t="s">
        <v>986</v>
      </c>
      <c r="N46" s="529" t="s">
        <v>804</v>
      </c>
      <c r="O46" s="529" t="s">
        <v>577</v>
      </c>
      <c r="P46" s="529" t="s">
        <v>987</v>
      </c>
    </row>
    <row r="47" spans="1:16" x14ac:dyDescent="0.25">
      <c r="A47" s="529" t="s">
        <v>796</v>
      </c>
      <c r="B47" s="529" t="s">
        <v>797</v>
      </c>
      <c r="C47" s="808">
        <v>46206</v>
      </c>
      <c r="D47" s="809">
        <v>0.37733796296296002</v>
      </c>
      <c r="E47" s="529" t="s">
        <v>876</v>
      </c>
      <c r="F47" s="529" t="s">
        <v>877</v>
      </c>
      <c r="G47" s="529" t="s">
        <v>800</v>
      </c>
      <c r="H47" s="810">
        <v>5</v>
      </c>
      <c r="I47" s="811">
        <v>32185.200000000001</v>
      </c>
      <c r="J47" s="529" t="s">
        <v>816</v>
      </c>
      <c r="K47" s="529" t="s">
        <v>802</v>
      </c>
      <c r="L47" s="529" t="s">
        <v>848</v>
      </c>
      <c r="M47" s="529" t="s">
        <v>984</v>
      </c>
      <c r="N47" s="529" t="s">
        <v>804</v>
      </c>
      <c r="O47" s="529" t="s">
        <v>577</v>
      </c>
      <c r="P47" s="529" t="s">
        <v>878</v>
      </c>
    </row>
    <row r="48" spans="1:16" x14ac:dyDescent="0.25">
      <c r="A48" s="529" t="s">
        <v>796</v>
      </c>
      <c r="B48" s="529" t="s">
        <v>797</v>
      </c>
      <c r="C48" s="808">
        <v>46206</v>
      </c>
      <c r="D48" s="809">
        <v>0.46936342592593</v>
      </c>
      <c r="E48" s="529" t="s">
        <v>988</v>
      </c>
      <c r="F48" s="529" t="s">
        <v>877</v>
      </c>
      <c r="G48" s="529" t="s">
        <v>800</v>
      </c>
      <c r="H48" s="810">
        <v>18</v>
      </c>
      <c r="I48" s="811">
        <v>115866.72</v>
      </c>
      <c r="J48" s="529" t="s">
        <v>816</v>
      </c>
      <c r="K48" s="529" t="s">
        <v>802</v>
      </c>
      <c r="L48" s="529" t="s">
        <v>920</v>
      </c>
      <c r="M48" s="529" t="s">
        <v>989</v>
      </c>
      <c r="N48" s="529" t="s">
        <v>804</v>
      </c>
      <c r="O48" s="529" t="s">
        <v>577</v>
      </c>
      <c r="P48" s="529" t="s">
        <v>990</v>
      </c>
    </row>
    <row r="49" spans="1:16" x14ac:dyDescent="0.25">
      <c r="A49" s="529" t="s">
        <v>796</v>
      </c>
      <c r="B49" s="529" t="s">
        <v>797</v>
      </c>
      <c r="C49" s="808">
        <v>46206</v>
      </c>
      <c r="D49" s="809">
        <v>0.37810185185185002</v>
      </c>
      <c r="E49" s="529" t="s">
        <v>882</v>
      </c>
      <c r="F49" s="529" t="s">
        <v>832</v>
      </c>
      <c r="G49" s="529" t="s">
        <v>800</v>
      </c>
      <c r="H49" s="810">
        <v>5</v>
      </c>
      <c r="I49" s="811">
        <v>33093.5</v>
      </c>
      <c r="J49" s="529" t="s">
        <v>816</v>
      </c>
      <c r="K49" s="529" t="s">
        <v>802</v>
      </c>
      <c r="L49" s="529" t="s">
        <v>848</v>
      </c>
      <c r="M49" s="529" t="s">
        <v>997</v>
      </c>
      <c r="N49" s="529" t="s">
        <v>804</v>
      </c>
      <c r="O49" s="529" t="s">
        <v>577</v>
      </c>
      <c r="P49" s="529" t="s">
        <v>883</v>
      </c>
    </row>
    <row r="50" spans="1:16" x14ac:dyDescent="0.25">
      <c r="A50" s="529" t="s">
        <v>796</v>
      </c>
      <c r="B50" s="529" t="s">
        <v>797</v>
      </c>
      <c r="C50" s="808">
        <v>46206</v>
      </c>
      <c r="D50" s="809">
        <v>0.73586805555556001</v>
      </c>
      <c r="E50" s="529" t="s">
        <v>991</v>
      </c>
      <c r="F50" s="529" t="s">
        <v>832</v>
      </c>
      <c r="G50" s="529" t="s">
        <v>800</v>
      </c>
      <c r="H50" s="810">
        <v>21</v>
      </c>
      <c r="I50" s="811">
        <v>138992.70000000001</v>
      </c>
      <c r="J50" s="529" t="s">
        <v>816</v>
      </c>
      <c r="K50" s="529" t="s">
        <v>802</v>
      </c>
      <c r="L50" s="529" t="s">
        <v>857</v>
      </c>
      <c r="M50" s="529" t="s">
        <v>992</v>
      </c>
      <c r="N50" s="529" t="s">
        <v>804</v>
      </c>
      <c r="O50" s="529" t="s">
        <v>577</v>
      </c>
      <c r="P50" s="529" t="s">
        <v>993</v>
      </c>
    </row>
    <row r="51" spans="1:16" x14ac:dyDescent="0.25">
      <c r="A51" s="529" t="s">
        <v>796</v>
      </c>
      <c r="B51" s="529" t="s">
        <v>797</v>
      </c>
      <c r="C51" s="808">
        <v>46206</v>
      </c>
      <c r="D51" s="809">
        <v>0.55688657407407005</v>
      </c>
      <c r="E51" s="529" t="s">
        <v>994</v>
      </c>
      <c r="F51" s="529" t="s">
        <v>832</v>
      </c>
      <c r="G51" s="529" t="s">
        <v>800</v>
      </c>
      <c r="H51" s="810">
        <v>10</v>
      </c>
      <c r="I51" s="811">
        <v>66187</v>
      </c>
      <c r="J51" s="529" t="s">
        <v>816</v>
      </c>
      <c r="K51" s="529" t="s">
        <v>802</v>
      </c>
      <c r="L51" s="529" t="s">
        <v>857</v>
      </c>
      <c r="M51" s="529" t="s">
        <v>995</v>
      </c>
      <c r="N51" s="529" t="s">
        <v>804</v>
      </c>
      <c r="O51" s="529" t="s">
        <v>577</v>
      </c>
      <c r="P51" s="529" t="s">
        <v>996</v>
      </c>
    </row>
    <row r="52" spans="1:16" x14ac:dyDescent="0.25">
      <c r="A52" s="529" t="s">
        <v>796</v>
      </c>
      <c r="B52" s="529" t="s">
        <v>797</v>
      </c>
      <c r="C52" s="808">
        <v>46206</v>
      </c>
      <c r="D52" s="809">
        <v>0.22843749999999999</v>
      </c>
      <c r="E52" s="529" t="s">
        <v>879</v>
      </c>
      <c r="F52" s="529" t="s">
        <v>832</v>
      </c>
      <c r="G52" s="529" t="s">
        <v>800</v>
      </c>
      <c r="H52" s="810">
        <v>15</v>
      </c>
      <c r="I52" s="811">
        <v>99280.5</v>
      </c>
      <c r="J52" s="529" t="s">
        <v>816</v>
      </c>
      <c r="K52" s="529" t="s">
        <v>802</v>
      </c>
      <c r="L52" s="529" t="s">
        <v>844</v>
      </c>
      <c r="M52" s="529" t="s">
        <v>880</v>
      </c>
      <c r="N52" s="529" t="s">
        <v>804</v>
      </c>
      <c r="O52" s="529" t="s">
        <v>577</v>
      </c>
      <c r="P52" s="529" t="s">
        <v>881</v>
      </c>
    </row>
    <row r="53" spans="1:16" x14ac:dyDescent="0.25">
      <c r="A53" s="529" t="s">
        <v>796</v>
      </c>
      <c r="B53" s="529" t="s">
        <v>797</v>
      </c>
      <c r="C53" s="808">
        <v>46206</v>
      </c>
      <c r="D53" s="809">
        <v>0.22777777777777999</v>
      </c>
      <c r="E53" s="529" t="s">
        <v>884</v>
      </c>
      <c r="F53" s="529" t="s">
        <v>838</v>
      </c>
      <c r="G53" s="529" t="s">
        <v>800</v>
      </c>
      <c r="H53" s="810">
        <v>5</v>
      </c>
      <c r="I53" s="811">
        <v>32580.3</v>
      </c>
      <c r="J53" s="529" t="s">
        <v>801</v>
      </c>
      <c r="K53" s="529" t="s">
        <v>802</v>
      </c>
      <c r="L53" s="529" t="s">
        <v>844</v>
      </c>
      <c r="M53" s="529" t="s">
        <v>885</v>
      </c>
      <c r="N53" s="529" t="s">
        <v>804</v>
      </c>
      <c r="O53" s="529" t="s">
        <v>577</v>
      </c>
      <c r="P53" s="529" t="s">
        <v>886</v>
      </c>
    </row>
    <row r="54" spans="1:16" x14ac:dyDescent="0.25">
      <c r="A54" s="529" t="s">
        <v>796</v>
      </c>
      <c r="B54" s="529" t="s">
        <v>797</v>
      </c>
      <c r="C54" s="808">
        <v>46206</v>
      </c>
      <c r="D54" s="809">
        <v>0.37710648148148002</v>
      </c>
      <c r="E54" s="529" t="s">
        <v>887</v>
      </c>
      <c r="F54" s="529" t="s">
        <v>838</v>
      </c>
      <c r="G54" s="529" t="s">
        <v>800</v>
      </c>
      <c r="H54" s="810">
        <v>5</v>
      </c>
      <c r="I54" s="811">
        <v>32580.3</v>
      </c>
      <c r="J54" s="529" t="s">
        <v>801</v>
      </c>
      <c r="K54" s="529" t="s">
        <v>802</v>
      </c>
      <c r="L54" s="529" t="s">
        <v>848</v>
      </c>
      <c r="M54" s="529" t="s">
        <v>998</v>
      </c>
      <c r="N54" s="529" t="s">
        <v>804</v>
      </c>
      <c r="O54" s="529" t="s">
        <v>577</v>
      </c>
      <c r="P54" s="529" t="s">
        <v>888</v>
      </c>
    </row>
    <row r="55" spans="1:16" x14ac:dyDescent="0.25">
      <c r="A55" s="529" t="s">
        <v>796</v>
      </c>
      <c r="B55" s="529" t="s">
        <v>797</v>
      </c>
      <c r="C55" s="808">
        <v>46206</v>
      </c>
      <c r="D55" s="809">
        <v>0.3775</v>
      </c>
      <c r="E55" s="529" t="s">
        <v>892</v>
      </c>
      <c r="F55" s="529" t="s">
        <v>841</v>
      </c>
      <c r="G55" s="529" t="s">
        <v>800</v>
      </c>
      <c r="H55" s="810">
        <v>5</v>
      </c>
      <c r="I55" s="811">
        <v>34689.15</v>
      </c>
      <c r="J55" s="529" t="s">
        <v>801</v>
      </c>
      <c r="K55" s="529" t="s">
        <v>802</v>
      </c>
      <c r="L55" s="529" t="s">
        <v>848</v>
      </c>
      <c r="M55" s="529" t="s">
        <v>999</v>
      </c>
      <c r="N55" s="529" t="s">
        <v>804</v>
      </c>
      <c r="O55" s="529" t="s">
        <v>577</v>
      </c>
      <c r="P55" s="529" t="s">
        <v>893</v>
      </c>
    </row>
    <row r="56" spans="1:16" x14ac:dyDescent="0.25">
      <c r="A56" s="529" t="s">
        <v>796</v>
      </c>
      <c r="B56" s="529" t="s">
        <v>797</v>
      </c>
      <c r="C56" s="808">
        <v>46206</v>
      </c>
      <c r="D56" s="809">
        <v>0.22791666666666999</v>
      </c>
      <c r="E56" s="529" t="s">
        <v>889</v>
      </c>
      <c r="F56" s="529" t="s">
        <v>841</v>
      </c>
      <c r="G56" s="529" t="s">
        <v>800</v>
      </c>
      <c r="H56" s="810">
        <v>5</v>
      </c>
      <c r="I56" s="811">
        <v>34689.15</v>
      </c>
      <c r="J56" s="529" t="s">
        <v>801</v>
      </c>
      <c r="K56" s="529" t="s">
        <v>802</v>
      </c>
      <c r="L56" s="529" t="s">
        <v>844</v>
      </c>
      <c r="M56" s="529" t="s">
        <v>890</v>
      </c>
      <c r="N56" s="529" t="s">
        <v>804</v>
      </c>
      <c r="O56" s="529" t="s">
        <v>577</v>
      </c>
      <c r="P56" s="529" t="s">
        <v>891</v>
      </c>
    </row>
    <row r="57" spans="1:16" x14ac:dyDescent="0.25">
      <c r="A57" s="529" t="s">
        <v>796</v>
      </c>
      <c r="B57" s="529" t="s">
        <v>797</v>
      </c>
      <c r="C57" s="808">
        <v>46206</v>
      </c>
      <c r="D57" s="809">
        <v>0.55662037037037004</v>
      </c>
      <c r="E57" s="529" t="s">
        <v>1000</v>
      </c>
      <c r="F57" s="529" t="s">
        <v>841</v>
      </c>
      <c r="G57" s="529" t="s">
        <v>800</v>
      </c>
      <c r="H57" s="810">
        <v>5</v>
      </c>
      <c r="I57" s="811">
        <v>34689.15</v>
      </c>
      <c r="J57" s="529" t="s">
        <v>801</v>
      </c>
      <c r="K57" s="529" t="s">
        <v>802</v>
      </c>
      <c r="L57" s="529" t="s">
        <v>857</v>
      </c>
      <c r="M57" s="529" t="s">
        <v>1001</v>
      </c>
      <c r="N57" s="529" t="s">
        <v>804</v>
      </c>
      <c r="O57" s="529" t="s">
        <v>577</v>
      </c>
      <c r="P57" s="529" t="s">
        <v>1002</v>
      </c>
    </row>
    <row r="58" spans="1:16" x14ac:dyDescent="0.25">
      <c r="A58" s="529" t="s">
        <v>796</v>
      </c>
      <c r="B58" s="529" t="s">
        <v>797</v>
      </c>
      <c r="C58" s="808">
        <v>46207</v>
      </c>
      <c r="D58" s="809">
        <v>0.33271990740740998</v>
      </c>
      <c r="E58" s="529" t="s">
        <v>1015</v>
      </c>
      <c r="F58" s="529" t="s">
        <v>919</v>
      </c>
      <c r="G58" s="529" t="s">
        <v>800</v>
      </c>
      <c r="H58" s="810">
        <v>15</v>
      </c>
      <c r="I58" s="811">
        <v>90540.9</v>
      </c>
      <c r="J58" s="529" t="s">
        <v>816</v>
      </c>
      <c r="K58" s="529" t="s">
        <v>802</v>
      </c>
      <c r="L58" s="529" t="s">
        <v>920</v>
      </c>
      <c r="M58" s="529" t="s">
        <v>1016</v>
      </c>
      <c r="N58" s="529" t="s">
        <v>804</v>
      </c>
      <c r="O58" s="529" t="s">
        <v>577</v>
      </c>
      <c r="P58" s="529" t="s">
        <v>1017</v>
      </c>
    </row>
    <row r="59" spans="1:16" x14ac:dyDescent="0.25">
      <c r="A59" s="529" t="s">
        <v>796</v>
      </c>
      <c r="B59" s="529" t="s">
        <v>797</v>
      </c>
      <c r="C59" s="808">
        <v>46207</v>
      </c>
      <c r="D59" s="809">
        <v>0.65437500000000004</v>
      </c>
      <c r="E59" s="529" t="s">
        <v>1009</v>
      </c>
      <c r="F59" s="529" t="s">
        <v>919</v>
      </c>
      <c r="G59" s="529" t="s">
        <v>800</v>
      </c>
      <c r="H59" s="810">
        <v>17</v>
      </c>
      <c r="I59" s="811">
        <v>102613.02</v>
      </c>
      <c r="J59" s="529" t="s">
        <v>816</v>
      </c>
      <c r="K59" s="529" t="s">
        <v>802</v>
      </c>
      <c r="L59" s="529" t="s">
        <v>857</v>
      </c>
      <c r="M59" s="529" t="s">
        <v>1010</v>
      </c>
      <c r="N59" s="529" t="s">
        <v>804</v>
      </c>
      <c r="O59" s="529" t="s">
        <v>577</v>
      </c>
      <c r="P59" s="529" t="s">
        <v>1011</v>
      </c>
    </row>
    <row r="60" spans="1:16" x14ac:dyDescent="0.25">
      <c r="A60" s="529" t="s">
        <v>796</v>
      </c>
      <c r="B60" s="529" t="s">
        <v>797</v>
      </c>
      <c r="C60" s="808">
        <v>46207</v>
      </c>
      <c r="D60" s="809">
        <v>0.86987268518519001</v>
      </c>
      <c r="E60" s="529" t="s">
        <v>1003</v>
      </c>
      <c r="F60" s="529" t="s">
        <v>919</v>
      </c>
      <c r="G60" s="529" t="s">
        <v>800</v>
      </c>
      <c r="H60" s="810">
        <v>39</v>
      </c>
      <c r="I60" s="811">
        <v>235406.34</v>
      </c>
      <c r="J60" s="529" t="s">
        <v>816</v>
      </c>
      <c r="K60" s="529" t="s">
        <v>802</v>
      </c>
      <c r="L60" s="529" t="s">
        <v>844</v>
      </c>
      <c r="M60" s="529" t="s">
        <v>1004</v>
      </c>
      <c r="N60" s="529" t="s">
        <v>804</v>
      </c>
      <c r="O60" s="529" t="s">
        <v>577</v>
      </c>
      <c r="P60" s="529" t="s">
        <v>1005</v>
      </c>
    </row>
    <row r="61" spans="1:16" x14ac:dyDescent="0.25">
      <c r="A61" s="529" t="s">
        <v>796</v>
      </c>
      <c r="B61" s="529" t="s">
        <v>797</v>
      </c>
      <c r="C61" s="808">
        <v>46207</v>
      </c>
      <c r="D61" s="809">
        <v>0.51309027777778005</v>
      </c>
      <c r="E61" s="529" t="s">
        <v>1012</v>
      </c>
      <c r="F61" s="529" t="s">
        <v>919</v>
      </c>
      <c r="G61" s="529" t="s">
        <v>800</v>
      </c>
      <c r="H61" s="810">
        <v>25</v>
      </c>
      <c r="I61" s="811">
        <v>150901.5</v>
      </c>
      <c r="J61" s="529" t="s">
        <v>816</v>
      </c>
      <c r="K61" s="529" t="s">
        <v>802</v>
      </c>
      <c r="L61" s="529" t="s">
        <v>857</v>
      </c>
      <c r="M61" s="529" t="s">
        <v>1013</v>
      </c>
      <c r="N61" s="529" t="s">
        <v>804</v>
      </c>
      <c r="O61" s="529" t="s">
        <v>577</v>
      </c>
      <c r="P61" s="529" t="s">
        <v>1014</v>
      </c>
    </row>
    <row r="62" spans="1:16" x14ac:dyDescent="0.25">
      <c r="A62" s="529" t="s">
        <v>796</v>
      </c>
      <c r="B62" s="529" t="s">
        <v>797</v>
      </c>
      <c r="C62" s="808">
        <v>46207</v>
      </c>
      <c r="D62" s="809">
        <v>0.76548611111110998</v>
      </c>
      <c r="E62" s="529" t="s">
        <v>1006</v>
      </c>
      <c r="F62" s="529" t="s">
        <v>919</v>
      </c>
      <c r="G62" s="529" t="s">
        <v>800</v>
      </c>
      <c r="H62" s="810">
        <v>15</v>
      </c>
      <c r="I62" s="811">
        <v>90540.9</v>
      </c>
      <c r="J62" s="529" t="s">
        <v>816</v>
      </c>
      <c r="K62" s="529" t="s">
        <v>802</v>
      </c>
      <c r="L62" s="529" t="s">
        <v>848</v>
      </c>
      <c r="M62" s="529" t="s">
        <v>1007</v>
      </c>
      <c r="N62" s="529" t="s">
        <v>804</v>
      </c>
      <c r="O62" s="529" t="s">
        <v>577</v>
      </c>
      <c r="P62" s="529" t="s">
        <v>1008</v>
      </c>
    </row>
    <row r="63" spans="1:16" x14ac:dyDescent="0.25">
      <c r="A63" s="529" t="s">
        <v>796</v>
      </c>
      <c r="B63" s="529" t="s">
        <v>797</v>
      </c>
      <c r="C63" s="808">
        <v>46207</v>
      </c>
      <c r="D63" s="809">
        <v>0.51322916666666996</v>
      </c>
      <c r="E63" s="529" t="s">
        <v>1021</v>
      </c>
      <c r="F63" s="529" t="s">
        <v>799</v>
      </c>
      <c r="G63" s="529" t="s">
        <v>800</v>
      </c>
      <c r="H63" s="810">
        <v>30</v>
      </c>
      <c r="I63" s="811">
        <v>182857.8</v>
      </c>
      <c r="J63" s="529" t="s">
        <v>801</v>
      </c>
      <c r="K63" s="529" t="s">
        <v>802</v>
      </c>
      <c r="L63" s="529" t="s">
        <v>857</v>
      </c>
      <c r="M63" s="529" t="s">
        <v>1022</v>
      </c>
      <c r="N63" s="529" t="s">
        <v>804</v>
      </c>
      <c r="O63" s="529" t="s">
        <v>577</v>
      </c>
      <c r="P63" s="529" t="s">
        <v>1023</v>
      </c>
    </row>
    <row r="64" spans="1:16" x14ac:dyDescent="0.25">
      <c r="A64" s="529" t="s">
        <v>796</v>
      </c>
      <c r="B64" s="529" t="s">
        <v>797</v>
      </c>
      <c r="C64" s="808">
        <v>46207</v>
      </c>
      <c r="D64" s="809">
        <v>0.28100694444444002</v>
      </c>
      <c r="E64" s="529" t="s">
        <v>1027</v>
      </c>
      <c r="F64" s="529" t="s">
        <v>799</v>
      </c>
      <c r="G64" s="529" t="s">
        <v>800</v>
      </c>
      <c r="H64" s="810">
        <v>45</v>
      </c>
      <c r="I64" s="811">
        <v>274286.7</v>
      </c>
      <c r="J64" s="529" t="s">
        <v>801</v>
      </c>
      <c r="K64" s="529" t="s">
        <v>802</v>
      </c>
      <c r="L64" s="529" t="s">
        <v>920</v>
      </c>
      <c r="M64" s="529" t="s">
        <v>1028</v>
      </c>
      <c r="N64" s="529" t="s">
        <v>804</v>
      </c>
      <c r="O64" s="529" t="s">
        <v>577</v>
      </c>
      <c r="P64" s="529" t="s">
        <v>1029</v>
      </c>
    </row>
    <row r="65" spans="1:16" x14ac:dyDescent="0.25">
      <c r="A65" s="529" t="s">
        <v>796</v>
      </c>
      <c r="B65" s="529" t="s">
        <v>797</v>
      </c>
      <c r="C65" s="808">
        <v>46207</v>
      </c>
      <c r="D65" s="809">
        <v>0.65454861111110996</v>
      </c>
      <c r="E65" s="529" t="s">
        <v>1018</v>
      </c>
      <c r="F65" s="529" t="s">
        <v>799</v>
      </c>
      <c r="G65" s="529" t="s">
        <v>800</v>
      </c>
      <c r="H65" s="810">
        <v>28</v>
      </c>
      <c r="I65" s="811">
        <v>170667.28</v>
      </c>
      <c r="J65" s="529" t="s">
        <v>801</v>
      </c>
      <c r="K65" s="529" t="s">
        <v>802</v>
      </c>
      <c r="L65" s="529" t="s">
        <v>857</v>
      </c>
      <c r="M65" s="529" t="s">
        <v>1019</v>
      </c>
      <c r="N65" s="529" t="s">
        <v>804</v>
      </c>
      <c r="O65" s="529" t="s">
        <v>577</v>
      </c>
      <c r="P65" s="529" t="s">
        <v>1020</v>
      </c>
    </row>
    <row r="66" spans="1:16" x14ac:dyDescent="0.25">
      <c r="A66" s="529" t="s">
        <v>796</v>
      </c>
      <c r="B66" s="529" t="s">
        <v>797</v>
      </c>
      <c r="C66" s="808">
        <v>46207</v>
      </c>
      <c r="D66" s="809">
        <v>0.33287037037036998</v>
      </c>
      <c r="E66" s="529" t="s">
        <v>1024</v>
      </c>
      <c r="F66" s="529" t="s">
        <v>799</v>
      </c>
      <c r="G66" s="529" t="s">
        <v>800</v>
      </c>
      <c r="H66" s="810">
        <v>20</v>
      </c>
      <c r="I66" s="811">
        <v>121905.2</v>
      </c>
      <c r="J66" s="529" t="s">
        <v>801</v>
      </c>
      <c r="K66" s="529" t="s">
        <v>802</v>
      </c>
      <c r="L66" s="529" t="s">
        <v>920</v>
      </c>
      <c r="M66" s="529" t="s">
        <v>1025</v>
      </c>
      <c r="N66" s="529" t="s">
        <v>804</v>
      </c>
      <c r="O66" s="529" t="s">
        <v>577</v>
      </c>
      <c r="P66" s="529" t="s">
        <v>1026</v>
      </c>
    </row>
    <row r="67" spans="1:16" x14ac:dyDescent="0.25">
      <c r="A67" s="529" t="s">
        <v>796</v>
      </c>
      <c r="B67" s="529" t="s">
        <v>797</v>
      </c>
      <c r="C67" s="808">
        <v>46207</v>
      </c>
      <c r="D67" s="809">
        <v>0.65418981481480998</v>
      </c>
      <c r="E67" s="529" t="s">
        <v>1033</v>
      </c>
      <c r="F67" s="529" t="s">
        <v>851</v>
      </c>
      <c r="G67" s="529" t="s">
        <v>800</v>
      </c>
      <c r="H67" s="810">
        <v>6</v>
      </c>
      <c r="I67" s="811">
        <v>37502.519999999997</v>
      </c>
      <c r="J67" s="529" t="s">
        <v>816</v>
      </c>
      <c r="K67" s="529" t="s">
        <v>802</v>
      </c>
      <c r="L67" s="529" t="s">
        <v>857</v>
      </c>
      <c r="M67" s="529" t="s">
        <v>1034</v>
      </c>
      <c r="N67" s="529" t="s">
        <v>804</v>
      </c>
      <c r="O67" s="529" t="s">
        <v>577</v>
      </c>
      <c r="P67" s="529" t="s">
        <v>1035</v>
      </c>
    </row>
    <row r="68" spans="1:16" x14ac:dyDescent="0.25">
      <c r="A68" s="529" t="s">
        <v>796</v>
      </c>
      <c r="B68" s="529" t="s">
        <v>797</v>
      </c>
      <c r="C68" s="808">
        <v>46207</v>
      </c>
      <c r="D68" s="809">
        <v>0.51296296296295996</v>
      </c>
      <c r="E68" s="529" t="s">
        <v>1030</v>
      </c>
      <c r="F68" s="529" t="s">
        <v>851</v>
      </c>
      <c r="G68" s="529" t="s">
        <v>800</v>
      </c>
      <c r="H68" s="810">
        <v>6</v>
      </c>
      <c r="I68" s="811">
        <v>37502.519999999997</v>
      </c>
      <c r="J68" s="529" t="s">
        <v>816</v>
      </c>
      <c r="K68" s="529" t="s">
        <v>802</v>
      </c>
      <c r="L68" s="529" t="s">
        <v>857</v>
      </c>
      <c r="M68" s="529" t="s">
        <v>1031</v>
      </c>
      <c r="N68" s="529" t="s">
        <v>804</v>
      </c>
      <c r="O68" s="529" t="s">
        <v>577</v>
      </c>
      <c r="P68" s="529" t="s">
        <v>1032</v>
      </c>
    </row>
    <row r="69" spans="1:16" x14ac:dyDescent="0.25">
      <c r="A69" s="529" t="s">
        <v>796</v>
      </c>
      <c r="B69" s="529" t="s">
        <v>797</v>
      </c>
      <c r="C69" s="808">
        <v>46207</v>
      </c>
      <c r="D69" s="809">
        <v>0.39836805555555999</v>
      </c>
      <c r="E69" s="529" t="s">
        <v>1036</v>
      </c>
      <c r="F69" s="529" t="s">
        <v>812</v>
      </c>
      <c r="G69" s="529" t="s">
        <v>800</v>
      </c>
      <c r="H69" s="810">
        <v>10</v>
      </c>
      <c r="I69" s="811">
        <v>63646.400000000001</v>
      </c>
      <c r="J69" s="529" t="s">
        <v>801</v>
      </c>
      <c r="K69" s="529" t="s">
        <v>802</v>
      </c>
      <c r="L69" s="529" t="s">
        <v>857</v>
      </c>
      <c r="M69" s="529" t="s">
        <v>1037</v>
      </c>
      <c r="N69" s="529" t="s">
        <v>804</v>
      </c>
      <c r="O69" s="529" t="s">
        <v>577</v>
      </c>
      <c r="P69" s="529" t="s">
        <v>1038</v>
      </c>
    </row>
    <row r="70" spans="1:16" x14ac:dyDescent="0.25">
      <c r="A70" s="529" t="s">
        <v>796</v>
      </c>
      <c r="B70" s="529" t="s">
        <v>797</v>
      </c>
      <c r="C70" s="808">
        <v>46207</v>
      </c>
      <c r="D70" s="809">
        <v>0.51335648148148005</v>
      </c>
      <c r="E70" s="529" t="s">
        <v>1042</v>
      </c>
      <c r="F70" s="529" t="s">
        <v>864</v>
      </c>
      <c r="G70" s="529" t="s">
        <v>800</v>
      </c>
      <c r="H70" s="810">
        <v>23</v>
      </c>
      <c r="I70" s="811">
        <v>149482.98000000001</v>
      </c>
      <c r="J70" s="529" t="s">
        <v>816</v>
      </c>
      <c r="K70" s="529" t="s">
        <v>802</v>
      </c>
      <c r="L70" s="529" t="s">
        <v>857</v>
      </c>
      <c r="M70" s="529" t="s">
        <v>1043</v>
      </c>
      <c r="N70" s="529" t="s">
        <v>804</v>
      </c>
      <c r="O70" s="529" t="s">
        <v>577</v>
      </c>
      <c r="P70" s="529" t="s">
        <v>1044</v>
      </c>
    </row>
    <row r="71" spans="1:16" x14ac:dyDescent="0.25">
      <c r="A71" s="529" t="s">
        <v>796</v>
      </c>
      <c r="B71" s="529" t="s">
        <v>797</v>
      </c>
      <c r="C71" s="808">
        <v>46207</v>
      </c>
      <c r="D71" s="809">
        <v>0.65475694444443999</v>
      </c>
      <c r="E71" s="529" t="s">
        <v>1039</v>
      </c>
      <c r="F71" s="529" t="s">
        <v>864</v>
      </c>
      <c r="G71" s="529" t="s">
        <v>800</v>
      </c>
      <c r="H71" s="810">
        <v>13</v>
      </c>
      <c r="I71" s="811">
        <v>84490.38</v>
      </c>
      <c r="J71" s="529" t="s">
        <v>816</v>
      </c>
      <c r="K71" s="529" t="s">
        <v>802</v>
      </c>
      <c r="L71" s="529" t="s">
        <v>857</v>
      </c>
      <c r="M71" s="529" t="s">
        <v>1040</v>
      </c>
      <c r="N71" s="529" t="s">
        <v>804</v>
      </c>
      <c r="O71" s="529" t="s">
        <v>577</v>
      </c>
      <c r="P71" s="529" t="s">
        <v>1041</v>
      </c>
    </row>
    <row r="72" spans="1:16" x14ac:dyDescent="0.25">
      <c r="A72" s="529" t="s">
        <v>796</v>
      </c>
      <c r="B72" s="529" t="s">
        <v>797</v>
      </c>
      <c r="C72" s="808">
        <v>46207</v>
      </c>
      <c r="D72" s="809">
        <v>0.86998842592592995</v>
      </c>
      <c r="E72" s="529" t="s">
        <v>1045</v>
      </c>
      <c r="F72" s="529" t="s">
        <v>957</v>
      </c>
      <c r="G72" s="529" t="s">
        <v>800</v>
      </c>
      <c r="H72" s="810">
        <v>15</v>
      </c>
      <c r="I72" s="811">
        <v>92903.85</v>
      </c>
      <c r="J72" s="529" t="s">
        <v>816</v>
      </c>
      <c r="K72" s="529" t="s">
        <v>802</v>
      </c>
      <c r="L72" s="529" t="s">
        <v>844</v>
      </c>
      <c r="M72" s="529" t="s">
        <v>1046</v>
      </c>
      <c r="N72" s="529" t="s">
        <v>804</v>
      </c>
      <c r="O72" s="529" t="s">
        <v>577</v>
      </c>
      <c r="P72" s="529" t="s">
        <v>1047</v>
      </c>
    </row>
    <row r="73" spans="1:16" x14ac:dyDescent="0.25">
      <c r="A73" s="529" t="s">
        <v>796</v>
      </c>
      <c r="B73" s="529" t="s">
        <v>797</v>
      </c>
      <c r="C73" s="808">
        <v>46207</v>
      </c>
      <c r="D73" s="809">
        <v>0.39871527777777999</v>
      </c>
      <c r="E73" s="529" t="s">
        <v>1057</v>
      </c>
      <c r="F73" s="529" t="s">
        <v>815</v>
      </c>
      <c r="G73" s="529" t="s">
        <v>800</v>
      </c>
      <c r="H73" s="810">
        <v>30</v>
      </c>
      <c r="I73" s="811">
        <v>187270.5</v>
      </c>
      <c r="J73" s="529" t="s">
        <v>816</v>
      </c>
      <c r="K73" s="529" t="s">
        <v>802</v>
      </c>
      <c r="L73" s="529" t="s">
        <v>857</v>
      </c>
      <c r="M73" s="529" t="s">
        <v>1058</v>
      </c>
      <c r="N73" s="529" t="s">
        <v>804</v>
      </c>
      <c r="O73" s="529" t="s">
        <v>577</v>
      </c>
      <c r="P73" s="529" t="s">
        <v>1059</v>
      </c>
    </row>
    <row r="74" spans="1:16" x14ac:dyDescent="0.25">
      <c r="A74" s="529" t="s">
        <v>796</v>
      </c>
      <c r="B74" s="529" t="s">
        <v>797</v>
      </c>
      <c r="C74" s="808">
        <v>46207</v>
      </c>
      <c r="D74" s="809">
        <v>0.28127314814815002</v>
      </c>
      <c r="E74" s="529" t="s">
        <v>1060</v>
      </c>
      <c r="F74" s="529" t="s">
        <v>815</v>
      </c>
      <c r="G74" s="529" t="s">
        <v>800</v>
      </c>
      <c r="H74" s="810">
        <v>40</v>
      </c>
      <c r="I74" s="811">
        <v>249694</v>
      </c>
      <c r="J74" s="529" t="s">
        <v>816</v>
      </c>
      <c r="K74" s="529" t="s">
        <v>802</v>
      </c>
      <c r="L74" s="529" t="s">
        <v>920</v>
      </c>
      <c r="M74" s="529" t="s">
        <v>1061</v>
      </c>
      <c r="N74" s="529" t="s">
        <v>804</v>
      </c>
      <c r="O74" s="529" t="s">
        <v>577</v>
      </c>
      <c r="P74" s="529" t="s">
        <v>1062</v>
      </c>
    </row>
    <row r="75" spans="1:16" x14ac:dyDescent="0.25">
      <c r="A75" s="529" t="s">
        <v>796</v>
      </c>
      <c r="B75" s="529" t="s">
        <v>797</v>
      </c>
      <c r="C75" s="808">
        <v>46207</v>
      </c>
      <c r="D75" s="809">
        <v>0.86973379629629999</v>
      </c>
      <c r="E75" s="529" t="s">
        <v>1048</v>
      </c>
      <c r="F75" s="529" t="s">
        <v>815</v>
      </c>
      <c r="G75" s="529" t="s">
        <v>800</v>
      </c>
      <c r="H75" s="810">
        <v>20</v>
      </c>
      <c r="I75" s="811">
        <v>124847</v>
      </c>
      <c r="J75" s="529" t="s">
        <v>816</v>
      </c>
      <c r="K75" s="529" t="s">
        <v>802</v>
      </c>
      <c r="L75" s="529" t="s">
        <v>844</v>
      </c>
      <c r="M75" s="529" t="s">
        <v>1049</v>
      </c>
      <c r="N75" s="529" t="s">
        <v>804</v>
      </c>
      <c r="O75" s="529" t="s">
        <v>577</v>
      </c>
      <c r="P75" s="529" t="s">
        <v>1050</v>
      </c>
    </row>
    <row r="76" spans="1:16" x14ac:dyDescent="0.25">
      <c r="A76" s="529" t="s">
        <v>796</v>
      </c>
      <c r="B76" s="529" t="s">
        <v>797</v>
      </c>
      <c r="C76" s="808">
        <v>46207</v>
      </c>
      <c r="D76" s="809">
        <v>8.643518518519E-2</v>
      </c>
      <c r="E76" s="529" t="s">
        <v>1063</v>
      </c>
      <c r="F76" s="529" t="s">
        <v>815</v>
      </c>
      <c r="G76" s="529" t="s">
        <v>800</v>
      </c>
      <c r="H76" s="810">
        <v>40</v>
      </c>
      <c r="I76" s="811">
        <v>249694</v>
      </c>
      <c r="J76" s="529" t="s">
        <v>816</v>
      </c>
      <c r="K76" s="529" t="s">
        <v>802</v>
      </c>
      <c r="L76" s="529" t="s">
        <v>857</v>
      </c>
      <c r="M76" s="529" t="s">
        <v>1064</v>
      </c>
      <c r="N76" s="529" t="s">
        <v>804</v>
      </c>
      <c r="O76" s="529" t="s">
        <v>577</v>
      </c>
      <c r="P76" s="529" t="s">
        <v>1065</v>
      </c>
    </row>
    <row r="77" spans="1:16" x14ac:dyDescent="0.25">
      <c r="A77" s="529" t="s">
        <v>796</v>
      </c>
      <c r="B77" s="529" t="s">
        <v>797</v>
      </c>
      <c r="C77" s="808">
        <v>46207</v>
      </c>
      <c r="D77" s="809">
        <v>0.65506944444444004</v>
      </c>
      <c r="E77" s="529" t="s">
        <v>1054</v>
      </c>
      <c r="F77" s="529" t="s">
        <v>815</v>
      </c>
      <c r="G77" s="529" t="s">
        <v>800</v>
      </c>
      <c r="H77" s="810">
        <v>20</v>
      </c>
      <c r="I77" s="811">
        <v>124847</v>
      </c>
      <c r="J77" s="529" t="s">
        <v>816</v>
      </c>
      <c r="K77" s="529" t="s">
        <v>802</v>
      </c>
      <c r="L77" s="529" t="s">
        <v>857</v>
      </c>
      <c r="M77" s="529" t="s">
        <v>1055</v>
      </c>
      <c r="N77" s="529" t="s">
        <v>804</v>
      </c>
      <c r="O77" s="529" t="s">
        <v>577</v>
      </c>
      <c r="P77" s="529" t="s">
        <v>1056</v>
      </c>
    </row>
    <row r="78" spans="1:16" x14ac:dyDescent="0.25">
      <c r="A78" s="529" t="s">
        <v>796</v>
      </c>
      <c r="B78" s="529" t="s">
        <v>797</v>
      </c>
      <c r="C78" s="808">
        <v>46207</v>
      </c>
      <c r="D78" s="809">
        <v>0.76567129629630004</v>
      </c>
      <c r="E78" s="529" t="s">
        <v>1051</v>
      </c>
      <c r="F78" s="529" t="s">
        <v>815</v>
      </c>
      <c r="G78" s="529" t="s">
        <v>800</v>
      </c>
      <c r="H78" s="810">
        <v>35</v>
      </c>
      <c r="I78" s="811">
        <v>218482.25</v>
      </c>
      <c r="J78" s="529" t="s">
        <v>816</v>
      </c>
      <c r="K78" s="529" t="s">
        <v>802</v>
      </c>
      <c r="L78" s="529" t="s">
        <v>848</v>
      </c>
      <c r="M78" s="529" t="s">
        <v>1052</v>
      </c>
      <c r="N78" s="529" t="s">
        <v>804</v>
      </c>
      <c r="O78" s="529" t="s">
        <v>577</v>
      </c>
      <c r="P78" s="529" t="s">
        <v>1053</v>
      </c>
    </row>
    <row r="79" spans="1:16" x14ac:dyDescent="0.25">
      <c r="A79" s="529" t="s">
        <v>796</v>
      </c>
      <c r="B79" s="529" t="s">
        <v>797</v>
      </c>
      <c r="C79" s="808">
        <v>46207</v>
      </c>
      <c r="D79" s="809">
        <v>8.611111111111E-2</v>
      </c>
      <c r="E79" s="529" t="s">
        <v>1069</v>
      </c>
      <c r="F79" s="529" t="s">
        <v>877</v>
      </c>
      <c r="G79" s="529" t="s">
        <v>800</v>
      </c>
      <c r="H79" s="810">
        <v>10</v>
      </c>
      <c r="I79" s="811">
        <v>64370.400000000001</v>
      </c>
      <c r="J79" s="529" t="s">
        <v>816</v>
      </c>
      <c r="K79" s="529" t="s">
        <v>802</v>
      </c>
      <c r="L79" s="529" t="s">
        <v>857</v>
      </c>
      <c r="M79" s="529" t="s">
        <v>1070</v>
      </c>
      <c r="N79" s="529" t="s">
        <v>804</v>
      </c>
      <c r="O79" s="529" t="s">
        <v>577</v>
      </c>
      <c r="P79" s="529" t="s">
        <v>1071</v>
      </c>
    </row>
    <row r="80" spans="1:16" x14ac:dyDescent="0.25">
      <c r="A80" s="529" t="s">
        <v>796</v>
      </c>
      <c r="B80" s="529" t="s">
        <v>797</v>
      </c>
      <c r="C80" s="808">
        <v>46207</v>
      </c>
      <c r="D80" s="809">
        <v>0.39854166666667001</v>
      </c>
      <c r="E80" s="529" t="s">
        <v>1066</v>
      </c>
      <c r="F80" s="529" t="s">
        <v>877</v>
      </c>
      <c r="G80" s="529" t="s">
        <v>800</v>
      </c>
      <c r="H80" s="810">
        <v>10</v>
      </c>
      <c r="I80" s="811">
        <v>64370.400000000001</v>
      </c>
      <c r="J80" s="529" t="s">
        <v>816</v>
      </c>
      <c r="K80" s="529" t="s">
        <v>802</v>
      </c>
      <c r="L80" s="529" t="s">
        <v>857</v>
      </c>
      <c r="M80" s="529" t="s">
        <v>1067</v>
      </c>
      <c r="N80" s="529" t="s">
        <v>804</v>
      </c>
      <c r="O80" s="529" t="s">
        <v>577</v>
      </c>
      <c r="P80" s="529" t="s">
        <v>1068</v>
      </c>
    </row>
    <row r="81" spans="1:16" x14ac:dyDescent="0.25">
      <c r="A81" s="529" t="s">
        <v>796</v>
      </c>
      <c r="B81" s="529" t="s">
        <v>797</v>
      </c>
      <c r="C81" s="808">
        <v>46207</v>
      </c>
      <c r="D81" s="809">
        <v>0.65491898148147998</v>
      </c>
      <c r="E81" s="529" t="s">
        <v>1072</v>
      </c>
      <c r="F81" s="529" t="s">
        <v>832</v>
      </c>
      <c r="G81" s="529" t="s">
        <v>800</v>
      </c>
      <c r="H81" s="810">
        <v>5</v>
      </c>
      <c r="I81" s="811">
        <v>33093.5</v>
      </c>
      <c r="J81" s="529" t="s">
        <v>816</v>
      </c>
      <c r="K81" s="529" t="s">
        <v>802</v>
      </c>
      <c r="L81" s="529" t="s">
        <v>857</v>
      </c>
      <c r="M81" s="529" t="s">
        <v>1073</v>
      </c>
      <c r="N81" s="529" t="s">
        <v>804</v>
      </c>
      <c r="O81" s="529" t="s">
        <v>577</v>
      </c>
      <c r="P81" s="529" t="s">
        <v>1074</v>
      </c>
    </row>
    <row r="82" spans="1:16" x14ac:dyDescent="0.25">
      <c r="A82" s="529" t="s">
        <v>796</v>
      </c>
      <c r="B82" s="529" t="s">
        <v>797</v>
      </c>
      <c r="C82" s="808">
        <v>46207</v>
      </c>
      <c r="D82" s="809">
        <v>0.51349537037036996</v>
      </c>
      <c r="E82" s="529" t="s">
        <v>1075</v>
      </c>
      <c r="F82" s="529" t="s">
        <v>832</v>
      </c>
      <c r="G82" s="529" t="s">
        <v>800</v>
      </c>
      <c r="H82" s="810">
        <v>14</v>
      </c>
      <c r="I82" s="811">
        <v>92661.8</v>
      </c>
      <c r="J82" s="529" t="s">
        <v>816</v>
      </c>
      <c r="K82" s="529" t="s">
        <v>802</v>
      </c>
      <c r="L82" s="529" t="s">
        <v>857</v>
      </c>
      <c r="M82" s="529" t="s">
        <v>1076</v>
      </c>
      <c r="N82" s="529" t="s">
        <v>804</v>
      </c>
      <c r="O82" s="529" t="s">
        <v>577</v>
      </c>
      <c r="P82" s="529" t="s">
        <v>1077</v>
      </c>
    </row>
    <row r="83" spans="1:16" x14ac:dyDescent="0.25">
      <c r="A83" s="529" t="s">
        <v>796</v>
      </c>
      <c r="B83" s="529" t="s">
        <v>797</v>
      </c>
      <c r="C83" s="808">
        <v>46207</v>
      </c>
      <c r="D83" s="809">
        <v>8.627314814815E-2</v>
      </c>
      <c r="E83" s="529" t="s">
        <v>1081</v>
      </c>
      <c r="F83" s="529" t="s">
        <v>832</v>
      </c>
      <c r="G83" s="529" t="s">
        <v>800</v>
      </c>
      <c r="H83" s="810">
        <v>15</v>
      </c>
      <c r="I83" s="811">
        <v>99280.5</v>
      </c>
      <c r="J83" s="529" t="s">
        <v>816</v>
      </c>
      <c r="K83" s="529" t="s">
        <v>802</v>
      </c>
      <c r="L83" s="529" t="s">
        <v>857</v>
      </c>
      <c r="M83" s="529" t="s">
        <v>1082</v>
      </c>
      <c r="N83" s="529" t="s">
        <v>804</v>
      </c>
      <c r="O83" s="529" t="s">
        <v>577</v>
      </c>
      <c r="P83" s="529" t="s">
        <v>1083</v>
      </c>
    </row>
    <row r="84" spans="1:16" x14ac:dyDescent="0.25">
      <c r="A84" s="529" t="s">
        <v>796</v>
      </c>
      <c r="B84" s="529" t="s">
        <v>797</v>
      </c>
      <c r="C84" s="808">
        <v>46207</v>
      </c>
      <c r="D84" s="809">
        <v>0.28113425925926</v>
      </c>
      <c r="E84" s="529" t="s">
        <v>1078</v>
      </c>
      <c r="F84" s="529" t="s">
        <v>832</v>
      </c>
      <c r="G84" s="529" t="s">
        <v>800</v>
      </c>
      <c r="H84" s="810">
        <v>15</v>
      </c>
      <c r="I84" s="811">
        <v>99280.5</v>
      </c>
      <c r="J84" s="529" t="s">
        <v>816</v>
      </c>
      <c r="K84" s="529" t="s">
        <v>802</v>
      </c>
      <c r="L84" s="529" t="s">
        <v>920</v>
      </c>
      <c r="M84" s="529" t="s">
        <v>1079</v>
      </c>
      <c r="N84" s="529" t="s">
        <v>804</v>
      </c>
      <c r="O84" s="529" t="s">
        <v>577</v>
      </c>
      <c r="P84" s="529" t="s">
        <v>1080</v>
      </c>
    </row>
    <row r="85" spans="1:16" x14ac:dyDescent="0.25">
      <c r="A85" s="529" t="s">
        <v>796</v>
      </c>
      <c r="B85" s="529" t="s">
        <v>797</v>
      </c>
      <c r="C85" s="808">
        <v>46207</v>
      </c>
      <c r="D85" s="809">
        <v>0.28085648148148001</v>
      </c>
      <c r="E85" s="529" t="s">
        <v>1084</v>
      </c>
      <c r="F85" s="529" t="s">
        <v>841</v>
      </c>
      <c r="G85" s="529" t="s">
        <v>800</v>
      </c>
      <c r="H85" s="810">
        <v>10</v>
      </c>
      <c r="I85" s="811">
        <v>69378.3</v>
      </c>
      <c r="J85" s="529" t="s">
        <v>801</v>
      </c>
      <c r="K85" s="529" t="s">
        <v>802</v>
      </c>
      <c r="L85" s="529" t="s">
        <v>920</v>
      </c>
      <c r="M85" s="529" t="s">
        <v>1085</v>
      </c>
      <c r="N85" s="529" t="s">
        <v>804</v>
      </c>
      <c r="O85" s="529" t="s">
        <v>577</v>
      </c>
      <c r="P85" s="529" t="s">
        <v>1086</v>
      </c>
    </row>
    <row r="86" spans="1:16" x14ac:dyDescent="0.25">
      <c r="A86" s="529" t="s">
        <v>796</v>
      </c>
      <c r="B86" s="529" t="s">
        <v>797</v>
      </c>
      <c r="C86" s="808">
        <v>46207</v>
      </c>
      <c r="D86" s="809">
        <v>0.33255787037036999</v>
      </c>
      <c r="E86" s="529" t="s">
        <v>1087</v>
      </c>
      <c r="F86" s="529" t="s">
        <v>841</v>
      </c>
      <c r="G86" s="529" t="s">
        <v>800</v>
      </c>
      <c r="H86" s="810">
        <v>10</v>
      </c>
      <c r="I86" s="811">
        <v>69378.3</v>
      </c>
      <c r="J86" s="529" t="s">
        <v>801</v>
      </c>
      <c r="K86" s="529" t="s">
        <v>802</v>
      </c>
      <c r="L86" s="529" t="s">
        <v>920</v>
      </c>
      <c r="M86" s="529" t="s">
        <v>1088</v>
      </c>
      <c r="N86" s="529" t="s">
        <v>804</v>
      </c>
      <c r="O86" s="529" t="s">
        <v>577</v>
      </c>
      <c r="P86" s="529" t="s">
        <v>1089</v>
      </c>
    </row>
    <row r="87" spans="1:16" x14ac:dyDescent="0.25">
      <c r="A87" s="529" t="s">
        <v>796</v>
      </c>
      <c r="B87" s="529" t="s">
        <v>797</v>
      </c>
      <c r="C87" s="808">
        <v>46208</v>
      </c>
      <c r="D87" s="809">
        <v>0.19644675925926</v>
      </c>
      <c r="E87" s="529" t="s">
        <v>1093</v>
      </c>
      <c r="F87" s="529" t="s">
        <v>919</v>
      </c>
      <c r="G87" s="529" t="s">
        <v>800</v>
      </c>
      <c r="H87" s="810">
        <v>25</v>
      </c>
      <c r="I87" s="811">
        <v>150901.5</v>
      </c>
      <c r="J87" s="529" t="s">
        <v>816</v>
      </c>
      <c r="K87" s="529" t="s">
        <v>802</v>
      </c>
      <c r="L87" s="529" t="s">
        <v>857</v>
      </c>
      <c r="M87" s="529" t="s">
        <v>1094</v>
      </c>
      <c r="N87" s="529" t="s">
        <v>804</v>
      </c>
      <c r="O87" s="529" t="s">
        <v>577</v>
      </c>
      <c r="P87" s="529" t="s">
        <v>1095</v>
      </c>
    </row>
    <row r="88" spans="1:16" x14ac:dyDescent="0.25">
      <c r="A88" s="529" t="s">
        <v>796</v>
      </c>
      <c r="B88" s="529" t="s">
        <v>797</v>
      </c>
      <c r="C88" s="808">
        <v>46208</v>
      </c>
      <c r="D88" s="809">
        <v>0.31600694444444</v>
      </c>
      <c r="E88" s="529" t="s">
        <v>1090</v>
      </c>
      <c r="F88" s="529" t="s">
        <v>919</v>
      </c>
      <c r="G88" s="529" t="s">
        <v>800</v>
      </c>
      <c r="H88" s="810">
        <v>15</v>
      </c>
      <c r="I88" s="811">
        <v>90540.9</v>
      </c>
      <c r="J88" s="529" t="s">
        <v>816</v>
      </c>
      <c r="K88" s="529" t="s">
        <v>802</v>
      </c>
      <c r="L88" s="529" t="s">
        <v>857</v>
      </c>
      <c r="M88" s="529" t="s">
        <v>1091</v>
      </c>
      <c r="N88" s="529" t="s">
        <v>804</v>
      </c>
      <c r="O88" s="529" t="s">
        <v>577</v>
      </c>
      <c r="P88" s="529" t="s">
        <v>1092</v>
      </c>
    </row>
    <row r="89" spans="1:16" x14ac:dyDescent="0.25">
      <c r="A89" s="529" t="s">
        <v>796</v>
      </c>
      <c r="B89" s="529" t="s">
        <v>797</v>
      </c>
      <c r="C89" s="808">
        <v>46208</v>
      </c>
      <c r="D89" s="809">
        <v>0.31572916666667</v>
      </c>
      <c r="E89" s="529" t="s">
        <v>1096</v>
      </c>
      <c r="F89" s="529" t="s">
        <v>851</v>
      </c>
      <c r="G89" s="529" t="s">
        <v>800</v>
      </c>
      <c r="H89" s="810">
        <v>9</v>
      </c>
      <c r="I89" s="811">
        <v>56253.78</v>
      </c>
      <c r="J89" s="529" t="s">
        <v>816</v>
      </c>
      <c r="K89" s="529" t="s">
        <v>802</v>
      </c>
      <c r="L89" s="529" t="s">
        <v>857</v>
      </c>
      <c r="M89" s="529" t="s">
        <v>1097</v>
      </c>
      <c r="N89" s="529" t="s">
        <v>804</v>
      </c>
      <c r="O89" s="529" t="s">
        <v>577</v>
      </c>
      <c r="P89" s="529" t="s">
        <v>1098</v>
      </c>
    </row>
    <row r="90" spans="1:16" x14ac:dyDescent="0.25">
      <c r="A90" s="529" t="s">
        <v>796</v>
      </c>
      <c r="B90" s="529" t="s">
        <v>797</v>
      </c>
      <c r="C90" s="808">
        <v>46208</v>
      </c>
      <c r="D90" s="809">
        <v>7.8761574074070001E-2</v>
      </c>
      <c r="E90" s="529" t="s">
        <v>1099</v>
      </c>
      <c r="F90" s="529" t="s">
        <v>851</v>
      </c>
      <c r="G90" s="529" t="s">
        <v>800</v>
      </c>
      <c r="H90" s="810">
        <v>30</v>
      </c>
      <c r="I90" s="811">
        <v>187512.6</v>
      </c>
      <c r="J90" s="529" t="s">
        <v>816</v>
      </c>
      <c r="K90" s="529" t="s">
        <v>802</v>
      </c>
      <c r="L90" s="529" t="s">
        <v>857</v>
      </c>
      <c r="M90" s="529" t="s">
        <v>1100</v>
      </c>
      <c r="N90" s="529" t="s">
        <v>804</v>
      </c>
      <c r="O90" s="529" t="s">
        <v>577</v>
      </c>
      <c r="P90" s="529" t="s">
        <v>1101</v>
      </c>
    </row>
    <row r="91" spans="1:16" x14ac:dyDescent="0.25">
      <c r="A91" s="529" t="s">
        <v>796</v>
      </c>
      <c r="B91" s="529" t="s">
        <v>797</v>
      </c>
      <c r="C91" s="808">
        <v>46208</v>
      </c>
      <c r="D91" s="809">
        <v>1.9375E-2</v>
      </c>
      <c r="E91" s="529" t="s">
        <v>1111</v>
      </c>
      <c r="F91" s="529" t="s">
        <v>812</v>
      </c>
      <c r="G91" s="529" t="s">
        <v>800</v>
      </c>
      <c r="H91" s="810">
        <v>20</v>
      </c>
      <c r="I91" s="811">
        <v>127292.8</v>
      </c>
      <c r="J91" s="529" t="s">
        <v>801</v>
      </c>
      <c r="K91" s="529" t="s">
        <v>802</v>
      </c>
      <c r="L91" s="529" t="s">
        <v>857</v>
      </c>
      <c r="M91" s="529" t="s">
        <v>1112</v>
      </c>
      <c r="N91" s="529" t="s">
        <v>804</v>
      </c>
      <c r="O91" s="529" t="s">
        <v>577</v>
      </c>
      <c r="P91" s="529" t="s">
        <v>1113</v>
      </c>
    </row>
    <row r="92" spans="1:16" x14ac:dyDescent="0.25">
      <c r="A92" s="529" t="s">
        <v>796</v>
      </c>
      <c r="B92" s="529" t="s">
        <v>797</v>
      </c>
      <c r="C92" s="808">
        <v>46208</v>
      </c>
      <c r="D92" s="809">
        <v>0.19608796296295999</v>
      </c>
      <c r="E92" s="529" t="s">
        <v>1102</v>
      </c>
      <c r="F92" s="529" t="s">
        <v>812</v>
      </c>
      <c r="G92" s="529" t="s">
        <v>800</v>
      </c>
      <c r="H92" s="810">
        <v>10</v>
      </c>
      <c r="I92" s="811">
        <v>63646.400000000001</v>
      </c>
      <c r="J92" s="529" t="s">
        <v>801</v>
      </c>
      <c r="K92" s="529" t="s">
        <v>802</v>
      </c>
      <c r="L92" s="529" t="s">
        <v>857</v>
      </c>
      <c r="M92" s="529" t="s">
        <v>1103</v>
      </c>
      <c r="N92" s="529" t="s">
        <v>804</v>
      </c>
      <c r="O92" s="529" t="s">
        <v>577</v>
      </c>
      <c r="P92" s="529" t="s">
        <v>1104</v>
      </c>
    </row>
    <row r="93" spans="1:16" x14ac:dyDescent="0.25">
      <c r="A93" s="529" t="s">
        <v>796</v>
      </c>
      <c r="B93" s="529" t="s">
        <v>797</v>
      </c>
      <c r="C93" s="808">
        <v>46208</v>
      </c>
      <c r="D93" s="809">
        <v>7.8981481481480001E-2</v>
      </c>
      <c r="E93" s="529" t="s">
        <v>1108</v>
      </c>
      <c r="F93" s="529" t="s">
        <v>812</v>
      </c>
      <c r="G93" s="529" t="s">
        <v>800</v>
      </c>
      <c r="H93" s="810">
        <v>10</v>
      </c>
      <c r="I93" s="811">
        <v>63646.400000000001</v>
      </c>
      <c r="J93" s="529" t="s">
        <v>801</v>
      </c>
      <c r="K93" s="529" t="s">
        <v>802</v>
      </c>
      <c r="L93" s="529" t="s">
        <v>857</v>
      </c>
      <c r="M93" s="529" t="s">
        <v>1109</v>
      </c>
      <c r="N93" s="529" t="s">
        <v>804</v>
      </c>
      <c r="O93" s="529" t="s">
        <v>577</v>
      </c>
      <c r="P93" s="529" t="s">
        <v>1110</v>
      </c>
    </row>
    <row r="94" spans="1:16" x14ac:dyDescent="0.25">
      <c r="A94" s="529" t="s">
        <v>796</v>
      </c>
      <c r="B94" s="529" t="s">
        <v>797</v>
      </c>
      <c r="C94" s="808">
        <v>46208</v>
      </c>
      <c r="D94" s="809">
        <v>0.31586805555556002</v>
      </c>
      <c r="E94" s="529" t="s">
        <v>1105</v>
      </c>
      <c r="F94" s="529" t="s">
        <v>812</v>
      </c>
      <c r="G94" s="529" t="s">
        <v>800</v>
      </c>
      <c r="H94" s="810">
        <v>11</v>
      </c>
      <c r="I94" s="811">
        <v>70011.039999999994</v>
      </c>
      <c r="J94" s="529" t="s">
        <v>801</v>
      </c>
      <c r="K94" s="529" t="s">
        <v>802</v>
      </c>
      <c r="L94" s="529" t="s">
        <v>857</v>
      </c>
      <c r="M94" s="529" t="s">
        <v>1106</v>
      </c>
      <c r="N94" s="529" t="s">
        <v>804</v>
      </c>
      <c r="O94" s="529" t="s">
        <v>577</v>
      </c>
      <c r="P94" s="529" t="s">
        <v>1107</v>
      </c>
    </row>
    <row r="95" spans="1:16" x14ac:dyDescent="0.25">
      <c r="A95" s="529" t="s">
        <v>796</v>
      </c>
      <c r="B95" s="529" t="s">
        <v>797</v>
      </c>
      <c r="C95" s="808">
        <v>46208</v>
      </c>
      <c r="D95" s="809">
        <v>0.19668981481480999</v>
      </c>
      <c r="E95" s="529" t="s">
        <v>1114</v>
      </c>
      <c r="F95" s="529" t="s">
        <v>864</v>
      </c>
      <c r="G95" s="529" t="s">
        <v>800</v>
      </c>
      <c r="H95" s="810">
        <v>5</v>
      </c>
      <c r="I95" s="811">
        <v>32496.3</v>
      </c>
      <c r="J95" s="529" t="s">
        <v>816</v>
      </c>
      <c r="K95" s="529" t="s">
        <v>802</v>
      </c>
      <c r="L95" s="529" t="s">
        <v>857</v>
      </c>
      <c r="M95" s="529" t="s">
        <v>1115</v>
      </c>
      <c r="N95" s="529" t="s">
        <v>804</v>
      </c>
      <c r="O95" s="529" t="s">
        <v>577</v>
      </c>
      <c r="P95" s="529" t="s">
        <v>1116</v>
      </c>
    </row>
    <row r="96" spans="1:16" x14ac:dyDescent="0.25">
      <c r="A96" s="529" t="s">
        <v>796</v>
      </c>
      <c r="B96" s="529" t="s">
        <v>797</v>
      </c>
      <c r="C96" s="808">
        <v>46208</v>
      </c>
      <c r="D96" s="809">
        <v>7.9201388888890001E-2</v>
      </c>
      <c r="E96" s="529" t="s">
        <v>1117</v>
      </c>
      <c r="F96" s="529" t="s">
        <v>864</v>
      </c>
      <c r="G96" s="529" t="s">
        <v>800</v>
      </c>
      <c r="H96" s="810">
        <v>20</v>
      </c>
      <c r="I96" s="811">
        <v>129985.2</v>
      </c>
      <c r="J96" s="529" t="s">
        <v>816</v>
      </c>
      <c r="K96" s="529" t="s">
        <v>802</v>
      </c>
      <c r="L96" s="529" t="s">
        <v>857</v>
      </c>
      <c r="M96" s="529" t="s">
        <v>1118</v>
      </c>
      <c r="N96" s="529" t="s">
        <v>804</v>
      </c>
      <c r="O96" s="529" t="s">
        <v>577</v>
      </c>
      <c r="P96" s="529" t="s">
        <v>1119</v>
      </c>
    </row>
    <row r="97" spans="1:16" x14ac:dyDescent="0.25">
      <c r="A97" s="529" t="s">
        <v>796</v>
      </c>
      <c r="B97" s="529" t="s">
        <v>797</v>
      </c>
      <c r="C97" s="808">
        <v>46208</v>
      </c>
      <c r="D97" s="809">
        <v>7.9629629629629994E-2</v>
      </c>
      <c r="E97" s="529" t="s">
        <v>1126</v>
      </c>
      <c r="F97" s="529" t="s">
        <v>815</v>
      </c>
      <c r="G97" s="529" t="s">
        <v>800</v>
      </c>
      <c r="H97" s="810">
        <v>20</v>
      </c>
      <c r="I97" s="811">
        <v>124847</v>
      </c>
      <c r="J97" s="529" t="s">
        <v>816</v>
      </c>
      <c r="K97" s="529" t="s">
        <v>802</v>
      </c>
      <c r="L97" s="529" t="s">
        <v>857</v>
      </c>
      <c r="M97" s="529" t="s">
        <v>1127</v>
      </c>
      <c r="N97" s="529" t="s">
        <v>804</v>
      </c>
      <c r="O97" s="529" t="s">
        <v>577</v>
      </c>
      <c r="P97" s="529" t="s">
        <v>1128</v>
      </c>
    </row>
    <row r="98" spans="1:16" x14ac:dyDescent="0.25">
      <c r="A98" s="529" t="s">
        <v>796</v>
      </c>
      <c r="B98" s="529" t="s">
        <v>797</v>
      </c>
      <c r="C98" s="808">
        <v>46208</v>
      </c>
      <c r="D98" s="809">
        <v>0.31614583333333002</v>
      </c>
      <c r="E98" s="529" t="s">
        <v>1120</v>
      </c>
      <c r="F98" s="529" t="s">
        <v>815</v>
      </c>
      <c r="G98" s="529" t="s">
        <v>800</v>
      </c>
      <c r="H98" s="810">
        <v>35</v>
      </c>
      <c r="I98" s="811">
        <v>218482.25</v>
      </c>
      <c r="J98" s="529" t="s">
        <v>816</v>
      </c>
      <c r="K98" s="529" t="s">
        <v>802</v>
      </c>
      <c r="L98" s="529" t="s">
        <v>857</v>
      </c>
      <c r="M98" s="529" t="s">
        <v>1121</v>
      </c>
      <c r="N98" s="529" t="s">
        <v>804</v>
      </c>
      <c r="O98" s="529" t="s">
        <v>577</v>
      </c>
      <c r="P98" s="529" t="s">
        <v>1122</v>
      </c>
    </row>
    <row r="99" spans="1:16" x14ac:dyDescent="0.25">
      <c r="A99" s="529" t="s">
        <v>796</v>
      </c>
      <c r="B99" s="529" t="s">
        <v>797</v>
      </c>
      <c r="C99" s="808">
        <v>46208</v>
      </c>
      <c r="D99" s="809">
        <v>0.19718749999999999</v>
      </c>
      <c r="E99" s="529" t="s">
        <v>1123</v>
      </c>
      <c r="F99" s="529" t="s">
        <v>815</v>
      </c>
      <c r="G99" s="529" t="s">
        <v>800</v>
      </c>
      <c r="H99" s="810">
        <v>25</v>
      </c>
      <c r="I99" s="811">
        <v>156058.75</v>
      </c>
      <c r="J99" s="529" t="s">
        <v>816</v>
      </c>
      <c r="K99" s="529" t="s">
        <v>802</v>
      </c>
      <c r="L99" s="529" t="s">
        <v>857</v>
      </c>
      <c r="M99" s="529" t="s">
        <v>1124</v>
      </c>
      <c r="N99" s="529" t="s">
        <v>804</v>
      </c>
      <c r="O99" s="529" t="s">
        <v>577</v>
      </c>
      <c r="P99" s="529" t="s">
        <v>1125</v>
      </c>
    </row>
    <row r="100" spans="1:16" x14ac:dyDescent="0.25">
      <c r="A100" s="529" t="s">
        <v>796</v>
      </c>
      <c r="B100" s="529" t="s">
        <v>797</v>
      </c>
      <c r="C100" s="808">
        <v>46208</v>
      </c>
      <c r="D100" s="809">
        <v>0.69802083333332998</v>
      </c>
      <c r="E100" s="529" t="s">
        <v>1145</v>
      </c>
      <c r="F100" s="529" t="s">
        <v>877</v>
      </c>
      <c r="G100" s="529" t="s">
        <v>800</v>
      </c>
      <c r="H100" s="810">
        <v>5</v>
      </c>
      <c r="I100" s="811">
        <v>32185.200000000001</v>
      </c>
      <c r="J100" s="529" t="s">
        <v>816</v>
      </c>
      <c r="K100" s="529" t="s">
        <v>802</v>
      </c>
      <c r="L100" s="529" t="s">
        <v>1144</v>
      </c>
      <c r="M100" s="529" t="s">
        <v>1146</v>
      </c>
      <c r="N100" s="529" t="s">
        <v>804</v>
      </c>
      <c r="O100" s="529" t="s">
        <v>577</v>
      </c>
      <c r="P100" s="529" t="s">
        <v>1147</v>
      </c>
    </row>
    <row r="101" spans="1:16" x14ac:dyDescent="0.25">
      <c r="A101" s="529" t="s">
        <v>796</v>
      </c>
      <c r="B101" s="529" t="s">
        <v>797</v>
      </c>
      <c r="C101" s="808">
        <v>46208</v>
      </c>
      <c r="D101" s="809">
        <v>0.19630787037037001</v>
      </c>
      <c r="E101" s="529" t="s">
        <v>1129</v>
      </c>
      <c r="F101" s="529" t="s">
        <v>877</v>
      </c>
      <c r="G101" s="529" t="s">
        <v>800</v>
      </c>
      <c r="H101" s="810">
        <v>15</v>
      </c>
      <c r="I101" s="811">
        <v>96555.6</v>
      </c>
      <c r="J101" s="529" t="s">
        <v>816</v>
      </c>
      <c r="K101" s="529" t="s">
        <v>802</v>
      </c>
      <c r="L101" s="529" t="s">
        <v>857</v>
      </c>
      <c r="M101" s="529" t="s">
        <v>1130</v>
      </c>
      <c r="N101" s="529" t="s">
        <v>804</v>
      </c>
      <c r="O101" s="529" t="s">
        <v>577</v>
      </c>
      <c r="P101" s="529" t="s">
        <v>1131</v>
      </c>
    </row>
    <row r="102" spans="1:16" x14ac:dyDescent="0.25">
      <c r="A102" s="529" t="s">
        <v>796</v>
      </c>
      <c r="B102" s="529" t="s">
        <v>797</v>
      </c>
      <c r="C102" s="808">
        <v>46208</v>
      </c>
      <c r="D102" s="809">
        <v>7.9363425925930001E-2</v>
      </c>
      <c r="E102" s="529" t="s">
        <v>1135</v>
      </c>
      <c r="F102" s="529" t="s">
        <v>832</v>
      </c>
      <c r="G102" s="529" t="s">
        <v>800</v>
      </c>
      <c r="H102" s="810">
        <v>35</v>
      </c>
      <c r="I102" s="811">
        <v>231654.5</v>
      </c>
      <c r="J102" s="529" t="s">
        <v>816</v>
      </c>
      <c r="K102" s="529" t="s">
        <v>802</v>
      </c>
      <c r="L102" s="529" t="s">
        <v>857</v>
      </c>
      <c r="M102" s="529" t="s">
        <v>1136</v>
      </c>
      <c r="N102" s="529" t="s">
        <v>804</v>
      </c>
      <c r="O102" s="529" t="s">
        <v>577</v>
      </c>
      <c r="P102" s="529" t="s">
        <v>1137</v>
      </c>
    </row>
    <row r="103" spans="1:16" x14ac:dyDescent="0.25">
      <c r="A103" s="529" t="s">
        <v>796</v>
      </c>
      <c r="B103" s="529" t="s">
        <v>797</v>
      </c>
      <c r="C103" s="808">
        <v>46208</v>
      </c>
      <c r="D103" s="809">
        <v>0.19694444444444001</v>
      </c>
      <c r="E103" s="529" t="s">
        <v>1132</v>
      </c>
      <c r="F103" s="529" t="s">
        <v>832</v>
      </c>
      <c r="G103" s="529" t="s">
        <v>800</v>
      </c>
      <c r="H103" s="810">
        <v>6</v>
      </c>
      <c r="I103" s="811">
        <v>39712.199999999997</v>
      </c>
      <c r="J103" s="529" t="s">
        <v>816</v>
      </c>
      <c r="K103" s="529" t="s">
        <v>802</v>
      </c>
      <c r="L103" s="529" t="s">
        <v>857</v>
      </c>
      <c r="M103" s="529" t="s">
        <v>1133</v>
      </c>
      <c r="N103" s="529" t="s">
        <v>804</v>
      </c>
      <c r="O103" s="529" t="s">
        <v>577</v>
      </c>
      <c r="P103" s="529" t="s">
        <v>1134</v>
      </c>
    </row>
    <row r="104" spans="1:16" x14ac:dyDescent="0.25">
      <c r="A104" s="529" t="s">
        <v>796</v>
      </c>
      <c r="B104" s="529" t="s">
        <v>797</v>
      </c>
      <c r="C104" s="808">
        <v>46208</v>
      </c>
      <c r="D104" s="809">
        <v>1.957175925926E-2</v>
      </c>
      <c r="E104" s="529" t="s">
        <v>1138</v>
      </c>
      <c r="F104" s="529" t="s">
        <v>835</v>
      </c>
      <c r="G104" s="529" t="s">
        <v>800</v>
      </c>
      <c r="H104" s="810">
        <v>10</v>
      </c>
      <c r="I104" s="811">
        <v>63317.3</v>
      </c>
      <c r="J104" s="529" t="s">
        <v>801</v>
      </c>
      <c r="K104" s="529" t="s">
        <v>802</v>
      </c>
      <c r="L104" s="529" t="s">
        <v>857</v>
      </c>
      <c r="M104" s="529" t="s">
        <v>1139</v>
      </c>
      <c r="N104" s="529" t="s">
        <v>804</v>
      </c>
      <c r="O104" s="529" t="s">
        <v>577</v>
      </c>
      <c r="P104" s="529" t="s">
        <v>1140</v>
      </c>
    </row>
    <row r="105" spans="1:16" x14ac:dyDescent="0.25">
      <c r="A105" s="529" t="s">
        <v>796</v>
      </c>
      <c r="B105" s="529" t="s">
        <v>797</v>
      </c>
      <c r="C105" s="808">
        <v>46208</v>
      </c>
      <c r="D105" s="809">
        <v>0.69783564814815002</v>
      </c>
      <c r="E105" s="529" t="s">
        <v>1148</v>
      </c>
      <c r="F105" s="529" t="s">
        <v>838</v>
      </c>
      <c r="G105" s="529" t="s">
        <v>800</v>
      </c>
      <c r="H105" s="810">
        <v>10</v>
      </c>
      <c r="I105" s="811">
        <v>65160.6</v>
      </c>
      <c r="J105" s="529" t="s">
        <v>801</v>
      </c>
      <c r="K105" s="529" t="s">
        <v>802</v>
      </c>
      <c r="L105" s="529" t="s">
        <v>1144</v>
      </c>
      <c r="M105" s="529" t="s">
        <v>1149</v>
      </c>
      <c r="N105" s="529" t="s">
        <v>804</v>
      </c>
      <c r="O105" s="529" t="s">
        <v>577</v>
      </c>
      <c r="P105" s="529" t="s">
        <v>1150</v>
      </c>
    </row>
    <row r="106" spans="1:16" x14ac:dyDescent="0.25">
      <c r="A106" s="529" t="s">
        <v>796</v>
      </c>
      <c r="B106" s="529" t="s">
        <v>797</v>
      </c>
      <c r="C106" s="808">
        <v>46209</v>
      </c>
      <c r="D106" s="809">
        <v>0.47327546296296003</v>
      </c>
      <c r="E106" s="529" t="s">
        <v>1157</v>
      </c>
      <c r="F106" s="529" t="s">
        <v>919</v>
      </c>
      <c r="G106" s="529" t="s">
        <v>800</v>
      </c>
      <c r="H106" s="810">
        <v>10</v>
      </c>
      <c r="I106" s="811">
        <v>60360.6</v>
      </c>
      <c r="J106" s="529" t="s">
        <v>816</v>
      </c>
      <c r="K106" s="529" t="s">
        <v>802</v>
      </c>
      <c r="L106" s="529" t="s">
        <v>848</v>
      </c>
      <c r="M106" s="529" t="s">
        <v>1158</v>
      </c>
      <c r="N106" s="529" t="s">
        <v>804</v>
      </c>
      <c r="O106" s="529" t="s">
        <v>577</v>
      </c>
      <c r="P106" s="529" t="s">
        <v>1159</v>
      </c>
    </row>
    <row r="107" spans="1:16" x14ac:dyDescent="0.25">
      <c r="A107" s="529" t="s">
        <v>796</v>
      </c>
      <c r="B107" s="529" t="s">
        <v>797</v>
      </c>
      <c r="C107" s="808">
        <v>46209</v>
      </c>
      <c r="D107" s="809">
        <v>0.65221064814815</v>
      </c>
      <c r="E107" s="529" t="s">
        <v>1154</v>
      </c>
      <c r="F107" s="529" t="s">
        <v>919</v>
      </c>
      <c r="G107" s="529" t="s">
        <v>800</v>
      </c>
      <c r="H107" s="810">
        <v>15</v>
      </c>
      <c r="I107" s="811">
        <v>90540.9</v>
      </c>
      <c r="J107" s="529" t="s">
        <v>816</v>
      </c>
      <c r="K107" s="529" t="s">
        <v>802</v>
      </c>
      <c r="L107" s="529" t="s">
        <v>1144</v>
      </c>
      <c r="M107" s="529" t="s">
        <v>1155</v>
      </c>
      <c r="N107" s="529" t="s">
        <v>804</v>
      </c>
      <c r="O107" s="529" t="s">
        <v>577</v>
      </c>
      <c r="P107" s="529" t="s">
        <v>1156</v>
      </c>
    </row>
    <row r="108" spans="1:16" x14ac:dyDescent="0.25">
      <c r="A108" s="529" t="s">
        <v>796</v>
      </c>
      <c r="B108" s="529" t="s">
        <v>797</v>
      </c>
      <c r="C108" s="808">
        <v>46209</v>
      </c>
      <c r="D108" s="809">
        <v>0.48511574074073999</v>
      </c>
      <c r="E108" s="529" t="s">
        <v>1151</v>
      </c>
      <c r="F108" s="529" t="s">
        <v>919</v>
      </c>
      <c r="G108" s="529" t="s">
        <v>800</v>
      </c>
      <c r="H108" s="810">
        <v>5</v>
      </c>
      <c r="I108" s="811">
        <v>30180.3</v>
      </c>
      <c r="J108" s="529" t="s">
        <v>816</v>
      </c>
      <c r="K108" s="529" t="s">
        <v>802</v>
      </c>
      <c r="L108" s="529" t="s">
        <v>857</v>
      </c>
      <c r="M108" s="529" t="s">
        <v>1152</v>
      </c>
      <c r="N108" s="529" t="s">
        <v>804</v>
      </c>
      <c r="O108" s="529" t="s">
        <v>577</v>
      </c>
      <c r="P108" s="529" t="s">
        <v>1153</v>
      </c>
    </row>
    <row r="109" spans="1:16" x14ac:dyDescent="0.25">
      <c r="A109" s="529" t="s">
        <v>796</v>
      </c>
      <c r="B109" s="529" t="s">
        <v>797</v>
      </c>
      <c r="C109" s="808">
        <v>46209</v>
      </c>
      <c r="D109" s="809">
        <v>0.48527777777777997</v>
      </c>
      <c r="E109" s="529" t="s">
        <v>1160</v>
      </c>
      <c r="F109" s="529" t="s">
        <v>799</v>
      </c>
      <c r="G109" s="529" t="s">
        <v>800</v>
      </c>
      <c r="H109" s="810">
        <v>20</v>
      </c>
      <c r="I109" s="811">
        <v>121905.2</v>
      </c>
      <c r="J109" s="529" t="s">
        <v>801</v>
      </c>
      <c r="K109" s="529" t="s">
        <v>802</v>
      </c>
      <c r="L109" s="529" t="s">
        <v>857</v>
      </c>
      <c r="M109" s="529" t="s">
        <v>1161</v>
      </c>
      <c r="N109" s="529" t="s">
        <v>804</v>
      </c>
      <c r="O109" s="529" t="s">
        <v>577</v>
      </c>
      <c r="P109" s="529" t="s">
        <v>1162</v>
      </c>
    </row>
    <row r="110" spans="1:16" x14ac:dyDescent="0.25">
      <c r="A110" s="529" t="s">
        <v>796</v>
      </c>
      <c r="B110" s="529" t="s">
        <v>797</v>
      </c>
      <c r="C110" s="808">
        <v>46209</v>
      </c>
      <c r="D110" s="809">
        <v>0.47285879629630001</v>
      </c>
      <c r="E110" s="529" t="s">
        <v>1166</v>
      </c>
      <c r="F110" s="529" t="s">
        <v>851</v>
      </c>
      <c r="G110" s="529" t="s">
        <v>800</v>
      </c>
      <c r="H110" s="810">
        <v>20</v>
      </c>
      <c r="I110" s="811">
        <v>125008.4</v>
      </c>
      <c r="J110" s="529" t="s">
        <v>816</v>
      </c>
      <c r="K110" s="529" t="s">
        <v>802</v>
      </c>
      <c r="L110" s="529" t="s">
        <v>848</v>
      </c>
      <c r="M110" s="529" t="s">
        <v>1167</v>
      </c>
      <c r="N110" s="529" t="s">
        <v>804</v>
      </c>
      <c r="O110" s="529" t="s">
        <v>577</v>
      </c>
      <c r="P110" s="529" t="s">
        <v>1168</v>
      </c>
    </row>
    <row r="111" spans="1:16" x14ac:dyDescent="0.25">
      <c r="A111" s="529" t="s">
        <v>796</v>
      </c>
      <c r="B111" s="529" t="s">
        <v>797</v>
      </c>
      <c r="C111" s="808">
        <v>46209</v>
      </c>
      <c r="D111" s="809">
        <v>0.48432870370370001</v>
      </c>
      <c r="E111" s="529" t="s">
        <v>1163</v>
      </c>
      <c r="F111" s="529" t="s">
        <v>851</v>
      </c>
      <c r="G111" s="529" t="s">
        <v>800</v>
      </c>
      <c r="H111" s="810">
        <v>15</v>
      </c>
      <c r="I111" s="811">
        <v>93756.3</v>
      </c>
      <c r="J111" s="529" t="s">
        <v>816</v>
      </c>
      <c r="K111" s="529" t="s">
        <v>802</v>
      </c>
      <c r="L111" s="529" t="s">
        <v>857</v>
      </c>
      <c r="M111" s="529" t="s">
        <v>1164</v>
      </c>
      <c r="N111" s="529" t="s">
        <v>804</v>
      </c>
      <c r="O111" s="529" t="s">
        <v>577</v>
      </c>
      <c r="P111" s="529" t="s">
        <v>1165</v>
      </c>
    </row>
    <row r="112" spans="1:16" x14ac:dyDescent="0.25">
      <c r="A112" s="529" t="s">
        <v>796</v>
      </c>
      <c r="B112" s="529" t="s">
        <v>797</v>
      </c>
      <c r="C112" s="808">
        <v>46209</v>
      </c>
      <c r="D112" s="809">
        <v>0.48452546296296001</v>
      </c>
      <c r="E112" s="529" t="s">
        <v>1172</v>
      </c>
      <c r="F112" s="529" t="s">
        <v>812</v>
      </c>
      <c r="G112" s="529" t="s">
        <v>800</v>
      </c>
      <c r="H112" s="810">
        <v>15</v>
      </c>
      <c r="I112" s="811">
        <v>95469.6</v>
      </c>
      <c r="J112" s="529" t="s">
        <v>801</v>
      </c>
      <c r="K112" s="529" t="s">
        <v>802</v>
      </c>
      <c r="L112" s="529" t="s">
        <v>857</v>
      </c>
      <c r="M112" s="529" t="s">
        <v>1173</v>
      </c>
      <c r="N112" s="529" t="s">
        <v>804</v>
      </c>
      <c r="O112" s="529" t="s">
        <v>577</v>
      </c>
      <c r="P112" s="529" t="s">
        <v>1174</v>
      </c>
    </row>
    <row r="113" spans="1:16" x14ac:dyDescent="0.25">
      <c r="A113" s="529" t="s">
        <v>796</v>
      </c>
      <c r="B113" s="529" t="s">
        <v>797</v>
      </c>
      <c r="C113" s="808">
        <v>46209</v>
      </c>
      <c r="D113" s="809">
        <v>0.47300925925926002</v>
      </c>
      <c r="E113" s="529" t="s">
        <v>1169</v>
      </c>
      <c r="F113" s="529" t="s">
        <v>812</v>
      </c>
      <c r="G113" s="529" t="s">
        <v>800</v>
      </c>
      <c r="H113" s="810">
        <v>50</v>
      </c>
      <c r="I113" s="811">
        <v>318232</v>
      </c>
      <c r="J113" s="529" t="s">
        <v>801</v>
      </c>
      <c r="K113" s="529" t="s">
        <v>802</v>
      </c>
      <c r="L113" s="529" t="s">
        <v>848</v>
      </c>
      <c r="M113" s="529" t="s">
        <v>1170</v>
      </c>
      <c r="N113" s="529" t="s">
        <v>804</v>
      </c>
      <c r="O113" s="529" t="s">
        <v>577</v>
      </c>
      <c r="P113" s="529" t="s">
        <v>1171</v>
      </c>
    </row>
    <row r="114" spans="1:16" x14ac:dyDescent="0.25">
      <c r="A114" s="529" t="s">
        <v>796</v>
      </c>
      <c r="B114" s="529" t="s">
        <v>797</v>
      </c>
      <c r="C114" s="808">
        <v>46209</v>
      </c>
      <c r="D114" s="809">
        <v>0.48541666666666999</v>
      </c>
      <c r="E114" s="529" t="s">
        <v>1175</v>
      </c>
      <c r="F114" s="529" t="s">
        <v>864</v>
      </c>
      <c r="G114" s="529" t="s">
        <v>800</v>
      </c>
      <c r="H114" s="810">
        <v>16</v>
      </c>
      <c r="I114" s="811">
        <v>103988.16</v>
      </c>
      <c r="J114" s="529" t="s">
        <v>816</v>
      </c>
      <c r="K114" s="529" t="s">
        <v>802</v>
      </c>
      <c r="L114" s="529" t="s">
        <v>857</v>
      </c>
      <c r="M114" s="529" t="s">
        <v>1176</v>
      </c>
      <c r="N114" s="529" t="s">
        <v>804</v>
      </c>
      <c r="O114" s="529" t="s">
        <v>577</v>
      </c>
      <c r="P114" s="529" t="s">
        <v>1177</v>
      </c>
    </row>
    <row r="115" spans="1:16" x14ac:dyDescent="0.25">
      <c r="A115" s="529" t="s">
        <v>796</v>
      </c>
      <c r="B115" s="529" t="s">
        <v>797</v>
      </c>
      <c r="C115" s="808">
        <v>46209</v>
      </c>
      <c r="D115" s="809">
        <v>0.47141203703703999</v>
      </c>
      <c r="E115" s="529" t="s">
        <v>1181</v>
      </c>
      <c r="F115" s="529" t="s">
        <v>957</v>
      </c>
      <c r="G115" s="529" t="s">
        <v>800</v>
      </c>
      <c r="H115" s="810">
        <v>40</v>
      </c>
      <c r="I115" s="811">
        <v>247743.6</v>
      </c>
      <c r="J115" s="529" t="s">
        <v>816</v>
      </c>
      <c r="K115" s="529" t="s">
        <v>802</v>
      </c>
      <c r="L115" s="529" t="s">
        <v>857</v>
      </c>
      <c r="M115" s="529" t="s">
        <v>1182</v>
      </c>
      <c r="N115" s="529" t="s">
        <v>804</v>
      </c>
      <c r="O115" s="529" t="s">
        <v>577</v>
      </c>
      <c r="P115" s="529" t="s">
        <v>1183</v>
      </c>
    </row>
    <row r="116" spans="1:16" x14ac:dyDescent="0.25">
      <c r="A116" s="529" t="s">
        <v>796</v>
      </c>
      <c r="B116" s="529" t="s">
        <v>797</v>
      </c>
      <c r="C116" s="808">
        <v>46209</v>
      </c>
      <c r="D116" s="809">
        <v>0.4849537037037</v>
      </c>
      <c r="E116" s="529" t="s">
        <v>1178</v>
      </c>
      <c r="F116" s="529" t="s">
        <v>957</v>
      </c>
      <c r="G116" s="529" t="s">
        <v>800</v>
      </c>
      <c r="H116" s="810">
        <v>5</v>
      </c>
      <c r="I116" s="811">
        <v>30967.95</v>
      </c>
      <c r="J116" s="529" t="s">
        <v>816</v>
      </c>
      <c r="K116" s="529" t="s">
        <v>802</v>
      </c>
      <c r="L116" s="529" t="s">
        <v>857</v>
      </c>
      <c r="M116" s="529" t="s">
        <v>1179</v>
      </c>
      <c r="N116" s="529" t="s">
        <v>804</v>
      </c>
      <c r="O116" s="529" t="s">
        <v>577</v>
      </c>
      <c r="P116" s="529" t="s">
        <v>1180</v>
      </c>
    </row>
    <row r="117" spans="1:16" x14ac:dyDescent="0.25">
      <c r="A117" s="529" t="s">
        <v>796</v>
      </c>
      <c r="B117" s="529" t="s">
        <v>797</v>
      </c>
      <c r="C117" s="808">
        <v>46209</v>
      </c>
      <c r="D117" s="809">
        <v>0.92717592592593001</v>
      </c>
      <c r="E117" s="529" t="s">
        <v>1184</v>
      </c>
      <c r="F117" s="529" t="s">
        <v>815</v>
      </c>
      <c r="G117" s="529" t="s">
        <v>800</v>
      </c>
      <c r="H117" s="810">
        <v>50</v>
      </c>
      <c r="I117" s="811">
        <v>312117.5</v>
      </c>
      <c r="J117" s="529" t="s">
        <v>816</v>
      </c>
      <c r="K117" s="529" t="s">
        <v>802</v>
      </c>
      <c r="L117" s="529" t="s">
        <v>857</v>
      </c>
      <c r="M117" s="529" t="s">
        <v>1224</v>
      </c>
      <c r="N117" s="529" t="s">
        <v>804</v>
      </c>
      <c r="O117" s="529" t="s">
        <v>577</v>
      </c>
      <c r="P117" s="529" t="s">
        <v>1185</v>
      </c>
    </row>
    <row r="118" spans="1:16" x14ac:dyDescent="0.25">
      <c r="A118" s="529" t="s">
        <v>796</v>
      </c>
      <c r="B118" s="529" t="s">
        <v>797</v>
      </c>
      <c r="C118" s="808">
        <v>46209</v>
      </c>
      <c r="D118" s="809">
        <v>0.47153935185184997</v>
      </c>
      <c r="E118" s="529" t="s">
        <v>1186</v>
      </c>
      <c r="F118" s="529" t="s">
        <v>815</v>
      </c>
      <c r="G118" s="529" t="s">
        <v>800</v>
      </c>
      <c r="H118" s="810">
        <v>30</v>
      </c>
      <c r="I118" s="811">
        <v>187270.5</v>
      </c>
      <c r="J118" s="529" t="s">
        <v>816</v>
      </c>
      <c r="K118" s="529" t="s">
        <v>802</v>
      </c>
      <c r="L118" s="529" t="s">
        <v>857</v>
      </c>
      <c r="M118" s="529" t="s">
        <v>1187</v>
      </c>
      <c r="N118" s="529" t="s">
        <v>804</v>
      </c>
      <c r="O118" s="529" t="s">
        <v>577</v>
      </c>
      <c r="P118" s="529" t="s">
        <v>1188</v>
      </c>
    </row>
    <row r="119" spans="1:16" x14ac:dyDescent="0.25">
      <c r="A119" s="529" t="s">
        <v>796</v>
      </c>
      <c r="B119" s="529" t="s">
        <v>797</v>
      </c>
      <c r="C119" s="808">
        <v>46209</v>
      </c>
      <c r="D119" s="809">
        <v>0.65241898148148003</v>
      </c>
      <c r="E119" s="529" t="s">
        <v>1189</v>
      </c>
      <c r="F119" s="529" t="s">
        <v>815</v>
      </c>
      <c r="G119" s="529" t="s">
        <v>800</v>
      </c>
      <c r="H119" s="810">
        <v>50</v>
      </c>
      <c r="I119" s="811">
        <v>312117.5</v>
      </c>
      <c r="J119" s="529" t="s">
        <v>816</v>
      </c>
      <c r="K119" s="529" t="s">
        <v>802</v>
      </c>
      <c r="L119" s="529" t="s">
        <v>1144</v>
      </c>
      <c r="M119" s="529" t="s">
        <v>1190</v>
      </c>
      <c r="N119" s="529" t="s">
        <v>804</v>
      </c>
      <c r="O119" s="529" t="s">
        <v>577</v>
      </c>
      <c r="P119" s="529" t="s">
        <v>1191</v>
      </c>
    </row>
    <row r="120" spans="1:16" x14ac:dyDescent="0.25">
      <c r="A120" s="529" t="s">
        <v>796</v>
      </c>
      <c r="B120" s="529" t="s">
        <v>797</v>
      </c>
      <c r="C120" s="808">
        <v>46209</v>
      </c>
      <c r="D120" s="809">
        <v>0.92703703703703999</v>
      </c>
      <c r="E120" s="529" t="s">
        <v>1192</v>
      </c>
      <c r="F120" s="529" t="s">
        <v>821</v>
      </c>
      <c r="G120" s="529" t="s">
        <v>800</v>
      </c>
      <c r="H120" s="810">
        <v>20</v>
      </c>
      <c r="I120" s="811">
        <v>129528.6</v>
      </c>
      <c r="J120" s="529" t="s">
        <v>801</v>
      </c>
      <c r="K120" s="529" t="s">
        <v>802</v>
      </c>
      <c r="L120" s="529" t="s">
        <v>857</v>
      </c>
      <c r="M120" s="529" t="s">
        <v>1225</v>
      </c>
      <c r="N120" s="529" t="s">
        <v>804</v>
      </c>
      <c r="O120" s="529" t="s">
        <v>577</v>
      </c>
      <c r="P120" s="529" t="s">
        <v>1193</v>
      </c>
    </row>
    <row r="121" spans="1:16" x14ac:dyDescent="0.25">
      <c r="A121" s="529" t="s">
        <v>796</v>
      </c>
      <c r="B121" s="529" t="s">
        <v>797</v>
      </c>
      <c r="C121" s="808">
        <v>46209</v>
      </c>
      <c r="D121" s="809">
        <v>0.47313657407407</v>
      </c>
      <c r="E121" s="529" t="s">
        <v>1197</v>
      </c>
      <c r="F121" s="529" t="s">
        <v>877</v>
      </c>
      <c r="G121" s="529" t="s">
        <v>800</v>
      </c>
      <c r="H121" s="810">
        <v>15</v>
      </c>
      <c r="I121" s="811">
        <v>96555.6</v>
      </c>
      <c r="J121" s="529" t="s">
        <v>816</v>
      </c>
      <c r="K121" s="529" t="s">
        <v>802</v>
      </c>
      <c r="L121" s="529" t="s">
        <v>848</v>
      </c>
      <c r="M121" s="529" t="s">
        <v>1198</v>
      </c>
      <c r="N121" s="529" t="s">
        <v>804</v>
      </c>
      <c r="O121" s="529" t="s">
        <v>577</v>
      </c>
      <c r="P121" s="529" t="s">
        <v>1199</v>
      </c>
    </row>
    <row r="122" spans="1:16" x14ac:dyDescent="0.25">
      <c r="A122" s="529" t="s">
        <v>796</v>
      </c>
      <c r="B122" s="529" t="s">
        <v>797</v>
      </c>
      <c r="C122" s="808">
        <v>46209</v>
      </c>
      <c r="D122" s="809">
        <v>0.48468749999999999</v>
      </c>
      <c r="E122" s="529" t="s">
        <v>1194</v>
      </c>
      <c r="F122" s="529" t="s">
        <v>877</v>
      </c>
      <c r="G122" s="529" t="s">
        <v>800</v>
      </c>
      <c r="H122" s="810">
        <v>4</v>
      </c>
      <c r="I122" s="811">
        <v>25748.16</v>
      </c>
      <c r="J122" s="529" t="s">
        <v>816</v>
      </c>
      <c r="K122" s="529" t="s">
        <v>802</v>
      </c>
      <c r="L122" s="529" t="s">
        <v>857</v>
      </c>
      <c r="M122" s="529" t="s">
        <v>1195</v>
      </c>
      <c r="N122" s="529" t="s">
        <v>804</v>
      </c>
      <c r="O122" s="529" t="s">
        <v>577</v>
      </c>
      <c r="P122" s="529" t="s">
        <v>1196</v>
      </c>
    </row>
    <row r="123" spans="1:16" x14ac:dyDescent="0.25">
      <c r="A123" s="529" t="s">
        <v>796</v>
      </c>
      <c r="B123" s="529" t="s">
        <v>797</v>
      </c>
      <c r="C123" s="808">
        <v>46209</v>
      </c>
      <c r="D123" s="809">
        <v>0.48557870370369999</v>
      </c>
      <c r="E123" s="529" t="s">
        <v>1200</v>
      </c>
      <c r="F123" s="529" t="s">
        <v>832</v>
      </c>
      <c r="G123" s="529" t="s">
        <v>800</v>
      </c>
      <c r="H123" s="810">
        <v>14</v>
      </c>
      <c r="I123" s="811">
        <v>92661.8</v>
      </c>
      <c r="J123" s="529" t="s">
        <v>816</v>
      </c>
      <c r="K123" s="529" t="s">
        <v>802</v>
      </c>
      <c r="L123" s="529" t="s">
        <v>857</v>
      </c>
      <c r="M123" s="529" t="s">
        <v>1201</v>
      </c>
      <c r="N123" s="529" t="s">
        <v>804</v>
      </c>
      <c r="O123" s="529" t="s">
        <v>577</v>
      </c>
      <c r="P123" s="529" t="s">
        <v>1202</v>
      </c>
    </row>
    <row r="124" spans="1:16" x14ac:dyDescent="0.25">
      <c r="A124" s="529" t="s">
        <v>796</v>
      </c>
      <c r="B124" s="529" t="s">
        <v>797</v>
      </c>
      <c r="C124" s="808">
        <v>46209</v>
      </c>
      <c r="D124" s="809">
        <v>0.65201388888889</v>
      </c>
      <c r="E124" s="529" t="s">
        <v>1203</v>
      </c>
      <c r="F124" s="529" t="s">
        <v>835</v>
      </c>
      <c r="G124" s="529" t="s">
        <v>800</v>
      </c>
      <c r="H124" s="810">
        <v>10</v>
      </c>
      <c r="I124" s="811">
        <v>63317.3</v>
      </c>
      <c r="J124" s="529" t="s">
        <v>801</v>
      </c>
      <c r="K124" s="529" t="s">
        <v>802</v>
      </c>
      <c r="L124" s="529" t="s">
        <v>1144</v>
      </c>
      <c r="M124" s="529" t="s">
        <v>1204</v>
      </c>
      <c r="N124" s="529" t="s">
        <v>804</v>
      </c>
      <c r="O124" s="529" t="s">
        <v>577</v>
      </c>
      <c r="P124" s="529" t="s">
        <v>1205</v>
      </c>
    </row>
    <row r="125" spans="1:16" x14ac:dyDescent="0.25">
      <c r="A125" s="529" t="s">
        <v>796</v>
      </c>
      <c r="B125" s="529" t="s">
        <v>797</v>
      </c>
      <c r="C125" s="808">
        <v>46210</v>
      </c>
      <c r="D125" s="809">
        <v>0.95292824074074001</v>
      </c>
      <c r="E125" s="529" t="s">
        <v>1226</v>
      </c>
      <c r="F125" s="529" t="s">
        <v>919</v>
      </c>
      <c r="G125" s="529" t="s">
        <v>800</v>
      </c>
      <c r="H125" s="810">
        <v>25</v>
      </c>
      <c r="I125" s="811">
        <v>150901.5</v>
      </c>
      <c r="J125" s="529" t="s">
        <v>816</v>
      </c>
      <c r="K125" s="529" t="s">
        <v>802</v>
      </c>
      <c r="L125" s="529" t="s">
        <v>920</v>
      </c>
      <c r="M125" s="529" t="s">
        <v>1227</v>
      </c>
      <c r="N125" s="529" t="s">
        <v>804</v>
      </c>
      <c r="O125" s="529" t="s">
        <v>577</v>
      </c>
      <c r="P125" s="529" t="s">
        <v>1228</v>
      </c>
    </row>
    <row r="126" spans="1:16" x14ac:dyDescent="0.25">
      <c r="A126" s="529" t="s">
        <v>796</v>
      </c>
      <c r="B126" s="529" t="s">
        <v>797</v>
      </c>
      <c r="C126" s="808">
        <v>46210</v>
      </c>
      <c r="D126" s="809">
        <v>0.95306712962963003</v>
      </c>
      <c r="E126" s="529" t="s">
        <v>1232</v>
      </c>
      <c r="F126" s="529" t="s">
        <v>799</v>
      </c>
      <c r="G126" s="529" t="s">
        <v>800</v>
      </c>
      <c r="H126" s="810">
        <v>10</v>
      </c>
      <c r="I126" s="811">
        <v>60952.6</v>
      </c>
      <c r="J126" s="529" t="s">
        <v>801</v>
      </c>
      <c r="K126" s="529" t="s">
        <v>802</v>
      </c>
      <c r="L126" s="529" t="s">
        <v>920</v>
      </c>
      <c r="M126" s="529" t="s">
        <v>1233</v>
      </c>
      <c r="N126" s="529" t="s">
        <v>804</v>
      </c>
      <c r="O126" s="529" t="s">
        <v>577</v>
      </c>
      <c r="P126" s="529" t="s">
        <v>1234</v>
      </c>
    </row>
    <row r="127" spans="1:16" x14ac:dyDescent="0.25">
      <c r="A127" s="529" t="s">
        <v>796</v>
      </c>
      <c r="B127" s="529" t="s">
        <v>797</v>
      </c>
      <c r="C127" s="808">
        <v>46210</v>
      </c>
      <c r="D127" s="809">
        <v>0.40246527777778002</v>
      </c>
      <c r="E127" s="529" t="s">
        <v>1229</v>
      </c>
      <c r="F127" s="529" t="s">
        <v>799</v>
      </c>
      <c r="G127" s="529" t="s">
        <v>800</v>
      </c>
      <c r="H127" s="810">
        <v>17</v>
      </c>
      <c r="I127" s="811">
        <v>103619.42</v>
      </c>
      <c r="J127" s="529" t="s">
        <v>801</v>
      </c>
      <c r="K127" s="529" t="s">
        <v>802</v>
      </c>
      <c r="L127" s="529" t="s">
        <v>857</v>
      </c>
      <c r="M127" s="529" t="s">
        <v>1230</v>
      </c>
      <c r="N127" s="529" t="s">
        <v>804</v>
      </c>
      <c r="O127" s="529" t="s">
        <v>577</v>
      </c>
      <c r="P127" s="529" t="s">
        <v>1231</v>
      </c>
    </row>
    <row r="128" spans="1:16" x14ac:dyDescent="0.25">
      <c r="A128" s="529" t="s">
        <v>796</v>
      </c>
      <c r="B128" s="529" t="s">
        <v>797</v>
      </c>
      <c r="C128" s="808">
        <v>46210</v>
      </c>
      <c r="D128" s="809">
        <v>0.11754629629630001</v>
      </c>
      <c r="E128" s="529" t="s">
        <v>1238</v>
      </c>
      <c r="F128" s="529" t="s">
        <v>799</v>
      </c>
      <c r="G128" s="529" t="s">
        <v>800</v>
      </c>
      <c r="H128" s="810">
        <v>21</v>
      </c>
      <c r="I128" s="811">
        <v>128000.46</v>
      </c>
      <c r="J128" s="529" t="s">
        <v>801</v>
      </c>
      <c r="K128" s="529" t="s">
        <v>802</v>
      </c>
      <c r="L128" s="529" t="s">
        <v>1144</v>
      </c>
      <c r="M128" s="529" t="s">
        <v>1239</v>
      </c>
      <c r="N128" s="529" t="s">
        <v>804</v>
      </c>
      <c r="O128" s="529" t="s">
        <v>577</v>
      </c>
      <c r="P128" s="529" t="s">
        <v>1240</v>
      </c>
    </row>
    <row r="129" spans="1:16" x14ac:dyDescent="0.25">
      <c r="A129" s="529" t="s">
        <v>796</v>
      </c>
      <c r="B129" s="529" t="s">
        <v>797</v>
      </c>
      <c r="C129" s="808">
        <v>46210</v>
      </c>
      <c r="D129" s="809">
        <v>0.11740740740741</v>
      </c>
      <c r="E129" s="529" t="s">
        <v>1235</v>
      </c>
      <c r="F129" s="529" t="s">
        <v>799</v>
      </c>
      <c r="G129" s="529" t="s">
        <v>800</v>
      </c>
      <c r="H129" s="810">
        <v>30</v>
      </c>
      <c r="I129" s="811">
        <v>182857.8</v>
      </c>
      <c r="J129" s="529" t="s">
        <v>801</v>
      </c>
      <c r="K129" s="529" t="s">
        <v>802</v>
      </c>
      <c r="L129" s="529" t="s">
        <v>844</v>
      </c>
      <c r="M129" s="529" t="s">
        <v>1236</v>
      </c>
      <c r="N129" s="529" t="s">
        <v>804</v>
      </c>
      <c r="O129" s="529" t="s">
        <v>577</v>
      </c>
      <c r="P129" s="529" t="s">
        <v>1237</v>
      </c>
    </row>
    <row r="130" spans="1:16" x14ac:dyDescent="0.25">
      <c r="A130" s="529" t="s">
        <v>796</v>
      </c>
      <c r="B130" s="529" t="s">
        <v>797</v>
      </c>
      <c r="C130" s="808">
        <v>46210</v>
      </c>
      <c r="D130" s="809">
        <v>0.11732638888888999</v>
      </c>
      <c r="E130" s="529" t="s">
        <v>1241</v>
      </c>
      <c r="F130" s="529" t="s">
        <v>851</v>
      </c>
      <c r="G130" s="529" t="s">
        <v>800</v>
      </c>
      <c r="H130" s="810">
        <v>7</v>
      </c>
      <c r="I130" s="811">
        <v>43752.94</v>
      </c>
      <c r="J130" s="529" t="s">
        <v>816</v>
      </c>
      <c r="K130" s="529" t="s">
        <v>802</v>
      </c>
      <c r="L130" s="529" t="s">
        <v>1144</v>
      </c>
      <c r="M130" s="529" t="s">
        <v>1242</v>
      </c>
      <c r="N130" s="529" t="s">
        <v>804</v>
      </c>
      <c r="O130" s="529" t="s">
        <v>577</v>
      </c>
      <c r="P130" s="529" t="s">
        <v>1243</v>
      </c>
    </row>
    <row r="131" spans="1:16" x14ac:dyDescent="0.25">
      <c r="A131" s="529" t="s">
        <v>796</v>
      </c>
      <c r="B131" s="529" t="s">
        <v>797</v>
      </c>
      <c r="C131" s="808">
        <v>46210</v>
      </c>
      <c r="D131" s="809">
        <v>0.95267361111111004</v>
      </c>
      <c r="E131" s="529" t="s">
        <v>1244</v>
      </c>
      <c r="F131" s="529" t="s">
        <v>851</v>
      </c>
      <c r="G131" s="529" t="s">
        <v>800</v>
      </c>
      <c r="H131" s="810">
        <v>10</v>
      </c>
      <c r="I131" s="811">
        <v>62504.2</v>
      </c>
      <c r="J131" s="529" t="s">
        <v>816</v>
      </c>
      <c r="K131" s="529" t="s">
        <v>802</v>
      </c>
      <c r="L131" s="529" t="s">
        <v>920</v>
      </c>
      <c r="M131" s="529" t="s">
        <v>1245</v>
      </c>
      <c r="N131" s="529" t="s">
        <v>804</v>
      </c>
      <c r="O131" s="529" t="s">
        <v>577</v>
      </c>
      <c r="P131" s="529" t="s">
        <v>1246</v>
      </c>
    </row>
    <row r="132" spans="1:16" x14ac:dyDescent="0.25">
      <c r="A132" s="529" t="s">
        <v>796</v>
      </c>
      <c r="B132" s="529" t="s">
        <v>797</v>
      </c>
      <c r="C132" s="808">
        <v>46210</v>
      </c>
      <c r="D132" s="809">
        <v>0.11686342592593001</v>
      </c>
      <c r="E132" s="529" t="s">
        <v>1247</v>
      </c>
      <c r="F132" s="529" t="s">
        <v>812</v>
      </c>
      <c r="G132" s="529" t="s">
        <v>800</v>
      </c>
      <c r="H132" s="810">
        <v>11</v>
      </c>
      <c r="I132" s="811">
        <v>70011.039999999994</v>
      </c>
      <c r="J132" s="529" t="s">
        <v>801</v>
      </c>
      <c r="K132" s="529" t="s">
        <v>802</v>
      </c>
      <c r="L132" s="529" t="s">
        <v>844</v>
      </c>
      <c r="M132" s="529" t="s">
        <v>1248</v>
      </c>
      <c r="N132" s="529" t="s">
        <v>804</v>
      </c>
      <c r="O132" s="529" t="s">
        <v>577</v>
      </c>
      <c r="P132" s="529" t="s">
        <v>1249</v>
      </c>
    </row>
    <row r="133" spans="1:16" x14ac:dyDescent="0.25">
      <c r="A133" s="529" t="s">
        <v>796</v>
      </c>
      <c r="B133" s="529" t="s">
        <v>797</v>
      </c>
      <c r="C133" s="808">
        <v>46210</v>
      </c>
      <c r="D133" s="809">
        <v>0.11769675925926</v>
      </c>
      <c r="E133" s="529" t="s">
        <v>1253</v>
      </c>
      <c r="F133" s="529" t="s">
        <v>864</v>
      </c>
      <c r="G133" s="529" t="s">
        <v>800</v>
      </c>
      <c r="H133" s="810">
        <v>7</v>
      </c>
      <c r="I133" s="811">
        <v>45494.82</v>
      </c>
      <c r="J133" s="529" t="s">
        <v>816</v>
      </c>
      <c r="K133" s="529" t="s">
        <v>802</v>
      </c>
      <c r="L133" s="529" t="s">
        <v>844</v>
      </c>
      <c r="M133" s="529" t="s">
        <v>1254</v>
      </c>
      <c r="N133" s="529" t="s">
        <v>804</v>
      </c>
      <c r="O133" s="529" t="s">
        <v>577</v>
      </c>
      <c r="P133" s="529" t="s">
        <v>1255</v>
      </c>
    </row>
    <row r="134" spans="1:16" x14ac:dyDescent="0.25">
      <c r="A134" s="529" t="s">
        <v>796</v>
      </c>
      <c r="B134" s="529" t="s">
        <v>797</v>
      </c>
      <c r="C134" s="808">
        <v>46210</v>
      </c>
      <c r="D134" s="809">
        <v>0.40218749999999998</v>
      </c>
      <c r="E134" s="529" t="s">
        <v>1250</v>
      </c>
      <c r="F134" s="529" t="s">
        <v>864</v>
      </c>
      <c r="G134" s="529" t="s">
        <v>800</v>
      </c>
      <c r="H134" s="810">
        <v>20</v>
      </c>
      <c r="I134" s="811">
        <v>129985.2</v>
      </c>
      <c r="J134" s="529" t="s">
        <v>816</v>
      </c>
      <c r="K134" s="529" t="s">
        <v>802</v>
      </c>
      <c r="L134" s="529" t="s">
        <v>857</v>
      </c>
      <c r="M134" s="529" t="s">
        <v>1251</v>
      </c>
      <c r="N134" s="529" t="s">
        <v>804</v>
      </c>
      <c r="O134" s="529" t="s">
        <v>577</v>
      </c>
      <c r="P134" s="529" t="s">
        <v>1252</v>
      </c>
    </row>
    <row r="135" spans="1:16" x14ac:dyDescent="0.25">
      <c r="A135" s="529" t="s">
        <v>796</v>
      </c>
      <c r="B135" s="529" t="s">
        <v>797</v>
      </c>
      <c r="C135" s="808">
        <v>46210</v>
      </c>
      <c r="D135" s="809">
        <v>0.40261574074074002</v>
      </c>
      <c r="E135" s="529" t="s">
        <v>1259</v>
      </c>
      <c r="F135" s="529" t="s">
        <v>957</v>
      </c>
      <c r="G135" s="529" t="s">
        <v>800</v>
      </c>
      <c r="H135" s="810">
        <v>23</v>
      </c>
      <c r="I135" s="811">
        <v>142452.57</v>
      </c>
      <c r="J135" s="529" t="s">
        <v>816</v>
      </c>
      <c r="K135" s="529" t="s">
        <v>802</v>
      </c>
      <c r="L135" s="529" t="s">
        <v>857</v>
      </c>
      <c r="M135" s="529" t="s">
        <v>1260</v>
      </c>
      <c r="N135" s="529" t="s">
        <v>804</v>
      </c>
      <c r="O135" s="529" t="s">
        <v>577</v>
      </c>
      <c r="P135" s="529" t="s">
        <v>1261</v>
      </c>
    </row>
    <row r="136" spans="1:16" x14ac:dyDescent="0.25">
      <c r="A136" s="529" t="s">
        <v>796</v>
      </c>
      <c r="B136" s="529" t="s">
        <v>797</v>
      </c>
      <c r="C136" s="808">
        <v>46210</v>
      </c>
      <c r="D136" s="809">
        <v>0.11724537037037</v>
      </c>
      <c r="E136" s="529" t="s">
        <v>1256</v>
      </c>
      <c r="F136" s="529" t="s">
        <v>957</v>
      </c>
      <c r="G136" s="529" t="s">
        <v>800</v>
      </c>
      <c r="H136" s="810">
        <v>20</v>
      </c>
      <c r="I136" s="811">
        <v>123871.8</v>
      </c>
      <c r="J136" s="529" t="s">
        <v>816</v>
      </c>
      <c r="K136" s="529" t="s">
        <v>802</v>
      </c>
      <c r="L136" s="529" t="s">
        <v>844</v>
      </c>
      <c r="M136" s="529" t="s">
        <v>1257</v>
      </c>
      <c r="N136" s="529" t="s">
        <v>804</v>
      </c>
      <c r="O136" s="529" t="s">
        <v>577</v>
      </c>
      <c r="P136" s="529" t="s">
        <v>1258</v>
      </c>
    </row>
    <row r="137" spans="1:16" x14ac:dyDescent="0.25">
      <c r="A137" s="529" t="s">
        <v>796</v>
      </c>
      <c r="B137" s="529" t="s">
        <v>797</v>
      </c>
      <c r="C137" s="808">
        <v>46210</v>
      </c>
      <c r="D137" s="809">
        <v>0.40232638888889</v>
      </c>
      <c r="E137" s="529" t="s">
        <v>1262</v>
      </c>
      <c r="F137" s="529" t="s">
        <v>815</v>
      </c>
      <c r="G137" s="529" t="s">
        <v>800</v>
      </c>
      <c r="H137" s="810">
        <v>35</v>
      </c>
      <c r="I137" s="811">
        <v>218482.25</v>
      </c>
      <c r="J137" s="529" t="s">
        <v>816</v>
      </c>
      <c r="K137" s="529" t="s">
        <v>802</v>
      </c>
      <c r="L137" s="529" t="s">
        <v>857</v>
      </c>
      <c r="M137" s="529" t="s">
        <v>1263</v>
      </c>
      <c r="N137" s="529" t="s">
        <v>804</v>
      </c>
      <c r="O137" s="529" t="s">
        <v>577</v>
      </c>
      <c r="P137" s="529" t="s">
        <v>1264</v>
      </c>
    </row>
    <row r="138" spans="1:16" x14ac:dyDescent="0.25">
      <c r="A138" s="529" t="s">
        <v>796</v>
      </c>
      <c r="B138" s="529" t="s">
        <v>797</v>
      </c>
      <c r="C138" s="808">
        <v>46210</v>
      </c>
      <c r="D138" s="809">
        <v>0.11755787037036999</v>
      </c>
      <c r="E138" s="529" t="s">
        <v>1265</v>
      </c>
      <c r="F138" s="529" t="s">
        <v>815</v>
      </c>
      <c r="G138" s="529" t="s">
        <v>800</v>
      </c>
      <c r="H138" s="810">
        <v>25</v>
      </c>
      <c r="I138" s="811">
        <v>156058.75</v>
      </c>
      <c r="J138" s="529" t="s">
        <v>816</v>
      </c>
      <c r="K138" s="529" t="s">
        <v>802</v>
      </c>
      <c r="L138" s="529" t="s">
        <v>844</v>
      </c>
      <c r="M138" s="529" t="s">
        <v>1266</v>
      </c>
      <c r="N138" s="529" t="s">
        <v>804</v>
      </c>
      <c r="O138" s="529" t="s">
        <v>577</v>
      </c>
      <c r="P138" s="529" t="s">
        <v>1267</v>
      </c>
    </row>
    <row r="139" spans="1:16" x14ac:dyDescent="0.25">
      <c r="A139" s="529" t="s">
        <v>796</v>
      </c>
      <c r="B139" s="529" t="s">
        <v>797</v>
      </c>
      <c r="C139" s="808">
        <v>46210</v>
      </c>
      <c r="D139" s="809">
        <v>0.11707175925926</v>
      </c>
      <c r="E139" s="529" t="s">
        <v>1271</v>
      </c>
      <c r="F139" s="529" t="s">
        <v>877</v>
      </c>
      <c r="G139" s="529" t="s">
        <v>800</v>
      </c>
      <c r="H139" s="810">
        <v>5</v>
      </c>
      <c r="I139" s="811">
        <v>32185.200000000001</v>
      </c>
      <c r="J139" s="529" t="s">
        <v>816</v>
      </c>
      <c r="K139" s="529" t="s">
        <v>802</v>
      </c>
      <c r="L139" s="529" t="s">
        <v>844</v>
      </c>
      <c r="M139" s="529" t="s">
        <v>1272</v>
      </c>
      <c r="N139" s="529" t="s">
        <v>804</v>
      </c>
      <c r="O139" s="529" t="s">
        <v>577</v>
      </c>
      <c r="P139" s="529" t="s">
        <v>1273</v>
      </c>
    </row>
    <row r="140" spans="1:16" x14ac:dyDescent="0.25">
      <c r="A140" s="529" t="s">
        <v>796</v>
      </c>
      <c r="B140" s="529" t="s">
        <v>797</v>
      </c>
      <c r="C140" s="808">
        <v>46210</v>
      </c>
      <c r="D140" s="809">
        <v>0.95280092592593002</v>
      </c>
      <c r="E140" s="529" t="s">
        <v>1268</v>
      </c>
      <c r="F140" s="529" t="s">
        <v>877</v>
      </c>
      <c r="G140" s="529" t="s">
        <v>800</v>
      </c>
      <c r="H140" s="810">
        <v>15</v>
      </c>
      <c r="I140" s="811">
        <v>96555.6</v>
      </c>
      <c r="J140" s="529" t="s">
        <v>816</v>
      </c>
      <c r="K140" s="529" t="s">
        <v>802</v>
      </c>
      <c r="L140" s="529" t="s">
        <v>920</v>
      </c>
      <c r="M140" s="529" t="s">
        <v>1269</v>
      </c>
      <c r="N140" s="529" t="s">
        <v>804</v>
      </c>
      <c r="O140" s="529" t="s">
        <v>577</v>
      </c>
      <c r="P140" s="529" t="s">
        <v>1270</v>
      </c>
    </row>
    <row r="141" spans="1:16" x14ac:dyDescent="0.25">
      <c r="A141" s="529" t="s">
        <v>796</v>
      </c>
      <c r="B141" s="529" t="s">
        <v>797</v>
      </c>
      <c r="C141" s="808">
        <v>46210</v>
      </c>
      <c r="D141" s="809">
        <v>0.1177662037037</v>
      </c>
      <c r="E141" s="529" t="s">
        <v>1277</v>
      </c>
      <c r="F141" s="529" t="s">
        <v>832</v>
      </c>
      <c r="G141" s="529" t="s">
        <v>800</v>
      </c>
      <c r="H141" s="810">
        <v>20</v>
      </c>
      <c r="I141" s="811">
        <v>132374</v>
      </c>
      <c r="J141" s="529" t="s">
        <v>816</v>
      </c>
      <c r="K141" s="529" t="s">
        <v>802</v>
      </c>
      <c r="L141" s="529" t="s">
        <v>1144</v>
      </c>
      <c r="M141" s="529" t="s">
        <v>1278</v>
      </c>
      <c r="N141" s="529" t="s">
        <v>804</v>
      </c>
      <c r="O141" s="529" t="s">
        <v>577</v>
      </c>
      <c r="P141" s="529" t="s">
        <v>1279</v>
      </c>
    </row>
    <row r="142" spans="1:16" x14ac:dyDescent="0.25">
      <c r="A142" s="529" t="s">
        <v>796</v>
      </c>
      <c r="B142" s="529" t="s">
        <v>797</v>
      </c>
      <c r="C142" s="808">
        <v>46210</v>
      </c>
      <c r="D142" s="809">
        <v>0.95318287037036997</v>
      </c>
      <c r="E142" s="529" t="s">
        <v>1274</v>
      </c>
      <c r="F142" s="529" t="s">
        <v>832</v>
      </c>
      <c r="G142" s="529" t="s">
        <v>800</v>
      </c>
      <c r="H142" s="810">
        <v>10</v>
      </c>
      <c r="I142" s="811">
        <v>66187</v>
      </c>
      <c r="J142" s="529" t="s">
        <v>816</v>
      </c>
      <c r="K142" s="529" t="s">
        <v>802</v>
      </c>
      <c r="L142" s="529" t="s">
        <v>920</v>
      </c>
      <c r="M142" s="529" t="s">
        <v>1275</v>
      </c>
      <c r="N142" s="529" t="s">
        <v>804</v>
      </c>
      <c r="O142" s="529" t="s">
        <v>577</v>
      </c>
      <c r="P142" s="529" t="s">
        <v>1276</v>
      </c>
    </row>
    <row r="143" spans="1:16" x14ac:dyDescent="0.25">
      <c r="A143" s="529" t="s">
        <v>796</v>
      </c>
      <c r="B143" s="529" t="s">
        <v>797</v>
      </c>
      <c r="C143" s="808">
        <v>46211</v>
      </c>
      <c r="D143" s="809">
        <v>0.22568287037036999</v>
      </c>
      <c r="E143" s="529" t="s">
        <v>1290</v>
      </c>
      <c r="F143" s="529" t="s">
        <v>919</v>
      </c>
      <c r="G143" s="529" t="s">
        <v>800</v>
      </c>
      <c r="H143" s="810">
        <v>20</v>
      </c>
      <c r="I143" s="811">
        <v>120721.2</v>
      </c>
      <c r="J143" s="529" t="s">
        <v>816</v>
      </c>
      <c r="K143" s="529" t="s">
        <v>802</v>
      </c>
      <c r="L143" s="529" t="s">
        <v>844</v>
      </c>
      <c r="M143" s="529" t="s">
        <v>1291</v>
      </c>
      <c r="N143" s="529" t="s">
        <v>804</v>
      </c>
      <c r="O143" s="529" t="s">
        <v>577</v>
      </c>
      <c r="P143" s="529" t="s">
        <v>1292</v>
      </c>
    </row>
    <row r="144" spans="1:16" x14ac:dyDescent="0.25">
      <c r="A144" s="529" t="s">
        <v>796</v>
      </c>
      <c r="B144" s="529" t="s">
        <v>797</v>
      </c>
      <c r="C144" s="808">
        <v>46211</v>
      </c>
      <c r="D144" s="809">
        <v>0.64245370370370003</v>
      </c>
      <c r="E144" s="529" t="s">
        <v>1287</v>
      </c>
      <c r="F144" s="529" t="s">
        <v>919</v>
      </c>
      <c r="G144" s="529" t="s">
        <v>800</v>
      </c>
      <c r="H144" s="810">
        <v>40</v>
      </c>
      <c r="I144" s="811">
        <v>241442.4</v>
      </c>
      <c r="J144" s="529" t="s">
        <v>816</v>
      </c>
      <c r="K144" s="529" t="s">
        <v>802</v>
      </c>
      <c r="L144" s="529" t="s">
        <v>1144</v>
      </c>
      <c r="M144" s="529" t="s">
        <v>1288</v>
      </c>
      <c r="N144" s="529" t="s">
        <v>804</v>
      </c>
      <c r="O144" s="529" t="s">
        <v>577</v>
      </c>
      <c r="P144" s="529" t="s">
        <v>1289</v>
      </c>
    </row>
    <row r="145" spans="1:16" x14ac:dyDescent="0.25">
      <c r="A145" s="529" t="s">
        <v>796</v>
      </c>
      <c r="B145" s="529" t="s">
        <v>797</v>
      </c>
      <c r="C145" s="808">
        <v>46211</v>
      </c>
      <c r="D145" s="809">
        <v>0.57119212962962995</v>
      </c>
      <c r="E145" s="529" t="s">
        <v>1284</v>
      </c>
      <c r="F145" s="529" t="s">
        <v>919</v>
      </c>
      <c r="G145" s="529" t="s">
        <v>800</v>
      </c>
      <c r="H145" s="810">
        <v>12</v>
      </c>
      <c r="I145" s="811">
        <v>72432.72</v>
      </c>
      <c r="J145" s="529" t="s">
        <v>816</v>
      </c>
      <c r="K145" s="529" t="s">
        <v>802</v>
      </c>
      <c r="L145" s="529" t="s">
        <v>857</v>
      </c>
      <c r="M145" s="529" t="s">
        <v>1285</v>
      </c>
      <c r="N145" s="529" t="s">
        <v>804</v>
      </c>
      <c r="O145" s="529" t="s">
        <v>577</v>
      </c>
      <c r="P145" s="529" t="s">
        <v>1286</v>
      </c>
    </row>
    <row r="146" spans="1:16" x14ac:dyDescent="0.25">
      <c r="A146" s="529" t="s">
        <v>796</v>
      </c>
      <c r="B146" s="529" t="s">
        <v>797</v>
      </c>
      <c r="C146" s="808">
        <v>46211</v>
      </c>
      <c r="D146" s="809">
        <v>0.58642361111110997</v>
      </c>
      <c r="E146" s="529" t="s">
        <v>1280</v>
      </c>
      <c r="F146" s="529" t="s">
        <v>919</v>
      </c>
      <c r="G146" s="529" t="s">
        <v>800</v>
      </c>
      <c r="H146" s="810">
        <v>10</v>
      </c>
      <c r="I146" s="811">
        <v>60360.6</v>
      </c>
      <c r="J146" s="529" t="s">
        <v>816</v>
      </c>
      <c r="K146" s="529" t="s">
        <v>802</v>
      </c>
      <c r="L146" s="529" t="s">
        <v>1281</v>
      </c>
      <c r="M146" s="529" t="s">
        <v>1282</v>
      </c>
      <c r="N146" s="529" t="s">
        <v>804</v>
      </c>
      <c r="O146" s="529" t="s">
        <v>577</v>
      </c>
      <c r="P146" s="529" t="s">
        <v>1283</v>
      </c>
    </row>
    <row r="147" spans="1:16" x14ac:dyDescent="0.25">
      <c r="A147" s="529" t="s">
        <v>796</v>
      </c>
      <c r="B147" s="529" t="s">
        <v>797</v>
      </c>
      <c r="C147" s="808">
        <v>46211</v>
      </c>
      <c r="D147" s="809">
        <v>0.57100694444444</v>
      </c>
      <c r="E147" s="529" t="s">
        <v>1305</v>
      </c>
      <c r="F147" s="529" t="s">
        <v>799</v>
      </c>
      <c r="G147" s="529" t="s">
        <v>800</v>
      </c>
      <c r="H147" s="810">
        <v>50</v>
      </c>
      <c r="I147" s="811">
        <v>304763</v>
      </c>
      <c r="J147" s="529" t="s">
        <v>801</v>
      </c>
      <c r="K147" s="529" t="s">
        <v>802</v>
      </c>
      <c r="L147" s="529" t="s">
        <v>857</v>
      </c>
      <c r="M147" s="529" t="s">
        <v>1306</v>
      </c>
      <c r="N147" s="529" t="s">
        <v>804</v>
      </c>
      <c r="O147" s="529" t="s">
        <v>577</v>
      </c>
      <c r="P147" s="529" t="s">
        <v>1307</v>
      </c>
    </row>
    <row r="148" spans="1:16" x14ac:dyDescent="0.25">
      <c r="A148" s="529" t="s">
        <v>796</v>
      </c>
      <c r="B148" s="529" t="s">
        <v>797</v>
      </c>
      <c r="C148" s="808">
        <v>46211</v>
      </c>
      <c r="D148" s="809">
        <v>0.58725694444443999</v>
      </c>
      <c r="E148" s="529" t="s">
        <v>1308</v>
      </c>
      <c r="F148" s="529" t="s">
        <v>799</v>
      </c>
      <c r="G148" s="529" t="s">
        <v>800</v>
      </c>
      <c r="H148" s="810">
        <v>50</v>
      </c>
      <c r="I148" s="811">
        <v>304763</v>
      </c>
      <c r="J148" s="529" t="s">
        <v>801</v>
      </c>
      <c r="K148" s="529" t="s">
        <v>802</v>
      </c>
      <c r="L148" s="529" t="s">
        <v>1281</v>
      </c>
      <c r="M148" s="529" t="s">
        <v>1309</v>
      </c>
      <c r="N148" s="529" t="s">
        <v>804</v>
      </c>
      <c r="O148" s="529" t="s">
        <v>577</v>
      </c>
      <c r="P148" s="529" t="s">
        <v>1310</v>
      </c>
    </row>
    <row r="149" spans="1:16" x14ac:dyDescent="0.25">
      <c r="A149" s="529" t="s">
        <v>796</v>
      </c>
      <c r="B149" s="529" t="s">
        <v>797</v>
      </c>
      <c r="C149" s="808">
        <v>46211</v>
      </c>
      <c r="D149" s="809">
        <v>0.36163194444444002</v>
      </c>
      <c r="E149" s="529" t="s">
        <v>1293</v>
      </c>
      <c r="F149" s="529" t="s">
        <v>799</v>
      </c>
      <c r="G149" s="529" t="s">
        <v>800</v>
      </c>
      <c r="H149" s="810">
        <v>15</v>
      </c>
      <c r="I149" s="811">
        <v>91428.9</v>
      </c>
      <c r="J149" s="529" t="s">
        <v>801</v>
      </c>
      <c r="K149" s="529" t="s">
        <v>802</v>
      </c>
      <c r="L149" s="529" t="s">
        <v>857</v>
      </c>
      <c r="M149" s="529" t="s">
        <v>1294</v>
      </c>
      <c r="N149" s="529" t="s">
        <v>804</v>
      </c>
      <c r="O149" s="529" t="s">
        <v>577</v>
      </c>
      <c r="P149" s="529" t="s">
        <v>1295</v>
      </c>
    </row>
    <row r="150" spans="1:16" x14ac:dyDescent="0.25">
      <c r="A150" s="529" t="s">
        <v>796</v>
      </c>
      <c r="B150" s="529" t="s">
        <v>797</v>
      </c>
      <c r="C150" s="808">
        <v>46211</v>
      </c>
      <c r="D150" s="809">
        <v>0.58655092592592994</v>
      </c>
      <c r="E150" s="529" t="s">
        <v>1302</v>
      </c>
      <c r="F150" s="529" t="s">
        <v>799</v>
      </c>
      <c r="G150" s="529" t="s">
        <v>800</v>
      </c>
      <c r="H150" s="810">
        <v>95</v>
      </c>
      <c r="I150" s="811">
        <v>579049.69999999995</v>
      </c>
      <c r="J150" s="529" t="s">
        <v>801</v>
      </c>
      <c r="K150" s="529" t="s">
        <v>802</v>
      </c>
      <c r="L150" s="529" t="s">
        <v>1281</v>
      </c>
      <c r="M150" s="529" t="s">
        <v>1303</v>
      </c>
      <c r="N150" s="529" t="s">
        <v>804</v>
      </c>
      <c r="O150" s="529" t="s">
        <v>577</v>
      </c>
      <c r="P150" s="529" t="s">
        <v>1304</v>
      </c>
    </row>
    <row r="151" spans="1:16" x14ac:dyDescent="0.25">
      <c r="A151" s="529" t="s">
        <v>796</v>
      </c>
      <c r="B151" s="529" t="s">
        <v>797</v>
      </c>
      <c r="C151" s="808">
        <v>46211</v>
      </c>
      <c r="D151" s="809">
        <v>0.58662037037036996</v>
      </c>
      <c r="E151" s="529" t="s">
        <v>1296</v>
      </c>
      <c r="F151" s="529" t="s">
        <v>799</v>
      </c>
      <c r="G151" s="529" t="s">
        <v>800</v>
      </c>
      <c r="H151" s="810">
        <v>60</v>
      </c>
      <c r="I151" s="811">
        <v>365715.6</v>
      </c>
      <c r="J151" s="529" t="s">
        <v>801</v>
      </c>
      <c r="K151" s="529" t="s">
        <v>802</v>
      </c>
      <c r="L151" s="529" t="s">
        <v>1281</v>
      </c>
      <c r="M151" s="529" t="s">
        <v>1297</v>
      </c>
      <c r="N151" s="529" t="s">
        <v>804</v>
      </c>
      <c r="O151" s="529" t="s">
        <v>577</v>
      </c>
      <c r="P151" s="529" t="s">
        <v>1298</v>
      </c>
    </row>
    <row r="152" spans="1:16" x14ac:dyDescent="0.25">
      <c r="A152" s="529" t="s">
        <v>796</v>
      </c>
      <c r="B152" s="529" t="s">
        <v>797</v>
      </c>
      <c r="C152" s="808">
        <v>46211</v>
      </c>
      <c r="D152" s="809">
        <v>0.64226851851851996</v>
      </c>
      <c r="E152" s="529" t="s">
        <v>1299</v>
      </c>
      <c r="F152" s="529" t="s">
        <v>799</v>
      </c>
      <c r="G152" s="529" t="s">
        <v>800</v>
      </c>
      <c r="H152" s="810">
        <v>26</v>
      </c>
      <c r="I152" s="811">
        <v>158476.76</v>
      </c>
      <c r="J152" s="529" t="s">
        <v>801</v>
      </c>
      <c r="K152" s="529" t="s">
        <v>802</v>
      </c>
      <c r="L152" s="529" t="s">
        <v>1144</v>
      </c>
      <c r="M152" s="529" t="s">
        <v>1300</v>
      </c>
      <c r="N152" s="529" t="s">
        <v>804</v>
      </c>
      <c r="O152" s="529" t="s">
        <v>577</v>
      </c>
      <c r="P152" s="529" t="s">
        <v>1301</v>
      </c>
    </row>
    <row r="153" spans="1:16" x14ac:dyDescent="0.25">
      <c r="A153" s="529" t="s">
        <v>796</v>
      </c>
      <c r="B153" s="529" t="s">
        <v>797</v>
      </c>
      <c r="C153" s="808">
        <v>46211</v>
      </c>
      <c r="D153" s="809">
        <v>0.58811342592592997</v>
      </c>
      <c r="E153" s="529" t="s">
        <v>1314</v>
      </c>
      <c r="F153" s="529" t="s">
        <v>851</v>
      </c>
      <c r="G153" s="529" t="s">
        <v>800</v>
      </c>
      <c r="H153" s="810">
        <v>10</v>
      </c>
      <c r="I153" s="811">
        <v>62504.2</v>
      </c>
      <c r="J153" s="529" t="s">
        <v>816</v>
      </c>
      <c r="K153" s="529" t="s">
        <v>802</v>
      </c>
      <c r="L153" s="529" t="s">
        <v>1281</v>
      </c>
      <c r="M153" s="529" t="s">
        <v>1315</v>
      </c>
      <c r="N153" s="529" t="s">
        <v>804</v>
      </c>
      <c r="O153" s="529" t="s">
        <v>577</v>
      </c>
      <c r="P153" s="529" t="s">
        <v>1316</v>
      </c>
    </row>
    <row r="154" spans="1:16" x14ac:dyDescent="0.25">
      <c r="A154" s="529" t="s">
        <v>796</v>
      </c>
      <c r="B154" s="529" t="s">
        <v>797</v>
      </c>
      <c r="C154" s="808">
        <v>46211</v>
      </c>
      <c r="D154" s="809">
        <v>0.64284722222222002</v>
      </c>
      <c r="E154" s="529" t="s">
        <v>1311</v>
      </c>
      <c r="F154" s="529" t="s">
        <v>851</v>
      </c>
      <c r="G154" s="529" t="s">
        <v>800</v>
      </c>
      <c r="H154" s="810">
        <v>10</v>
      </c>
      <c r="I154" s="811">
        <v>62504.2</v>
      </c>
      <c r="J154" s="529" t="s">
        <v>816</v>
      </c>
      <c r="K154" s="529" t="s">
        <v>802</v>
      </c>
      <c r="L154" s="529" t="s">
        <v>1144</v>
      </c>
      <c r="M154" s="529" t="s">
        <v>1312</v>
      </c>
      <c r="N154" s="529" t="s">
        <v>804</v>
      </c>
      <c r="O154" s="529" t="s">
        <v>577</v>
      </c>
      <c r="P154" s="529" t="s">
        <v>1313</v>
      </c>
    </row>
    <row r="155" spans="1:16" x14ac:dyDescent="0.25">
      <c r="A155" s="529" t="s">
        <v>796</v>
      </c>
      <c r="B155" s="529" t="s">
        <v>797</v>
      </c>
      <c r="C155" s="808">
        <v>46211</v>
      </c>
      <c r="D155" s="809">
        <v>0.36146990740740997</v>
      </c>
      <c r="E155" s="529" t="s">
        <v>1317</v>
      </c>
      <c r="F155" s="529" t="s">
        <v>851</v>
      </c>
      <c r="G155" s="529" t="s">
        <v>800</v>
      </c>
      <c r="H155" s="810">
        <v>5</v>
      </c>
      <c r="I155" s="811">
        <v>31252.1</v>
      </c>
      <c r="J155" s="529" t="s">
        <v>816</v>
      </c>
      <c r="K155" s="529" t="s">
        <v>802</v>
      </c>
      <c r="L155" s="529" t="s">
        <v>857</v>
      </c>
      <c r="M155" s="529" t="s">
        <v>1318</v>
      </c>
      <c r="N155" s="529" t="s">
        <v>804</v>
      </c>
      <c r="O155" s="529" t="s">
        <v>577</v>
      </c>
      <c r="P155" s="529" t="s">
        <v>1319</v>
      </c>
    </row>
    <row r="156" spans="1:16" x14ac:dyDescent="0.25">
      <c r="A156" s="529" t="s">
        <v>796</v>
      </c>
      <c r="B156" s="529" t="s">
        <v>797</v>
      </c>
      <c r="C156" s="808">
        <v>46211</v>
      </c>
      <c r="D156" s="809">
        <v>0.58648148148148005</v>
      </c>
      <c r="E156" s="529" t="s">
        <v>1323</v>
      </c>
      <c r="F156" s="529" t="s">
        <v>812</v>
      </c>
      <c r="G156" s="529" t="s">
        <v>800</v>
      </c>
      <c r="H156" s="810">
        <v>10</v>
      </c>
      <c r="I156" s="811">
        <v>63646.400000000001</v>
      </c>
      <c r="J156" s="529" t="s">
        <v>801</v>
      </c>
      <c r="K156" s="529" t="s">
        <v>802</v>
      </c>
      <c r="L156" s="529" t="s">
        <v>1281</v>
      </c>
      <c r="M156" s="529" t="s">
        <v>1324</v>
      </c>
      <c r="N156" s="529" t="s">
        <v>804</v>
      </c>
      <c r="O156" s="529" t="s">
        <v>577</v>
      </c>
      <c r="P156" s="529" t="s">
        <v>1325</v>
      </c>
    </row>
    <row r="157" spans="1:16" x14ac:dyDescent="0.25">
      <c r="A157" s="529" t="s">
        <v>796</v>
      </c>
      <c r="B157" s="529" t="s">
        <v>797</v>
      </c>
      <c r="C157" s="808">
        <v>46211</v>
      </c>
      <c r="D157" s="809">
        <v>0.22535879629630001</v>
      </c>
      <c r="E157" s="529" t="s">
        <v>1320</v>
      </c>
      <c r="F157" s="529" t="s">
        <v>812</v>
      </c>
      <c r="G157" s="529" t="s">
        <v>800</v>
      </c>
      <c r="H157" s="810">
        <v>31</v>
      </c>
      <c r="I157" s="811">
        <v>197303.84</v>
      </c>
      <c r="J157" s="529" t="s">
        <v>801</v>
      </c>
      <c r="K157" s="529" t="s">
        <v>802</v>
      </c>
      <c r="L157" s="529" t="s">
        <v>844</v>
      </c>
      <c r="M157" s="529" t="s">
        <v>1321</v>
      </c>
      <c r="N157" s="529" t="s">
        <v>804</v>
      </c>
      <c r="O157" s="529" t="s">
        <v>577</v>
      </c>
      <c r="P157" s="529" t="s">
        <v>1322</v>
      </c>
    </row>
    <row r="158" spans="1:16" x14ac:dyDescent="0.25">
      <c r="A158" s="529" t="s">
        <v>796</v>
      </c>
      <c r="B158" s="529" t="s">
        <v>797</v>
      </c>
      <c r="C158" s="808">
        <v>46211</v>
      </c>
      <c r="D158" s="809">
        <v>0.58817129629630005</v>
      </c>
      <c r="E158" s="529" t="s">
        <v>1326</v>
      </c>
      <c r="F158" s="529" t="s">
        <v>812</v>
      </c>
      <c r="G158" s="529" t="s">
        <v>800</v>
      </c>
      <c r="H158" s="810">
        <v>30</v>
      </c>
      <c r="I158" s="811">
        <v>190939.2</v>
      </c>
      <c r="J158" s="529" t="s">
        <v>801</v>
      </c>
      <c r="K158" s="529" t="s">
        <v>802</v>
      </c>
      <c r="L158" s="529" t="s">
        <v>1281</v>
      </c>
      <c r="M158" s="529" t="s">
        <v>1327</v>
      </c>
      <c r="N158" s="529" t="s">
        <v>804</v>
      </c>
      <c r="O158" s="529" t="s">
        <v>577</v>
      </c>
      <c r="P158" s="529" t="s">
        <v>1328</v>
      </c>
    </row>
    <row r="159" spans="1:16" x14ac:dyDescent="0.25">
      <c r="A159" s="529" t="s">
        <v>796</v>
      </c>
      <c r="B159" s="529" t="s">
        <v>797</v>
      </c>
      <c r="C159" s="808">
        <v>46211</v>
      </c>
      <c r="D159" s="809">
        <v>0.64266203703703995</v>
      </c>
      <c r="E159" s="529" t="s">
        <v>1329</v>
      </c>
      <c r="F159" s="529" t="s">
        <v>957</v>
      </c>
      <c r="G159" s="529" t="s">
        <v>800</v>
      </c>
      <c r="H159" s="810">
        <v>40</v>
      </c>
      <c r="I159" s="811">
        <v>247743.6</v>
      </c>
      <c r="J159" s="529" t="s">
        <v>816</v>
      </c>
      <c r="K159" s="529" t="s">
        <v>802</v>
      </c>
      <c r="L159" s="529" t="s">
        <v>1144</v>
      </c>
      <c r="M159" s="529" t="s">
        <v>1330</v>
      </c>
      <c r="N159" s="529" t="s">
        <v>804</v>
      </c>
      <c r="O159" s="529" t="s">
        <v>577</v>
      </c>
      <c r="P159" s="529" t="s">
        <v>1331</v>
      </c>
    </row>
    <row r="160" spans="1:16" x14ac:dyDescent="0.25">
      <c r="A160" s="529" t="s">
        <v>796</v>
      </c>
      <c r="B160" s="529" t="s">
        <v>797</v>
      </c>
      <c r="C160" s="808">
        <v>46211</v>
      </c>
      <c r="D160" s="809">
        <v>0.36192129629629999</v>
      </c>
      <c r="E160" s="529" t="s">
        <v>1332</v>
      </c>
      <c r="F160" s="529" t="s">
        <v>815</v>
      </c>
      <c r="G160" s="529" t="s">
        <v>800</v>
      </c>
      <c r="H160" s="810">
        <v>20</v>
      </c>
      <c r="I160" s="811">
        <v>124847</v>
      </c>
      <c r="J160" s="529" t="s">
        <v>816</v>
      </c>
      <c r="K160" s="529" t="s">
        <v>802</v>
      </c>
      <c r="L160" s="529" t="s">
        <v>857</v>
      </c>
      <c r="M160" s="529" t="s">
        <v>1333</v>
      </c>
      <c r="N160" s="529" t="s">
        <v>804</v>
      </c>
      <c r="O160" s="529" t="s">
        <v>577</v>
      </c>
      <c r="P160" s="529" t="s">
        <v>1334</v>
      </c>
    </row>
    <row r="161" spans="1:16" x14ac:dyDescent="0.25">
      <c r="A161" s="529" t="s">
        <v>796</v>
      </c>
      <c r="B161" s="529" t="s">
        <v>797</v>
      </c>
      <c r="C161" s="808">
        <v>46211</v>
      </c>
      <c r="D161" s="809">
        <v>0.58668981481480997</v>
      </c>
      <c r="E161" s="529" t="s">
        <v>1338</v>
      </c>
      <c r="F161" s="529" t="s">
        <v>815</v>
      </c>
      <c r="G161" s="529" t="s">
        <v>800</v>
      </c>
      <c r="H161" s="810">
        <v>30</v>
      </c>
      <c r="I161" s="811">
        <v>187270.5</v>
      </c>
      <c r="J161" s="529" t="s">
        <v>816</v>
      </c>
      <c r="K161" s="529" t="s">
        <v>802</v>
      </c>
      <c r="L161" s="529" t="s">
        <v>1281</v>
      </c>
      <c r="M161" s="529" t="s">
        <v>1339</v>
      </c>
      <c r="N161" s="529" t="s">
        <v>804</v>
      </c>
      <c r="O161" s="529" t="s">
        <v>577</v>
      </c>
      <c r="P161" s="529" t="s">
        <v>1340</v>
      </c>
    </row>
    <row r="162" spans="1:16" x14ac:dyDescent="0.25">
      <c r="A162" s="529" t="s">
        <v>796</v>
      </c>
      <c r="B162" s="529" t="s">
        <v>797</v>
      </c>
      <c r="C162" s="808">
        <v>46211</v>
      </c>
      <c r="D162" s="809">
        <v>0.22584490740741001</v>
      </c>
      <c r="E162" s="529" t="s">
        <v>1335</v>
      </c>
      <c r="F162" s="529" t="s">
        <v>815</v>
      </c>
      <c r="G162" s="529" t="s">
        <v>800</v>
      </c>
      <c r="H162" s="810">
        <v>20</v>
      </c>
      <c r="I162" s="811">
        <v>124847</v>
      </c>
      <c r="J162" s="529" t="s">
        <v>816</v>
      </c>
      <c r="K162" s="529" t="s">
        <v>802</v>
      </c>
      <c r="L162" s="529" t="s">
        <v>844</v>
      </c>
      <c r="M162" s="529" t="s">
        <v>1336</v>
      </c>
      <c r="N162" s="529" t="s">
        <v>804</v>
      </c>
      <c r="O162" s="529" t="s">
        <v>577</v>
      </c>
      <c r="P162" s="529" t="s">
        <v>1337</v>
      </c>
    </row>
    <row r="163" spans="1:16" x14ac:dyDescent="0.25">
      <c r="A163" s="529" t="s">
        <v>796</v>
      </c>
      <c r="B163" s="529" t="s">
        <v>797</v>
      </c>
      <c r="C163" s="808">
        <v>46211</v>
      </c>
      <c r="D163" s="809">
        <v>0.58719907407407002</v>
      </c>
      <c r="E163" s="529" t="s">
        <v>1341</v>
      </c>
      <c r="F163" s="529" t="s">
        <v>815</v>
      </c>
      <c r="G163" s="529" t="s">
        <v>800</v>
      </c>
      <c r="H163" s="810">
        <v>20</v>
      </c>
      <c r="I163" s="811">
        <v>124847</v>
      </c>
      <c r="J163" s="529" t="s">
        <v>816</v>
      </c>
      <c r="K163" s="529" t="s">
        <v>802</v>
      </c>
      <c r="L163" s="529" t="s">
        <v>1281</v>
      </c>
      <c r="M163" s="529" t="s">
        <v>1342</v>
      </c>
      <c r="N163" s="529" t="s">
        <v>804</v>
      </c>
      <c r="O163" s="529" t="s">
        <v>577</v>
      </c>
      <c r="P163" s="529" t="s">
        <v>1343</v>
      </c>
    </row>
    <row r="164" spans="1:16" x14ac:dyDescent="0.25">
      <c r="A164" s="529" t="s">
        <v>796</v>
      </c>
      <c r="B164" s="529" t="s">
        <v>797</v>
      </c>
      <c r="C164" s="808">
        <v>46211</v>
      </c>
      <c r="D164" s="809">
        <v>0.57137731481481002</v>
      </c>
      <c r="E164" s="529" t="s">
        <v>1344</v>
      </c>
      <c r="F164" s="529" t="s">
        <v>821</v>
      </c>
      <c r="G164" s="529" t="s">
        <v>800</v>
      </c>
      <c r="H164" s="810">
        <v>10</v>
      </c>
      <c r="I164" s="811">
        <v>64764.3</v>
      </c>
      <c r="J164" s="529" t="s">
        <v>801</v>
      </c>
      <c r="K164" s="529" t="s">
        <v>802</v>
      </c>
      <c r="L164" s="529" t="s">
        <v>857</v>
      </c>
      <c r="M164" s="529" t="s">
        <v>1345</v>
      </c>
      <c r="N164" s="529" t="s">
        <v>804</v>
      </c>
      <c r="O164" s="529" t="s">
        <v>577</v>
      </c>
      <c r="P164" s="529" t="s">
        <v>1346</v>
      </c>
    </row>
    <row r="165" spans="1:16" x14ac:dyDescent="0.25">
      <c r="A165" s="529" t="s">
        <v>796</v>
      </c>
      <c r="B165" s="529" t="s">
        <v>797</v>
      </c>
      <c r="C165" s="808">
        <v>46211</v>
      </c>
      <c r="D165" s="809">
        <v>0.58712962962963</v>
      </c>
      <c r="E165" s="529" t="s">
        <v>1347</v>
      </c>
      <c r="F165" s="529" t="s">
        <v>821</v>
      </c>
      <c r="G165" s="529" t="s">
        <v>800</v>
      </c>
      <c r="H165" s="810">
        <v>10</v>
      </c>
      <c r="I165" s="811">
        <v>64764.3</v>
      </c>
      <c r="J165" s="529" t="s">
        <v>801</v>
      </c>
      <c r="K165" s="529" t="s">
        <v>802</v>
      </c>
      <c r="L165" s="529" t="s">
        <v>1281</v>
      </c>
      <c r="M165" s="529" t="s">
        <v>1348</v>
      </c>
      <c r="N165" s="529" t="s">
        <v>804</v>
      </c>
      <c r="O165" s="529" t="s">
        <v>577</v>
      </c>
      <c r="P165" s="529" t="s">
        <v>1349</v>
      </c>
    </row>
    <row r="166" spans="1:16" x14ac:dyDescent="0.25">
      <c r="A166" s="529" t="s">
        <v>796</v>
      </c>
      <c r="B166" s="529" t="s">
        <v>797</v>
      </c>
      <c r="C166" s="808">
        <v>46211</v>
      </c>
      <c r="D166" s="809">
        <v>0.22520833333333001</v>
      </c>
      <c r="E166" s="529" t="s">
        <v>1350</v>
      </c>
      <c r="F166" s="529" t="s">
        <v>821</v>
      </c>
      <c r="G166" s="529" t="s">
        <v>800</v>
      </c>
      <c r="H166" s="810">
        <v>10</v>
      </c>
      <c r="I166" s="811">
        <v>64764.3</v>
      </c>
      <c r="J166" s="529" t="s">
        <v>801</v>
      </c>
      <c r="K166" s="529" t="s">
        <v>802</v>
      </c>
      <c r="L166" s="529" t="s">
        <v>844</v>
      </c>
      <c r="M166" s="529" t="s">
        <v>1351</v>
      </c>
      <c r="N166" s="529" t="s">
        <v>804</v>
      </c>
      <c r="O166" s="529" t="s">
        <v>577</v>
      </c>
      <c r="P166" s="529" t="s">
        <v>1352</v>
      </c>
    </row>
    <row r="167" spans="1:16" x14ac:dyDescent="0.25">
      <c r="A167" s="529" t="s">
        <v>796</v>
      </c>
      <c r="B167" s="529" t="s">
        <v>797</v>
      </c>
      <c r="C167" s="808">
        <v>46211</v>
      </c>
      <c r="D167" s="809">
        <v>0.58680555555556002</v>
      </c>
      <c r="E167" s="529" t="s">
        <v>1353</v>
      </c>
      <c r="F167" s="529" t="s">
        <v>824</v>
      </c>
      <c r="G167" s="529" t="s">
        <v>800</v>
      </c>
      <c r="H167" s="810">
        <v>7</v>
      </c>
      <c r="I167" s="811">
        <v>44246.720000000001</v>
      </c>
      <c r="J167" s="529" t="s">
        <v>816</v>
      </c>
      <c r="K167" s="529" t="s">
        <v>802</v>
      </c>
      <c r="L167" s="529" t="s">
        <v>1281</v>
      </c>
      <c r="M167" s="529" t="s">
        <v>1354</v>
      </c>
      <c r="N167" s="529" t="s">
        <v>804</v>
      </c>
      <c r="O167" s="529" t="s">
        <v>577</v>
      </c>
      <c r="P167" s="529" t="s">
        <v>1355</v>
      </c>
    </row>
    <row r="168" spans="1:16" x14ac:dyDescent="0.25">
      <c r="A168" s="529" t="s">
        <v>796</v>
      </c>
      <c r="B168" s="529" t="s">
        <v>797</v>
      </c>
      <c r="C168" s="808">
        <v>46211</v>
      </c>
      <c r="D168" s="809">
        <v>0.58745370370369998</v>
      </c>
      <c r="E168" s="529" t="s">
        <v>1356</v>
      </c>
      <c r="F168" s="529" t="s">
        <v>824</v>
      </c>
      <c r="G168" s="529" t="s">
        <v>800</v>
      </c>
      <c r="H168" s="810">
        <v>6</v>
      </c>
      <c r="I168" s="811">
        <v>37925.760000000002</v>
      </c>
      <c r="J168" s="529" t="s">
        <v>816</v>
      </c>
      <c r="K168" s="529" t="s">
        <v>802</v>
      </c>
      <c r="L168" s="529" t="s">
        <v>1281</v>
      </c>
      <c r="M168" s="529" t="s">
        <v>1357</v>
      </c>
      <c r="N168" s="529" t="s">
        <v>804</v>
      </c>
      <c r="O168" s="529" t="s">
        <v>577</v>
      </c>
      <c r="P168" s="529" t="s">
        <v>1358</v>
      </c>
    </row>
    <row r="169" spans="1:16" x14ac:dyDescent="0.25">
      <c r="A169" s="529" t="s">
        <v>796</v>
      </c>
      <c r="B169" s="529" t="s">
        <v>797</v>
      </c>
      <c r="C169" s="808">
        <v>46211</v>
      </c>
      <c r="D169" s="809">
        <v>0.22552083333333001</v>
      </c>
      <c r="E169" s="529" t="s">
        <v>1359</v>
      </c>
      <c r="F169" s="529" t="s">
        <v>877</v>
      </c>
      <c r="G169" s="529" t="s">
        <v>800</v>
      </c>
      <c r="H169" s="810">
        <v>25</v>
      </c>
      <c r="I169" s="811">
        <v>160926</v>
      </c>
      <c r="J169" s="529" t="s">
        <v>816</v>
      </c>
      <c r="K169" s="529" t="s">
        <v>802</v>
      </c>
      <c r="L169" s="529" t="s">
        <v>844</v>
      </c>
      <c r="M169" s="529" t="s">
        <v>1360</v>
      </c>
      <c r="N169" s="529" t="s">
        <v>804</v>
      </c>
      <c r="O169" s="529" t="s">
        <v>577</v>
      </c>
      <c r="P169" s="529" t="s">
        <v>1361</v>
      </c>
    </row>
    <row r="170" spans="1:16" x14ac:dyDescent="0.25">
      <c r="A170" s="529" t="s">
        <v>796</v>
      </c>
      <c r="B170" s="529" t="s">
        <v>797</v>
      </c>
      <c r="C170" s="808">
        <v>46211</v>
      </c>
      <c r="D170" s="809">
        <v>0.58674768518519005</v>
      </c>
      <c r="E170" s="529" t="s">
        <v>1362</v>
      </c>
      <c r="F170" s="529" t="s">
        <v>832</v>
      </c>
      <c r="G170" s="529" t="s">
        <v>800</v>
      </c>
      <c r="H170" s="810">
        <v>10</v>
      </c>
      <c r="I170" s="811">
        <v>66187</v>
      </c>
      <c r="J170" s="529" t="s">
        <v>816</v>
      </c>
      <c r="K170" s="529" t="s">
        <v>802</v>
      </c>
      <c r="L170" s="529" t="s">
        <v>1281</v>
      </c>
      <c r="M170" s="529" t="s">
        <v>1363</v>
      </c>
      <c r="N170" s="529" t="s">
        <v>804</v>
      </c>
      <c r="O170" s="529" t="s">
        <v>577</v>
      </c>
      <c r="P170" s="529" t="s">
        <v>1364</v>
      </c>
    </row>
    <row r="171" spans="1:16" x14ac:dyDescent="0.25">
      <c r="A171" s="529" t="s">
        <v>796</v>
      </c>
      <c r="B171" s="529" t="s">
        <v>797</v>
      </c>
      <c r="C171" s="808">
        <v>46211</v>
      </c>
      <c r="D171" s="809">
        <v>0.58706018518518999</v>
      </c>
      <c r="E171" s="529" t="s">
        <v>1365</v>
      </c>
      <c r="F171" s="529" t="s">
        <v>835</v>
      </c>
      <c r="G171" s="529" t="s">
        <v>800</v>
      </c>
      <c r="H171" s="810">
        <v>20</v>
      </c>
      <c r="I171" s="811">
        <v>126634.6</v>
      </c>
      <c r="J171" s="529" t="s">
        <v>801</v>
      </c>
      <c r="K171" s="529" t="s">
        <v>802</v>
      </c>
      <c r="L171" s="529" t="s">
        <v>1281</v>
      </c>
      <c r="M171" s="529" t="s">
        <v>1366</v>
      </c>
      <c r="N171" s="529" t="s">
        <v>804</v>
      </c>
      <c r="O171" s="529" t="s">
        <v>577</v>
      </c>
      <c r="P171" s="529" t="s">
        <v>1367</v>
      </c>
    </row>
    <row r="172" spans="1:16" x14ac:dyDescent="0.25">
      <c r="A172" s="529" t="s">
        <v>796</v>
      </c>
      <c r="B172" s="529" t="s">
        <v>797</v>
      </c>
      <c r="C172" s="808">
        <v>46211</v>
      </c>
      <c r="D172" s="809">
        <v>0.58686342592592999</v>
      </c>
      <c r="E172" s="529" t="s">
        <v>1368</v>
      </c>
      <c r="F172" s="529" t="s">
        <v>841</v>
      </c>
      <c r="G172" s="529" t="s">
        <v>800</v>
      </c>
      <c r="H172" s="810">
        <v>10</v>
      </c>
      <c r="I172" s="811">
        <v>69378.3</v>
      </c>
      <c r="J172" s="529" t="s">
        <v>801</v>
      </c>
      <c r="K172" s="529" t="s">
        <v>802</v>
      </c>
      <c r="L172" s="529" t="s">
        <v>1281</v>
      </c>
      <c r="M172" s="529" t="s">
        <v>1369</v>
      </c>
      <c r="N172" s="529" t="s">
        <v>804</v>
      </c>
      <c r="O172" s="529" t="s">
        <v>577</v>
      </c>
      <c r="P172" s="529" t="s">
        <v>1370</v>
      </c>
    </row>
    <row r="173" spans="1:16" x14ac:dyDescent="0.25">
      <c r="A173" s="529" t="s">
        <v>796</v>
      </c>
      <c r="B173" s="529" t="s">
        <v>797</v>
      </c>
      <c r="C173" s="808">
        <v>46212</v>
      </c>
      <c r="D173" s="809">
        <v>0.56349537037037001</v>
      </c>
      <c r="E173" s="529" t="s">
        <v>1407</v>
      </c>
      <c r="F173" s="529" t="s">
        <v>919</v>
      </c>
      <c r="G173" s="529" t="s">
        <v>800</v>
      </c>
      <c r="H173" s="810">
        <v>25</v>
      </c>
      <c r="I173" s="811">
        <v>150901.5</v>
      </c>
      <c r="J173" s="529" t="s">
        <v>816</v>
      </c>
      <c r="K173" s="529" t="s">
        <v>802</v>
      </c>
      <c r="L173" s="529" t="s">
        <v>1406</v>
      </c>
      <c r="M173" s="529" t="s">
        <v>1408</v>
      </c>
      <c r="N173" s="529" t="s">
        <v>804</v>
      </c>
      <c r="O173" s="529" t="s">
        <v>577</v>
      </c>
      <c r="P173" s="529" t="s">
        <v>1409</v>
      </c>
    </row>
    <row r="174" spans="1:16" x14ac:dyDescent="0.25">
      <c r="A174" s="529" t="s">
        <v>796</v>
      </c>
      <c r="B174" s="529" t="s">
        <v>797</v>
      </c>
      <c r="C174" s="808">
        <v>46212</v>
      </c>
      <c r="D174" s="809">
        <v>0.46033564814814998</v>
      </c>
      <c r="E174" s="529" t="s">
        <v>1410</v>
      </c>
      <c r="F174" s="529" t="s">
        <v>919</v>
      </c>
      <c r="G174" s="529" t="s">
        <v>800</v>
      </c>
      <c r="H174" s="810">
        <v>40</v>
      </c>
      <c r="I174" s="811">
        <v>241442.4</v>
      </c>
      <c r="J174" s="529" t="s">
        <v>816</v>
      </c>
      <c r="K174" s="529" t="s">
        <v>802</v>
      </c>
      <c r="L174" s="529" t="s">
        <v>844</v>
      </c>
      <c r="M174" s="529" t="s">
        <v>1411</v>
      </c>
      <c r="N174" s="529" t="s">
        <v>804</v>
      </c>
      <c r="O174" s="529" t="s">
        <v>577</v>
      </c>
      <c r="P174" s="529" t="s">
        <v>1412</v>
      </c>
    </row>
    <row r="175" spans="1:16" x14ac:dyDescent="0.25">
      <c r="A175" s="529" t="s">
        <v>796</v>
      </c>
      <c r="B175" s="529" t="s">
        <v>797</v>
      </c>
      <c r="C175" s="808">
        <v>46212</v>
      </c>
      <c r="D175" s="809">
        <v>0.17626157407407</v>
      </c>
      <c r="E175" s="529" t="s">
        <v>1371</v>
      </c>
      <c r="F175" s="529" t="s">
        <v>919</v>
      </c>
      <c r="G175" s="529" t="s">
        <v>800</v>
      </c>
      <c r="H175" s="810">
        <v>25</v>
      </c>
      <c r="I175" s="811">
        <v>150901.5</v>
      </c>
      <c r="J175" s="529" t="s">
        <v>816</v>
      </c>
      <c r="K175" s="529" t="s">
        <v>802</v>
      </c>
      <c r="L175" s="529" t="s">
        <v>844</v>
      </c>
      <c r="M175" s="529" t="s">
        <v>1372</v>
      </c>
      <c r="N175" s="529" t="s">
        <v>804</v>
      </c>
      <c r="O175" s="529" t="s">
        <v>577</v>
      </c>
      <c r="P175" s="529" t="s">
        <v>1373</v>
      </c>
    </row>
    <row r="176" spans="1:16" x14ac:dyDescent="0.25">
      <c r="A176" s="529" t="s">
        <v>796</v>
      </c>
      <c r="B176" s="529" t="s">
        <v>797</v>
      </c>
      <c r="C176" s="808">
        <v>46212</v>
      </c>
      <c r="D176" s="809">
        <v>0.43611111111111001</v>
      </c>
      <c r="E176" s="529" t="s">
        <v>1413</v>
      </c>
      <c r="F176" s="529" t="s">
        <v>919</v>
      </c>
      <c r="G176" s="529" t="s">
        <v>800</v>
      </c>
      <c r="H176" s="810">
        <v>5</v>
      </c>
      <c r="I176" s="811">
        <v>30180.3</v>
      </c>
      <c r="J176" s="529" t="s">
        <v>816</v>
      </c>
      <c r="K176" s="529" t="s">
        <v>802</v>
      </c>
      <c r="L176" s="529" t="s">
        <v>857</v>
      </c>
      <c r="M176" s="529" t="s">
        <v>1414</v>
      </c>
      <c r="N176" s="529" t="s">
        <v>804</v>
      </c>
      <c r="O176" s="529" t="s">
        <v>577</v>
      </c>
      <c r="P176" s="529" t="s">
        <v>1415</v>
      </c>
    </row>
    <row r="177" spans="1:16" x14ac:dyDescent="0.25">
      <c r="A177" s="529" t="s">
        <v>796</v>
      </c>
      <c r="B177" s="529" t="s">
        <v>797</v>
      </c>
      <c r="C177" s="808">
        <v>46212</v>
      </c>
      <c r="D177" s="809">
        <v>0.77130787037036996</v>
      </c>
      <c r="E177" s="529" t="s">
        <v>1419</v>
      </c>
      <c r="F177" s="529" t="s">
        <v>799</v>
      </c>
      <c r="G177" s="529" t="s">
        <v>800</v>
      </c>
      <c r="H177" s="810">
        <v>50</v>
      </c>
      <c r="I177" s="811">
        <v>304763</v>
      </c>
      <c r="J177" s="529" t="s">
        <v>801</v>
      </c>
      <c r="K177" s="529" t="s">
        <v>802</v>
      </c>
      <c r="L177" s="529" t="s">
        <v>844</v>
      </c>
      <c r="M177" s="529" t="s">
        <v>1420</v>
      </c>
      <c r="N177" s="529" t="s">
        <v>804</v>
      </c>
      <c r="O177" s="529" t="s">
        <v>577</v>
      </c>
      <c r="P177" s="529" t="s">
        <v>1421</v>
      </c>
    </row>
    <row r="178" spans="1:16" x14ac:dyDescent="0.25">
      <c r="A178" s="529" t="s">
        <v>796</v>
      </c>
      <c r="B178" s="529" t="s">
        <v>797</v>
      </c>
      <c r="C178" s="808">
        <v>46212</v>
      </c>
      <c r="D178" s="809">
        <v>0.78386574074074</v>
      </c>
      <c r="E178" s="529" t="s">
        <v>1416</v>
      </c>
      <c r="F178" s="529" t="s">
        <v>799</v>
      </c>
      <c r="G178" s="529" t="s">
        <v>800</v>
      </c>
      <c r="H178" s="810">
        <v>20</v>
      </c>
      <c r="I178" s="811">
        <v>121905.2</v>
      </c>
      <c r="J178" s="529" t="s">
        <v>801</v>
      </c>
      <c r="K178" s="529" t="s">
        <v>802</v>
      </c>
      <c r="L178" s="529" t="s">
        <v>848</v>
      </c>
      <c r="M178" s="529" t="s">
        <v>1417</v>
      </c>
      <c r="N178" s="529" t="s">
        <v>804</v>
      </c>
      <c r="O178" s="529" t="s">
        <v>577</v>
      </c>
      <c r="P178" s="529" t="s">
        <v>1418</v>
      </c>
    </row>
    <row r="179" spans="1:16" x14ac:dyDescent="0.25">
      <c r="A179" s="529" t="s">
        <v>796</v>
      </c>
      <c r="B179" s="529" t="s">
        <v>797</v>
      </c>
      <c r="C179" s="808">
        <v>46212</v>
      </c>
      <c r="D179" s="809">
        <v>0.88855324074074005</v>
      </c>
      <c r="E179" s="529" t="s">
        <v>1425</v>
      </c>
      <c r="F179" s="529" t="s">
        <v>799</v>
      </c>
      <c r="G179" s="529" t="s">
        <v>800</v>
      </c>
      <c r="H179" s="810">
        <v>41</v>
      </c>
      <c r="I179" s="811">
        <v>249905.66</v>
      </c>
      <c r="J179" s="529" t="s">
        <v>801</v>
      </c>
      <c r="K179" s="529" t="s">
        <v>802</v>
      </c>
      <c r="L179" s="529" t="s">
        <v>844</v>
      </c>
      <c r="M179" s="529" t="s">
        <v>1426</v>
      </c>
      <c r="N179" s="529" t="s">
        <v>804</v>
      </c>
      <c r="O179" s="529" t="s">
        <v>577</v>
      </c>
      <c r="P179" s="529" t="s">
        <v>1427</v>
      </c>
    </row>
    <row r="180" spans="1:16" x14ac:dyDescent="0.25">
      <c r="A180" s="529" t="s">
        <v>796</v>
      </c>
      <c r="B180" s="529" t="s">
        <v>797</v>
      </c>
      <c r="C180" s="808">
        <v>46212</v>
      </c>
      <c r="D180" s="809">
        <v>0.43627314814814999</v>
      </c>
      <c r="E180" s="529" t="s">
        <v>1422</v>
      </c>
      <c r="F180" s="529" t="s">
        <v>799</v>
      </c>
      <c r="G180" s="529" t="s">
        <v>800</v>
      </c>
      <c r="H180" s="810">
        <v>6</v>
      </c>
      <c r="I180" s="811">
        <v>36571.56</v>
      </c>
      <c r="J180" s="529" t="s">
        <v>801</v>
      </c>
      <c r="K180" s="529" t="s">
        <v>802</v>
      </c>
      <c r="L180" s="529" t="s">
        <v>857</v>
      </c>
      <c r="M180" s="529" t="s">
        <v>1423</v>
      </c>
      <c r="N180" s="529" t="s">
        <v>804</v>
      </c>
      <c r="O180" s="529" t="s">
        <v>577</v>
      </c>
      <c r="P180" s="529" t="s">
        <v>1424</v>
      </c>
    </row>
    <row r="181" spans="1:16" x14ac:dyDescent="0.25">
      <c r="A181" s="529" t="s">
        <v>796</v>
      </c>
      <c r="B181" s="529" t="s">
        <v>797</v>
      </c>
      <c r="C181" s="808">
        <v>46212</v>
      </c>
      <c r="D181" s="809">
        <v>0.17641203703704</v>
      </c>
      <c r="E181" s="529" t="s">
        <v>1374</v>
      </c>
      <c r="F181" s="529" t="s">
        <v>799</v>
      </c>
      <c r="G181" s="529" t="s">
        <v>800</v>
      </c>
      <c r="H181" s="810">
        <v>19</v>
      </c>
      <c r="I181" s="811">
        <v>115809.94</v>
      </c>
      <c r="J181" s="529" t="s">
        <v>801</v>
      </c>
      <c r="K181" s="529" t="s">
        <v>802</v>
      </c>
      <c r="L181" s="529" t="s">
        <v>844</v>
      </c>
      <c r="M181" s="529" t="s">
        <v>1375</v>
      </c>
      <c r="N181" s="529" t="s">
        <v>804</v>
      </c>
      <c r="O181" s="529" t="s">
        <v>577</v>
      </c>
      <c r="P181" s="529" t="s">
        <v>1376</v>
      </c>
    </row>
    <row r="182" spans="1:16" x14ac:dyDescent="0.25">
      <c r="A182" s="529" t="s">
        <v>796</v>
      </c>
      <c r="B182" s="529" t="s">
        <v>797</v>
      </c>
      <c r="C182" s="808">
        <v>46212</v>
      </c>
      <c r="D182" s="809">
        <v>0.88824074074074</v>
      </c>
      <c r="E182" s="529" t="s">
        <v>1431</v>
      </c>
      <c r="F182" s="529" t="s">
        <v>851</v>
      </c>
      <c r="G182" s="529" t="s">
        <v>800</v>
      </c>
      <c r="H182" s="810">
        <v>10</v>
      </c>
      <c r="I182" s="811">
        <v>62504.2</v>
      </c>
      <c r="J182" s="529" t="s">
        <v>816</v>
      </c>
      <c r="K182" s="529" t="s">
        <v>802</v>
      </c>
      <c r="L182" s="529" t="s">
        <v>844</v>
      </c>
      <c r="M182" s="529" t="s">
        <v>1432</v>
      </c>
      <c r="N182" s="529" t="s">
        <v>804</v>
      </c>
      <c r="O182" s="529" t="s">
        <v>577</v>
      </c>
      <c r="P182" s="529" t="s">
        <v>1433</v>
      </c>
    </row>
    <row r="183" spans="1:16" x14ac:dyDescent="0.25">
      <c r="A183" s="529" t="s">
        <v>796</v>
      </c>
      <c r="B183" s="529" t="s">
        <v>797</v>
      </c>
      <c r="C183" s="808">
        <v>46212</v>
      </c>
      <c r="D183" s="809">
        <v>0.77099537037037003</v>
      </c>
      <c r="E183" s="529" t="s">
        <v>1428</v>
      </c>
      <c r="F183" s="529" t="s">
        <v>851</v>
      </c>
      <c r="G183" s="529" t="s">
        <v>800</v>
      </c>
      <c r="H183" s="810">
        <v>10</v>
      </c>
      <c r="I183" s="811">
        <v>62504.2</v>
      </c>
      <c r="J183" s="529" t="s">
        <v>816</v>
      </c>
      <c r="K183" s="529" t="s">
        <v>802</v>
      </c>
      <c r="L183" s="529" t="s">
        <v>844</v>
      </c>
      <c r="M183" s="529" t="s">
        <v>1429</v>
      </c>
      <c r="N183" s="529" t="s">
        <v>804</v>
      </c>
      <c r="O183" s="529" t="s">
        <v>577</v>
      </c>
      <c r="P183" s="529" t="s">
        <v>1430</v>
      </c>
    </row>
    <row r="184" spans="1:16" x14ac:dyDescent="0.25">
      <c r="A184" s="529" t="s">
        <v>796</v>
      </c>
      <c r="B184" s="529" t="s">
        <v>797</v>
      </c>
      <c r="C184" s="808">
        <v>46212</v>
      </c>
      <c r="D184" s="809">
        <v>0.56378472222221998</v>
      </c>
      <c r="E184" s="529" t="s">
        <v>1434</v>
      </c>
      <c r="F184" s="529" t="s">
        <v>812</v>
      </c>
      <c r="G184" s="529" t="s">
        <v>800</v>
      </c>
      <c r="H184" s="810">
        <v>19</v>
      </c>
      <c r="I184" s="811">
        <v>120928.16</v>
      </c>
      <c r="J184" s="529" t="s">
        <v>801</v>
      </c>
      <c r="K184" s="529" t="s">
        <v>802</v>
      </c>
      <c r="L184" s="529" t="s">
        <v>1406</v>
      </c>
      <c r="M184" s="529" t="s">
        <v>1435</v>
      </c>
      <c r="N184" s="529" t="s">
        <v>804</v>
      </c>
      <c r="O184" s="529" t="s">
        <v>577</v>
      </c>
      <c r="P184" s="529" t="s">
        <v>1436</v>
      </c>
    </row>
    <row r="185" spans="1:16" x14ac:dyDescent="0.25">
      <c r="A185" s="529" t="s">
        <v>796</v>
      </c>
      <c r="B185" s="529" t="s">
        <v>797</v>
      </c>
      <c r="C185" s="808">
        <v>46212</v>
      </c>
      <c r="D185" s="809">
        <v>0.43662037037036999</v>
      </c>
      <c r="E185" s="529" t="s">
        <v>1437</v>
      </c>
      <c r="F185" s="529" t="s">
        <v>864</v>
      </c>
      <c r="G185" s="529" t="s">
        <v>800</v>
      </c>
      <c r="H185" s="810">
        <v>2</v>
      </c>
      <c r="I185" s="811">
        <v>12998.52</v>
      </c>
      <c r="J185" s="529" t="s">
        <v>816</v>
      </c>
      <c r="K185" s="529" t="s">
        <v>802</v>
      </c>
      <c r="L185" s="529" t="s">
        <v>857</v>
      </c>
      <c r="M185" s="529" t="s">
        <v>1438</v>
      </c>
      <c r="N185" s="529" t="s">
        <v>804</v>
      </c>
      <c r="O185" s="529" t="s">
        <v>577</v>
      </c>
      <c r="P185" s="529" t="s">
        <v>1439</v>
      </c>
    </row>
    <row r="186" spans="1:16" x14ac:dyDescent="0.25">
      <c r="A186" s="529" t="s">
        <v>796</v>
      </c>
      <c r="B186" s="529" t="s">
        <v>797</v>
      </c>
      <c r="C186" s="808">
        <v>46212</v>
      </c>
      <c r="D186" s="809">
        <v>0.17674768518518999</v>
      </c>
      <c r="E186" s="529" t="s">
        <v>1377</v>
      </c>
      <c r="F186" s="529" t="s">
        <v>864</v>
      </c>
      <c r="G186" s="529" t="s">
        <v>800</v>
      </c>
      <c r="H186" s="810">
        <v>5</v>
      </c>
      <c r="I186" s="811">
        <v>32496.3</v>
      </c>
      <c r="J186" s="529" t="s">
        <v>816</v>
      </c>
      <c r="K186" s="529" t="s">
        <v>802</v>
      </c>
      <c r="L186" s="529" t="s">
        <v>844</v>
      </c>
      <c r="M186" s="529" t="s">
        <v>1378</v>
      </c>
      <c r="N186" s="529" t="s">
        <v>804</v>
      </c>
      <c r="O186" s="529" t="s">
        <v>577</v>
      </c>
      <c r="P186" s="529" t="s">
        <v>1379</v>
      </c>
    </row>
    <row r="187" spans="1:16" x14ac:dyDescent="0.25">
      <c r="A187" s="529" t="s">
        <v>796</v>
      </c>
      <c r="B187" s="529" t="s">
        <v>797</v>
      </c>
      <c r="C187" s="808">
        <v>46212</v>
      </c>
      <c r="D187" s="809">
        <v>0.56364583333332996</v>
      </c>
      <c r="E187" s="529" t="s">
        <v>1440</v>
      </c>
      <c r="F187" s="529" t="s">
        <v>957</v>
      </c>
      <c r="G187" s="529" t="s">
        <v>800</v>
      </c>
      <c r="H187" s="810">
        <v>25</v>
      </c>
      <c r="I187" s="811">
        <v>154839.75</v>
      </c>
      <c r="J187" s="529" t="s">
        <v>816</v>
      </c>
      <c r="K187" s="529" t="s">
        <v>802</v>
      </c>
      <c r="L187" s="529" t="s">
        <v>1406</v>
      </c>
      <c r="M187" s="529" t="s">
        <v>1441</v>
      </c>
      <c r="N187" s="529" t="s">
        <v>804</v>
      </c>
      <c r="O187" s="529" t="s">
        <v>577</v>
      </c>
      <c r="P187" s="529" t="s">
        <v>1442</v>
      </c>
    </row>
    <row r="188" spans="1:16" x14ac:dyDescent="0.25">
      <c r="A188" s="529" t="s">
        <v>796</v>
      </c>
      <c r="B188" s="529" t="s">
        <v>797</v>
      </c>
      <c r="C188" s="808">
        <v>46212</v>
      </c>
      <c r="D188" s="809">
        <v>0.88869212962962996</v>
      </c>
      <c r="E188" s="529" t="s">
        <v>1446</v>
      </c>
      <c r="F188" s="529" t="s">
        <v>815</v>
      </c>
      <c r="G188" s="529" t="s">
        <v>800</v>
      </c>
      <c r="H188" s="810">
        <v>15</v>
      </c>
      <c r="I188" s="811">
        <v>93635.25</v>
      </c>
      <c r="J188" s="529" t="s">
        <v>816</v>
      </c>
      <c r="K188" s="529" t="s">
        <v>802</v>
      </c>
      <c r="L188" s="529" t="s">
        <v>844</v>
      </c>
      <c r="M188" s="529" t="s">
        <v>1447</v>
      </c>
      <c r="N188" s="529" t="s">
        <v>804</v>
      </c>
      <c r="O188" s="529" t="s">
        <v>577</v>
      </c>
      <c r="P188" s="529" t="s">
        <v>1448</v>
      </c>
    </row>
    <row r="189" spans="1:16" x14ac:dyDescent="0.25">
      <c r="A189" s="529" t="s">
        <v>796</v>
      </c>
      <c r="B189" s="529" t="s">
        <v>797</v>
      </c>
      <c r="C189" s="808">
        <v>46212</v>
      </c>
      <c r="D189" s="809">
        <v>0.56334490740740994</v>
      </c>
      <c r="E189" s="529" t="s">
        <v>1443</v>
      </c>
      <c r="F189" s="529" t="s">
        <v>815</v>
      </c>
      <c r="G189" s="529" t="s">
        <v>800</v>
      </c>
      <c r="H189" s="810">
        <v>25</v>
      </c>
      <c r="I189" s="811">
        <v>156058.75</v>
      </c>
      <c r="J189" s="529" t="s">
        <v>816</v>
      </c>
      <c r="K189" s="529" t="s">
        <v>802</v>
      </c>
      <c r="L189" s="529" t="s">
        <v>1406</v>
      </c>
      <c r="M189" s="529" t="s">
        <v>1444</v>
      </c>
      <c r="N189" s="529" t="s">
        <v>804</v>
      </c>
      <c r="O189" s="529" t="s">
        <v>577</v>
      </c>
      <c r="P189" s="529" t="s">
        <v>1445</v>
      </c>
    </row>
    <row r="190" spans="1:16" x14ac:dyDescent="0.25">
      <c r="A190" s="529" t="s">
        <v>796</v>
      </c>
      <c r="B190" s="529" t="s">
        <v>797</v>
      </c>
      <c r="C190" s="808">
        <v>46212</v>
      </c>
      <c r="D190" s="809">
        <v>0.17658564814815</v>
      </c>
      <c r="E190" s="529" t="s">
        <v>1380</v>
      </c>
      <c r="F190" s="529" t="s">
        <v>815</v>
      </c>
      <c r="G190" s="529" t="s">
        <v>800</v>
      </c>
      <c r="H190" s="810">
        <v>30</v>
      </c>
      <c r="I190" s="811">
        <v>187270.5</v>
      </c>
      <c r="J190" s="529" t="s">
        <v>816</v>
      </c>
      <c r="K190" s="529" t="s">
        <v>802</v>
      </c>
      <c r="L190" s="529" t="s">
        <v>844</v>
      </c>
      <c r="M190" s="529" t="s">
        <v>1381</v>
      </c>
      <c r="N190" s="529" t="s">
        <v>804</v>
      </c>
      <c r="O190" s="529" t="s">
        <v>577</v>
      </c>
      <c r="P190" s="529" t="s">
        <v>1382</v>
      </c>
    </row>
    <row r="191" spans="1:16" x14ac:dyDescent="0.25">
      <c r="A191" s="529" t="s">
        <v>796</v>
      </c>
      <c r="B191" s="529" t="s">
        <v>797</v>
      </c>
      <c r="C191" s="808">
        <v>46212</v>
      </c>
      <c r="D191" s="809">
        <v>0.46047453703704</v>
      </c>
      <c r="E191" s="529" t="s">
        <v>1452</v>
      </c>
      <c r="F191" s="529" t="s">
        <v>821</v>
      </c>
      <c r="G191" s="529" t="s">
        <v>800</v>
      </c>
      <c r="H191" s="810">
        <v>26</v>
      </c>
      <c r="I191" s="811">
        <v>168387.18</v>
      </c>
      <c r="J191" s="529" t="s">
        <v>801</v>
      </c>
      <c r="K191" s="529" t="s">
        <v>802</v>
      </c>
      <c r="L191" s="529" t="s">
        <v>844</v>
      </c>
      <c r="M191" s="529" t="s">
        <v>1453</v>
      </c>
      <c r="N191" s="529" t="s">
        <v>804</v>
      </c>
      <c r="O191" s="529" t="s">
        <v>577</v>
      </c>
      <c r="P191" s="529" t="s">
        <v>1454</v>
      </c>
    </row>
    <row r="192" spans="1:16" x14ac:dyDescent="0.25">
      <c r="A192" s="529" t="s">
        <v>796</v>
      </c>
      <c r="B192" s="529" t="s">
        <v>797</v>
      </c>
      <c r="C192" s="808">
        <v>46212</v>
      </c>
      <c r="D192" s="809">
        <v>0.43578703703704003</v>
      </c>
      <c r="E192" s="529" t="s">
        <v>1449</v>
      </c>
      <c r="F192" s="529" t="s">
        <v>821</v>
      </c>
      <c r="G192" s="529" t="s">
        <v>800</v>
      </c>
      <c r="H192" s="810">
        <v>14</v>
      </c>
      <c r="I192" s="811">
        <v>90670.02</v>
      </c>
      <c r="J192" s="529" t="s">
        <v>801</v>
      </c>
      <c r="K192" s="529" t="s">
        <v>802</v>
      </c>
      <c r="L192" s="529" t="s">
        <v>857</v>
      </c>
      <c r="M192" s="529" t="s">
        <v>1450</v>
      </c>
      <c r="N192" s="529" t="s">
        <v>804</v>
      </c>
      <c r="O192" s="529" t="s">
        <v>577</v>
      </c>
      <c r="P192" s="529" t="s">
        <v>1451</v>
      </c>
    </row>
    <row r="193" spans="1:16" x14ac:dyDescent="0.25">
      <c r="A193" s="529" t="s">
        <v>796</v>
      </c>
      <c r="B193" s="529" t="s">
        <v>797</v>
      </c>
      <c r="C193" s="808">
        <v>46212</v>
      </c>
      <c r="D193" s="809">
        <v>0.17592592592593001</v>
      </c>
      <c r="E193" s="529" t="s">
        <v>1383</v>
      </c>
      <c r="F193" s="529" t="s">
        <v>821</v>
      </c>
      <c r="G193" s="529" t="s">
        <v>800</v>
      </c>
      <c r="H193" s="810">
        <v>20</v>
      </c>
      <c r="I193" s="811">
        <v>129528.6</v>
      </c>
      <c r="J193" s="529" t="s">
        <v>801</v>
      </c>
      <c r="K193" s="529" t="s">
        <v>802</v>
      </c>
      <c r="L193" s="529" t="s">
        <v>844</v>
      </c>
      <c r="M193" s="529" t="s">
        <v>1384</v>
      </c>
      <c r="N193" s="529" t="s">
        <v>804</v>
      </c>
      <c r="O193" s="529" t="s">
        <v>577</v>
      </c>
      <c r="P193" s="529" t="s">
        <v>1385</v>
      </c>
    </row>
    <row r="194" spans="1:16" x14ac:dyDescent="0.25">
      <c r="A194" s="529" t="s">
        <v>796</v>
      </c>
      <c r="B194" s="529" t="s">
        <v>797</v>
      </c>
      <c r="C194" s="808">
        <v>46212</v>
      </c>
      <c r="D194" s="809">
        <v>0.78403935185185003</v>
      </c>
      <c r="E194" s="529" t="s">
        <v>1455</v>
      </c>
      <c r="F194" s="529" t="s">
        <v>824</v>
      </c>
      <c r="G194" s="529" t="s">
        <v>800</v>
      </c>
      <c r="H194" s="810">
        <v>10</v>
      </c>
      <c r="I194" s="811">
        <v>63209.599999999999</v>
      </c>
      <c r="J194" s="529" t="s">
        <v>816</v>
      </c>
      <c r="K194" s="529" t="s">
        <v>802</v>
      </c>
      <c r="L194" s="529" t="s">
        <v>848</v>
      </c>
      <c r="M194" s="529" t="s">
        <v>1456</v>
      </c>
      <c r="N194" s="529" t="s">
        <v>804</v>
      </c>
      <c r="O194" s="529" t="s">
        <v>577</v>
      </c>
      <c r="P194" s="529" t="s">
        <v>1457</v>
      </c>
    </row>
    <row r="195" spans="1:16" x14ac:dyDescent="0.25">
      <c r="A195" s="529" t="s">
        <v>796</v>
      </c>
      <c r="B195" s="529" t="s">
        <v>797</v>
      </c>
      <c r="C195" s="808">
        <v>46212</v>
      </c>
      <c r="D195" s="809">
        <v>0.88837962962963002</v>
      </c>
      <c r="E195" s="529" t="s">
        <v>1458</v>
      </c>
      <c r="F195" s="529" t="s">
        <v>877</v>
      </c>
      <c r="G195" s="529" t="s">
        <v>800</v>
      </c>
      <c r="H195" s="810">
        <v>14</v>
      </c>
      <c r="I195" s="811">
        <v>90118.56</v>
      </c>
      <c r="J195" s="529" t="s">
        <v>816</v>
      </c>
      <c r="K195" s="529" t="s">
        <v>802</v>
      </c>
      <c r="L195" s="529" t="s">
        <v>844</v>
      </c>
      <c r="M195" s="529" t="s">
        <v>1459</v>
      </c>
      <c r="N195" s="529" t="s">
        <v>804</v>
      </c>
      <c r="O195" s="529" t="s">
        <v>577</v>
      </c>
      <c r="P195" s="529" t="s">
        <v>1460</v>
      </c>
    </row>
    <row r="196" spans="1:16" x14ac:dyDescent="0.25">
      <c r="A196" s="529" t="s">
        <v>796</v>
      </c>
      <c r="B196" s="529" t="s">
        <v>797</v>
      </c>
      <c r="C196" s="808">
        <v>46212</v>
      </c>
      <c r="D196" s="809">
        <v>0.17607638888888999</v>
      </c>
      <c r="E196" s="529" t="s">
        <v>1386</v>
      </c>
      <c r="F196" s="529" t="s">
        <v>877</v>
      </c>
      <c r="G196" s="529" t="s">
        <v>800</v>
      </c>
      <c r="H196" s="810">
        <v>15</v>
      </c>
      <c r="I196" s="811">
        <v>96555.6</v>
      </c>
      <c r="J196" s="529" t="s">
        <v>816</v>
      </c>
      <c r="K196" s="529" t="s">
        <v>802</v>
      </c>
      <c r="L196" s="529" t="s">
        <v>844</v>
      </c>
      <c r="M196" s="529" t="s">
        <v>1387</v>
      </c>
      <c r="N196" s="529" t="s">
        <v>804</v>
      </c>
      <c r="O196" s="529" t="s">
        <v>577</v>
      </c>
      <c r="P196" s="529" t="s">
        <v>1388</v>
      </c>
    </row>
    <row r="197" spans="1:16" x14ac:dyDescent="0.25">
      <c r="A197" s="529" t="s">
        <v>796</v>
      </c>
      <c r="B197" s="529" t="s">
        <v>797</v>
      </c>
      <c r="C197" s="808">
        <v>46212</v>
      </c>
      <c r="D197" s="809">
        <v>9.0138888888890004E-2</v>
      </c>
      <c r="E197" s="529" t="s">
        <v>1389</v>
      </c>
      <c r="F197" s="529" t="s">
        <v>832</v>
      </c>
      <c r="G197" s="529" t="s">
        <v>800</v>
      </c>
      <c r="H197" s="810">
        <v>3</v>
      </c>
      <c r="I197" s="811">
        <v>19856.099999999999</v>
      </c>
      <c r="J197" s="529" t="s">
        <v>816</v>
      </c>
      <c r="K197" s="529" t="s">
        <v>802</v>
      </c>
      <c r="L197" s="529" t="s">
        <v>1144</v>
      </c>
      <c r="M197" s="529" t="s">
        <v>1390</v>
      </c>
      <c r="N197" s="529" t="s">
        <v>804</v>
      </c>
      <c r="O197" s="529" t="s">
        <v>577</v>
      </c>
      <c r="P197" s="529" t="s">
        <v>1391</v>
      </c>
    </row>
    <row r="198" spans="1:16" x14ac:dyDescent="0.25">
      <c r="A198" s="529" t="s">
        <v>796</v>
      </c>
      <c r="B198" s="529" t="s">
        <v>797</v>
      </c>
      <c r="C198" s="808">
        <v>46212</v>
      </c>
      <c r="D198" s="809">
        <v>9.0509259259259997E-2</v>
      </c>
      <c r="E198" s="529" t="s">
        <v>1392</v>
      </c>
      <c r="F198" s="529" t="s">
        <v>832</v>
      </c>
      <c r="G198" s="529" t="s">
        <v>800</v>
      </c>
      <c r="H198" s="810">
        <v>7</v>
      </c>
      <c r="I198" s="811">
        <v>46330.9</v>
      </c>
      <c r="J198" s="529" t="s">
        <v>816</v>
      </c>
      <c r="K198" s="529" t="s">
        <v>802</v>
      </c>
      <c r="L198" s="529" t="s">
        <v>1144</v>
      </c>
      <c r="M198" s="529" t="s">
        <v>1393</v>
      </c>
      <c r="N198" s="529" t="s">
        <v>804</v>
      </c>
      <c r="O198" s="529" t="s">
        <v>577</v>
      </c>
      <c r="P198" s="529" t="s">
        <v>1394</v>
      </c>
    </row>
    <row r="199" spans="1:16" x14ac:dyDescent="0.25">
      <c r="A199" s="529" t="s">
        <v>796</v>
      </c>
      <c r="B199" s="529" t="s">
        <v>797</v>
      </c>
      <c r="C199" s="808">
        <v>46212</v>
      </c>
      <c r="D199" s="809">
        <v>0.43644675925926002</v>
      </c>
      <c r="E199" s="529" t="s">
        <v>1461</v>
      </c>
      <c r="F199" s="529" t="s">
        <v>832</v>
      </c>
      <c r="G199" s="529" t="s">
        <v>800</v>
      </c>
      <c r="H199" s="810">
        <v>22</v>
      </c>
      <c r="I199" s="811">
        <v>145611.4</v>
      </c>
      <c r="J199" s="529" t="s">
        <v>816</v>
      </c>
      <c r="K199" s="529" t="s">
        <v>802</v>
      </c>
      <c r="L199" s="529" t="s">
        <v>857</v>
      </c>
      <c r="M199" s="529" t="s">
        <v>1462</v>
      </c>
      <c r="N199" s="529" t="s">
        <v>804</v>
      </c>
      <c r="O199" s="529" t="s">
        <v>577</v>
      </c>
      <c r="P199" s="529" t="s">
        <v>1463</v>
      </c>
    </row>
    <row r="200" spans="1:16" x14ac:dyDescent="0.25">
      <c r="A200" s="529" t="s">
        <v>796</v>
      </c>
      <c r="B200" s="529" t="s">
        <v>797</v>
      </c>
      <c r="C200" s="808">
        <v>46212</v>
      </c>
      <c r="D200" s="809">
        <v>0.43594907407407002</v>
      </c>
      <c r="E200" s="529" t="s">
        <v>1467</v>
      </c>
      <c r="F200" s="529" t="s">
        <v>838</v>
      </c>
      <c r="G200" s="529" t="s">
        <v>800</v>
      </c>
      <c r="H200" s="810">
        <v>15</v>
      </c>
      <c r="I200" s="811">
        <v>97740.9</v>
      </c>
      <c r="J200" s="529" t="s">
        <v>801</v>
      </c>
      <c r="K200" s="529" t="s">
        <v>802</v>
      </c>
      <c r="L200" s="529" t="s">
        <v>857</v>
      </c>
      <c r="M200" s="529" t="s">
        <v>1468</v>
      </c>
      <c r="N200" s="529" t="s">
        <v>804</v>
      </c>
      <c r="O200" s="529" t="s">
        <v>577</v>
      </c>
      <c r="P200" s="529" t="s">
        <v>1469</v>
      </c>
    </row>
    <row r="201" spans="1:16" x14ac:dyDescent="0.25">
      <c r="A201" s="529" t="s">
        <v>796</v>
      </c>
      <c r="B201" s="529" t="s">
        <v>797</v>
      </c>
      <c r="C201" s="808">
        <v>46212</v>
      </c>
      <c r="D201" s="809">
        <v>0.77113425925926005</v>
      </c>
      <c r="E201" s="529" t="s">
        <v>1464</v>
      </c>
      <c r="F201" s="529" t="s">
        <v>838</v>
      </c>
      <c r="G201" s="529" t="s">
        <v>800</v>
      </c>
      <c r="H201" s="810">
        <v>23</v>
      </c>
      <c r="I201" s="811">
        <v>149869.38</v>
      </c>
      <c r="J201" s="529" t="s">
        <v>801</v>
      </c>
      <c r="K201" s="529" t="s">
        <v>802</v>
      </c>
      <c r="L201" s="529" t="s">
        <v>844</v>
      </c>
      <c r="M201" s="529" t="s">
        <v>1465</v>
      </c>
      <c r="N201" s="529" t="s">
        <v>804</v>
      </c>
      <c r="O201" s="529" t="s">
        <v>577</v>
      </c>
      <c r="P201" s="529" t="s">
        <v>1466</v>
      </c>
    </row>
    <row r="202" spans="1:16" x14ac:dyDescent="0.25">
      <c r="A202" s="529" t="s">
        <v>796</v>
      </c>
      <c r="B202" s="529" t="s">
        <v>797</v>
      </c>
      <c r="C202" s="808">
        <v>46213</v>
      </c>
      <c r="D202" s="809">
        <v>0.32763888888888998</v>
      </c>
      <c r="E202" s="529" t="s">
        <v>1475</v>
      </c>
      <c r="F202" s="529" t="s">
        <v>919</v>
      </c>
      <c r="G202" s="529" t="s">
        <v>800</v>
      </c>
      <c r="H202" s="810">
        <v>30</v>
      </c>
      <c r="I202" s="811">
        <v>181081.8</v>
      </c>
      <c r="J202" s="529" t="s">
        <v>816</v>
      </c>
      <c r="K202" s="529" t="s">
        <v>802</v>
      </c>
      <c r="L202" s="529" t="s">
        <v>920</v>
      </c>
      <c r="M202" s="529" t="s">
        <v>1505</v>
      </c>
      <c r="N202" s="529" t="s">
        <v>804</v>
      </c>
      <c r="O202" s="529" t="s">
        <v>577</v>
      </c>
      <c r="P202" s="529" t="s">
        <v>1476</v>
      </c>
    </row>
    <row r="203" spans="1:16" x14ac:dyDescent="0.25">
      <c r="A203" s="529" t="s">
        <v>796</v>
      </c>
      <c r="B203" s="529" t="s">
        <v>797</v>
      </c>
      <c r="C203" s="808">
        <v>46213</v>
      </c>
      <c r="D203" s="809">
        <v>0.31795138888889002</v>
      </c>
      <c r="E203" s="529" t="s">
        <v>1470</v>
      </c>
      <c r="F203" s="529" t="s">
        <v>919</v>
      </c>
      <c r="G203" s="529" t="s">
        <v>800</v>
      </c>
      <c r="H203" s="810">
        <v>30</v>
      </c>
      <c r="I203" s="811">
        <v>181081.8</v>
      </c>
      <c r="J203" s="529" t="s">
        <v>816</v>
      </c>
      <c r="K203" s="529" t="s">
        <v>802</v>
      </c>
      <c r="L203" s="529" t="s">
        <v>920</v>
      </c>
      <c r="M203" s="529" t="s">
        <v>1504</v>
      </c>
      <c r="N203" s="529" t="s">
        <v>804</v>
      </c>
      <c r="O203" s="529" t="s">
        <v>577</v>
      </c>
      <c r="P203" s="529" t="s">
        <v>1471</v>
      </c>
    </row>
    <row r="204" spans="1:16" x14ac:dyDescent="0.25">
      <c r="A204" s="529" t="s">
        <v>796</v>
      </c>
      <c r="B204" s="529" t="s">
        <v>797</v>
      </c>
      <c r="C204" s="808">
        <v>46213</v>
      </c>
      <c r="D204" s="809">
        <v>0.10449074074074</v>
      </c>
      <c r="E204" s="529" t="s">
        <v>1472</v>
      </c>
      <c r="F204" s="529" t="s">
        <v>919</v>
      </c>
      <c r="G204" s="529" t="s">
        <v>800</v>
      </c>
      <c r="H204" s="810">
        <v>15</v>
      </c>
      <c r="I204" s="811">
        <v>90540.9</v>
      </c>
      <c r="J204" s="529" t="s">
        <v>816</v>
      </c>
      <c r="K204" s="529" t="s">
        <v>802</v>
      </c>
      <c r="L204" s="529" t="s">
        <v>920</v>
      </c>
      <c r="M204" s="529" t="s">
        <v>1473</v>
      </c>
      <c r="N204" s="529" t="s">
        <v>804</v>
      </c>
      <c r="O204" s="529" t="s">
        <v>577</v>
      </c>
      <c r="P204" s="529" t="s">
        <v>1474</v>
      </c>
    </row>
    <row r="205" spans="1:16" x14ac:dyDescent="0.25">
      <c r="A205" s="529" t="s">
        <v>796</v>
      </c>
      <c r="B205" s="529" t="s">
        <v>797</v>
      </c>
      <c r="C205" s="808">
        <v>46213</v>
      </c>
      <c r="D205" s="809">
        <v>0.58428240740741</v>
      </c>
      <c r="E205" s="529" t="s">
        <v>1506</v>
      </c>
      <c r="F205" s="529" t="s">
        <v>919</v>
      </c>
      <c r="G205" s="529" t="s">
        <v>800</v>
      </c>
      <c r="H205" s="810">
        <v>25</v>
      </c>
      <c r="I205" s="811">
        <v>150901.5</v>
      </c>
      <c r="J205" s="529" t="s">
        <v>816</v>
      </c>
      <c r="K205" s="529" t="s">
        <v>802</v>
      </c>
      <c r="L205" s="529" t="s">
        <v>857</v>
      </c>
      <c r="M205" s="529" t="s">
        <v>1507</v>
      </c>
      <c r="N205" s="529" t="s">
        <v>804</v>
      </c>
      <c r="O205" s="529" t="s">
        <v>577</v>
      </c>
      <c r="P205" s="529" t="s">
        <v>1508</v>
      </c>
    </row>
    <row r="206" spans="1:16" x14ac:dyDescent="0.25">
      <c r="A206" s="529" t="s">
        <v>796</v>
      </c>
      <c r="B206" s="529" t="s">
        <v>797</v>
      </c>
      <c r="C206" s="808">
        <v>46213</v>
      </c>
      <c r="D206" s="809">
        <v>0.76434027777778002</v>
      </c>
      <c r="E206" s="529" t="s">
        <v>1521</v>
      </c>
      <c r="F206" s="529" t="s">
        <v>799</v>
      </c>
      <c r="G206" s="529" t="s">
        <v>800</v>
      </c>
      <c r="H206" s="810">
        <v>10</v>
      </c>
      <c r="I206" s="811">
        <v>60952.6</v>
      </c>
      <c r="J206" s="529" t="s">
        <v>801</v>
      </c>
      <c r="K206" s="529" t="s">
        <v>802</v>
      </c>
      <c r="L206" s="529" t="s">
        <v>848</v>
      </c>
      <c r="M206" s="529" t="s">
        <v>1522</v>
      </c>
      <c r="N206" s="529" t="s">
        <v>804</v>
      </c>
      <c r="O206" s="529" t="s">
        <v>577</v>
      </c>
      <c r="P206" s="529" t="s">
        <v>1523</v>
      </c>
    </row>
    <row r="207" spans="1:16" x14ac:dyDescent="0.25">
      <c r="A207" s="529" t="s">
        <v>796</v>
      </c>
      <c r="B207" s="529" t="s">
        <v>797</v>
      </c>
      <c r="C207" s="808">
        <v>46213</v>
      </c>
      <c r="D207" s="809">
        <v>0.89984953703703996</v>
      </c>
      <c r="E207" s="529" t="s">
        <v>1524</v>
      </c>
      <c r="F207" s="529" t="s">
        <v>799</v>
      </c>
      <c r="G207" s="529" t="s">
        <v>800</v>
      </c>
      <c r="H207" s="810">
        <v>40</v>
      </c>
      <c r="I207" s="811">
        <v>243810.4</v>
      </c>
      <c r="J207" s="529" t="s">
        <v>801</v>
      </c>
      <c r="K207" s="529" t="s">
        <v>802</v>
      </c>
      <c r="L207" s="529" t="s">
        <v>857</v>
      </c>
      <c r="M207" s="529" t="s">
        <v>1525</v>
      </c>
      <c r="N207" s="529" t="s">
        <v>804</v>
      </c>
      <c r="O207" s="529" t="s">
        <v>577</v>
      </c>
      <c r="P207" s="529" t="s">
        <v>1526</v>
      </c>
    </row>
    <row r="208" spans="1:16" x14ac:dyDescent="0.25">
      <c r="A208" s="529" t="s">
        <v>796</v>
      </c>
      <c r="B208" s="529" t="s">
        <v>797</v>
      </c>
      <c r="C208" s="808">
        <v>46213</v>
      </c>
      <c r="D208" s="809">
        <v>0.76640046296296005</v>
      </c>
      <c r="E208" s="529" t="s">
        <v>1527</v>
      </c>
      <c r="F208" s="529" t="s">
        <v>799</v>
      </c>
      <c r="G208" s="529" t="s">
        <v>800</v>
      </c>
      <c r="H208" s="810">
        <v>9</v>
      </c>
      <c r="I208" s="811">
        <v>54857.34</v>
      </c>
      <c r="J208" s="529" t="s">
        <v>801</v>
      </c>
      <c r="K208" s="529" t="s">
        <v>802</v>
      </c>
      <c r="L208" s="529" t="s">
        <v>848</v>
      </c>
      <c r="M208" s="529" t="s">
        <v>1528</v>
      </c>
      <c r="N208" s="529" t="s">
        <v>804</v>
      </c>
      <c r="O208" s="529" t="s">
        <v>577</v>
      </c>
      <c r="P208" s="529" t="s">
        <v>1529</v>
      </c>
    </row>
    <row r="209" spans="1:16" x14ac:dyDescent="0.25">
      <c r="A209" s="529" t="s">
        <v>796</v>
      </c>
      <c r="B209" s="529" t="s">
        <v>797</v>
      </c>
      <c r="C209" s="808">
        <v>46213</v>
      </c>
      <c r="D209" s="809">
        <v>7.5231481480999998E-4</v>
      </c>
      <c r="E209" s="529" t="s">
        <v>1477</v>
      </c>
      <c r="F209" s="529" t="s">
        <v>851</v>
      </c>
      <c r="G209" s="529" t="s">
        <v>800</v>
      </c>
      <c r="H209" s="810">
        <v>5</v>
      </c>
      <c r="I209" s="811">
        <v>31252.1</v>
      </c>
      <c r="J209" s="529" t="s">
        <v>816</v>
      </c>
      <c r="K209" s="529" t="s">
        <v>802</v>
      </c>
      <c r="L209" s="529" t="s">
        <v>1144</v>
      </c>
      <c r="M209" s="529" t="s">
        <v>1478</v>
      </c>
      <c r="N209" s="529" t="s">
        <v>804</v>
      </c>
      <c r="O209" s="529" t="s">
        <v>577</v>
      </c>
      <c r="P209" s="529" t="s">
        <v>1479</v>
      </c>
    </row>
    <row r="210" spans="1:16" x14ac:dyDescent="0.25">
      <c r="A210" s="529" t="s">
        <v>796</v>
      </c>
      <c r="B210" s="529" t="s">
        <v>797</v>
      </c>
      <c r="C210" s="808">
        <v>46213</v>
      </c>
      <c r="D210" s="809">
        <v>0.89934027777778003</v>
      </c>
      <c r="E210" s="529" t="s">
        <v>1530</v>
      </c>
      <c r="F210" s="529" t="s">
        <v>851</v>
      </c>
      <c r="G210" s="529" t="s">
        <v>800</v>
      </c>
      <c r="H210" s="810">
        <v>10</v>
      </c>
      <c r="I210" s="811">
        <v>62504.2</v>
      </c>
      <c r="J210" s="529" t="s">
        <v>816</v>
      </c>
      <c r="K210" s="529" t="s">
        <v>802</v>
      </c>
      <c r="L210" s="529" t="s">
        <v>857</v>
      </c>
      <c r="M210" s="529" t="s">
        <v>1531</v>
      </c>
      <c r="N210" s="529" t="s">
        <v>804</v>
      </c>
      <c r="O210" s="529" t="s">
        <v>577</v>
      </c>
      <c r="P210" s="529" t="s">
        <v>1532</v>
      </c>
    </row>
    <row r="211" spans="1:16" x14ac:dyDescent="0.25">
      <c r="A211" s="529" t="s">
        <v>796</v>
      </c>
      <c r="B211" s="529" t="s">
        <v>797</v>
      </c>
      <c r="C211" s="808">
        <v>46213</v>
      </c>
      <c r="D211" s="809">
        <v>0.76594907407406998</v>
      </c>
      <c r="E211" s="529" t="s">
        <v>1533</v>
      </c>
      <c r="F211" s="529" t="s">
        <v>851</v>
      </c>
      <c r="G211" s="529" t="s">
        <v>800</v>
      </c>
      <c r="H211" s="810">
        <v>7</v>
      </c>
      <c r="I211" s="811">
        <v>43752.94</v>
      </c>
      <c r="J211" s="529" t="s">
        <v>816</v>
      </c>
      <c r="K211" s="529" t="s">
        <v>802</v>
      </c>
      <c r="L211" s="529" t="s">
        <v>848</v>
      </c>
      <c r="M211" s="529" t="s">
        <v>1534</v>
      </c>
      <c r="N211" s="529" t="s">
        <v>804</v>
      </c>
      <c r="O211" s="529" t="s">
        <v>577</v>
      </c>
      <c r="P211" s="529" t="s">
        <v>1535</v>
      </c>
    </row>
    <row r="212" spans="1:16" x14ac:dyDescent="0.25">
      <c r="A212" s="529" t="s">
        <v>796</v>
      </c>
      <c r="B212" s="529" t="s">
        <v>797</v>
      </c>
      <c r="C212" s="808">
        <v>46213</v>
      </c>
      <c r="D212" s="809">
        <v>0.104375</v>
      </c>
      <c r="E212" s="529" t="s">
        <v>1480</v>
      </c>
      <c r="F212" s="529" t="s">
        <v>851</v>
      </c>
      <c r="G212" s="529" t="s">
        <v>800</v>
      </c>
      <c r="H212" s="810">
        <v>20</v>
      </c>
      <c r="I212" s="811">
        <v>125008.4</v>
      </c>
      <c r="J212" s="529" t="s">
        <v>816</v>
      </c>
      <c r="K212" s="529" t="s">
        <v>802</v>
      </c>
      <c r="L212" s="529" t="s">
        <v>920</v>
      </c>
      <c r="M212" s="529" t="s">
        <v>1481</v>
      </c>
      <c r="N212" s="529" t="s">
        <v>804</v>
      </c>
      <c r="O212" s="529" t="s">
        <v>577</v>
      </c>
      <c r="P212" s="529" t="s">
        <v>1482</v>
      </c>
    </row>
    <row r="213" spans="1:16" x14ac:dyDescent="0.25">
      <c r="A213" s="529" t="s">
        <v>796</v>
      </c>
      <c r="B213" s="529" t="s">
        <v>797</v>
      </c>
      <c r="C213" s="808">
        <v>46213</v>
      </c>
      <c r="D213" s="809">
        <v>0.76614583333332997</v>
      </c>
      <c r="E213" s="529" t="s">
        <v>1536</v>
      </c>
      <c r="F213" s="529" t="s">
        <v>812</v>
      </c>
      <c r="G213" s="529" t="s">
        <v>800</v>
      </c>
      <c r="H213" s="810">
        <v>2</v>
      </c>
      <c r="I213" s="811">
        <v>12729.28</v>
      </c>
      <c r="J213" s="529" t="s">
        <v>801</v>
      </c>
      <c r="K213" s="529" t="s">
        <v>802</v>
      </c>
      <c r="L213" s="529" t="s">
        <v>848</v>
      </c>
      <c r="M213" s="529" t="s">
        <v>1537</v>
      </c>
      <c r="N213" s="529" t="s">
        <v>804</v>
      </c>
      <c r="O213" s="529" t="s">
        <v>577</v>
      </c>
      <c r="P213" s="529" t="s">
        <v>1538</v>
      </c>
    </row>
    <row r="214" spans="1:16" x14ac:dyDescent="0.25">
      <c r="A214" s="529" t="s">
        <v>796</v>
      </c>
      <c r="B214" s="529" t="s">
        <v>797</v>
      </c>
      <c r="C214" s="808">
        <v>46213</v>
      </c>
      <c r="D214" s="809">
        <v>0.89946759259259002</v>
      </c>
      <c r="E214" s="529" t="s">
        <v>1539</v>
      </c>
      <c r="F214" s="529" t="s">
        <v>812</v>
      </c>
      <c r="G214" s="529" t="s">
        <v>800</v>
      </c>
      <c r="H214" s="810">
        <v>10</v>
      </c>
      <c r="I214" s="811">
        <v>63646.400000000001</v>
      </c>
      <c r="J214" s="529" t="s">
        <v>801</v>
      </c>
      <c r="K214" s="529" t="s">
        <v>802</v>
      </c>
      <c r="L214" s="529" t="s">
        <v>857</v>
      </c>
      <c r="M214" s="529" t="s">
        <v>1540</v>
      </c>
      <c r="N214" s="529" t="s">
        <v>804</v>
      </c>
      <c r="O214" s="529" t="s">
        <v>577</v>
      </c>
      <c r="P214" s="529" t="s">
        <v>1541</v>
      </c>
    </row>
    <row r="215" spans="1:16" x14ac:dyDescent="0.25">
      <c r="A215" s="529" t="s">
        <v>796</v>
      </c>
      <c r="B215" s="529" t="s">
        <v>797</v>
      </c>
      <c r="C215" s="808">
        <v>46213</v>
      </c>
      <c r="D215" s="809">
        <v>1.1921296296299999E-3</v>
      </c>
      <c r="E215" s="529" t="s">
        <v>1483</v>
      </c>
      <c r="F215" s="529" t="s">
        <v>812</v>
      </c>
      <c r="G215" s="529" t="s">
        <v>800</v>
      </c>
      <c r="H215" s="810">
        <v>16</v>
      </c>
      <c r="I215" s="811">
        <v>101834.24000000001</v>
      </c>
      <c r="J215" s="529" t="s">
        <v>801</v>
      </c>
      <c r="K215" s="529" t="s">
        <v>802</v>
      </c>
      <c r="L215" s="529" t="s">
        <v>1144</v>
      </c>
      <c r="M215" s="529" t="s">
        <v>1484</v>
      </c>
      <c r="N215" s="529" t="s">
        <v>804</v>
      </c>
      <c r="O215" s="529" t="s">
        <v>577</v>
      </c>
      <c r="P215" s="529" t="s">
        <v>1485</v>
      </c>
    </row>
    <row r="216" spans="1:16" x14ac:dyDescent="0.25">
      <c r="A216" s="529" t="s">
        <v>796</v>
      </c>
      <c r="B216" s="529" t="s">
        <v>797</v>
      </c>
      <c r="C216" s="808">
        <v>46213</v>
      </c>
      <c r="D216" s="809">
        <v>0.31769675925926</v>
      </c>
      <c r="E216" s="529" t="s">
        <v>1486</v>
      </c>
      <c r="F216" s="529" t="s">
        <v>864</v>
      </c>
      <c r="G216" s="529" t="s">
        <v>800</v>
      </c>
      <c r="H216" s="810">
        <v>12</v>
      </c>
      <c r="I216" s="811">
        <v>77991.12</v>
      </c>
      <c r="J216" s="529" t="s">
        <v>816</v>
      </c>
      <c r="K216" s="529" t="s">
        <v>802</v>
      </c>
      <c r="L216" s="529" t="s">
        <v>920</v>
      </c>
      <c r="M216" s="529" t="s">
        <v>1509</v>
      </c>
      <c r="N216" s="529" t="s">
        <v>804</v>
      </c>
      <c r="O216" s="529" t="s">
        <v>577</v>
      </c>
      <c r="P216" s="529" t="s">
        <v>1487</v>
      </c>
    </row>
    <row r="217" spans="1:16" x14ac:dyDescent="0.25">
      <c r="A217" s="529" t="s">
        <v>796</v>
      </c>
      <c r="B217" s="529" t="s">
        <v>797</v>
      </c>
      <c r="C217" s="808">
        <v>46213</v>
      </c>
      <c r="D217" s="809">
        <v>0.90023148148148002</v>
      </c>
      <c r="E217" s="529" t="s">
        <v>1542</v>
      </c>
      <c r="F217" s="529" t="s">
        <v>864</v>
      </c>
      <c r="G217" s="529" t="s">
        <v>800</v>
      </c>
      <c r="H217" s="810">
        <v>2</v>
      </c>
      <c r="I217" s="811">
        <v>12998.52</v>
      </c>
      <c r="J217" s="529" t="s">
        <v>816</v>
      </c>
      <c r="K217" s="529" t="s">
        <v>802</v>
      </c>
      <c r="L217" s="529" t="s">
        <v>857</v>
      </c>
      <c r="M217" s="529" t="s">
        <v>1543</v>
      </c>
      <c r="N217" s="529" t="s">
        <v>804</v>
      </c>
      <c r="O217" s="529" t="s">
        <v>577</v>
      </c>
      <c r="P217" s="529" t="s">
        <v>1544</v>
      </c>
    </row>
    <row r="218" spans="1:16" x14ac:dyDescent="0.25">
      <c r="A218" s="529" t="s">
        <v>796</v>
      </c>
      <c r="B218" s="529" t="s">
        <v>797</v>
      </c>
      <c r="C218" s="808">
        <v>46213</v>
      </c>
      <c r="D218" s="809">
        <v>0.32778935185184999</v>
      </c>
      <c r="E218" s="529" t="s">
        <v>1488</v>
      </c>
      <c r="F218" s="529" t="s">
        <v>957</v>
      </c>
      <c r="G218" s="529" t="s">
        <v>800</v>
      </c>
      <c r="H218" s="810">
        <v>30</v>
      </c>
      <c r="I218" s="811">
        <v>185807.7</v>
      </c>
      <c r="J218" s="529" t="s">
        <v>816</v>
      </c>
      <c r="K218" s="529" t="s">
        <v>802</v>
      </c>
      <c r="L218" s="529" t="s">
        <v>920</v>
      </c>
      <c r="M218" s="529" t="s">
        <v>1514</v>
      </c>
      <c r="N218" s="529" t="s">
        <v>804</v>
      </c>
      <c r="O218" s="529" t="s">
        <v>577</v>
      </c>
      <c r="P218" s="529" t="s">
        <v>1489</v>
      </c>
    </row>
    <row r="219" spans="1:16" x14ac:dyDescent="0.25">
      <c r="A219" s="529" t="s">
        <v>796</v>
      </c>
      <c r="B219" s="529" t="s">
        <v>797</v>
      </c>
      <c r="C219" s="808">
        <v>46213</v>
      </c>
      <c r="D219" s="809">
        <v>0.58413194444444005</v>
      </c>
      <c r="E219" s="529" t="s">
        <v>1511</v>
      </c>
      <c r="F219" s="529" t="s">
        <v>957</v>
      </c>
      <c r="G219" s="529" t="s">
        <v>800</v>
      </c>
      <c r="H219" s="810">
        <v>25</v>
      </c>
      <c r="I219" s="811">
        <v>154839.75</v>
      </c>
      <c r="J219" s="529" t="s">
        <v>816</v>
      </c>
      <c r="K219" s="529" t="s">
        <v>802</v>
      </c>
      <c r="L219" s="529" t="s">
        <v>857</v>
      </c>
      <c r="M219" s="529" t="s">
        <v>1512</v>
      </c>
      <c r="N219" s="529" t="s">
        <v>804</v>
      </c>
      <c r="O219" s="529" t="s">
        <v>577</v>
      </c>
      <c r="P219" s="529" t="s">
        <v>1513</v>
      </c>
    </row>
    <row r="220" spans="1:16" x14ac:dyDescent="0.25">
      <c r="A220" s="529" t="s">
        <v>796</v>
      </c>
      <c r="B220" s="529" t="s">
        <v>797</v>
      </c>
      <c r="C220" s="808">
        <v>46213</v>
      </c>
      <c r="D220" s="809">
        <v>0.31809027777777998</v>
      </c>
      <c r="E220" s="529" t="s">
        <v>1490</v>
      </c>
      <c r="F220" s="529" t="s">
        <v>957</v>
      </c>
      <c r="G220" s="529" t="s">
        <v>800</v>
      </c>
      <c r="H220" s="810">
        <v>20</v>
      </c>
      <c r="I220" s="811">
        <v>123871.8</v>
      </c>
      <c r="J220" s="529" t="s">
        <v>816</v>
      </c>
      <c r="K220" s="529" t="s">
        <v>802</v>
      </c>
      <c r="L220" s="529" t="s">
        <v>920</v>
      </c>
      <c r="M220" s="529" t="s">
        <v>1510</v>
      </c>
      <c r="N220" s="529" t="s">
        <v>804</v>
      </c>
      <c r="O220" s="529" t="s">
        <v>577</v>
      </c>
      <c r="P220" s="529" t="s">
        <v>1491</v>
      </c>
    </row>
    <row r="221" spans="1:16" x14ac:dyDescent="0.25">
      <c r="A221" s="529" t="s">
        <v>796</v>
      </c>
      <c r="B221" s="529" t="s">
        <v>797</v>
      </c>
      <c r="C221" s="808">
        <v>46213</v>
      </c>
      <c r="D221" s="809">
        <v>0.90011574074073997</v>
      </c>
      <c r="E221" s="529" t="s">
        <v>1545</v>
      </c>
      <c r="F221" s="529" t="s">
        <v>815</v>
      </c>
      <c r="G221" s="529" t="s">
        <v>800</v>
      </c>
      <c r="H221" s="810">
        <v>4</v>
      </c>
      <c r="I221" s="811">
        <v>24969.4</v>
      </c>
      <c r="J221" s="529" t="s">
        <v>816</v>
      </c>
      <c r="K221" s="529" t="s">
        <v>802</v>
      </c>
      <c r="L221" s="529" t="s">
        <v>857</v>
      </c>
      <c r="M221" s="529" t="s">
        <v>1546</v>
      </c>
      <c r="N221" s="529" t="s">
        <v>804</v>
      </c>
      <c r="O221" s="529" t="s">
        <v>577</v>
      </c>
      <c r="P221" s="529" t="s">
        <v>1547</v>
      </c>
    </row>
    <row r="222" spans="1:16" x14ac:dyDescent="0.25">
      <c r="A222" s="529" t="s">
        <v>796</v>
      </c>
      <c r="B222" s="529" t="s">
        <v>797</v>
      </c>
      <c r="C222" s="808">
        <v>46213</v>
      </c>
      <c r="D222" s="809">
        <v>1.65509259259E-3</v>
      </c>
      <c r="E222" s="529" t="s">
        <v>1496</v>
      </c>
      <c r="F222" s="529" t="s">
        <v>815</v>
      </c>
      <c r="G222" s="529" t="s">
        <v>800</v>
      </c>
      <c r="H222" s="810">
        <v>50</v>
      </c>
      <c r="I222" s="811">
        <v>312117.5</v>
      </c>
      <c r="J222" s="529" t="s">
        <v>816</v>
      </c>
      <c r="K222" s="529" t="s">
        <v>802</v>
      </c>
      <c r="L222" s="529" t="s">
        <v>1144</v>
      </c>
      <c r="M222" s="529" t="s">
        <v>1497</v>
      </c>
      <c r="N222" s="529" t="s">
        <v>804</v>
      </c>
      <c r="O222" s="529" t="s">
        <v>577</v>
      </c>
      <c r="P222" s="529" t="s">
        <v>1498</v>
      </c>
    </row>
    <row r="223" spans="1:16" x14ac:dyDescent="0.25">
      <c r="A223" s="529" t="s">
        <v>796</v>
      </c>
      <c r="B223" s="529" t="s">
        <v>797</v>
      </c>
      <c r="C223" s="808">
        <v>46213</v>
      </c>
      <c r="D223" s="809">
        <v>0.32750000000000001</v>
      </c>
      <c r="E223" s="529" t="s">
        <v>1492</v>
      </c>
      <c r="F223" s="529" t="s">
        <v>815</v>
      </c>
      <c r="G223" s="529" t="s">
        <v>800</v>
      </c>
      <c r="H223" s="810">
        <v>21</v>
      </c>
      <c r="I223" s="811">
        <v>131089.35</v>
      </c>
      <c r="J223" s="529" t="s">
        <v>816</v>
      </c>
      <c r="K223" s="529" t="s">
        <v>802</v>
      </c>
      <c r="L223" s="529" t="s">
        <v>920</v>
      </c>
      <c r="M223" s="529" t="s">
        <v>1515</v>
      </c>
      <c r="N223" s="529" t="s">
        <v>804</v>
      </c>
      <c r="O223" s="529" t="s">
        <v>577</v>
      </c>
      <c r="P223" s="529" t="s">
        <v>1493</v>
      </c>
    </row>
    <row r="224" spans="1:16" x14ac:dyDescent="0.25">
      <c r="A224" s="529" t="s">
        <v>796</v>
      </c>
      <c r="B224" s="529" t="s">
        <v>797</v>
      </c>
      <c r="C224" s="808">
        <v>46213</v>
      </c>
      <c r="D224" s="809">
        <v>0.58446759259258996</v>
      </c>
      <c r="E224" s="529" t="s">
        <v>1516</v>
      </c>
      <c r="F224" s="529" t="s">
        <v>815</v>
      </c>
      <c r="G224" s="529" t="s">
        <v>800</v>
      </c>
      <c r="H224" s="810">
        <v>25</v>
      </c>
      <c r="I224" s="811">
        <v>156058.75</v>
      </c>
      <c r="J224" s="529" t="s">
        <v>816</v>
      </c>
      <c r="K224" s="529" t="s">
        <v>802</v>
      </c>
      <c r="L224" s="529" t="s">
        <v>857</v>
      </c>
      <c r="M224" s="529" t="s">
        <v>1517</v>
      </c>
      <c r="N224" s="529" t="s">
        <v>804</v>
      </c>
      <c r="O224" s="529" t="s">
        <v>577</v>
      </c>
      <c r="P224" s="529" t="s">
        <v>1518</v>
      </c>
    </row>
    <row r="225" spans="1:16" x14ac:dyDescent="0.25">
      <c r="A225" s="529" t="s">
        <v>796</v>
      </c>
      <c r="B225" s="529" t="s">
        <v>797</v>
      </c>
      <c r="C225" s="808">
        <v>46213</v>
      </c>
      <c r="D225" s="809">
        <v>0.31782407407406998</v>
      </c>
      <c r="E225" s="529" t="s">
        <v>1494</v>
      </c>
      <c r="F225" s="529" t="s">
        <v>815</v>
      </c>
      <c r="G225" s="529" t="s">
        <v>800</v>
      </c>
      <c r="H225" s="810">
        <v>20</v>
      </c>
      <c r="I225" s="811">
        <v>124847</v>
      </c>
      <c r="J225" s="529" t="s">
        <v>816</v>
      </c>
      <c r="K225" s="529" t="s">
        <v>802</v>
      </c>
      <c r="L225" s="529" t="s">
        <v>920</v>
      </c>
      <c r="M225" s="529" t="s">
        <v>1519</v>
      </c>
      <c r="N225" s="529" t="s">
        <v>804</v>
      </c>
      <c r="O225" s="529" t="s">
        <v>577</v>
      </c>
      <c r="P225" s="529" t="s">
        <v>1495</v>
      </c>
    </row>
    <row r="226" spans="1:16" x14ac:dyDescent="0.25">
      <c r="A226" s="529" t="s">
        <v>796</v>
      </c>
      <c r="B226" s="529" t="s">
        <v>797</v>
      </c>
      <c r="C226" s="808">
        <v>46213</v>
      </c>
      <c r="D226" s="809">
        <v>0.31824074074073999</v>
      </c>
      <c r="E226" s="529" t="s">
        <v>1499</v>
      </c>
      <c r="F226" s="529" t="s">
        <v>821</v>
      </c>
      <c r="G226" s="529" t="s">
        <v>800</v>
      </c>
      <c r="H226" s="810">
        <v>25</v>
      </c>
      <c r="I226" s="811">
        <v>161910.75</v>
      </c>
      <c r="J226" s="529" t="s">
        <v>801</v>
      </c>
      <c r="K226" s="529" t="s">
        <v>802</v>
      </c>
      <c r="L226" s="529" t="s">
        <v>920</v>
      </c>
      <c r="M226" s="529" t="s">
        <v>1520</v>
      </c>
      <c r="N226" s="529" t="s">
        <v>804</v>
      </c>
      <c r="O226" s="529" t="s">
        <v>577</v>
      </c>
      <c r="P226" s="529" t="s">
        <v>1500</v>
      </c>
    </row>
    <row r="227" spans="1:16" x14ac:dyDescent="0.25">
      <c r="A227" s="529" t="s">
        <v>796</v>
      </c>
      <c r="B227" s="529" t="s">
        <v>797</v>
      </c>
      <c r="C227" s="808">
        <v>46213</v>
      </c>
      <c r="D227" s="809">
        <v>0.89971064814815005</v>
      </c>
      <c r="E227" s="529" t="s">
        <v>1548</v>
      </c>
      <c r="F227" s="529" t="s">
        <v>877</v>
      </c>
      <c r="G227" s="529" t="s">
        <v>800</v>
      </c>
      <c r="H227" s="810">
        <v>1</v>
      </c>
      <c r="I227" s="811">
        <v>6437.04</v>
      </c>
      <c r="J227" s="529" t="s">
        <v>816</v>
      </c>
      <c r="K227" s="529" t="s">
        <v>802</v>
      </c>
      <c r="L227" s="529" t="s">
        <v>857</v>
      </c>
      <c r="M227" s="529" t="s">
        <v>1549</v>
      </c>
      <c r="N227" s="529" t="s">
        <v>804</v>
      </c>
      <c r="O227" s="529" t="s">
        <v>577</v>
      </c>
      <c r="P227" s="529" t="s">
        <v>1550</v>
      </c>
    </row>
    <row r="228" spans="1:16" x14ac:dyDescent="0.25">
      <c r="A228" s="529" t="s">
        <v>796</v>
      </c>
      <c r="B228" s="529" t="s">
        <v>797</v>
      </c>
      <c r="C228" s="808">
        <v>46213</v>
      </c>
      <c r="D228" s="809">
        <v>0.10461805555556</v>
      </c>
      <c r="E228" s="529" t="s">
        <v>1501</v>
      </c>
      <c r="F228" s="529" t="s">
        <v>832</v>
      </c>
      <c r="G228" s="529" t="s">
        <v>800</v>
      </c>
      <c r="H228" s="810">
        <v>17</v>
      </c>
      <c r="I228" s="811">
        <v>112517.9</v>
      </c>
      <c r="J228" s="529" t="s">
        <v>816</v>
      </c>
      <c r="K228" s="529" t="s">
        <v>802</v>
      </c>
      <c r="L228" s="529" t="s">
        <v>920</v>
      </c>
      <c r="M228" s="529" t="s">
        <v>1502</v>
      </c>
      <c r="N228" s="529" t="s">
        <v>804</v>
      </c>
      <c r="O228" s="529" t="s">
        <v>577</v>
      </c>
      <c r="P228" s="529" t="s">
        <v>1503</v>
      </c>
    </row>
    <row r="229" spans="1:16" x14ac:dyDescent="0.25">
      <c r="A229" s="529" t="s">
        <v>796</v>
      </c>
      <c r="B229" s="529" t="s">
        <v>797</v>
      </c>
      <c r="C229" s="808">
        <v>46213</v>
      </c>
      <c r="D229" s="809">
        <v>0.89997685185184995</v>
      </c>
      <c r="E229" s="529" t="s">
        <v>1551</v>
      </c>
      <c r="F229" s="529" t="s">
        <v>832</v>
      </c>
      <c r="G229" s="529" t="s">
        <v>800</v>
      </c>
      <c r="H229" s="810">
        <v>6</v>
      </c>
      <c r="I229" s="811">
        <v>39712.199999999997</v>
      </c>
      <c r="J229" s="529" t="s">
        <v>816</v>
      </c>
      <c r="K229" s="529" t="s">
        <v>802</v>
      </c>
      <c r="L229" s="529" t="s">
        <v>857</v>
      </c>
      <c r="M229" s="529" t="s">
        <v>1552</v>
      </c>
      <c r="N229" s="529" t="s">
        <v>804</v>
      </c>
      <c r="O229" s="529" t="s">
        <v>577</v>
      </c>
      <c r="P229" s="529" t="s">
        <v>1553</v>
      </c>
    </row>
    <row r="230" spans="1:16" x14ac:dyDescent="0.25">
      <c r="A230" s="529" t="s">
        <v>796</v>
      </c>
      <c r="B230" s="529" t="s">
        <v>797</v>
      </c>
      <c r="C230" s="808">
        <v>46213</v>
      </c>
      <c r="D230" s="809">
        <v>0.76659722222222004</v>
      </c>
      <c r="E230" s="529" t="s">
        <v>1554</v>
      </c>
      <c r="F230" s="529" t="s">
        <v>832</v>
      </c>
      <c r="G230" s="529" t="s">
        <v>800</v>
      </c>
      <c r="H230" s="810">
        <v>10</v>
      </c>
      <c r="I230" s="811">
        <v>66187</v>
      </c>
      <c r="J230" s="529" t="s">
        <v>816</v>
      </c>
      <c r="K230" s="529" t="s">
        <v>802</v>
      </c>
      <c r="L230" s="529" t="s">
        <v>848</v>
      </c>
      <c r="M230" s="529" t="s">
        <v>1555</v>
      </c>
      <c r="N230" s="529" t="s">
        <v>804</v>
      </c>
      <c r="O230" s="529" t="s">
        <v>577</v>
      </c>
      <c r="P230" s="529" t="s">
        <v>1556</v>
      </c>
    </row>
    <row r="231" spans="1:16" x14ac:dyDescent="0.25">
      <c r="A231" s="529" t="s">
        <v>796</v>
      </c>
      <c r="B231" s="529" t="s">
        <v>797</v>
      </c>
      <c r="C231" s="808">
        <v>46213</v>
      </c>
      <c r="D231" s="809">
        <v>0.89960648148148004</v>
      </c>
      <c r="E231" s="529" t="s">
        <v>1557</v>
      </c>
      <c r="F231" s="529" t="s">
        <v>838</v>
      </c>
      <c r="G231" s="529" t="s">
        <v>800</v>
      </c>
      <c r="H231" s="810">
        <v>1</v>
      </c>
      <c r="I231" s="811">
        <v>6516.06</v>
      </c>
      <c r="J231" s="529" t="s">
        <v>801</v>
      </c>
      <c r="K231" s="529" t="s">
        <v>802</v>
      </c>
      <c r="L231" s="529" t="s">
        <v>857</v>
      </c>
      <c r="M231" s="529" t="s">
        <v>1558</v>
      </c>
      <c r="N231" s="529" t="s">
        <v>804</v>
      </c>
      <c r="O231" s="529" t="s">
        <v>577</v>
      </c>
      <c r="P231" s="529" t="s">
        <v>1559</v>
      </c>
    </row>
    <row r="232" spans="1:16" x14ac:dyDescent="0.25">
      <c r="A232" s="529" t="s">
        <v>796</v>
      </c>
      <c r="B232" s="529" t="s">
        <v>797</v>
      </c>
      <c r="C232" s="808">
        <v>46214</v>
      </c>
      <c r="D232" s="809">
        <v>6.15740740741E-3</v>
      </c>
      <c r="E232" s="529" t="s">
        <v>1560</v>
      </c>
      <c r="F232" s="529" t="s">
        <v>919</v>
      </c>
      <c r="G232" s="529" t="s">
        <v>800</v>
      </c>
      <c r="H232" s="810">
        <v>25</v>
      </c>
      <c r="I232" s="811">
        <v>150901.5</v>
      </c>
      <c r="J232" s="529" t="s">
        <v>816</v>
      </c>
      <c r="K232" s="529" t="s">
        <v>802</v>
      </c>
      <c r="L232" s="529" t="s">
        <v>844</v>
      </c>
      <c r="M232" s="529" t="s">
        <v>1588</v>
      </c>
      <c r="N232" s="529" t="s">
        <v>804</v>
      </c>
      <c r="O232" s="529" t="s">
        <v>577</v>
      </c>
      <c r="P232" s="529" t="s">
        <v>1561</v>
      </c>
    </row>
    <row r="233" spans="1:16" x14ac:dyDescent="0.25">
      <c r="A233" s="529" t="s">
        <v>796</v>
      </c>
      <c r="B233" s="529" t="s">
        <v>797</v>
      </c>
      <c r="C233" s="808">
        <v>46214</v>
      </c>
      <c r="D233" s="809">
        <v>0.31732638888888998</v>
      </c>
      <c r="E233" s="529" t="s">
        <v>1589</v>
      </c>
      <c r="F233" s="529" t="s">
        <v>919</v>
      </c>
      <c r="G233" s="529" t="s">
        <v>800</v>
      </c>
      <c r="H233" s="810">
        <v>25</v>
      </c>
      <c r="I233" s="811">
        <v>150901.5</v>
      </c>
      <c r="J233" s="529" t="s">
        <v>816</v>
      </c>
      <c r="K233" s="529" t="s">
        <v>802</v>
      </c>
      <c r="L233" s="529" t="s">
        <v>857</v>
      </c>
      <c r="M233" s="529" t="s">
        <v>1590</v>
      </c>
      <c r="N233" s="529" t="s">
        <v>804</v>
      </c>
      <c r="O233" s="529" t="s">
        <v>577</v>
      </c>
      <c r="P233" s="529" t="s">
        <v>1591</v>
      </c>
    </row>
    <row r="234" spans="1:16" x14ac:dyDescent="0.25">
      <c r="A234" s="529" t="s">
        <v>796</v>
      </c>
      <c r="B234" s="529" t="s">
        <v>797</v>
      </c>
      <c r="C234" s="808">
        <v>46214</v>
      </c>
      <c r="D234" s="809">
        <v>0.64039351851852</v>
      </c>
      <c r="E234" s="529" t="s">
        <v>1598</v>
      </c>
      <c r="F234" s="529" t="s">
        <v>919</v>
      </c>
      <c r="G234" s="529" t="s">
        <v>800</v>
      </c>
      <c r="H234" s="810">
        <v>20</v>
      </c>
      <c r="I234" s="811">
        <v>120721.2</v>
      </c>
      <c r="J234" s="529" t="s">
        <v>816</v>
      </c>
      <c r="K234" s="529" t="s">
        <v>802</v>
      </c>
      <c r="L234" s="529" t="s">
        <v>1144</v>
      </c>
      <c r="M234" s="529" t="s">
        <v>1599</v>
      </c>
      <c r="N234" s="529" t="s">
        <v>804</v>
      </c>
      <c r="O234" s="529" t="s">
        <v>577</v>
      </c>
      <c r="P234" s="529" t="s">
        <v>1600</v>
      </c>
    </row>
    <row r="235" spans="1:16" x14ac:dyDescent="0.25">
      <c r="A235" s="529" t="s">
        <v>796</v>
      </c>
      <c r="B235" s="529" t="s">
        <v>797</v>
      </c>
      <c r="C235" s="808">
        <v>46214</v>
      </c>
      <c r="D235" s="809">
        <v>0.78787037037037</v>
      </c>
      <c r="E235" s="529" t="s">
        <v>1595</v>
      </c>
      <c r="F235" s="529" t="s">
        <v>919</v>
      </c>
      <c r="G235" s="529" t="s">
        <v>800</v>
      </c>
      <c r="H235" s="810">
        <v>30</v>
      </c>
      <c r="I235" s="811">
        <v>181081.8</v>
      </c>
      <c r="J235" s="529" t="s">
        <v>816</v>
      </c>
      <c r="K235" s="529" t="s">
        <v>802</v>
      </c>
      <c r="L235" s="529" t="s">
        <v>1144</v>
      </c>
      <c r="M235" s="529" t="s">
        <v>1596</v>
      </c>
      <c r="N235" s="529" t="s">
        <v>804</v>
      </c>
      <c r="O235" s="529" t="s">
        <v>577</v>
      </c>
      <c r="P235" s="529" t="s">
        <v>1597</v>
      </c>
    </row>
    <row r="236" spans="1:16" x14ac:dyDescent="0.25">
      <c r="A236" s="529" t="s">
        <v>796</v>
      </c>
      <c r="B236" s="529" t="s">
        <v>797</v>
      </c>
      <c r="C236" s="808">
        <v>46214</v>
      </c>
      <c r="D236" s="809">
        <v>0.50934027777778002</v>
      </c>
      <c r="E236" s="529" t="s">
        <v>1592</v>
      </c>
      <c r="F236" s="529" t="s">
        <v>919</v>
      </c>
      <c r="G236" s="529" t="s">
        <v>800</v>
      </c>
      <c r="H236" s="810">
        <v>35</v>
      </c>
      <c r="I236" s="811">
        <v>211262.1</v>
      </c>
      <c r="J236" s="529" t="s">
        <v>816</v>
      </c>
      <c r="K236" s="529" t="s">
        <v>802</v>
      </c>
      <c r="L236" s="529" t="s">
        <v>857</v>
      </c>
      <c r="M236" s="529" t="s">
        <v>1593</v>
      </c>
      <c r="N236" s="529" t="s">
        <v>804</v>
      </c>
      <c r="O236" s="529" t="s">
        <v>577</v>
      </c>
      <c r="P236" s="529" t="s">
        <v>1594</v>
      </c>
    </row>
    <row r="237" spans="1:16" x14ac:dyDescent="0.25">
      <c r="A237" s="529" t="s">
        <v>796</v>
      </c>
      <c r="B237" s="529" t="s">
        <v>797</v>
      </c>
      <c r="C237" s="808">
        <v>46214</v>
      </c>
      <c r="D237" s="809">
        <v>0.50954861111111005</v>
      </c>
      <c r="E237" s="529" t="s">
        <v>1606</v>
      </c>
      <c r="F237" s="529" t="s">
        <v>799</v>
      </c>
      <c r="G237" s="529" t="s">
        <v>800</v>
      </c>
      <c r="H237" s="810">
        <v>35</v>
      </c>
      <c r="I237" s="811">
        <v>213334.1</v>
      </c>
      <c r="J237" s="529" t="s">
        <v>801</v>
      </c>
      <c r="K237" s="529" t="s">
        <v>802</v>
      </c>
      <c r="L237" s="529" t="s">
        <v>857</v>
      </c>
      <c r="M237" s="529" t="s">
        <v>1607</v>
      </c>
      <c r="N237" s="529" t="s">
        <v>804</v>
      </c>
      <c r="O237" s="529" t="s">
        <v>577</v>
      </c>
      <c r="P237" s="529" t="s">
        <v>1608</v>
      </c>
    </row>
    <row r="238" spans="1:16" x14ac:dyDescent="0.25">
      <c r="A238" s="529" t="s">
        <v>796</v>
      </c>
      <c r="B238" s="529" t="s">
        <v>797</v>
      </c>
      <c r="C238" s="808">
        <v>46214</v>
      </c>
      <c r="D238" s="809">
        <v>0.640625</v>
      </c>
      <c r="E238" s="529" t="s">
        <v>1609</v>
      </c>
      <c r="F238" s="529" t="s">
        <v>799</v>
      </c>
      <c r="G238" s="529" t="s">
        <v>800</v>
      </c>
      <c r="H238" s="810">
        <v>60</v>
      </c>
      <c r="I238" s="811">
        <v>365715.6</v>
      </c>
      <c r="J238" s="529" t="s">
        <v>801</v>
      </c>
      <c r="K238" s="529" t="s">
        <v>802</v>
      </c>
      <c r="L238" s="529" t="s">
        <v>1144</v>
      </c>
      <c r="M238" s="529" t="s">
        <v>1610</v>
      </c>
      <c r="N238" s="529" t="s">
        <v>804</v>
      </c>
      <c r="O238" s="529" t="s">
        <v>577</v>
      </c>
      <c r="P238" s="529" t="s">
        <v>1611</v>
      </c>
    </row>
    <row r="239" spans="1:16" x14ac:dyDescent="0.25">
      <c r="A239" s="529" t="s">
        <v>796</v>
      </c>
      <c r="B239" s="529" t="s">
        <v>797</v>
      </c>
      <c r="C239" s="808">
        <v>46214</v>
      </c>
      <c r="D239" s="809">
        <v>6.3773148148100001E-3</v>
      </c>
      <c r="E239" s="529" t="s">
        <v>1562</v>
      </c>
      <c r="F239" s="529" t="s">
        <v>799</v>
      </c>
      <c r="G239" s="529" t="s">
        <v>800</v>
      </c>
      <c r="H239" s="810">
        <v>17</v>
      </c>
      <c r="I239" s="811">
        <v>103619.42</v>
      </c>
      <c r="J239" s="529" t="s">
        <v>801</v>
      </c>
      <c r="K239" s="529" t="s">
        <v>802</v>
      </c>
      <c r="L239" s="529" t="s">
        <v>844</v>
      </c>
      <c r="M239" s="529" t="s">
        <v>1612</v>
      </c>
      <c r="N239" s="529" t="s">
        <v>804</v>
      </c>
      <c r="O239" s="529" t="s">
        <v>577</v>
      </c>
      <c r="P239" s="529" t="s">
        <v>1563</v>
      </c>
    </row>
    <row r="240" spans="1:16" x14ac:dyDescent="0.25">
      <c r="A240" s="529" t="s">
        <v>796</v>
      </c>
      <c r="B240" s="529" t="s">
        <v>797</v>
      </c>
      <c r="C240" s="808">
        <v>46214</v>
      </c>
      <c r="D240" s="809">
        <v>0.91023148148148003</v>
      </c>
      <c r="E240" s="529" t="s">
        <v>1601</v>
      </c>
      <c r="F240" s="529" t="s">
        <v>799</v>
      </c>
      <c r="G240" s="529" t="s">
        <v>800</v>
      </c>
      <c r="H240" s="810">
        <v>45</v>
      </c>
      <c r="I240" s="811">
        <v>274286.7</v>
      </c>
      <c r="J240" s="529" t="s">
        <v>801</v>
      </c>
      <c r="K240" s="529" t="s">
        <v>802</v>
      </c>
      <c r="L240" s="529" t="s">
        <v>1406</v>
      </c>
      <c r="M240" s="529" t="s">
        <v>1705</v>
      </c>
      <c r="N240" s="529" t="s">
        <v>804</v>
      </c>
      <c r="O240" s="529" t="s">
        <v>577</v>
      </c>
      <c r="P240" s="529" t="s">
        <v>1602</v>
      </c>
    </row>
    <row r="241" spans="1:16" x14ac:dyDescent="0.25">
      <c r="A241" s="529" t="s">
        <v>796</v>
      </c>
      <c r="B241" s="529" t="s">
        <v>797</v>
      </c>
      <c r="C241" s="808">
        <v>46214</v>
      </c>
      <c r="D241" s="809">
        <v>0.15144675925925999</v>
      </c>
      <c r="E241" s="529" t="s">
        <v>1603</v>
      </c>
      <c r="F241" s="529" t="s">
        <v>799</v>
      </c>
      <c r="G241" s="529" t="s">
        <v>800</v>
      </c>
      <c r="H241" s="810">
        <v>30</v>
      </c>
      <c r="I241" s="811">
        <v>182857.8</v>
      </c>
      <c r="J241" s="529" t="s">
        <v>801</v>
      </c>
      <c r="K241" s="529" t="s">
        <v>802</v>
      </c>
      <c r="L241" s="529" t="s">
        <v>1144</v>
      </c>
      <c r="M241" s="529" t="s">
        <v>1604</v>
      </c>
      <c r="N241" s="529" t="s">
        <v>804</v>
      </c>
      <c r="O241" s="529" t="s">
        <v>577</v>
      </c>
      <c r="P241" s="529" t="s">
        <v>1605</v>
      </c>
    </row>
    <row r="242" spans="1:16" x14ac:dyDescent="0.25">
      <c r="A242" s="529" t="s">
        <v>796</v>
      </c>
      <c r="B242" s="529" t="s">
        <v>797</v>
      </c>
      <c r="C242" s="808">
        <v>46214</v>
      </c>
      <c r="D242" s="809">
        <v>0.62168981481481</v>
      </c>
      <c r="E242" s="529" t="s">
        <v>1613</v>
      </c>
      <c r="F242" s="529" t="s">
        <v>799</v>
      </c>
      <c r="G242" s="529" t="s">
        <v>800</v>
      </c>
      <c r="H242" s="810">
        <v>25</v>
      </c>
      <c r="I242" s="811">
        <v>152381.5</v>
      </c>
      <c r="J242" s="529" t="s">
        <v>801</v>
      </c>
      <c r="K242" s="529" t="s">
        <v>802</v>
      </c>
      <c r="L242" s="529" t="s">
        <v>848</v>
      </c>
      <c r="M242" s="529" t="s">
        <v>1614</v>
      </c>
      <c r="N242" s="529" t="s">
        <v>804</v>
      </c>
      <c r="O242" s="529" t="s">
        <v>577</v>
      </c>
      <c r="P242" s="529" t="s">
        <v>1615</v>
      </c>
    </row>
    <row r="243" spans="1:16" x14ac:dyDescent="0.25">
      <c r="A243" s="529" t="s">
        <v>796</v>
      </c>
      <c r="B243" s="529" t="s">
        <v>797</v>
      </c>
      <c r="C243" s="808">
        <v>46214</v>
      </c>
      <c r="D243" s="809">
        <v>7.6689814814810006E-2</v>
      </c>
      <c r="E243" s="529" t="s">
        <v>1564</v>
      </c>
      <c r="F243" s="529" t="s">
        <v>851</v>
      </c>
      <c r="G243" s="529" t="s">
        <v>800</v>
      </c>
      <c r="H243" s="810">
        <v>9</v>
      </c>
      <c r="I243" s="811">
        <v>56253.78</v>
      </c>
      <c r="J243" s="529" t="s">
        <v>816</v>
      </c>
      <c r="K243" s="529" t="s">
        <v>802</v>
      </c>
      <c r="L243" s="529" t="s">
        <v>920</v>
      </c>
      <c r="M243" s="529" t="s">
        <v>1616</v>
      </c>
      <c r="N243" s="529" t="s">
        <v>804</v>
      </c>
      <c r="O243" s="529" t="s">
        <v>577</v>
      </c>
      <c r="P243" s="529" t="s">
        <v>1565</v>
      </c>
    </row>
    <row r="244" spans="1:16" x14ac:dyDescent="0.25">
      <c r="A244" s="529" t="s">
        <v>796</v>
      </c>
      <c r="B244" s="529" t="s">
        <v>797</v>
      </c>
      <c r="C244" s="808">
        <v>46214</v>
      </c>
      <c r="D244" s="809">
        <v>5.2893518518499997E-3</v>
      </c>
      <c r="E244" s="529" t="s">
        <v>1566</v>
      </c>
      <c r="F244" s="529" t="s">
        <v>851</v>
      </c>
      <c r="G244" s="529" t="s">
        <v>800</v>
      </c>
      <c r="H244" s="810">
        <v>10</v>
      </c>
      <c r="I244" s="811">
        <v>62504.2</v>
      </c>
      <c r="J244" s="529" t="s">
        <v>816</v>
      </c>
      <c r="K244" s="529" t="s">
        <v>802</v>
      </c>
      <c r="L244" s="529" t="s">
        <v>844</v>
      </c>
      <c r="M244" s="529" t="s">
        <v>1617</v>
      </c>
      <c r="N244" s="529" t="s">
        <v>804</v>
      </c>
      <c r="O244" s="529" t="s">
        <v>577</v>
      </c>
      <c r="P244" s="529" t="s">
        <v>1567</v>
      </c>
    </row>
    <row r="245" spans="1:16" x14ac:dyDescent="0.25">
      <c r="A245" s="529" t="s">
        <v>796</v>
      </c>
      <c r="B245" s="529" t="s">
        <v>797</v>
      </c>
      <c r="C245" s="808">
        <v>46214</v>
      </c>
      <c r="D245" s="809">
        <v>0.31767361111110998</v>
      </c>
      <c r="E245" s="529" t="s">
        <v>1618</v>
      </c>
      <c r="F245" s="529" t="s">
        <v>812</v>
      </c>
      <c r="G245" s="529" t="s">
        <v>800</v>
      </c>
      <c r="H245" s="810">
        <v>10</v>
      </c>
      <c r="I245" s="811">
        <v>63646.400000000001</v>
      </c>
      <c r="J245" s="529" t="s">
        <v>801</v>
      </c>
      <c r="K245" s="529" t="s">
        <v>802</v>
      </c>
      <c r="L245" s="529" t="s">
        <v>857</v>
      </c>
      <c r="M245" s="529" t="s">
        <v>1619</v>
      </c>
      <c r="N245" s="529" t="s">
        <v>804</v>
      </c>
      <c r="O245" s="529" t="s">
        <v>577</v>
      </c>
      <c r="P245" s="529" t="s">
        <v>1620</v>
      </c>
    </row>
    <row r="246" spans="1:16" x14ac:dyDescent="0.25">
      <c r="A246" s="529" t="s">
        <v>796</v>
      </c>
      <c r="B246" s="529" t="s">
        <v>797</v>
      </c>
      <c r="C246" s="808">
        <v>46214</v>
      </c>
      <c r="D246" s="809">
        <v>0.78768518518519004</v>
      </c>
      <c r="E246" s="529" t="s">
        <v>1626</v>
      </c>
      <c r="F246" s="529" t="s">
        <v>812</v>
      </c>
      <c r="G246" s="529" t="s">
        <v>800</v>
      </c>
      <c r="H246" s="810">
        <v>10</v>
      </c>
      <c r="I246" s="811">
        <v>63646.400000000001</v>
      </c>
      <c r="J246" s="529" t="s">
        <v>801</v>
      </c>
      <c r="K246" s="529" t="s">
        <v>802</v>
      </c>
      <c r="L246" s="529" t="s">
        <v>1144</v>
      </c>
      <c r="M246" s="529" t="s">
        <v>1627</v>
      </c>
      <c r="N246" s="529" t="s">
        <v>804</v>
      </c>
      <c r="O246" s="529" t="s">
        <v>577</v>
      </c>
      <c r="P246" s="529" t="s">
        <v>1628</v>
      </c>
    </row>
    <row r="247" spans="1:16" x14ac:dyDescent="0.25">
      <c r="A247" s="529" t="s">
        <v>796</v>
      </c>
      <c r="B247" s="529" t="s">
        <v>797</v>
      </c>
      <c r="C247" s="808">
        <v>46214</v>
      </c>
      <c r="D247" s="809">
        <v>0.64018518518518996</v>
      </c>
      <c r="E247" s="529" t="s">
        <v>1623</v>
      </c>
      <c r="F247" s="529" t="s">
        <v>812</v>
      </c>
      <c r="G247" s="529" t="s">
        <v>800</v>
      </c>
      <c r="H247" s="810">
        <v>10</v>
      </c>
      <c r="I247" s="811">
        <v>63646.400000000001</v>
      </c>
      <c r="J247" s="529" t="s">
        <v>801</v>
      </c>
      <c r="K247" s="529" t="s">
        <v>802</v>
      </c>
      <c r="L247" s="529" t="s">
        <v>1144</v>
      </c>
      <c r="M247" s="529" t="s">
        <v>1624</v>
      </c>
      <c r="N247" s="529" t="s">
        <v>804</v>
      </c>
      <c r="O247" s="529" t="s">
        <v>577</v>
      </c>
      <c r="P247" s="529" t="s">
        <v>1625</v>
      </c>
    </row>
    <row r="248" spans="1:16" x14ac:dyDescent="0.25">
      <c r="A248" s="529" t="s">
        <v>796</v>
      </c>
      <c r="B248" s="529" t="s">
        <v>797</v>
      </c>
      <c r="C248" s="808">
        <v>46214</v>
      </c>
      <c r="D248" s="809">
        <v>0.15202546296295999</v>
      </c>
      <c r="E248" s="529" t="s">
        <v>1629</v>
      </c>
      <c r="F248" s="529" t="s">
        <v>812</v>
      </c>
      <c r="G248" s="529" t="s">
        <v>800</v>
      </c>
      <c r="H248" s="810">
        <v>16</v>
      </c>
      <c r="I248" s="811">
        <v>101834.24000000001</v>
      </c>
      <c r="J248" s="529" t="s">
        <v>801</v>
      </c>
      <c r="K248" s="529" t="s">
        <v>802</v>
      </c>
      <c r="L248" s="529" t="s">
        <v>1144</v>
      </c>
      <c r="M248" s="529" t="s">
        <v>1630</v>
      </c>
      <c r="N248" s="529" t="s">
        <v>804</v>
      </c>
      <c r="O248" s="529" t="s">
        <v>577</v>
      </c>
      <c r="P248" s="529" t="s">
        <v>1631</v>
      </c>
    </row>
    <row r="249" spans="1:16" x14ac:dyDescent="0.25">
      <c r="A249" s="529" t="s">
        <v>796</v>
      </c>
      <c r="B249" s="529" t="s">
        <v>797</v>
      </c>
      <c r="C249" s="808">
        <v>46214</v>
      </c>
      <c r="D249" s="809">
        <v>7.6886574074069999E-2</v>
      </c>
      <c r="E249" s="529" t="s">
        <v>1568</v>
      </c>
      <c r="F249" s="529" t="s">
        <v>812</v>
      </c>
      <c r="G249" s="529" t="s">
        <v>800</v>
      </c>
      <c r="H249" s="810">
        <v>7</v>
      </c>
      <c r="I249" s="811">
        <v>44552.480000000003</v>
      </c>
      <c r="J249" s="529" t="s">
        <v>801</v>
      </c>
      <c r="K249" s="529" t="s">
        <v>802</v>
      </c>
      <c r="L249" s="529" t="s">
        <v>920</v>
      </c>
      <c r="M249" s="529" t="s">
        <v>1621</v>
      </c>
      <c r="N249" s="529" t="s">
        <v>804</v>
      </c>
      <c r="O249" s="529" t="s">
        <v>577</v>
      </c>
      <c r="P249" s="529" t="s">
        <v>1569</v>
      </c>
    </row>
    <row r="250" spans="1:16" x14ac:dyDescent="0.25">
      <c r="A250" s="529" t="s">
        <v>796</v>
      </c>
      <c r="B250" s="529" t="s">
        <v>797</v>
      </c>
      <c r="C250" s="808">
        <v>46214</v>
      </c>
      <c r="D250" s="809">
        <v>5.7870370370399996E-3</v>
      </c>
      <c r="E250" s="529" t="s">
        <v>1570</v>
      </c>
      <c r="F250" s="529" t="s">
        <v>812</v>
      </c>
      <c r="G250" s="529" t="s">
        <v>800</v>
      </c>
      <c r="H250" s="810">
        <v>9</v>
      </c>
      <c r="I250" s="811">
        <v>57281.760000000002</v>
      </c>
      <c r="J250" s="529" t="s">
        <v>801</v>
      </c>
      <c r="K250" s="529" t="s">
        <v>802</v>
      </c>
      <c r="L250" s="529" t="s">
        <v>844</v>
      </c>
      <c r="M250" s="529" t="s">
        <v>1622</v>
      </c>
      <c r="N250" s="529" t="s">
        <v>804</v>
      </c>
      <c r="O250" s="529" t="s">
        <v>577</v>
      </c>
      <c r="P250" s="529" t="s">
        <v>1571</v>
      </c>
    </row>
    <row r="251" spans="1:16" x14ac:dyDescent="0.25">
      <c r="A251" s="529" t="s">
        <v>796</v>
      </c>
      <c r="B251" s="529" t="s">
        <v>797</v>
      </c>
      <c r="C251" s="808">
        <v>46214</v>
      </c>
      <c r="D251" s="809">
        <v>6.5856481481499996E-3</v>
      </c>
      <c r="E251" s="529" t="s">
        <v>1572</v>
      </c>
      <c r="F251" s="529" t="s">
        <v>864</v>
      </c>
      <c r="G251" s="529" t="s">
        <v>800</v>
      </c>
      <c r="H251" s="810">
        <v>1</v>
      </c>
      <c r="I251" s="811">
        <v>6499.26</v>
      </c>
      <c r="J251" s="529" t="s">
        <v>816</v>
      </c>
      <c r="K251" s="529" t="s">
        <v>802</v>
      </c>
      <c r="L251" s="529" t="s">
        <v>844</v>
      </c>
      <c r="M251" s="529" t="s">
        <v>1632</v>
      </c>
      <c r="N251" s="529" t="s">
        <v>804</v>
      </c>
      <c r="O251" s="529" t="s">
        <v>577</v>
      </c>
      <c r="P251" s="529" t="s">
        <v>1573</v>
      </c>
    </row>
    <row r="252" spans="1:16" x14ac:dyDescent="0.25">
      <c r="A252" s="529" t="s">
        <v>796</v>
      </c>
      <c r="B252" s="529" t="s">
        <v>797</v>
      </c>
      <c r="C252" s="808">
        <v>46214</v>
      </c>
      <c r="D252" s="809">
        <v>0.15084490740740999</v>
      </c>
      <c r="E252" s="529" t="s">
        <v>1634</v>
      </c>
      <c r="F252" s="529" t="s">
        <v>864</v>
      </c>
      <c r="G252" s="529" t="s">
        <v>800</v>
      </c>
      <c r="H252" s="810">
        <v>9</v>
      </c>
      <c r="I252" s="811">
        <v>58493.34</v>
      </c>
      <c r="J252" s="529" t="s">
        <v>816</v>
      </c>
      <c r="K252" s="529" t="s">
        <v>802</v>
      </c>
      <c r="L252" s="529" t="s">
        <v>1144</v>
      </c>
      <c r="M252" s="529" t="s">
        <v>1635</v>
      </c>
      <c r="N252" s="529" t="s">
        <v>804</v>
      </c>
      <c r="O252" s="529" t="s">
        <v>577</v>
      </c>
      <c r="P252" s="529" t="s">
        <v>1636</v>
      </c>
    </row>
    <row r="253" spans="1:16" x14ac:dyDescent="0.25">
      <c r="A253" s="529" t="s">
        <v>796</v>
      </c>
      <c r="B253" s="529" t="s">
        <v>797</v>
      </c>
      <c r="C253" s="808">
        <v>46214</v>
      </c>
      <c r="D253" s="809">
        <v>7.7754629629630007E-2</v>
      </c>
      <c r="E253" s="529" t="s">
        <v>1574</v>
      </c>
      <c r="F253" s="529" t="s">
        <v>864</v>
      </c>
      <c r="G253" s="529" t="s">
        <v>800</v>
      </c>
      <c r="H253" s="810">
        <v>2</v>
      </c>
      <c r="I253" s="811">
        <v>12998.52</v>
      </c>
      <c r="J253" s="529" t="s">
        <v>816</v>
      </c>
      <c r="K253" s="529" t="s">
        <v>802</v>
      </c>
      <c r="L253" s="529" t="s">
        <v>920</v>
      </c>
      <c r="M253" s="529" t="s">
        <v>1633</v>
      </c>
      <c r="N253" s="529" t="s">
        <v>804</v>
      </c>
      <c r="O253" s="529" t="s">
        <v>577</v>
      </c>
      <c r="P253" s="529" t="s">
        <v>1575</v>
      </c>
    </row>
    <row r="254" spans="1:16" x14ac:dyDescent="0.25">
      <c r="A254" s="529" t="s">
        <v>796</v>
      </c>
      <c r="B254" s="529" t="s">
        <v>797</v>
      </c>
      <c r="C254" s="808">
        <v>46214</v>
      </c>
      <c r="D254" s="809">
        <v>7.7372685185189999E-2</v>
      </c>
      <c r="E254" s="529" t="s">
        <v>1576</v>
      </c>
      <c r="F254" s="529" t="s">
        <v>957</v>
      </c>
      <c r="G254" s="529" t="s">
        <v>800</v>
      </c>
      <c r="H254" s="810">
        <v>30</v>
      </c>
      <c r="I254" s="811">
        <v>185807.7</v>
      </c>
      <c r="J254" s="529" t="s">
        <v>816</v>
      </c>
      <c r="K254" s="529" t="s">
        <v>802</v>
      </c>
      <c r="L254" s="529" t="s">
        <v>920</v>
      </c>
      <c r="M254" s="529" t="s">
        <v>1639</v>
      </c>
      <c r="N254" s="529" t="s">
        <v>804</v>
      </c>
      <c r="O254" s="529" t="s">
        <v>577</v>
      </c>
      <c r="P254" s="529" t="s">
        <v>1577</v>
      </c>
    </row>
    <row r="255" spans="1:16" x14ac:dyDescent="0.25">
      <c r="A255" s="529" t="s">
        <v>796</v>
      </c>
      <c r="B255" s="529" t="s">
        <v>797</v>
      </c>
      <c r="C255" s="808">
        <v>46214</v>
      </c>
      <c r="D255" s="809">
        <v>0.91012731481481002</v>
      </c>
      <c r="E255" s="529" t="s">
        <v>1637</v>
      </c>
      <c r="F255" s="529" t="s">
        <v>957</v>
      </c>
      <c r="G255" s="529" t="s">
        <v>800</v>
      </c>
      <c r="H255" s="810">
        <v>25</v>
      </c>
      <c r="I255" s="811">
        <v>154839.75</v>
      </c>
      <c r="J255" s="529" t="s">
        <v>816</v>
      </c>
      <c r="K255" s="529" t="s">
        <v>802</v>
      </c>
      <c r="L255" s="529" t="s">
        <v>1406</v>
      </c>
      <c r="M255" s="529" t="s">
        <v>1706</v>
      </c>
      <c r="N255" s="529" t="s">
        <v>804</v>
      </c>
      <c r="O255" s="529" t="s">
        <v>577</v>
      </c>
      <c r="P255" s="529" t="s">
        <v>1638</v>
      </c>
    </row>
    <row r="256" spans="1:16" x14ac:dyDescent="0.25">
      <c r="A256" s="529" t="s">
        <v>796</v>
      </c>
      <c r="B256" s="529" t="s">
        <v>797</v>
      </c>
      <c r="C256" s="808">
        <v>46214</v>
      </c>
      <c r="D256" s="809">
        <v>0.64083333333333004</v>
      </c>
      <c r="E256" s="529" t="s">
        <v>1646</v>
      </c>
      <c r="F256" s="529" t="s">
        <v>815</v>
      </c>
      <c r="G256" s="529" t="s">
        <v>800</v>
      </c>
      <c r="H256" s="810">
        <v>20</v>
      </c>
      <c r="I256" s="811">
        <v>124847</v>
      </c>
      <c r="J256" s="529" t="s">
        <v>816</v>
      </c>
      <c r="K256" s="529" t="s">
        <v>802</v>
      </c>
      <c r="L256" s="529" t="s">
        <v>1144</v>
      </c>
      <c r="M256" s="529" t="s">
        <v>1647</v>
      </c>
      <c r="N256" s="529" t="s">
        <v>804</v>
      </c>
      <c r="O256" s="529" t="s">
        <v>577</v>
      </c>
      <c r="P256" s="529" t="s">
        <v>1648</v>
      </c>
    </row>
    <row r="257" spans="1:16" x14ac:dyDescent="0.25">
      <c r="A257" s="529" t="s">
        <v>796</v>
      </c>
      <c r="B257" s="529" t="s">
        <v>797</v>
      </c>
      <c r="C257" s="808">
        <v>46214</v>
      </c>
      <c r="D257" s="809">
        <v>0.78806712962962999</v>
      </c>
      <c r="E257" s="529" t="s">
        <v>1649</v>
      </c>
      <c r="F257" s="529" t="s">
        <v>815</v>
      </c>
      <c r="G257" s="529" t="s">
        <v>800</v>
      </c>
      <c r="H257" s="810">
        <v>20</v>
      </c>
      <c r="I257" s="811">
        <v>124847</v>
      </c>
      <c r="J257" s="529" t="s">
        <v>816</v>
      </c>
      <c r="K257" s="529" t="s">
        <v>802</v>
      </c>
      <c r="L257" s="529" t="s">
        <v>1144</v>
      </c>
      <c r="M257" s="529" t="s">
        <v>1650</v>
      </c>
      <c r="N257" s="529" t="s">
        <v>804</v>
      </c>
      <c r="O257" s="529" t="s">
        <v>577</v>
      </c>
      <c r="P257" s="529" t="s">
        <v>1651</v>
      </c>
    </row>
    <row r="258" spans="1:16" x14ac:dyDescent="0.25">
      <c r="A258" s="529" t="s">
        <v>796</v>
      </c>
      <c r="B258" s="529" t="s">
        <v>797</v>
      </c>
      <c r="C258" s="808">
        <v>46214</v>
      </c>
      <c r="D258" s="809">
        <v>0.91035879629630001</v>
      </c>
      <c r="E258" s="529" t="s">
        <v>1640</v>
      </c>
      <c r="F258" s="529" t="s">
        <v>815</v>
      </c>
      <c r="G258" s="529" t="s">
        <v>800</v>
      </c>
      <c r="H258" s="810">
        <v>20</v>
      </c>
      <c r="I258" s="811">
        <v>124847</v>
      </c>
      <c r="J258" s="529" t="s">
        <v>816</v>
      </c>
      <c r="K258" s="529" t="s">
        <v>802</v>
      </c>
      <c r="L258" s="529" t="s">
        <v>1406</v>
      </c>
      <c r="M258" s="529" t="s">
        <v>1707</v>
      </c>
      <c r="N258" s="529" t="s">
        <v>804</v>
      </c>
      <c r="O258" s="529" t="s">
        <v>577</v>
      </c>
      <c r="P258" s="529" t="s">
        <v>1641</v>
      </c>
    </row>
    <row r="259" spans="1:16" x14ac:dyDescent="0.25">
      <c r="A259" s="529" t="s">
        <v>796</v>
      </c>
      <c r="B259" s="529" t="s">
        <v>797</v>
      </c>
      <c r="C259" s="808">
        <v>46214</v>
      </c>
      <c r="D259" s="809">
        <v>0.15104166666666999</v>
      </c>
      <c r="E259" s="529" t="s">
        <v>1652</v>
      </c>
      <c r="F259" s="529" t="s">
        <v>815</v>
      </c>
      <c r="G259" s="529" t="s">
        <v>800</v>
      </c>
      <c r="H259" s="810">
        <v>10</v>
      </c>
      <c r="I259" s="811">
        <v>62423.5</v>
      </c>
      <c r="J259" s="529" t="s">
        <v>816</v>
      </c>
      <c r="K259" s="529" t="s">
        <v>802</v>
      </c>
      <c r="L259" s="529" t="s">
        <v>1144</v>
      </c>
      <c r="M259" s="529" t="s">
        <v>1653</v>
      </c>
      <c r="N259" s="529" t="s">
        <v>804</v>
      </c>
      <c r="O259" s="529" t="s">
        <v>577</v>
      </c>
      <c r="P259" s="529" t="s">
        <v>1654</v>
      </c>
    </row>
    <row r="260" spans="1:16" x14ac:dyDescent="0.25">
      <c r="A260" s="529" t="s">
        <v>796</v>
      </c>
      <c r="B260" s="529" t="s">
        <v>797</v>
      </c>
      <c r="C260" s="808">
        <v>46214</v>
      </c>
      <c r="D260" s="809">
        <v>7.7523148148150006E-2</v>
      </c>
      <c r="E260" s="529" t="s">
        <v>1578</v>
      </c>
      <c r="F260" s="529" t="s">
        <v>815</v>
      </c>
      <c r="G260" s="529" t="s">
        <v>800</v>
      </c>
      <c r="H260" s="810">
        <v>25</v>
      </c>
      <c r="I260" s="811">
        <v>156058.75</v>
      </c>
      <c r="J260" s="529" t="s">
        <v>816</v>
      </c>
      <c r="K260" s="529" t="s">
        <v>802</v>
      </c>
      <c r="L260" s="529" t="s">
        <v>920</v>
      </c>
      <c r="M260" s="529" t="s">
        <v>1645</v>
      </c>
      <c r="N260" s="529" t="s">
        <v>804</v>
      </c>
      <c r="O260" s="529" t="s">
        <v>577</v>
      </c>
      <c r="P260" s="529" t="s">
        <v>1579</v>
      </c>
    </row>
    <row r="261" spans="1:16" x14ac:dyDescent="0.25">
      <c r="A261" s="529" t="s">
        <v>796</v>
      </c>
      <c r="B261" s="529" t="s">
        <v>797</v>
      </c>
      <c r="C261" s="808">
        <v>46214</v>
      </c>
      <c r="D261" s="809">
        <v>0.31706018518519002</v>
      </c>
      <c r="E261" s="529" t="s">
        <v>1642</v>
      </c>
      <c r="F261" s="529" t="s">
        <v>815</v>
      </c>
      <c r="G261" s="529" t="s">
        <v>800</v>
      </c>
      <c r="H261" s="810">
        <v>25</v>
      </c>
      <c r="I261" s="811">
        <v>156058.75</v>
      </c>
      <c r="J261" s="529" t="s">
        <v>816</v>
      </c>
      <c r="K261" s="529" t="s">
        <v>802</v>
      </c>
      <c r="L261" s="529" t="s">
        <v>857</v>
      </c>
      <c r="M261" s="529" t="s">
        <v>1643</v>
      </c>
      <c r="N261" s="529" t="s">
        <v>804</v>
      </c>
      <c r="O261" s="529" t="s">
        <v>577</v>
      </c>
      <c r="P261" s="529" t="s">
        <v>1644</v>
      </c>
    </row>
    <row r="262" spans="1:16" x14ac:dyDescent="0.25">
      <c r="A262" s="529" t="s">
        <v>796</v>
      </c>
      <c r="B262" s="529" t="s">
        <v>797</v>
      </c>
      <c r="C262" s="808">
        <v>46214</v>
      </c>
      <c r="D262" s="809">
        <v>0.15222222222222001</v>
      </c>
      <c r="E262" s="529" t="s">
        <v>1664</v>
      </c>
      <c r="F262" s="529" t="s">
        <v>821</v>
      </c>
      <c r="G262" s="529" t="s">
        <v>800</v>
      </c>
      <c r="H262" s="810">
        <v>17</v>
      </c>
      <c r="I262" s="811">
        <v>110099.31</v>
      </c>
      <c r="J262" s="529" t="s">
        <v>801</v>
      </c>
      <c r="K262" s="529" t="s">
        <v>802</v>
      </c>
      <c r="L262" s="529" t="s">
        <v>1144</v>
      </c>
      <c r="M262" s="529" t="s">
        <v>1665</v>
      </c>
      <c r="N262" s="529" t="s">
        <v>804</v>
      </c>
      <c r="O262" s="529" t="s">
        <v>577</v>
      </c>
      <c r="P262" s="529" t="s">
        <v>1666</v>
      </c>
    </row>
    <row r="263" spans="1:16" x14ac:dyDescent="0.25">
      <c r="A263" s="529" t="s">
        <v>796</v>
      </c>
      <c r="B263" s="529" t="s">
        <v>797</v>
      </c>
      <c r="C263" s="808">
        <v>46214</v>
      </c>
      <c r="D263" s="809">
        <v>0.78745370370370005</v>
      </c>
      <c r="E263" s="529" t="s">
        <v>1655</v>
      </c>
      <c r="F263" s="529" t="s">
        <v>821</v>
      </c>
      <c r="G263" s="529" t="s">
        <v>800</v>
      </c>
      <c r="H263" s="810">
        <v>30</v>
      </c>
      <c r="I263" s="811">
        <v>194292.9</v>
      </c>
      <c r="J263" s="529" t="s">
        <v>801</v>
      </c>
      <c r="K263" s="529" t="s">
        <v>802</v>
      </c>
      <c r="L263" s="529" t="s">
        <v>1144</v>
      </c>
      <c r="M263" s="529" t="s">
        <v>1656</v>
      </c>
      <c r="N263" s="529" t="s">
        <v>804</v>
      </c>
      <c r="O263" s="529" t="s">
        <v>577</v>
      </c>
      <c r="P263" s="529" t="s">
        <v>1657</v>
      </c>
    </row>
    <row r="264" spans="1:16" x14ac:dyDescent="0.25">
      <c r="A264" s="529" t="s">
        <v>796</v>
      </c>
      <c r="B264" s="529" t="s">
        <v>797</v>
      </c>
      <c r="C264" s="808">
        <v>46214</v>
      </c>
      <c r="D264" s="809">
        <v>0.50968749999999996</v>
      </c>
      <c r="E264" s="529" t="s">
        <v>1658</v>
      </c>
      <c r="F264" s="529" t="s">
        <v>821</v>
      </c>
      <c r="G264" s="529" t="s">
        <v>800</v>
      </c>
      <c r="H264" s="810">
        <v>10</v>
      </c>
      <c r="I264" s="811">
        <v>64764.3</v>
      </c>
      <c r="J264" s="529" t="s">
        <v>801</v>
      </c>
      <c r="K264" s="529" t="s">
        <v>802</v>
      </c>
      <c r="L264" s="529" t="s">
        <v>857</v>
      </c>
      <c r="M264" s="529" t="s">
        <v>1659</v>
      </c>
      <c r="N264" s="529" t="s">
        <v>804</v>
      </c>
      <c r="O264" s="529" t="s">
        <v>577</v>
      </c>
      <c r="P264" s="529" t="s">
        <v>1660</v>
      </c>
    </row>
    <row r="265" spans="1:16" x14ac:dyDescent="0.25">
      <c r="A265" s="529" t="s">
        <v>796</v>
      </c>
      <c r="B265" s="529" t="s">
        <v>797</v>
      </c>
      <c r="C265" s="808">
        <v>46214</v>
      </c>
      <c r="D265" s="809">
        <v>0.31782407407406998</v>
      </c>
      <c r="E265" s="529" t="s">
        <v>1661</v>
      </c>
      <c r="F265" s="529" t="s">
        <v>821</v>
      </c>
      <c r="G265" s="529" t="s">
        <v>800</v>
      </c>
      <c r="H265" s="810">
        <v>9</v>
      </c>
      <c r="I265" s="811">
        <v>58287.87</v>
      </c>
      <c r="J265" s="529" t="s">
        <v>801</v>
      </c>
      <c r="K265" s="529" t="s">
        <v>802</v>
      </c>
      <c r="L265" s="529" t="s">
        <v>857</v>
      </c>
      <c r="M265" s="529" t="s">
        <v>1662</v>
      </c>
      <c r="N265" s="529" t="s">
        <v>804</v>
      </c>
      <c r="O265" s="529" t="s">
        <v>577</v>
      </c>
      <c r="P265" s="529" t="s">
        <v>1663</v>
      </c>
    </row>
    <row r="266" spans="1:16" x14ac:dyDescent="0.25">
      <c r="A266" s="529" t="s">
        <v>796</v>
      </c>
      <c r="B266" s="529" t="s">
        <v>797</v>
      </c>
      <c r="C266" s="808">
        <v>46214</v>
      </c>
      <c r="D266" s="809">
        <v>0.31756944444444002</v>
      </c>
      <c r="E266" s="529" t="s">
        <v>1667</v>
      </c>
      <c r="F266" s="529" t="s">
        <v>877</v>
      </c>
      <c r="G266" s="529" t="s">
        <v>800</v>
      </c>
      <c r="H266" s="810">
        <v>9</v>
      </c>
      <c r="I266" s="811">
        <v>57933.36</v>
      </c>
      <c r="J266" s="529" t="s">
        <v>816</v>
      </c>
      <c r="K266" s="529" t="s">
        <v>802</v>
      </c>
      <c r="L266" s="529" t="s">
        <v>857</v>
      </c>
      <c r="M266" s="529" t="s">
        <v>1668</v>
      </c>
      <c r="N266" s="529" t="s">
        <v>804</v>
      </c>
      <c r="O266" s="529" t="s">
        <v>577</v>
      </c>
      <c r="P266" s="529" t="s">
        <v>1669</v>
      </c>
    </row>
    <row r="267" spans="1:16" x14ac:dyDescent="0.25">
      <c r="A267" s="529" t="s">
        <v>796</v>
      </c>
      <c r="B267" s="529" t="s">
        <v>797</v>
      </c>
      <c r="C267" s="808">
        <v>46214</v>
      </c>
      <c r="D267" s="809">
        <v>0.50918981481480996</v>
      </c>
      <c r="E267" s="529" t="s">
        <v>1677</v>
      </c>
      <c r="F267" s="529" t="s">
        <v>877</v>
      </c>
      <c r="G267" s="529" t="s">
        <v>800</v>
      </c>
      <c r="H267" s="810">
        <v>15</v>
      </c>
      <c r="I267" s="811">
        <v>96555.6</v>
      </c>
      <c r="J267" s="529" t="s">
        <v>816</v>
      </c>
      <c r="K267" s="529" t="s">
        <v>802</v>
      </c>
      <c r="L267" s="529" t="s">
        <v>857</v>
      </c>
      <c r="M267" s="529" t="s">
        <v>1678</v>
      </c>
      <c r="N267" s="529" t="s">
        <v>804</v>
      </c>
      <c r="O267" s="529" t="s">
        <v>577</v>
      </c>
      <c r="P267" s="529" t="s">
        <v>1679</v>
      </c>
    </row>
    <row r="268" spans="1:16" x14ac:dyDescent="0.25">
      <c r="A268" s="529" t="s">
        <v>796</v>
      </c>
      <c r="B268" s="529" t="s">
        <v>797</v>
      </c>
      <c r="C268" s="808">
        <v>46214</v>
      </c>
      <c r="D268" s="809">
        <v>0.15164351851852001</v>
      </c>
      <c r="E268" s="529" t="s">
        <v>1670</v>
      </c>
      <c r="F268" s="529" t="s">
        <v>877</v>
      </c>
      <c r="G268" s="529" t="s">
        <v>800</v>
      </c>
      <c r="H268" s="810">
        <v>1</v>
      </c>
      <c r="I268" s="811">
        <v>6437.04</v>
      </c>
      <c r="J268" s="529" t="s">
        <v>816</v>
      </c>
      <c r="K268" s="529" t="s">
        <v>802</v>
      </c>
      <c r="L268" s="529" t="s">
        <v>1144</v>
      </c>
      <c r="M268" s="529" t="s">
        <v>1671</v>
      </c>
      <c r="N268" s="529" t="s">
        <v>804</v>
      </c>
      <c r="O268" s="529" t="s">
        <v>577</v>
      </c>
      <c r="P268" s="529" t="s">
        <v>1672</v>
      </c>
    </row>
    <row r="269" spans="1:16" x14ac:dyDescent="0.25">
      <c r="A269" s="529" t="s">
        <v>796</v>
      </c>
      <c r="B269" s="529" t="s">
        <v>797</v>
      </c>
      <c r="C269" s="808">
        <v>46214</v>
      </c>
      <c r="D269" s="809">
        <v>6.0069444444399997E-3</v>
      </c>
      <c r="E269" s="529" t="s">
        <v>1582</v>
      </c>
      <c r="F269" s="529" t="s">
        <v>877</v>
      </c>
      <c r="G269" s="529" t="s">
        <v>800</v>
      </c>
      <c r="H269" s="810">
        <v>2</v>
      </c>
      <c r="I269" s="811">
        <v>12874.08</v>
      </c>
      <c r="J269" s="529" t="s">
        <v>816</v>
      </c>
      <c r="K269" s="529" t="s">
        <v>802</v>
      </c>
      <c r="L269" s="529" t="s">
        <v>844</v>
      </c>
      <c r="M269" s="529" t="s">
        <v>1673</v>
      </c>
      <c r="N269" s="529" t="s">
        <v>804</v>
      </c>
      <c r="O269" s="529" t="s">
        <v>577</v>
      </c>
      <c r="P269" s="529" t="s">
        <v>1583</v>
      </c>
    </row>
    <row r="270" spans="1:16" x14ac:dyDescent="0.25">
      <c r="A270" s="529" t="s">
        <v>796</v>
      </c>
      <c r="B270" s="529" t="s">
        <v>797</v>
      </c>
      <c r="C270" s="808">
        <v>46214</v>
      </c>
      <c r="D270" s="809">
        <v>7.7210648148149999E-2</v>
      </c>
      <c r="E270" s="529" t="s">
        <v>1580</v>
      </c>
      <c r="F270" s="529" t="s">
        <v>877</v>
      </c>
      <c r="G270" s="529" t="s">
        <v>800</v>
      </c>
      <c r="H270" s="810">
        <v>3</v>
      </c>
      <c r="I270" s="811">
        <v>19311.12</v>
      </c>
      <c r="J270" s="529" t="s">
        <v>816</v>
      </c>
      <c r="K270" s="529" t="s">
        <v>802</v>
      </c>
      <c r="L270" s="529" t="s">
        <v>920</v>
      </c>
      <c r="M270" s="529" t="s">
        <v>1674</v>
      </c>
      <c r="N270" s="529" t="s">
        <v>804</v>
      </c>
      <c r="O270" s="529" t="s">
        <v>577</v>
      </c>
      <c r="P270" s="529" t="s">
        <v>1581</v>
      </c>
    </row>
    <row r="271" spans="1:16" x14ac:dyDescent="0.25">
      <c r="A271" s="529" t="s">
        <v>796</v>
      </c>
      <c r="B271" s="529" t="s">
        <v>797</v>
      </c>
      <c r="C271" s="808">
        <v>46214</v>
      </c>
      <c r="D271" s="809">
        <v>0.91001157407406996</v>
      </c>
      <c r="E271" s="529" t="s">
        <v>1675</v>
      </c>
      <c r="F271" s="529" t="s">
        <v>877</v>
      </c>
      <c r="G271" s="529" t="s">
        <v>800</v>
      </c>
      <c r="H271" s="810">
        <v>16</v>
      </c>
      <c r="I271" s="811">
        <v>102992.64</v>
      </c>
      <c r="J271" s="529" t="s">
        <v>816</v>
      </c>
      <c r="K271" s="529" t="s">
        <v>802</v>
      </c>
      <c r="L271" s="529" t="s">
        <v>1406</v>
      </c>
      <c r="M271" s="529" t="s">
        <v>1708</v>
      </c>
      <c r="N271" s="529" t="s">
        <v>804</v>
      </c>
      <c r="O271" s="529" t="s">
        <v>577</v>
      </c>
      <c r="P271" s="529" t="s">
        <v>1676</v>
      </c>
    </row>
    <row r="272" spans="1:16" x14ac:dyDescent="0.25">
      <c r="A272" s="529" t="s">
        <v>796</v>
      </c>
      <c r="B272" s="529" t="s">
        <v>797</v>
      </c>
      <c r="C272" s="808">
        <v>46214</v>
      </c>
      <c r="D272" s="809">
        <v>0.31719907407407</v>
      </c>
      <c r="E272" s="529" t="s">
        <v>1683</v>
      </c>
      <c r="F272" s="529" t="s">
        <v>832</v>
      </c>
      <c r="G272" s="529" t="s">
        <v>800</v>
      </c>
      <c r="H272" s="810">
        <v>10</v>
      </c>
      <c r="I272" s="811">
        <v>66187</v>
      </c>
      <c r="J272" s="529" t="s">
        <v>816</v>
      </c>
      <c r="K272" s="529" t="s">
        <v>802</v>
      </c>
      <c r="L272" s="529" t="s">
        <v>857</v>
      </c>
      <c r="M272" s="529" t="s">
        <v>1684</v>
      </c>
      <c r="N272" s="529" t="s">
        <v>804</v>
      </c>
      <c r="O272" s="529" t="s">
        <v>577</v>
      </c>
      <c r="P272" s="529" t="s">
        <v>1685</v>
      </c>
    </row>
    <row r="273" spans="1:16" x14ac:dyDescent="0.25">
      <c r="A273" s="529" t="s">
        <v>796</v>
      </c>
      <c r="B273" s="529" t="s">
        <v>797</v>
      </c>
      <c r="C273" s="808">
        <v>46214</v>
      </c>
      <c r="D273" s="809">
        <v>0.15125</v>
      </c>
      <c r="E273" s="529" t="s">
        <v>1680</v>
      </c>
      <c r="F273" s="529" t="s">
        <v>832</v>
      </c>
      <c r="G273" s="529" t="s">
        <v>800</v>
      </c>
      <c r="H273" s="810">
        <v>20</v>
      </c>
      <c r="I273" s="811">
        <v>132374</v>
      </c>
      <c r="J273" s="529" t="s">
        <v>816</v>
      </c>
      <c r="K273" s="529" t="s">
        <v>802</v>
      </c>
      <c r="L273" s="529" t="s">
        <v>1144</v>
      </c>
      <c r="M273" s="529" t="s">
        <v>1681</v>
      </c>
      <c r="N273" s="529" t="s">
        <v>804</v>
      </c>
      <c r="O273" s="529" t="s">
        <v>577</v>
      </c>
      <c r="P273" s="529" t="s">
        <v>1682</v>
      </c>
    </row>
    <row r="274" spans="1:16" x14ac:dyDescent="0.25">
      <c r="A274" s="529" t="s">
        <v>796</v>
      </c>
      <c r="B274" s="529" t="s">
        <v>797</v>
      </c>
      <c r="C274" s="808">
        <v>46214</v>
      </c>
      <c r="D274" s="809">
        <v>0.90988425925925998</v>
      </c>
      <c r="E274" s="529" t="s">
        <v>1686</v>
      </c>
      <c r="F274" s="529" t="s">
        <v>838</v>
      </c>
      <c r="G274" s="529" t="s">
        <v>800</v>
      </c>
      <c r="H274" s="810">
        <v>9</v>
      </c>
      <c r="I274" s="811">
        <v>58644.54</v>
      </c>
      <c r="J274" s="529" t="s">
        <v>801</v>
      </c>
      <c r="K274" s="529" t="s">
        <v>802</v>
      </c>
      <c r="L274" s="529" t="s">
        <v>1406</v>
      </c>
      <c r="M274" s="529" t="s">
        <v>1709</v>
      </c>
      <c r="N274" s="529" t="s">
        <v>804</v>
      </c>
      <c r="O274" s="529" t="s">
        <v>577</v>
      </c>
      <c r="P274" s="529" t="s">
        <v>1687</v>
      </c>
    </row>
    <row r="275" spans="1:16" x14ac:dyDescent="0.25">
      <c r="A275" s="529" t="s">
        <v>796</v>
      </c>
      <c r="B275" s="529" t="s">
        <v>797</v>
      </c>
      <c r="C275" s="808">
        <v>46214</v>
      </c>
      <c r="D275" s="809">
        <v>0.31915509259259001</v>
      </c>
      <c r="E275" s="529" t="s">
        <v>1691</v>
      </c>
      <c r="F275" s="529" t="s">
        <v>838</v>
      </c>
      <c r="G275" s="529" t="s">
        <v>800</v>
      </c>
      <c r="H275" s="810">
        <v>14</v>
      </c>
      <c r="I275" s="811">
        <v>91224.84</v>
      </c>
      <c r="J275" s="529" t="s">
        <v>801</v>
      </c>
      <c r="K275" s="529" t="s">
        <v>802</v>
      </c>
      <c r="L275" s="529" t="s">
        <v>1144</v>
      </c>
      <c r="M275" s="529" t="s">
        <v>1692</v>
      </c>
      <c r="N275" s="529" t="s">
        <v>804</v>
      </c>
      <c r="O275" s="529" t="s">
        <v>577</v>
      </c>
      <c r="P275" s="529" t="s">
        <v>1693</v>
      </c>
    </row>
    <row r="276" spans="1:16" x14ac:dyDescent="0.25">
      <c r="A276" s="529" t="s">
        <v>796</v>
      </c>
      <c r="B276" s="529" t="s">
        <v>797</v>
      </c>
      <c r="C276" s="808">
        <v>46214</v>
      </c>
      <c r="D276" s="809">
        <v>0.1518287037037</v>
      </c>
      <c r="E276" s="529" t="s">
        <v>1688</v>
      </c>
      <c r="F276" s="529" t="s">
        <v>838</v>
      </c>
      <c r="G276" s="529" t="s">
        <v>800</v>
      </c>
      <c r="H276" s="810">
        <v>8</v>
      </c>
      <c r="I276" s="811">
        <v>52128.480000000003</v>
      </c>
      <c r="J276" s="529" t="s">
        <v>801</v>
      </c>
      <c r="K276" s="529" t="s">
        <v>802</v>
      </c>
      <c r="L276" s="529" t="s">
        <v>1144</v>
      </c>
      <c r="M276" s="529" t="s">
        <v>1689</v>
      </c>
      <c r="N276" s="529" t="s">
        <v>804</v>
      </c>
      <c r="O276" s="529" t="s">
        <v>577</v>
      </c>
      <c r="P276" s="529" t="s">
        <v>1690</v>
      </c>
    </row>
    <row r="277" spans="1:16" x14ac:dyDescent="0.25">
      <c r="A277" s="529" t="s">
        <v>796</v>
      </c>
      <c r="B277" s="529" t="s">
        <v>797</v>
      </c>
      <c r="C277" s="808">
        <v>46214</v>
      </c>
      <c r="D277" s="809">
        <v>0.31744212962962998</v>
      </c>
      <c r="E277" s="529" t="s">
        <v>1694</v>
      </c>
      <c r="F277" s="529" t="s">
        <v>841</v>
      </c>
      <c r="G277" s="529" t="s">
        <v>800</v>
      </c>
      <c r="H277" s="810">
        <v>19</v>
      </c>
      <c r="I277" s="811">
        <v>131818.76999999999</v>
      </c>
      <c r="J277" s="529" t="s">
        <v>801</v>
      </c>
      <c r="K277" s="529" t="s">
        <v>802</v>
      </c>
      <c r="L277" s="529" t="s">
        <v>857</v>
      </c>
      <c r="M277" s="529" t="s">
        <v>1695</v>
      </c>
      <c r="N277" s="529" t="s">
        <v>804</v>
      </c>
      <c r="O277" s="529" t="s">
        <v>577</v>
      </c>
      <c r="P277" s="529" t="s">
        <v>1696</v>
      </c>
    </row>
    <row r="278" spans="1:16" x14ac:dyDescent="0.25">
      <c r="A278" s="529" t="s">
        <v>796</v>
      </c>
      <c r="B278" s="529" t="s">
        <v>797</v>
      </c>
      <c r="C278" s="808">
        <v>46215</v>
      </c>
      <c r="D278" s="809">
        <v>0.58266203703704</v>
      </c>
      <c r="E278" s="529" t="s">
        <v>1775</v>
      </c>
      <c r="F278" s="529" t="s">
        <v>919</v>
      </c>
      <c r="G278" s="529" t="s">
        <v>800</v>
      </c>
      <c r="H278" s="810">
        <v>25</v>
      </c>
      <c r="I278" s="811">
        <v>150901.5</v>
      </c>
      <c r="J278" s="529" t="s">
        <v>816</v>
      </c>
      <c r="K278" s="529" t="s">
        <v>802</v>
      </c>
      <c r="L278" s="529" t="s">
        <v>1144</v>
      </c>
      <c r="M278" s="529" t="s">
        <v>1790</v>
      </c>
      <c r="N278" s="529" t="s">
        <v>804</v>
      </c>
      <c r="O278" s="529" t="s">
        <v>577</v>
      </c>
      <c r="P278" s="529" t="s">
        <v>1776</v>
      </c>
    </row>
    <row r="279" spans="1:16" x14ac:dyDescent="0.25">
      <c r="A279" s="529" t="s">
        <v>796</v>
      </c>
      <c r="B279" s="529" t="s">
        <v>797</v>
      </c>
      <c r="C279" s="808">
        <v>46215</v>
      </c>
      <c r="D279" s="809">
        <v>0.33236111111111</v>
      </c>
      <c r="E279" s="529" t="s">
        <v>1747</v>
      </c>
      <c r="F279" s="529" t="s">
        <v>919</v>
      </c>
      <c r="G279" s="529" t="s">
        <v>800</v>
      </c>
      <c r="H279" s="810">
        <v>10</v>
      </c>
      <c r="I279" s="811">
        <v>60360.6</v>
      </c>
      <c r="J279" s="529" t="s">
        <v>816</v>
      </c>
      <c r="K279" s="529" t="s">
        <v>802</v>
      </c>
      <c r="L279" s="529" t="s">
        <v>1144</v>
      </c>
      <c r="M279" s="529" t="s">
        <v>1777</v>
      </c>
      <c r="N279" s="529" t="s">
        <v>804</v>
      </c>
      <c r="O279" s="529" t="s">
        <v>577</v>
      </c>
      <c r="P279" s="529" t="s">
        <v>1748</v>
      </c>
    </row>
    <row r="280" spans="1:16" x14ac:dyDescent="0.25">
      <c r="A280" s="529" t="s">
        <v>796</v>
      </c>
      <c r="B280" s="529" t="s">
        <v>797</v>
      </c>
      <c r="C280" s="808">
        <v>46215</v>
      </c>
      <c r="D280" s="809">
        <v>0.72194444444443995</v>
      </c>
      <c r="E280" s="529" t="s">
        <v>1792</v>
      </c>
      <c r="F280" s="529" t="s">
        <v>799</v>
      </c>
      <c r="G280" s="529" t="s">
        <v>800</v>
      </c>
      <c r="H280" s="810">
        <v>20</v>
      </c>
      <c r="I280" s="811">
        <v>121905.2</v>
      </c>
      <c r="J280" s="529" t="s">
        <v>801</v>
      </c>
      <c r="K280" s="529" t="s">
        <v>802</v>
      </c>
      <c r="L280" s="529" t="s">
        <v>848</v>
      </c>
      <c r="M280" s="529" t="s">
        <v>1793</v>
      </c>
      <c r="N280" s="529" t="s">
        <v>804</v>
      </c>
      <c r="O280" s="529" t="s">
        <v>577</v>
      </c>
      <c r="P280" s="529" t="s">
        <v>1794</v>
      </c>
    </row>
    <row r="281" spans="1:16" x14ac:dyDescent="0.25">
      <c r="A281" s="529" t="s">
        <v>796</v>
      </c>
      <c r="B281" s="529" t="s">
        <v>797</v>
      </c>
      <c r="C281" s="808">
        <v>46215</v>
      </c>
      <c r="D281" s="809">
        <v>0.33217592592592998</v>
      </c>
      <c r="E281" s="529" t="s">
        <v>1752</v>
      </c>
      <c r="F281" s="529" t="s">
        <v>799</v>
      </c>
      <c r="G281" s="529" t="s">
        <v>800</v>
      </c>
      <c r="H281" s="810">
        <v>19</v>
      </c>
      <c r="I281" s="811">
        <v>115809.94</v>
      </c>
      <c r="J281" s="529" t="s">
        <v>801</v>
      </c>
      <c r="K281" s="529" t="s">
        <v>802</v>
      </c>
      <c r="L281" s="529" t="s">
        <v>1144</v>
      </c>
      <c r="M281" s="529" t="s">
        <v>1780</v>
      </c>
      <c r="N281" s="529" t="s">
        <v>804</v>
      </c>
      <c r="O281" s="529" t="s">
        <v>577</v>
      </c>
      <c r="P281" s="529" t="s">
        <v>1753</v>
      </c>
    </row>
    <row r="282" spans="1:16" x14ac:dyDescent="0.25">
      <c r="A282" s="529" t="s">
        <v>796</v>
      </c>
      <c r="B282" s="529" t="s">
        <v>797</v>
      </c>
      <c r="C282" s="808">
        <v>46215</v>
      </c>
      <c r="D282" s="809">
        <v>0.5828587962963</v>
      </c>
      <c r="E282" s="529" t="s">
        <v>1778</v>
      </c>
      <c r="F282" s="529" t="s">
        <v>799</v>
      </c>
      <c r="G282" s="529" t="s">
        <v>800</v>
      </c>
      <c r="H282" s="810">
        <v>49</v>
      </c>
      <c r="I282" s="811">
        <v>298667.74</v>
      </c>
      <c r="J282" s="529" t="s">
        <v>801</v>
      </c>
      <c r="K282" s="529" t="s">
        <v>802</v>
      </c>
      <c r="L282" s="529" t="s">
        <v>1144</v>
      </c>
      <c r="M282" s="529" t="s">
        <v>1791</v>
      </c>
      <c r="N282" s="529" t="s">
        <v>804</v>
      </c>
      <c r="O282" s="529" t="s">
        <v>577</v>
      </c>
      <c r="P282" s="529" t="s">
        <v>1779</v>
      </c>
    </row>
    <row r="283" spans="1:16" x14ac:dyDescent="0.25">
      <c r="A283" s="529" t="s">
        <v>796</v>
      </c>
      <c r="B283" s="529" t="s">
        <v>797</v>
      </c>
      <c r="C283" s="808">
        <v>46215</v>
      </c>
      <c r="D283" s="809">
        <v>0.26614583333332997</v>
      </c>
      <c r="E283" s="529" t="s">
        <v>1749</v>
      </c>
      <c r="F283" s="529" t="s">
        <v>799</v>
      </c>
      <c r="G283" s="529" t="s">
        <v>800</v>
      </c>
      <c r="H283" s="810">
        <v>23</v>
      </c>
      <c r="I283" s="811">
        <v>140190.98000000001</v>
      </c>
      <c r="J283" s="529" t="s">
        <v>801</v>
      </c>
      <c r="K283" s="529" t="s">
        <v>802</v>
      </c>
      <c r="L283" s="529" t="s">
        <v>857</v>
      </c>
      <c r="M283" s="529" t="s">
        <v>1750</v>
      </c>
      <c r="N283" s="529" t="s">
        <v>804</v>
      </c>
      <c r="O283" s="529" t="s">
        <v>577</v>
      </c>
      <c r="P283" s="529" t="s">
        <v>1751</v>
      </c>
    </row>
    <row r="284" spans="1:16" x14ac:dyDescent="0.25">
      <c r="A284" s="529" t="s">
        <v>796</v>
      </c>
      <c r="B284" s="529" t="s">
        <v>797</v>
      </c>
      <c r="C284" s="808">
        <v>46215</v>
      </c>
      <c r="D284" s="809">
        <v>0.15084490740740999</v>
      </c>
      <c r="E284" s="529" t="s">
        <v>1726</v>
      </c>
      <c r="F284" s="529" t="s">
        <v>799</v>
      </c>
      <c r="G284" s="529" t="s">
        <v>800</v>
      </c>
      <c r="H284" s="810">
        <v>30</v>
      </c>
      <c r="I284" s="811">
        <v>182857.8</v>
      </c>
      <c r="J284" s="529" t="s">
        <v>801</v>
      </c>
      <c r="K284" s="529" t="s">
        <v>802</v>
      </c>
      <c r="L284" s="529" t="s">
        <v>848</v>
      </c>
      <c r="M284" s="529" t="s">
        <v>1727</v>
      </c>
      <c r="N284" s="529" t="s">
        <v>804</v>
      </c>
      <c r="O284" s="529" t="s">
        <v>577</v>
      </c>
      <c r="P284" s="529" t="s">
        <v>1728</v>
      </c>
    </row>
    <row r="285" spans="1:16" x14ac:dyDescent="0.25">
      <c r="A285" s="529" t="s">
        <v>796</v>
      </c>
      <c r="B285" s="529" t="s">
        <v>797</v>
      </c>
      <c r="C285" s="808">
        <v>46215</v>
      </c>
      <c r="D285" s="809">
        <v>0.65771990740741004</v>
      </c>
      <c r="E285" s="529" t="s">
        <v>1795</v>
      </c>
      <c r="F285" s="529" t="s">
        <v>851</v>
      </c>
      <c r="G285" s="529" t="s">
        <v>800</v>
      </c>
      <c r="H285" s="810">
        <v>10</v>
      </c>
      <c r="I285" s="811">
        <v>62504.2</v>
      </c>
      <c r="J285" s="529" t="s">
        <v>816</v>
      </c>
      <c r="K285" s="529" t="s">
        <v>802</v>
      </c>
      <c r="L285" s="529" t="s">
        <v>1406</v>
      </c>
      <c r="M285" s="529" t="s">
        <v>1796</v>
      </c>
      <c r="N285" s="529" t="s">
        <v>804</v>
      </c>
      <c r="O285" s="529" t="s">
        <v>577</v>
      </c>
      <c r="P285" s="529" t="s">
        <v>1797</v>
      </c>
    </row>
    <row r="286" spans="1:16" x14ac:dyDescent="0.25">
      <c r="A286" s="529" t="s">
        <v>796</v>
      </c>
      <c r="B286" s="529" t="s">
        <v>797</v>
      </c>
      <c r="C286" s="808">
        <v>46215</v>
      </c>
      <c r="D286" s="809">
        <v>0.26674768518518999</v>
      </c>
      <c r="E286" s="529" t="s">
        <v>1754</v>
      </c>
      <c r="F286" s="529" t="s">
        <v>851</v>
      </c>
      <c r="G286" s="529" t="s">
        <v>800</v>
      </c>
      <c r="H286" s="810">
        <v>20</v>
      </c>
      <c r="I286" s="811">
        <v>125008.4</v>
      </c>
      <c r="J286" s="529" t="s">
        <v>816</v>
      </c>
      <c r="K286" s="529" t="s">
        <v>802</v>
      </c>
      <c r="L286" s="529" t="s">
        <v>857</v>
      </c>
      <c r="M286" s="529" t="s">
        <v>1755</v>
      </c>
      <c r="N286" s="529" t="s">
        <v>804</v>
      </c>
      <c r="O286" s="529" t="s">
        <v>577</v>
      </c>
      <c r="P286" s="529" t="s">
        <v>1756</v>
      </c>
    </row>
    <row r="287" spans="1:16" x14ac:dyDescent="0.25">
      <c r="A287" s="529" t="s">
        <v>796</v>
      </c>
      <c r="B287" s="529" t="s">
        <v>797</v>
      </c>
      <c r="C287" s="808">
        <v>46215</v>
      </c>
      <c r="D287" s="809">
        <v>4.9652777777799998E-3</v>
      </c>
      <c r="E287" s="529" t="s">
        <v>1697</v>
      </c>
      <c r="F287" s="529" t="s">
        <v>812</v>
      </c>
      <c r="G287" s="529" t="s">
        <v>800</v>
      </c>
      <c r="H287" s="810">
        <v>10</v>
      </c>
      <c r="I287" s="811">
        <v>63646.400000000001</v>
      </c>
      <c r="J287" s="529" t="s">
        <v>801</v>
      </c>
      <c r="K287" s="529" t="s">
        <v>802</v>
      </c>
      <c r="L287" s="529" t="s">
        <v>844</v>
      </c>
      <c r="M287" s="529" t="s">
        <v>1729</v>
      </c>
      <c r="N287" s="529" t="s">
        <v>804</v>
      </c>
      <c r="O287" s="529" t="s">
        <v>577</v>
      </c>
      <c r="P287" s="529" t="s">
        <v>1698</v>
      </c>
    </row>
    <row r="288" spans="1:16" x14ac:dyDescent="0.25">
      <c r="A288" s="529" t="s">
        <v>796</v>
      </c>
      <c r="B288" s="529" t="s">
        <v>797</v>
      </c>
      <c r="C288" s="808">
        <v>46215</v>
      </c>
      <c r="D288" s="809">
        <v>0.33293981481481</v>
      </c>
      <c r="E288" s="529" t="s">
        <v>1757</v>
      </c>
      <c r="F288" s="529" t="s">
        <v>812</v>
      </c>
      <c r="G288" s="529" t="s">
        <v>800</v>
      </c>
      <c r="H288" s="810">
        <v>20</v>
      </c>
      <c r="I288" s="811">
        <v>127292.8</v>
      </c>
      <c r="J288" s="529" t="s">
        <v>801</v>
      </c>
      <c r="K288" s="529" t="s">
        <v>802</v>
      </c>
      <c r="L288" s="529" t="s">
        <v>1144</v>
      </c>
      <c r="M288" s="529" t="s">
        <v>1781</v>
      </c>
      <c r="N288" s="529" t="s">
        <v>804</v>
      </c>
      <c r="O288" s="529" t="s">
        <v>577</v>
      </c>
      <c r="P288" s="529" t="s">
        <v>1758</v>
      </c>
    </row>
    <row r="289" spans="1:16" x14ac:dyDescent="0.25">
      <c r="A289" s="529" t="s">
        <v>796</v>
      </c>
      <c r="B289" s="529" t="s">
        <v>797</v>
      </c>
      <c r="C289" s="808">
        <v>46215</v>
      </c>
      <c r="D289" s="809">
        <v>0.72248842592592999</v>
      </c>
      <c r="E289" s="529" t="s">
        <v>1798</v>
      </c>
      <c r="F289" s="529" t="s">
        <v>864</v>
      </c>
      <c r="G289" s="529" t="s">
        <v>800</v>
      </c>
      <c r="H289" s="810">
        <v>10</v>
      </c>
      <c r="I289" s="811">
        <v>64992.6</v>
      </c>
      <c r="J289" s="529" t="s">
        <v>816</v>
      </c>
      <c r="K289" s="529" t="s">
        <v>802</v>
      </c>
      <c r="L289" s="529" t="s">
        <v>848</v>
      </c>
      <c r="M289" s="529" t="s">
        <v>1799</v>
      </c>
      <c r="N289" s="529" t="s">
        <v>804</v>
      </c>
      <c r="O289" s="529" t="s">
        <v>577</v>
      </c>
      <c r="P289" s="529" t="s">
        <v>1800</v>
      </c>
    </row>
    <row r="290" spans="1:16" x14ac:dyDescent="0.25">
      <c r="A290" s="529" t="s">
        <v>796</v>
      </c>
      <c r="B290" s="529" t="s">
        <v>797</v>
      </c>
      <c r="C290" s="808">
        <v>46215</v>
      </c>
      <c r="D290" s="809">
        <v>0.33255787037036999</v>
      </c>
      <c r="E290" s="529" t="s">
        <v>1759</v>
      </c>
      <c r="F290" s="529" t="s">
        <v>957</v>
      </c>
      <c r="G290" s="529" t="s">
        <v>800</v>
      </c>
      <c r="H290" s="810">
        <v>23</v>
      </c>
      <c r="I290" s="811">
        <v>142452.57</v>
      </c>
      <c r="J290" s="529" t="s">
        <v>816</v>
      </c>
      <c r="K290" s="529" t="s">
        <v>802</v>
      </c>
      <c r="L290" s="529" t="s">
        <v>1144</v>
      </c>
      <c r="M290" s="529" t="s">
        <v>1782</v>
      </c>
      <c r="N290" s="529" t="s">
        <v>804</v>
      </c>
      <c r="O290" s="529" t="s">
        <v>577</v>
      </c>
      <c r="P290" s="529" t="s">
        <v>1760</v>
      </c>
    </row>
    <row r="291" spans="1:16" x14ac:dyDescent="0.25">
      <c r="A291" s="529" t="s">
        <v>796</v>
      </c>
      <c r="B291" s="529" t="s">
        <v>797</v>
      </c>
      <c r="C291" s="808">
        <v>46215</v>
      </c>
      <c r="D291" s="809">
        <v>0.15068287037037001</v>
      </c>
      <c r="E291" s="529" t="s">
        <v>1730</v>
      </c>
      <c r="F291" s="529" t="s">
        <v>957</v>
      </c>
      <c r="G291" s="529" t="s">
        <v>800</v>
      </c>
      <c r="H291" s="810">
        <v>30</v>
      </c>
      <c r="I291" s="811">
        <v>185807.7</v>
      </c>
      <c r="J291" s="529" t="s">
        <v>816</v>
      </c>
      <c r="K291" s="529" t="s">
        <v>802</v>
      </c>
      <c r="L291" s="529" t="s">
        <v>848</v>
      </c>
      <c r="M291" s="529" t="s">
        <v>1731</v>
      </c>
      <c r="N291" s="529" t="s">
        <v>804</v>
      </c>
      <c r="O291" s="529" t="s">
        <v>577</v>
      </c>
      <c r="P291" s="529" t="s">
        <v>1732</v>
      </c>
    </row>
    <row r="292" spans="1:16" x14ac:dyDescent="0.25">
      <c r="A292" s="529" t="s">
        <v>796</v>
      </c>
      <c r="B292" s="529" t="s">
        <v>797</v>
      </c>
      <c r="C292" s="808">
        <v>46215</v>
      </c>
      <c r="D292" s="809">
        <v>0.65859953703703999</v>
      </c>
      <c r="E292" s="529" t="s">
        <v>1801</v>
      </c>
      <c r="F292" s="529" t="s">
        <v>957</v>
      </c>
      <c r="G292" s="529" t="s">
        <v>800</v>
      </c>
      <c r="H292" s="810">
        <v>10</v>
      </c>
      <c r="I292" s="811">
        <v>61935.9</v>
      </c>
      <c r="J292" s="529" t="s">
        <v>816</v>
      </c>
      <c r="K292" s="529" t="s">
        <v>802</v>
      </c>
      <c r="L292" s="529" t="s">
        <v>1406</v>
      </c>
      <c r="M292" s="529" t="s">
        <v>1802</v>
      </c>
      <c r="N292" s="529" t="s">
        <v>804</v>
      </c>
      <c r="O292" s="529" t="s">
        <v>577</v>
      </c>
      <c r="P292" s="529" t="s">
        <v>1803</v>
      </c>
    </row>
    <row r="293" spans="1:16" x14ac:dyDescent="0.25">
      <c r="A293" s="529" t="s">
        <v>796</v>
      </c>
      <c r="B293" s="529" t="s">
        <v>797</v>
      </c>
      <c r="C293" s="808">
        <v>46215</v>
      </c>
      <c r="D293" s="809">
        <v>0.72230324074074004</v>
      </c>
      <c r="E293" s="529" t="s">
        <v>1805</v>
      </c>
      <c r="F293" s="529" t="s">
        <v>815</v>
      </c>
      <c r="G293" s="529" t="s">
        <v>800</v>
      </c>
      <c r="H293" s="810">
        <v>20</v>
      </c>
      <c r="I293" s="811">
        <v>124847</v>
      </c>
      <c r="J293" s="529" t="s">
        <v>816</v>
      </c>
      <c r="K293" s="529" t="s">
        <v>802</v>
      </c>
      <c r="L293" s="529" t="s">
        <v>848</v>
      </c>
      <c r="M293" s="529" t="s">
        <v>1806</v>
      </c>
      <c r="N293" s="529" t="s">
        <v>804</v>
      </c>
      <c r="O293" s="529" t="s">
        <v>577</v>
      </c>
      <c r="P293" s="529" t="s">
        <v>1807</v>
      </c>
    </row>
    <row r="294" spans="1:16" x14ac:dyDescent="0.25">
      <c r="A294" s="529" t="s">
        <v>796</v>
      </c>
      <c r="B294" s="529" t="s">
        <v>797</v>
      </c>
      <c r="C294" s="808">
        <v>46215</v>
      </c>
      <c r="D294" s="809">
        <v>0.58304398148147996</v>
      </c>
      <c r="E294" s="529" t="s">
        <v>1783</v>
      </c>
      <c r="F294" s="529" t="s">
        <v>815</v>
      </c>
      <c r="G294" s="529" t="s">
        <v>800</v>
      </c>
      <c r="H294" s="810">
        <v>25</v>
      </c>
      <c r="I294" s="811">
        <v>156058.75</v>
      </c>
      <c r="J294" s="529" t="s">
        <v>816</v>
      </c>
      <c r="K294" s="529" t="s">
        <v>802</v>
      </c>
      <c r="L294" s="529" t="s">
        <v>1144</v>
      </c>
      <c r="M294" s="529" t="s">
        <v>1804</v>
      </c>
      <c r="N294" s="529" t="s">
        <v>804</v>
      </c>
      <c r="O294" s="529" t="s">
        <v>577</v>
      </c>
      <c r="P294" s="529" t="s">
        <v>1784</v>
      </c>
    </row>
    <row r="295" spans="1:16" x14ac:dyDescent="0.25">
      <c r="A295" s="529" t="s">
        <v>796</v>
      </c>
      <c r="B295" s="529" t="s">
        <v>797</v>
      </c>
      <c r="C295" s="808">
        <v>46215</v>
      </c>
      <c r="D295" s="809">
        <v>5.3125000000000004E-3</v>
      </c>
      <c r="E295" s="529" t="s">
        <v>1699</v>
      </c>
      <c r="F295" s="529" t="s">
        <v>815</v>
      </c>
      <c r="G295" s="529" t="s">
        <v>800</v>
      </c>
      <c r="H295" s="810">
        <v>25</v>
      </c>
      <c r="I295" s="811">
        <v>156058.75</v>
      </c>
      <c r="J295" s="529" t="s">
        <v>816</v>
      </c>
      <c r="K295" s="529" t="s">
        <v>802</v>
      </c>
      <c r="L295" s="529" t="s">
        <v>844</v>
      </c>
      <c r="M295" s="529" t="s">
        <v>1733</v>
      </c>
      <c r="N295" s="529" t="s">
        <v>804</v>
      </c>
      <c r="O295" s="529" t="s">
        <v>577</v>
      </c>
      <c r="P295" s="529" t="s">
        <v>1700</v>
      </c>
    </row>
    <row r="296" spans="1:16" x14ac:dyDescent="0.25">
      <c r="A296" s="529" t="s">
        <v>796</v>
      </c>
      <c r="B296" s="529" t="s">
        <v>797</v>
      </c>
      <c r="C296" s="808">
        <v>46215</v>
      </c>
      <c r="D296" s="809">
        <v>0.26601851851851999</v>
      </c>
      <c r="E296" s="529" t="s">
        <v>1761</v>
      </c>
      <c r="F296" s="529" t="s">
        <v>815</v>
      </c>
      <c r="G296" s="529" t="s">
        <v>800</v>
      </c>
      <c r="H296" s="810">
        <v>15</v>
      </c>
      <c r="I296" s="811">
        <v>93635.25</v>
      </c>
      <c r="J296" s="529" t="s">
        <v>816</v>
      </c>
      <c r="K296" s="529" t="s">
        <v>802</v>
      </c>
      <c r="L296" s="529" t="s">
        <v>857</v>
      </c>
      <c r="M296" s="529" t="s">
        <v>1762</v>
      </c>
      <c r="N296" s="529" t="s">
        <v>804</v>
      </c>
      <c r="O296" s="529" t="s">
        <v>577</v>
      </c>
      <c r="P296" s="529" t="s">
        <v>1763</v>
      </c>
    </row>
    <row r="297" spans="1:16" x14ac:dyDescent="0.25">
      <c r="A297" s="529" t="s">
        <v>796</v>
      </c>
      <c r="B297" s="529" t="s">
        <v>797</v>
      </c>
      <c r="C297" s="808">
        <v>46215</v>
      </c>
      <c r="D297" s="809">
        <v>4.7685185185199997E-3</v>
      </c>
      <c r="E297" s="529" t="s">
        <v>1701</v>
      </c>
      <c r="F297" s="529" t="s">
        <v>821</v>
      </c>
      <c r="G297" s="529" t="s">
        <v>800</v>
      </c>
      <c r="H297" s="810">
        <v>13</v>
      </c>
      <c r="I297" s="811">
        <v>84193.59</v>
      </c>
      <c r="J297" s="529" t="s">
        <v>801</v>
      </c>
      <c r="K297" s="529" t="s">
        <v>802</v>
      </c>
      <c r="L297" s="529" t="s">
        <v>844</v>
      </c>
      <c r="M297" s="529" t="s">
        <v>1737</v>
      </c>
      <c r="N297" s="529" t="s">
        <v>804</v>
      </c>
      <c r="O297" s="529" t="s">
        <v>577</v>
      </c>
      <c r="P297" s="529" t="s">
        <v>1702</v>
      </c>
    </row>
    <row r="298" spans="1:16" x14ac:dyDescent="0.25">
      <c r="A298" s="529" t="s">
        <v>796</v>
      </c>
      <c r="B298" s="529" t="s">
        <v>797</v>
      </c>
      <c r="C298" s="808">
        <v>46215</v>
      </c>
      <c r="D298" s="809">
        <v>0.65787037037036999</v>
      </c>
      <c r="E298" s="529" t="s">
        <v>1808</v>
      </c>
      <c r="F298" s="529" t="s">
        <v>821</v>
      </c>
      <c r="G298" s="529" t="s">
        <v>800</v>
      </c>
      <c r="H298" s="810">
        <v>10</v>
      </c>
      <c r="I298" s="811">
        <v>64764.3</v>
      </c>
      <c r="J298" s="529" t="s">
        <v>801</v>
      </c>
      <c r="K298" s="529" t="s">
        <v>802</v>
      </c>
      <c r="L298" s="529" t="s">
        <v>1406</v>
      </c>
      <c r="M298" s="529" t="s">
        <v>1809</v>
      </c>
      <c r="N298" s="529" t="s">
        <v>804</v>
      </c>
      <c r="O298" s="529" t="s">
        <v>577</v>
      </c>
      <c r="P298" s="529" t="s">
        <v>1810</v>
      </c>
    </row>
    <row r="299" spans="1:16" x14ac:dyDescent="0.25">
      <c r="A299" s="529" t="s">
        <v>796</v>
      </c>
      <c r="B299" s="529" t="s">
        <v>797</v>
      </c>
      <c r="C299" s="808">
        <v>46215</v>
      </c>
      <c r="D299" s="809">
        <v>0.26660879629630002</v>
      </c>
      <c r="E299" s="529" t="s">
        <v>1764</v>
      </c>
      <c r="F299" s="529" t="s">
        <v>821</v>
      </c>
      <c r="G299" s="529" t="s">
        <v>800</v>
      </c>
      <c r="H299" s="810">
        <v>19</v>
      </c>
      <c r="I299" s="811">
        <v>123052.17</v>
      </c>
      <c r="J299" s="529" t="s">
        <v>801</v>
      </c>
      <c r="K299" s="529" t="s">
        <v>802</v>
      </c>
      <c r="L299" s="529" t="s">
        <v>857</v>
      </c>
      <c r="M299" s="529" t="s">
        <v>1765</v>
      </c>
      <c r="N299" s="529" t="s">
        <v>804</v>
      </c>
      <c r="O299" s="529" t="s">
        <v>577</v>
      </c>
      <c r="P299" s="529" t="s">
        <v>1766</v>
      </c>
    </row>
    <row r="300" spans="1:16" x14ac:dyDescent="0.25">
      <c r="A300" s="529" t="s">
        <v>796</v>
      </c>
      <c r="B300" s="529" t="s">
        <v>797</v>
      </c>
      <c r="C300" s="808">
        <v>46215</v>
      </c>
      <c r="D300" s="809">
        <v>0.15101851851852</v>
      </c>
      <c r="E300" s="529" t="s">
        <v>1734</v>
      </c>
      <c r="F300" s="529" t="s">
        <v>821</v>
      </c>
      <c r="G300" s="529" t="s">
        <v>800</v>
      </c>
      <c r="H300" s="810">
        <v>4</v>
      </c>
      <c r="I300" s="811">
        <v>25905.72</v>
      </c>
      <c r="J300" s="529" t="s">
        <v>801</v>
      </c>
      <c r="K300" s="529" t="s">
        <v>802</v>
      </c>
      <c r="L300" s="529" t="s">
        <v>848</v>
      </c>
      <c r="M300" s="529" t="s">
        <v>1735</v>
      </c>
      <c r="N300" s="529" t="s">
        <v>804</v>
      </c>
      <c r="O300" s="529" t="s">
        <v>577</v>
      </c>
      <c r="P300" s="529" t="s">
        <v>1736</v>
      </c>
    </row>
    <row r="301" spans="1:16" x14ac:dyDescent="0.25">
      <c r="A301" s="529" t="s">
        <v>796</v>
      </c>
      <c r="B301" s="529" t="s">
        <v>797</v>
      </c>
      <c r="C301" s="808">
        <v>46215</v>
      </c>
      <c r="D301" s="809">
        <v>0.65804398148148002</v>
      </c>
      <c r="E301" s="529" t="s">
        <v>1811</v>
      </c>
      <c r="F301" s="529" t="s">
        <v>877</v>
      </c>
      <c r="G301" s="529" t="s">
        <v>800</v>
      </c>
      <c r="H301" s="810">
        <v>5</v>
      </c>
      <c r="I301" s="811">
        <v>32185.200000000001</v>
      </c>
      <c r="J301" s="529" t="s">
        <v>816</v>
      </c>
      <c r="K301" s="529" t="s">
        <v>802</v>
      </c>
      <c r="L301" s="529" t="s">
        <v>1406</v>
      </c>
      <c r="M301" s="529" t="s">
        <v>1812</v>
      </c>
      <c r="N301" s="529" t="s">
        <v>804</v>
      </c>
      <c r="O301" s="529" t="s">
        <v>577</v>
      </c>
      <c r="P301" s="529" t="s">
        <v>1813</v>
      </c>
    </row>
    <row r="302" spans="1:16" x14ac:dyDescent="0.25">
      <c r="A302" s="529" t="s">
        <v>796</v>
      </c>
      <c r="B302" s="529" t="s">
        <v>797</v>
      </c>
      <c r="C302" s="808">
        <v>46215</v>
      </c>
      <c r="D302" s="809">
        <v>0.33275462962962998</v>
      </c>
      <c r="E302" s="529" t="s">
        <v>1767</v>
      </c>
      <c r="F302" s="529" t="s">
        <v>877</v>
      </c>
      <c r="G302" s="529" t="s">
        <v>800</v>
      </c>
      <c r="H302" s="810">
        <v>10</v>
      </c>
      <c r="I302" s="811">
        <v>64370.400000000001</v>
      </c>
      <c r="J302" s="529" t="s">
        <v>816</v>
      </c>
      <c r="K302" s="529" t="s">
        <v>802</v>
      </c>
      <c r="L302" s="529" t="s">
        <v>1144</v>
      </c>
      <c r="M302" s="529" t="s">
        <v>1785</v>
      </c>
      <c r="N302" s="529" t="s">
        <v>804</v>
      </c>
      <c r="O302" s="529" t="s">
        <v>577</v>
      </c>
      <c r="P302" s="529" t="s">
        <v>1768</v>
      </c>
    </row>
    <row r="303" spans="1:16" x14ac:dyDescent="0.25">
      <c r="A303" s="529" t="s">
        <v>796</v>
      </c>
      <c r="B303" s="529" t="s">
        <v>797</v>
      </c>
      <c r="C303" s="808">
        <v>46215</v>
      </c>
      <c r="D303" s="809">
        <v>5.1504629629599997E-3</v>
      </c>
      <c r="E303" s="529" t="s">
        <v>1703</v>
      </c>
      <c r="F303" s="529" t="s">
        <v>877</v>
      </c>
      <c r="G303" s="529" t="s">
        <v>800</v>
      </c>
      <c r="H303" s="810">
        <v>10</v>
      </c>
      <c r="I303" s="811">
        <v>64370.400000000001</v>
      </c>
      <c r="J303" s="529" t="s">
        <v>816</v>
      </c>
      <c r="K303" s="529" t="s">
        <v>802</v>
      </c>
      <c r="L303" s="529" t="s">
        <v>844</v>
      </c>
      <c r="M303" s="529" t="s">
        <v>1738</v>
      </c>
      <c r="N303" s="529" t="s">
        <v>804</v>
      </c>
      <c r="O303" s="529" t="s">
        <v>577</v>
      </c>
      <c r="P303" s="529" t="s">
        <v>1704</v>
      </c>
    </row>
    <row r="304" spans="1:16" x14ac:dyDescent="0.25">
      <c r="A304" s="529" t="s">
        <v>796</v>
      </c>
      <c r="B304" s="529" t="s">
        <v>797</v>
      </c>
      <c r="C304" s="808">
        <v>46215</v>
      </c>
      <c r="D304" s="809">
        <v>0.65879629629629999</v>
      </c>
      <c r="E304" s="529" t="s">
        <v>1814</v>
      </c>
      <c r="F304" s="529" t="s">
        <v>832</v>
      </c>
      <c r="G304" s="529" t="s">
        <v>800</v>
      </c>
      <c r="H304" s="810">
        <v>10</v>
      </c>
      <c r="I304" s="811">
        <v>66187</v>
      </c>
      <c r="J304" s="529" t="s">
        <v>816</v>
      </c>
      <c r="K304" s="529" t="s">
        <v>802</v>
      </c>
      <c r="L304" s="529" t="s">
        <v>1406</v>
      </c>
      <c r="M304" s="529" t="s">
        <v>1815</v>
      </c>
      <c r="N304" s="529" t="s">
        <v>804</v>
      </c>
      <c r="O304" s="529" t="s">
        <v>577</v>
      </c>
      <c r="P304" s="529" t="s">
        <v>1816</v>
      </c>
    </row>
    <row r="305" spans="1:16" x14ac:dyDescent="0.25">
      <c r="A305" s="529" t="s">
        <v>796</v>
      </c>
      <c r="B305" s="529" t="s">
        <v>797</v>
      </c>
      <c r="C305" s="808">
        <v>46215</v>
      </c>
      <c r="D305" s="809">
        <v>0.58326388888889003</v>
      </c>
      <c r="E305" s="529" t="s">
        <v>1786</v>
      </c>
      <c r="F305" s="529" t="s">
        <v>832</v>
      </c>
      <c r="G305" s="529" t="s">
        <v>800</v>
      </c>
      <c r="H305" s="810">
        <v>5</v>
      </c>
      <c r="I305" s="811">
        <v>33093.5</v>
      </c>
      <c r="J305" s="529" t="s">
        <v>816</v>
      </c>
      <c r="K305" s="529" t="s">
        <v>802</v>
      </c>
      <c r="L305" s="529" t="s">
        <v>1144</v>
      </c>
      <c r="M305" s="529" t="s">
        <v>1817</v>
      </c>
      <c r="N305" s="529" t="s">
        <v>804</v>
      </c>
      <c r="O305" s="529" t="s">
        <v>577</v>
      </c>
      <c r="P305" s="529" t="s">
        <v>1787</v>
      </c>
    </row>
    <row r="306" spans="1:16" x14ac:dyDescent="0.25">
      <c r="A306" s="529" t="s">
        <v>796</v>
      </c>
      <c r="B306" s="529" t="s">
        <v>797</v>
      </c>
      <c r="C306" s="808">
        <v>46215</v>
      </c>
      <c r="D306" s="809">
        <v>0.26649305555556002</v>
      </c>
      <c r="E306" s="529" t="s">
        <v>1769</v>
      </c>
      <c r="F306" s="529" t="s">
        <v>838</v>
      </c>
      <c r="G306" s="529" t="s">
        <v>800</v>
      </c>
      <c r="H306" s="810">
        <v>5</v>
      </c>
      <c r="I306" s="811">
        <v>32580.3</v>
      </c>
      <c r="J306" s="529" t="s">
        <v>801</v>
      </c>
      <c r="K306" s="529" t="s">
        <v>802</v>
      </c>
      <c r="L306" s="529" t="s">
        <v>857</v>
      </c>
      <c r="M306" s="529" t="s">
        <v>1770</v>
      </c>
      <c r="N306" s="529" t="s">
        <v>804</v>
      </c>
      <c r="O306" s="529" t="s">
        <v>577</v>
      </c>
      <c r="P306" s="529" t="s">
        <v>1771</v>
      </c>
    </row>
    <row r="307" spans="1:16" x14ac:dyDescent="0.25">
      <c r="A307" s="529" t="s">
        <v>796</v>
      </c>
      <c r="B307" s="529" t="s">
        <v>797</v>
      </c>
      <c r="C307" s="808">
        <v>46215</v>
      </c>
      <c r="D307" s="809">
        <v>0.15053240740741</v>
      </c>
      <c r="E307" s="529" t="s">
        <v>1739</v>
      </c>
      <c r="F307" s="529" t="s">
        <v>838</v>
      </c>
      <c r="G307" s="529" t="s">
        <v>800</v>
      </c>
      <c r="H307" s="810">
        <v>8</v>
      </c>
      <c r="I307" s="811">
        <v>52128.480000000003</v>
      </c>
      <c r="J307" s="529" t="s">
        <v>801</v>
      </c>
      <c r="K307" s="529" t="s">
        <v>802</v>
      </c>
      <c r="L307" s="529" t="s">
        <v>848</v>
      </c>
      <c r="M307" s="529" t="s">
        <v>1740</v>
      </c>
      <c r="N307" s="529" t="s">
        <v>804</v>
      </c>
      <c r="O307" s="529" t="s">
        <v>577</v>
      </c>
      <c r="P307" s="529" t="s">
        <v>1741</v>
      </c>
    </row>
    <row r="308" spans="1:16" x14ac:dyDescent="0.25">
      <c r="A308" s="529" t="s">
        <v>796</v>
      </c>
      <c r="B308" s="529" t="s">
        <v>797</v>
      </c>
      <c r="C308" s="808">
        <v>46215</v>
      </c>
      <c r="D308" s="809">
        <v>0.26630787037037001</v>
      </c>
      <c r="E308" s="529" t="s">
        <v>1772</v>
      </c>
      <c r="F308" s="529" t="s">
        <v>841</v>
      </c>
      <c r="G308" s="529" t="s">
        <v>800</v>
      </c>
      <c r="H308" s="810">
        <v>20</v>
      </c>
      <c r="I308" s="811">
        <v>138756.6</v>
      </c>
      <c r="J308" s="529" t="s">
        <v>801</v>
      </c>
      <c r="K308" s="529" t="s">
        <v>802</v>
      </c>
      <c r="L308" s="529" t="s">
        <v>857</v>
      </c>
      <c r="M308" s="529" t="s">
        <v>1773</v>
      </c>
      <c r="N308" s="529" t="s">
        <v>804</v>
      </c>
      <c r="O308" s="529" t="s">
        <v>577</v>
      </c>
      <c r="P308" s="529" t="s">
        <v>1774</v>
      </c>
    </row>
    <row r="309" spans="1:16" x14ac:dyDescent="0.25">
      <c r="A309" s="529" t="s">
        <v>796</v>
      </c>
      <c r="B309" s="529" t="s">
        <v>797</v>
      </c>
      <c r="C309" s="808">
        <v>46215</v>
      </c>
      <c r="D309" s="809">
        <v>0.58245370370369998</v>
      </c>
      <c r="E309" s="529" t="s">
        <v>1788</v>
      </c>
      <c r="F309" s="529" t="s">
        <v>841</v>
      </c>
      <c r="G309" s="529" t="s">
        <v>800</v>
      </c>
      <c r="H309" s="810">
        <v>6</v>
      </c>
      <c r="I309" s="811">
        <v>41626.980000000003</v>
      </c>
      <c r="J309" s="529" t="s">
        <v>801</v>
      </c>
      <c r="K309" s="529" t="s">
        <v>802</v>
      </c>
      <c r="L309" s="529" t="s">
        <v>1144</v>
      </c>
      <c r="M309" s="529" t="s">
        <v>1818</v>
      </c>
      <c r="N309" s="529" t="s">
        <v>804</v>
      </c>
      <c r="O309" s="529" t="s">
        <v>577</v>
      </c>
      <c r="P309" s="529" t="s">
        <v>1789</v>
      </c>
    </row>
    <row r="310" spans="1:16" x14ac:dyDescent="0.25">
      <c r="A310" s="529" t="s">
        <v>796</v>
      </c>
      <c r="B310" s="529" t="s">
        <v>797</v>
      </c>
      <c r="C310" s="808">
        <v>46216</v>
      </c>
      <c r="D310" s="809">
        <v>0.33002314814814998</v>
      </c>
      <c r="E310" s="529" t="s">
        <v>1819</v>
      </c>
      <c r="F310" s="529" t="s">
        <v>919</v>
      </c>
      <c r="G310" s="529" t="s">
        <v>800</v>
      </c>
      <c r="H310" s="810">
        <v>30</v>
      </c>
      <c r="I310" s="811">
        <v>181081.8</v>
      </c>
      <c r="J310" s="529" t="s">
        <v>816</v>
      </c>
      <c r="K310" s="529" t="s">
        <v>802</v>
      </c>
      <c r="L310" s="529" t="s">
        <v>1406</v>
      </c>
      <c r="M310" s="529" t="s">
        <v>1841</v>
      </c>
      <c r="N310" s="529" t="s">
        <v>804</v>
      </c>
      <c r="O310" s="529" t="s">
        <v>577</v>
      </c>
      <c r="P310" s="529" t="s">
        <v>1820</v>
      </c>
    </row>
    <row r="311" spans="1:16" x14ac:dyDescent="0.25">
      <c r="A311" s="529" t="s">
        <v>796</v>
      </c>
      <c r="B311" s="529" t="s">
        <v>797</v>
      </c>
      <c r="C311" s="808">
        <v>46216</v>
      </c>
      <c r="D311" s="809">
        <v>0.66299768518518998</v>
      </c>
      <c r="E311" s="529" t="s">
        <v>1852</v>
      </c>
      <c r="F311" s="529" t="s">
        <v>919</v>
      </c>
      <c r="G311" s="529" t="s">
        <v>800</v>
      </c>
      <c r="H311" s="810">
        <v>20</v>
      </c>
      <c r="I311" s="811">
        <v>120721.2</v>
      </c>
      <c r="J311" s="529" t="s">
        <v>816</v>
      </c>
      <c r="K311" s="529" t="s">
        <v>802</v>
      </c>
      <c r="L311" s="529" t="s">
        <v>1144</v>
      </c>
      <c r="M311" s="529" t="s">
        <v>1853</v>
      </c>
      <c r="N311" s="529" t="s">
        <v>804</v>
      </c>
      <c r="O311" s="529" t="s">
        <v>577</v>
      </c>
      <c r="P311" s="529" t="s">
        <v>1854</v>
      </c>
    </row>
    <row r="312" spans="1:16" x14ac:dyDescent="0.25">
      <c r="A312" s="529" t="s">
        <v>796</v>
      </c>
      <c r="B312" s="529" t="s">
        <v>797</v>
      </c>
      <c r="C312" s="808">
        <v>46216</v>
      </c>
      <c r="D312" s="809">
        <v>0.33016203703704</v>
      </c>
      <c r="E312" s="529" t="s">
        <v>1821</v>
      </c>
      <c r="F312" s="529" t="s">
        <v>799</v>
      </c>
      <c r="G312" s="529" t="s">
        <v>800</v>
      </c>
      <c r="H312" s="810">
        <v>30</v>
      </c>
      <c r="I312" s="811">
        <v>182857.8</v>
      </c>
      <c r="J312" s="529" t="s">
        <v>801</v>
      </c>
      <c r="K312" s="529" t="s">
        <v>802</v>
      </c>
      <c r="L312" s="529" t="s">
        <v>920</v>
      </c>
      <c r="M312" s="529" t="s">
        <v>1842</v>
      </c>
      <c r="N312" s="529" t="s">
        <v>804</v>
      </c>
      <c r="O312" s="529" t="s">
        <v>577</v>
      </c>
      <c r="P312" s="529" t="s">
        <v>1822</v>
      </c>
    </row>
    <row r="313" spans="1:16" x14ac:dyDescent="0.25">
      <c r="A313" s="529" t="s">
        <v>796</v>
      </c>
      <c r="B313" s="529" t="s">
        <v>797</v>
      </c>
      <c r="C313" s="808">
        <v>46216</v>
      </c>
      <c r="D313" s="809">
        <v>0.66321759259259006</v>
      </c>
      <c r="E313" s="529" t="s">
        <v>1855</v>
      </c>
      <c r="F313" s="529" t="s">
        <v>799</v>
      </c>
      <c r="G313" s="529" t="s">
        <v>800</v>
      </c>
      <c r="H313" s="810">
        <v>30</v>
      </c>
      <c r="I313" s="811">
        <v>182857.8</v>
      </c>
      <c r="J313" s="529" t="s">
        <v>801</v>
      </c>
      <c r="K313" s="529" t="s">
        <v>802</v>
      </c>
      <c r="L313" s="529" t="s">
        <v>1144</v>
      </c>
      <c r="M313" s="529" t="s">
        <v>1856</v>
      </c>
      <c r="N313" s="529" t="s">
        <v>804</v>
      </c>
      <c r="O313" s="529" t="s">
        <v>577</v>
      </c>
      <c r="P313" s="529" t="s">
        <v>1857</v>
      </c>
    </row>
    <row r="314" spans="1:16" x14ac:dyDescent="0.25">
      <c r="A314" s="529" t="s">
        <v>796</v>
      </c>
      <c r="B314" s="529" t="s">
        <v>797</v>
      </c>
      <c r="C314" s="808">
        <v>46216</v>
      </c>
      <c r="D314" s="809">
        <v>0.84880787037036998</v>
      </c>
      <c r="E314" s="529" t="s">
        <v>1858</v>
      </c>
      <c r="F314" s="529" t="s">
        <v>799</v>
      </c>
      <c r="G314" s="529" t="s">
        <v>800</v>
      </c>
      <c r="H314" s="810">
        <v>30</v>
      </c>
      <c r="I314" s="811">
        <v>182857.8</v>
      </c>
      <c r="J314" s="529" t="s">
        <v>801</v>
      </c>
      <c r="K314" s="529" t="s">
        <v>802</v>
      </c>
      <c r="L314" s="529" t="s">
        <v>1406</v>
      </c>
      <c r="M314" s="529" t="s">
        <v>1859</v>
      </c>
      <c r="N314" s="529" t="s">
        <v>804</v>
      </c>
      <c r="O314" s="529" t="s">
        <v>577</v>
      </c>
      <c r="P314" s="529" t="s">
        <v>1860</v>
      </c>
    </row>
    <row r="315" spans="1:16" x14ac:dyDescent="0.25">
      <c r="A315" s="529" t="s">
        <v>796</v>
      </c>
      <c r="B315" s="529" t="s">
        <v>797</v>
      </c>
      <c r="C315" s="808">
        <v>46216</v>
      </c>
      <c r="D315" s="809">
        <v>0.84832175925926001</v>
      </c>
      <c r="E315" s="529" t="s">
        <v>1861</v>
      </c>
      <c r="F315" s="529" t="s">
        <v>851</v>
      </c>
      <c r="G315" s="529" t="s">
        <v>800</v>
      </c>
      <c r="H315" s="810">
        <v>15</v>
      </c>
      <c r="I315" s="811">
        <v>93756.3</v>
      </c>
      <c r="J315" s="529" t="s">
        <v>816</v>
      </c>
      <c r="K315" s="529" t="s">
        <v>802</v>
      </c>
      <c r="L315" s="529" t="s">
        <v>1406</v>
      </c>
      <c r="M315" s="529" t="s">
        <v>1862</v>
      </c>
      <c r="N315" s="529" t="s">
        <v>804</v>
      </c>
      <c r="O315" s="529" t="s">
        <v>577</v>
      </c>
      <c r="P315" s="529" t="s">
        <v>1863</v>
      </c>
    </row>
    <row r="316" spans="1:16" x14ac:dyDescent="0.25">
      <c r="A316" s="529" t="s">
        <v>796</v>
      </c>
      <c r="B316" s="529" t="s">
        <v>797</v>
      </c>
      <c r="C316" s="808">
        <v>46216</v>
      </c>
      <c r="D316" s="809">
        <v>0.33001157407407</v>
      </c>
      <c r="E316" s="529" t="s">
        <v>1823</v>
      </c>
      <c r="F316" s="529" t="s">
        <v>851</v>
      </c>
      <c r="G316" s="529" t="s">
        <v>800</v>
      </c>
      <c r="H316" s="810">
        <v>20</v>
      </c>
      <c r="I316" s="811">
        <v>125008.4</v>
      </c>
      <c r="J316" s="529" t="s">
        <v>816</v>
      </c>
      <c r="K316" s="529" t="s">
        <v>802</v>
      </c>
      <c r="L316" s="529" t="s">
        <v>920</v>
      </c>
      <c r="M316" s="529" t="s">
        <v>1843</v>
      </c>
      <c r="N316" s="529" t="s">
        <v>804</v>
      </c>
      <c r="O316" s="529" t="s">
        <v>577</v>
      </c>
      <c r="P316" s="529" t="s">
        <v>1824</v>
      </c>
    </row>
    <row r="317" spans="1:16" x14ac:dyDescent="0.25">
      <c r="A317" s="529" t="s">
        <v>796</v>
      </c>
      <c r="B317" s="529" t="s">
        <v>797</v>
      </c>
      <c r="C317" s="808">
        <v>46216</v>
      </c>
      <c r="D317" s="809">
        <v>0.66196759259258997</v>
      </c>
      <c r="E317" s="529" t="s">
        <v>1866</v>
      </c>
      <c r="F317" s="529" t="s">
        <v>812</v>
      </c>
      <c r="G317" s="529" t="s">
        <v>800</v>
      </c>
      <c r="H317" s="810">
        <v>15</v>
      </c>
      <c r="I317" s="811">
        <v>95469.6</v>
      </c>
      <c r="J317" s="529" t="s">
        <v>801</v>
      </c>
      <c r="K317" s="529" t="s">
        <v>802</v>
      </c>
      <c r="L317" s="529" t="s">
        <v>1144</v>
      </c>
      <c r="M317" s="529" t="s">
        <v>1867</v>
      </c>
      <c r="N317" s="529" t="s">
        <v>804</v>
      </c>
      <c r="O317" s="529" t="s">
        <v>577</v>
      </c>
      <c r="P317" s="529" t="s">
        <v>1868</v>
      </c>
    </row>
    <row r="318" spans="1:16" x14ac:dyDescent="0.25">
      <c r="A318" s="529" t="s">
        <v>796</v>
      </c>
      <c r="B318" s="529" t="s">
        <v>797</v>
      </c>
      <c r="C318" s="808">
        <v>46216</v>
      </c>
      <c r="D318" s="809">
        <v>0.98951388888889003</v>
      </c>
      <c r="E318" s="529" t="s">
        <v>1864</v>
      </c>
      <c r="F318" s="529" t="s">
        <v>812</v>
      </c>
      <c r="G318" s="529" t="s">
        <v>800</v>
      </c>
      <c r="H318" s="810">
        <v>15</v>
      </c>
      <c r="I318" s="811">
        <v>95469.6</v>
      </c>
      <c r="J318" s="529" t="s">
        <v>801</v>
      </c>
      <c r="K318" s="529" t="s">
        <v>802</v>
      </c>
      <c r="L318" s="529" t="s">
        <v>857</v>
      </c>
      <c r="M318" s="529" t="s">
        <v>1897</v>
      </c>
      <c r="N318" s="529" t="s">
        <v>804</v>
      </c>
      <c r="O318" s="529" t="s">
        <v>577</v>
      </c>
      <c r="P318" s="529" t="s">
        <v>1865</v>
      </c>
    </row>
    <row r="319" spans="1:16" x14ac:dyDescent="0.25">
      <c r="A319" s="529" t="s">
        <v>796</v>
      </c>
      <c r="B319" s="529" t="s">
        <v>797</v>
      </c>
      <c r="C319" s="808">
        <v>46216</v>
      </c>
      <c r="D319" s="809">
        <v>0.32263888888888997</v>
      </c>
      <c r="E319" s="529" t="s">
        <v>1825</v>
      </c>
      <c r="F319" s="529" t="s">
        <v>812</v>
      </c>
      <c r="G319" s="529" t="s">
        <v>800</v>
      </c>
      <c r="H319" s="810">
        <v>30</v>
      </c>
      <c r="I319" s="811">
        <v>190939.2</v>
      </c>
      <c r="J319" s="529" t="s">
        <v>801</v>
      </c>
      <c r="K319" s="529" t="s">
        <v>802</v>
      </c>
      <c r="L319" s="529" t="s">
        <v>1406</v>
      </c>
      <c r="M319" s="529" t="s">
        <v>1844</v>
      </c>
      <c r="N319" s="529" t="s">
        <v>804</v>
      </c>
      <c r="O319" s="529" t="s">
        <v>577</v>
      </c>
      <c r="P319" s="529" t="s">
        <v>1826</v>
      </c>
    </row>
    <row r="320" spans="1:16" x14ac:dyDescent="0.25">
      <c r="A320" s="529" t="s">
        <v>796</v>
      </c>
      <c r="B320" s="529" t="s">
        <v>797</v>
      </c>
      <c r="C320" s="808">
        <v>46216</v>
      </c>
      <c r="D320" s="809">
        <v>0.32277777777778</v>
      </c>
      <c r="E320" s="529" t="s">
        <v>1827</v>
      </c>
      <c r="F320" s="529" t="s">
        <v>957</v>
      </c>
      <c r="G320" s="529" t="s">
        <v>800</v>
      </c>
      <c r="H320" s="810">
        <v>30</v>
      </c>
      <c r="I320" s="811">
        <v>185807.7</v>
      </c>
      <c r="J320" s="529" t="s">
        <v>816</v>
      </c>
      <c r="K320" s="529" t="s">
        <v>802</v>
      </c>
      <c r="L320" s="529" t="s">
        <v>1406</v>
      </c>
      <c r="M320" s="529" t="s">
        <v>1845</v>
      </c>
      <c r="N320" s="529" t="s">
        <v>804</v>
      </c>
      <c r="O320" s="529" t="s">
        <v>577</v>
      </c>
      <c r="P320" s="529" t="s">
        <v>1828</v>
      </c>
    </row>
    <row r="321" spans="1:16" x14ac:dyDescent="0.25">
      <c r="A321" s="529" t="s">
        <v>796</v>
      </c>
      <c r="B321" s="529" t="s">
        <v>797</v>
      </c>
      <c r="C321" s="808">
        <v>46216</v>
      </c>
      <c r="D321" s="809">
        <v>0.66219907407406997</v>
      </c>
      <c r="E321" s="529" t="s">
        <v>1871</v>
      </c>
      <c r="F321" s="529" t="s">
        <v>957</v>
      </c>
      <c r="G321" s="529" t="s">
        <v>800</v>
      </c>
      <c r="H321" s="810">
        <v>20</v>
      </c>
      <c r="I321" s="811">
        <v>123871.8</v>
      </c>
      <c r="J321" s="529" t="s">
        <v>816</v>
      </c>
      <c r="K321" s="529" t="s">
        <v>802</v>
      </c>
      <c r="L321" s="529" t="s">
        <v>1144</v>
      </c>
      <c r="M321" s="529" t="s">
        <v>1872</v>
      </c>
      <c r="N321" s="529" t="s">
        <v>804</v>
      </c>
      <c r="O321" s="529" t="s">
        <v>577</v>
      </c>
      <c r="P321" s="529" t="s">
        <v>1873</v>
      </c>
    </row>
    <row r="322" spans="1:16" x14ac:dyDescent="0.25">
      <c r="A322" s="529" t="s">
        <v>796</v>
      </c>
      <c r="B322" s="529" t="s">
        <v>797</v>
      </c>
      <c r="C322" s="808">
        <v>46216</v>
      </c>
      <c r="D322" s="809">
        <v>0.98997685185185003</v>
      </c>
      <c r="E322" s="529" t="s">
        <v>1869</v>
      </c>
      <c r="F322" s="529" t="s">
        <v>957</v>
      </c>
      <c r="G322" s="529" t="s">
        <v>800</v>
      </c>
      <c r="H322" s="810">
        <v>25</v>
      </c>
      <c r="I322" s="811">
        <v>154839.75</v>
      </c>
      <c r="J322" s="529" t="s">
        <v>816</v>
      </c>
      <c r="K322" s="529" t="s">
        <v>802</v>
      </c>
      <c r="L322" s="529" t="s">
        <v>857</v>
      </c>
      <c r="M322" s="529" t="s">
        <v>1898</v>
      </c>
      <c r="N322" s="529" t="s">
        <v>804</v>
      </c>
      <c r="O322" s="529" t="s">
        <v>577</v>
      </c>
      <c r="P322" s="529" t="s">
        <v>1870</v>
      </c>
    </row>
    <row r="323" spans="1:16" x14ac:dyDescent="0.25">
      <c r="A323" s="529" t="s">
        <v>796</v>
      </c>
      <c r="B323" s="529" t="s">
        <v>797</v>
      </c>
      <c r="C323" s="808">
        <v>46216</v>
      </c>
      <c r="D323" s="809">
        <v>0.33028935185184999</v>
      </c>
      <c r="E323" s="529" t="s">
        <v>1831</v>
      </c>
      <c r="F323" s="529" t="s">
        <v>815</v>
      </c>
      <c r="G323" s="529" t="s">
        <v>800</v>
      </c>
      <c r="H323" s="810">
        <v>25</v>
      </c>
      <c r="I323" s="811">
        <v>156058.75</v>
      </c>
      <c r="J323" s="529" t="s">
        <v>816</v>
      </c>
      <c r="K323" s="529" t="s">
        <v>802</v>
      </c>
      <c r="L323" s="529" t="s">
        <v>920</v>
      </c>
      <c r="M323" s="529" t="s">
        <v>1846</v>
      </c>
      <c r="N323" s="529" t="s">
        <v>804</v>
      </c>
      <c r="O323" s="529" t="s">
        <v>577</v>
      </c>
      <c r="P323" s="529" t="s">
        <v>1832</v>
      </c>
    </row>
    <row r="324" spans="1:16" x14ac:dyDescent="0.25">
      <c r="A324" s="529" t="s">
        <v>796</v>
      </c>
      <c r="B324" s="529" t="s">
        <v>797</v>
      </c>
      <c r="C324" s="808">
        <v>46216</v>
      </c>
      <c r="D324" s="809">
        <v>0.32292824074074</v>
      </c>
      <c r="E324" s="529" t="s">
        <v>1829</v>
      </c>
      <c r="F324" s="529" t="s">
        <v>815</v>
      </c>
      <c r="G324" s="529" t="s">
        <v>800</v>
      </c>
      <c r="H324" s="810">
        <v>25</v>
      </c>
      <c r="I324" s="811">
        <v>156058.75</v>
      </c>
      <c r="J324" s="529" t="s">
        <v>816</v>
      </c>
      <c r="K324" s="529" t="s">
        <v>802</v>
      </c>
      <c r="L324" s="529" t="s">
        <v>1406</v>
      </c>
      <c r="M324" s="529" t="s">
        <v>1847</v>
      </c>
      <c r="N324" s="529" t="s">
        <v>804</v>
      </c>
      <c r="O324" s="529" t="s">
        <v>577</v>
      </c>
      <c r="P324" s="529" t="s">
        <v>1830</v>
      </c>
    </row>
    <row r="325" spans="1:16" x14ac:dyDescent="0.25">
      <c r="A325" s="529" t="s">
        <v>796</v>
      </c>
      <c r="B325" s="529" t="s">
        <v>797</v>
      </c>
      <c r="C325" s="808">
        <v>46216</v>
      </c>
      <c r="D325" s="809">
        <v>0.66344907407407006</v>
      </c>
      <c r="E325" s="529" t="s">
        <v>1874</v>
      </c>
      <c r="F325" s="529" t="s">
        <v>815</v>
      </c>
      <c r="G325" s="529" t="s">
        <v>800</v>
      </c>
      <c r="H325" s="810">
        <v>20</v>
      </c>
      <c r="I325" s="811">
        <v>124847</v>
      </c>
      <c r="J325" s="529" t="s">
        <v>816</v>
      </c>
      <c r="K325" s="529" t="s">
        <v>802</v>
      </c>
      <c r="L325" s="529" t="s">
        <v>1144</v>
      </c>
      <c r="M325" s="529" t="s">
        <v>1875</v>
      </c>
      <c r="N325" s="529" t="s">
        <v>804</v>
      </c>
      <c r="O325" s="529" t="s">
        <v>577</v>
      </c>
      <c r="P325" s="529" t="s">
        <v>1876</v>
      </c>
    </row>
    <row r="326" spans="1:16" x14ac:dyDescent="0.25">
      <c r="A326" s="529" t="s">
        <v>796</v>
      </c>
      <c r="B326" s="529" t="s">
        <v>797</v>
      </c>
      <c r="C326" s="808">
        <v>46216</v>
      </c>
      <c r="D326" s="809">
        <v>0.84894675925926</v>
      </c>
      <c r="E326" s="529" t="s">
        <v>1877</v>
      </c>
      <c r="F326" s="529" t="s">
        <v>815</v>
      </c>
      <c r="G326" s="529" t="s">
        <v>800</v>
      </c>
      <c r="H326" s="810">
        <v>20</v>
      </c>
      <c r="I326" s="811">
        <v>124847</v>
      </c>
      <c r="J326" s="529" t="s">
        <v>816</v>
      </c>
      <c r="K326" s="529" t="s">
        <v>802</v>
      </c>
      <c r="L326" s="529" t="s">
        <v>1406</v>
      </c>
      <c r="M326" s="529" t="s">
        <v>1878</v>
      </c>
      <c r="N326" s="529" t="s">
        <v>804</v>
      </c>
      <c r="O326" s="529" t="s">
        <v>577</v>
      </c>
      <c r="P326" s="529" t="s">
        <v>1879</v>
      </c>
    </row>
    <row r="327" spans="1:16" x14ac:dyDescent="0.25">
      <c r="A327" s="529" t="s">
        <v>796</v>
      </c>
      <c r="B327" s="529" t="s">
        <v>797</v>
      </c>
      <c r="C327" s="808">
        <v>46216</v>
      </c>
      <c r="D327" s="809">
        <v>0.66172453703704004</v>
      </c>
      <c r="E327" s="529" t="s">
        <v>1883</v>
      </c>
      <c r="F327" s="529" t="s">
        <v>821</v>
      </c>
      <c r="G327" s="529" t="s">
        <v>800</v>
      </c>
      <c r="H327" s="810">
        <v>4</v>
      </c>
      <c r="I327" s="811">
        <v>25905.72</v>
      </c>
      <c r="J327" s="529" t="s">
        <v>801</v>
      </c>
      <c r="K327" s="529" t="s">
        <v>802</v>
      </c>
      <c r="L327" s="529" t="s">
        <v>1144</v>
      </c>
      <c r="M327" s="529" t="s">
        <v>1884</v>
      </c>
      <c r="N327" s="529" t="s">
        <v>804</v>
      </c>
      <c r="O327" s="529" t="s">
        <v>577</v>
      </c>
      <c r="P327" s="529" t="s">
        <v>1885</v>
      </c>
    </row>
    <row r="328" spans="1:16" x14ac:dyDescent="0.25">
      <c r="A328" s="529" t="s">
        <v>796</v>
      </c>
      <c r="B328" s="529" t="s">
        <v>797</v>
      </c>
      <c r="C328" s="808">
        <v>46216</v>
      </c>
      <c r="D328" s="809">
        <v>0.32966435185185</v>
      </c>
      <c r="E328" s="529" t="s">
        <v>1833</v>
      </c>
      <c r="F328" s="529" t="s">
        <v>821</v>
      </c>
      <c r="G328" s="529" t="s">
        <v>800</v>
      </c>
      <c r="H328" s="810">
        <v>47</v>
      </c>
      <c r="I328" s="811">
        <v>304392.21000000002</v>
      </c>
      <c r="J328" s="529" t="s">
        <v>801</v>
      </c>
      <c r="K328" s="529" t="s">
        <v>802</v>
      </c>
      <c r="L328" s="529" t="s">
        <v>1406</v>
      </c>
      <c r="M328" s="529" t="s">
        <v>1848</v>
      </c>
      <c r="N328" s="529" t="s">
        <v>804</v>
      </c>
      <c r="O328" s="529" t="s">
        <v>577</v>
      </c>
      <c r="P328" s="529" t="s">
        <v>1834</v>
      </c>
    </row>
    <row r="329" spans="1:16" x14ac:dyDescent="0.25">
      <c r="A329" s="529" t="s">
        <v>796</v>
      </c>
      <c r="B329" s="529" t="s">
        <v>797</v>
      </c>
      <c r="C329" s="808">
        <v>46216</v>
      </c>
      <c r="D329" s="809">
        <v>0.80072916666667004</v>
      </c>
      <c r="E329" s="529" t="s">
        <v>1880</v>
      </c>
      <c r="F329" s="529" t="s">
        <v>821</v>
      </c>
      <c r="G329" s="529" t="s">
        <v>800</v>
      </c>
      <c r="H329" s="810">
        <v>12</v>
      </c>
      <c r="I329" s="811">
        <v>77717.16</v>
      </c>
      <c r="J329" s="529" t="s">
        <v>801</v>
      </c>
      <c r="K329" s="529" t="s">
        <v>802</v>
      </c>
      <c r="L329" s="529" t="s">
        <v>1144</v>
      </c>
      <c r="M329" s="529" t="s">
        <v>1881</v>
      </c>
      <c r="N329" s="529" t="s">
        <v>804</v>
      </c>
      <c r="O329" s="529" t="s">
        <v>577</v>
      </c>
      <c r="P329" s="529" t="s">
        <v>1882</v>
      </c>
    </row>
    <row r="330" spans="1:16" x14ac:dyDescent="0.25">
      <c r="A330" s="529" t="s">
        <v>796</v>
      </c>
      <c r="B330" s="529" t="s">
        <v>797</v>
      </c>
      <c r="C330" s="808">
        <v>46216</v>
      </c>
      <c r="D330" s="809">
        <v>0.84853009259259005</v>
      </c>
      <c r="E330" s="529" t="s">
        <v>1886</v>
      </c>
      <c r="F330" s="529" t="s">
        <v>829</v>
      </c>
      <c r="G330" s="529" t="s">
        <v>800</v>
      </c>
      <c r="H330" s="810">
        <v>10</v>
      </c>
      <c r="I330" s="811">
        <v>64912.3</v>
      </c>
      <c r="J330" s="529" t="s">
        <v>816</v>
      </c>
      <c r="K330" s="529" t="s">
        <v>802</v>
      </c>
      <c r="L330" s="529" t="s">
        <v>1406</v>
      </c>
      <c r="M330" s="529" t="s">
        <v>1887</v>
      </c>
      <c r="N330" s="529" t="s">
        <v>804</v>
      </c>
      <c r="O330" s="529" t="s">
        <v>577</v>
      </c>
      <c r="P330" s="529" t="s">
        <v>1888</v>
      </c>
    </row>
    <row r="331" spans="1:16" x14ac:dyDescent="0.25">
      <c r="A331" s="529" t="s">
        <v>796</v>
      </c>
      <c r="B331" s="529" t="s">
        <v>797</v>
      </c>
      <c r="C331" s="808">
        <v>46216</v>
      </c>
      <c r="D331" s="809">
        <v>0.84866898148147996</v>
      </c>
      <c r="E331" s="529" t="s">
        <v>1889</v>
      </c>
      <c r="F331" s="529" t="s">
        <v>981</v>
      </c>
      <c r="G331" s="529" t="s">
        <v>800</v>
      </c>
      <c r="H331" s="810">
        <v>30</v>
      </c>
      <c r="I331" s="811">
        <v>194841.60000000001</v>
      </c>
      <c r="J331" s="529" t="s">
        <v>801</v>
      </c>
      <c r="K331" s="529" t="s">
        <v>802</v>
      </c>
      <c r="L331" s="529" t="s">
        <v>1406</v>
      </c>
      <c r="M331" s="529" t="s">
        <v>1890</v>
      </c>
      <c r="N331" s="529" t="s">
        <v>804</v>
      </c>
      <c r="O331" s="529" t="s">
        <v>577</v>
      </c>
      <c r="P331" s="529" t="s">
        <v>1891</v>
      </c>
    </row>
    <row r="332" spans="1:16" x14ac:dyDescent="0.25">
      <c r="A332" s="529" t="s">
        <v>796</v>
      </c>
      <c r="B332" s="529" t="s">
        <v>797</v>
      </c>
      <c r="C332" s="808">
        <v>46216</v>
      </c>
      <c r="D332" s="809">
        <v>0.32980324074074002</v>
      </c>
      <c r="E332" s="529" t="s">
        <v>1835</v>
      </c>
      <c r="F332" s="529" t="s">
        <v>877</v>
      </c>
      <c r="G332" s="529" t="s">
        <v>800</v>
      </c>
      <c r="H332" s="810">
        <v>20</v>
      </c>
      <c r="I332" s="811">
        <v>128740.8</v>
      </c>
      <c r="J332" s="529" t="s">
        <v>816</v>
      </c>
      <c r="K332" s="529" t="s">
        <v>802</v>
      </c>
      <c r="L332" s="529" t="s">
        <v>1406</v>
      </c>
      <c r="M332" s="529" t="s">
        <v>1849</v>
      </c>
      <c r="N332" s="529" t="s">
        <v>804</v>
      </c>
      <c r="O332" s="529" t="s">
        <v>577</v>
      </c>
      <c r="P332" s="529" t="s">
        <v>1836</v>
      </c>
    </row>
    <row r="333" spans="1:16" x14ac:dyDescent="0.25">
      <c r="A333" s="529" t="s">
        <v>796</v>
      </c>
      <c r="B333" s="529" t="s">
        <v>797</v>
      </c>
      <c r="C333" s="808">
        <v>46216</v>
      </c>
      <c r="D333" s="809">
        <v>0.99052083333332996</v>
      </c>
      <c r="E333" s="529" t="s">
        <v>1892</v>
      </c>
      <c r="F333" s="529" t="s">
        <v>832</v>
      </c>
      <c r="G333" s="529" t="s">
        <v>800</v>
      </c>
      <c r="H333" s="810">
        <v>13</v>
      </c>
      <c r="I333" s="811">
        <v>86043.1</v>
      </c>
      <c r="J333" s="529" t="s">
        <v>816</v>
      </c>
      <c r="K333" s="529" t="s">
        <v>802</v>
      </c>
      <c r="L333" s="529" t="s">
        <v>857</v>
      </c>
      <c r="M333" s="529" t="s">
        <v>1899</v>
      </c>
      <c r="N333" s="529" t="s">
        <v>804</v>
      </c>
      <c r="O333" s="529" t="s">
        <v>577</v>
      </c>
      <c r="P333" s="529" t="s">
        <v>1893</v>
      </c>
    </row>
    <row r="334" spans="1:16" x14ac:dyDescent="0.25">
      <c r="A334" s="529" t="s">
        <v>796</v>
      </c>
      <c r="B334" s="529" t="s">
        <v>797</v>
      </c>
      <c r="C334" s="808">
        <v>46216</v>
      </c>
      <c r="D334" s="809">
        <v>0.33015046296296002</v>
      </c>
      <c r="E334" s="529" t="s">
        <v>1837</v>
      </c>
      <c r="F334" s="529" t="s">
        <v>832</v>
      </c>
      <c r="G334" s="529" t="s">
        <v>800</v>
      </c>
      <c r="H334" s="810">
        <v>5</v>
      </c>
      <c r="I334" s="811">
        <v>33093.5</v>
      </c>
      <c r="J334" s="529" t="s">
        <v>816</v>
      </c>
      <c r="K334" s="529" t="s">
        <v>802</v>
      </c>
      <c r="L334" s="529" t="s">
        <v>1406</v>
      </c>
      <c r="M334" s="529" t="s">
        <v>1850</v>
      </c>
      <c r="N334" s="529" t="s">
        <v>804</v>
      </c>
      <c r="O334" s="529" t="s">
        <v>577</v>
      </c>
      <c r="P334" s="529" t="s">
        <v>1838</v>
      </c>
    </row>
    <row r="335" spans="1:16" x14ac:dyDescent="0.25">
      <c r="A335" s="529" t="s">
        <v>796</v>
      </c>
      <c r="B335" s="529" t="s">
        <v>797</v>
      </c>
      <c r="C335" s="808">
        <v>46216</v>
      </c>
      <c r="D335" s="809">
        <v>0.32990740740740998</v>
      </c>
      <c r="E335" s="529" t="s">
        <v>1839</v>
      </c>
      <c r="F335" s="529" t="s">
        <v>841</v>
      </c>
      <c r="G335" s="529" t="s">
        <v>800</v>
      </c>
      <c r="H335" s="810">
        <v>6</v>
      </c>
      <c r="I335" s="811">
        <v>41626.980000000003</v>
      </c>
      <c r="J335" s="529" t="s">
        <v>801</v>
      </c>
      <c r="K335" s="529" t="s">
        <v>802</v>
      </c>
      <c r="L335" s="529" t="s">
        <v>1406</v>
      </c>
      <c r="M335" s="529" t="s">
        <v>1851</v>
      </c>
      <c r="N335" s="529" t="s">
        <v>804</v>
      </c>
      <c r="O335" s="529" t="s">
        <v>577</v>
      </c>
      <c r="P335" s="529" t="s">
        <v>1840</v>
      </c>
    </row>
    <row r="336" spans="1:16" x14ac:dyDescent="0.25">
      <c r="A336" s="529" t="s">
        <v>796</v>
      </c>
      <c r="B336" s="529" t="s">
        <v>797</v>
      </c>
      <c r="C336" s="808">
        <v>46217</v>
      </c>
      <c r="D336" s="809">
        <v>0.54923611111111004</v>
      </c>
      <c r="E336" s="529" t="s">
        <v>1910</v>
      </c>
      <c r="F336" s="529" t="s">
        <v>919</v>
      </c>
      <c r="G336" s="529" t="s">
        <v>800</v>
      </c>
      <c r="H336" s="810">
        <v>20</v>
      </c>
      <c r="I336" s="811">
        <v>120721.2</v>
      </c>
      <c r="J336" s="529" t="s">
        <v>816</v>
      </c>
      <c r="K336" s="529" t="s">
        <v>802</v>
      </c>
      <c r="L336" s="529" t="s">
        <v>1406</v>
      </c>
      <c r="M336" s="529" t="s">
        <v>1911</v>
      </c>
      <c r="N336" s="529" t="s">
        <v>804</v>
      </c>
      <c r="O336" s="529" t="s">
        <v>577</v>
      </c>
      <c r="P336" s="529" t="s">
        <v>1912</v>
      </c>
    </row>
    <row r="337" spans="1:16" x14ac:dyDescent="0.25">
      <c r="A337" s="529" t="s">
        <v>796</v>
      </c>
      <c r="B337" s="529" t="s">
        <v>797</v>
      </c>
      <c r="C337" s="808">
        <v>46217</v>
      </c>
      <c r="D337" s="809">
        <v>0.93781250000000005</v>
      </c>
      <c r="E337" s="529" t="s">
        <v>1907</v>
      </c>
      <c r="F337" s="529" t="s">
        <v>919</v>
      </c>
      <c r="G337" s="529" t="s">
        <v>800</v>
      </c>
      <c r="H337" s="810">
        <v>70</v>
      </c>
      <c r="I337" s="811">
        <v>422524.2</v>
      </c>
      <c r="J337" s="529" t="s">
        <v>816</v>
      </c>
      <c r="K337" s="529" t="s">
        <v>802</v>
      </c>
      <c r="L337" s="529" t="s">
        <v>1406</v>
      </c>
      <c r="M337" s="529" t="s">
        <v>1908</v>
      </c>
      <c r="N337" s="529" t="s">
        <v>804</v>
      </c>
      <c r="O337" s="529" t="s">
        <v>577</v>
      </c>
      <c r="P337" s="529" t="s">
        <v>1909</v>
      </c>
    </row>
    <row r="338" spans="1:16" x14ac:dyDescent="0.25">
      <c r="A338" s="529" t="s">
        <v>796</v>
      </c>
      <c r="B338" s="529" t="s">
        <v>797</v>
      </c>
      <c r="C338" s="808">
        <v>46217</v>
      </c>
      <c r="D338" s="809">
        <v>0.41722222222222</v>
      </c>
      <c r="E338" s="529" t="s">
        <v>1916</v>
      </c>
      <c r="F338" s="529" t="s">
        <v>919</v>
      </c>
      <c r="G338" s="529" t="s">
        <v>800</v>
      </c>
      <c r="H338" s="810">
        <v>10</v>
      </c>
      <c r="I338" s="811">
        <v>60360.6</v>
      </c>
      <c r="J338" s="529" t="s">
        <v>816</v>
      </c>
      <c r="K338" s="529" t="s">
        <v>802</v>
      </c>
      <c r="L338" s="529" t="s">
        <v>857</v>
      </c>
      <c r="M338" s="529" t="s">
        <v>1917</v>
      </c>
      <c r="N338" s="529" t="s">
        <v>804</v>
      </c>
      <c r="O338" s="529" t="s">
        <v>577</v>
      </c>
      <c r="P338" s="529" t="s">
        <v>1918</v>
      </c>
    </row>
    <row r="339" spans="1:16" x14ac:dyDescent="0.25">
      <c r="A339" s="529" t="s">
        <v>796</v>
      </c>
      <c r="B339" s="529" t="s">
        <v>797</v>
      </c>
      <c r="C339" s="808">
        <v>46217</v>
      </c>
      <c r="D339" s="809">
        <v>0.28482638888889</v>
      </c>
      <c r="E339" s="529" t="s">
        <v>1913</v>
      </c>
      <c r="F339" s="529" t="s">
        <v>919</v>
      </c>
      <c r="G339" s="529" t="s">
        <v>800</v>
      </c>
      <c r="H339" s="810">
        <v>15</v>
      </c>
      <c r="I339" s="811">
        <v>90540.9</v>
      </c>
      <c r="J339" s="529" t="s">
        <v>816</v>
      </c>
      <c r="K339" s="529" t="s">
        <v>802</v>
      </c>
      <c r="L339" s="529" t="s">
        <v>848</v>
      </c>
      <c r="M339" s="529" t="s">
        <v>1914</v>
      </c>
      <c r="N339" s="529" t="s">
        <v>804</v>
      </c>
      <c r="O339" s="529" t="s">
        <v>577</v>
      </c>
      <c r="P339" s="529" t="s">
        <v>1915</v>
      </c>
    </row>
    <row r="340" spans="1:16" x14ac:dyDescent="0.25">
      <c r="A340" s="529" t="s">
        <v>796</v>
      </c>
      <c r="B340" s="529" t="s">
        <v>797</v>
      </c>
      <c r="C340" s="808">
        <v>46217</v>
      </c>
      <c r="D340" s="809">
        <v>0.33700231481481002</v>
      </c>
      <c r="E340" s="529" t="s">
        <v>1919</v>
      </c>
      <c r="F340" s="529" t="s">
        <v>919</v>
      </c>
      <c r="G340" s="529" t="s">
        <v>800</v>
      </c>
      <c r="H340" s="810">
        <v>32</v>
      </c>
      <c r="I340" s="811">
        <v>193153.92000000001</v>
      </c>
      <c r="J340" s="529" t="s">
        <v>816</v>
      </c>
      <c r="K340" s="529" t="s">
        <v>802</v>
      </c>
      <c r="L340" s="529" t="s">
        <v>920</v>
      </c>
      <c r="M340" s="529" t="s">
        <v>1920</v>
      </c>
      <c r="N340" s="529" t="s">
        <v>804</v>
      </c>
      <c r="O340" s="529" t="s">
        <v>577</v>
      </c>
      <c r="P340" s="529" t="s">
        <v>1921</v>
      </c>
    </row>
    <row r="341" spans="1:16" x14ac:dyDescent="0.25">
      <c r="A341" s="529" t="s">
        <v>796</v>
      </c>
      <c r="B341" s="529" t="s">
        <v>797</v>
      </c>
      <c r="C341" s="808">
        <v>46217</v>
      </c>
      <c r="D341" s="809">
        <v>0.33760416666666998</v>
      </c>
      <c r="E341" s="529" t="s">
        <v>1928</v>
      </c>
      <c r="F341" s="529" t="s">
        <v>799</v>
      </c>
      <c r="G341" s="529" t="s">
        <v>800</v>
      </c>
      <c r="H341" s="810">
        <v>40</v>
      </c>
      <c r="I341" s="811">
        <v>243810.4</v>
      </c>
      <c r="J341" s="529" t="s">
        <v>801</v>
      </c>
      <c r="K341" s="529" t="s">
        <v>802</v>
      </c>
      <c r="L341" s="529" t="s">
        <v>920</v>
      </c>
      <c r="M341" s="529" t="s">
        <v>1929</v>
      </c>
      <c r="N341" s="529" t="s">
        <v>804</v>
      </c>
      <c r="O341" s="529" t="s">
        <v>577</v>
      </c>
      <c r="P341" s="529" t="s">
        <v>1930</v>
      </c>
    </row>
    <row r="342" spans="1:16" x14ac:dyDescent="0.25">
      <c r="A342" s="529" t="s">
        <v>796</v>
      </c>
      <c r="B342" s="529" t="s">
        <v>797</v>
      </c>
      <c r="C342" s="808">
        <v>46217</v>
      </c>
      <c r="D342" s="809">
        <v>0.84186342592593</v>
      </c>
      <c r="E342" s="529" t="s">
        <v>1922</v>
      </c>
      <c r="F342" s="529" t="s">
        <v>799</v>
      </c>
      <c r="G342" s="529" t="s">
        <v>800</v>
      </c>
      <c r="H342" s="810">
        <v>25</v>
      </c>
      <c r="I342" s="811">
        <v>152381.5</v>
      </c>
      <c r="J342" s="529" t="s">
        <v>801</v>
      </c>
      <c r="K342" s="529" t="s">
        <v>802</v>
      </c>
      <c r="L342" s="529" t="s">
        <v>1144</v>
      </c>
      <c r="M342" s="529" t="s">
        <v>1923</v>
      </c>
      <c r="N342" s="529" t="s">
        <v>804</v>
      </c>
      <c r="O342" s="529" t="s">
        <v>577</v>
      </c>
      <c r="P342" s="529" t="s">
        <v>1924</v>
      </c>
    </row>
    <row r="343" spans="1:16" x14ac:dyDescent="0.25">
      <c r="A343" s="529" t="s">
        <v>796</v>
      </c>
      <c r="B343" s="529" t="s">
        <v>797</v>
      </c>
      <c r="C343" s="808">
        <v>46217</v>
      </c>
      <c r="D343" s="809">
        <v>0.54940972222221995</v>
      </c>
      <c r="E343" s="529" t="s">
        <v>1931</v>
      </c>
      <c r="F343" s="529" t="s">
        <v>799</v>
      </c>
      <c r="G343" s="529" t="s">
        <v>800</v>
      </c>
      <c r="H343" s="810">
        <v>20</v>
      </c>
      <c r="I343" s="811">
        <v>121905.2</v>
      </c>
      <c r="J343" s="529" t="s">
        <v>801</v>
      </c>
      <c r="K343" s="529" t="s">
        <v>802</v>
      </c>
      <c r="L343" s="529" t="s">
        <v>1406</v>
      </c>
      <c r="M343" s="529" t="s">
        <v>1932</v>
      </c>
      <c r="N343" s="529" t="s">
        <v>804</v>
      </c>
      <c r="O343" s="529" t="s">
        <v>577</v>
      </c>
      <c r="P343" s="529" t="s">
        <v>1933</v>
      </c>
    </row>
    <row r="344" spans="1:16" x14ac:dyDescent="0.25">
      <c r="A344" s="529" t="s">
        <v>796</v>
      </c>
      <c r="B344" s="529" t="s">
        <v>797</v>
      </c>
      <c r="C344" s="808">
        <v>46217</v>
      </c>
      <c r="D344" s="809">
        <v>0.28498842592592999</v>
      </c>
      <c r="E344" s="529" t="s">
        <v>1925</v>
      </c>
      <c r="F344" s="529" t="s">
        <v>799</v>
      </c>
      <c r="G344" s="529" t="s">
        <v>800</v>
      </c>
      <c r="H344" s="810">
        <v>30</v>
      </c>
      <c r="I344" s="811">
        <v>182857.8</v>
      </c>
      <c r="J344" s="529" t="s">
        <v>801</v>
      </c>
      <c r="K344" s="529" t="s">
        <v>802</v>
      </c>
      <c r="L344" s="529" t="s">
        <v>848</v>
      </c>
      <c r="M344" s="529" t="s">
        <v>1926</v>
      </c>
      <c r="N344" s="529" t="s">
        <v>804</v>
      </c>
      <c r="O344" s="529" t="s">
        <v>577</v>
      </c>
      <c r="P344" s="529" t="s">
        <v>1927</v>
      </c>
    </row>
    <row r="345" spans="1:16" x14ac:dyDescent="0.25">
      <c r="A345" s="529" t="s">
        <v>796</v>
      </c>
      <c r="B345" s="529" t="s">
        <v>797</v>
      </c>
      <c r="C345" s="808">
        <v>46217</v>
      </c>
      <c r="D345" s="809">
        <v>0.33686342592592999</v>
      </c>
      <c r="E345" s="529" t="s">
        <v>1934</v>
      </c>
      <c r="F345" s="529" t="s">
        <v>851</v>
      </c>
      <c r="G345" s="529" t="s">
        <v>800</v>
      </c>
      <c r="H345" s="810">
        <v>10</v>
      </c>
      <c r="I345" s="811">
        <v>62504.2</v>
      </c>
      <c r="J345" s="529" t="s">
        <v>816</v>
      </c>
      <c r="K345" s="529" t="s">
        <v>802</v>
      </c>
      <c r="L345" s="529" t="s">
        <v>920</v>
      </c>
      <c r="M345" s="529" t="s">
        <v>1935</v>
      </c>
      <c r="N345" s="529" t="s">
        <v>804</v>
      </c>
      <c r="O345" s="529" t="s">
        <v>577</v>
      </c>
      <c r="P345" s="529" t="s">
        <v>1936</v>
      </c>
    </row>
    <row r="346" spans="1:16" x14ac:dyDescent="0.25">
      <c r="A346" s="529" t="s">
        <v>796</v>
      </c>
      <c r="B346" s="529" t="s">
        <v>797</v>
      </c>
      <c r="C346" s="808">
        <v>46217</v>
      </c>
      <c r="D346" s="809">
        <v>0.84148148148148005</v>
      </c>
      <c r="E346" s="529" t="s">
        <v>1940</v>
      </c>
      <c r="F346" s="529" t="s">
        <v>812</v>
      </c>
      <c r="G346" s="529" t="s">
        <v>800</v>
      </c>
      <c r="H346" s="810">
        <v>10</v>
      </c>
      <c r="I346" s="811">
        <v>63646.400000000001</v>
      </c>
      <c r="J346" s="529" t="s">
        <v>801</v>
      </c>
      <c r="K346" s="529" t="s">
        <v>802</v>
      </c>
      <c r="L346" s="529" t="s">
        <v>1144</v>
      </c>
      <c r="M346" s="529" t="s">
        <v>1941</v>
      </c>
      <c r="N346" s="529" t="s">
        <v>804</v>
      </c>
      <c r="O346" s="529" t="s">
        <v>577</v>
      </c>
      <c r="P346" s="529" t="s">
        <v>1942</v>
      </c>
    </row>
    <row r="347" spans="1:16" x14ac:dyDescent="0.25">
      <c r="A347" s="529" t="s">
        <v>796</v>
      </c>
      <c r="B347" s="529" t="s">
        <v>797</v>
      </c>
      <c r="C347" s="808">
        <v>46217</v>
      </c>
      <c r="D347" s="809">
        <v>0.41680555555555998</v>
      </c>
      <c r="E347" s="529" t="s">
        <v>1937</v>
      </c>
      <c r="F347" s="529" t="s">
        <v>812</v>
      </c>
      <c r="G347" s="529" t="s">
        <v>800</v>
      </c>
      <c r="H347" s="810">
        <v>15</v>
      </c>
      <c r="I347" s="811">
        <v>95469.6</v>
      </c>
      <c r="J347" s="529" t="s">
        <v>801</v>
      </c>
      <c r="K347" s="529" t="s">
        <v>802</v>
      </c>
      <c r="L347" s="529" t="s">
        <v>857</v>
      </c>
      <c r="M347" s="529" t="s">
        <v>1938</v>
      </c>
      <c r="N347" s="529" t="s">
        <v>804</v>
      </c>
      <c r="O347" s="529" t="s">
        <v>577</v>
      </c>
      <c r="P347" s="529" t="s">
        <v>1939</v>
      </c>
    </row>
    <row r="348" spans="1:16" x14ac:dyDescent="0.25">
      <c r="A348" s="529" t="s">
        <v>796</v>
      </c>
      <c r="B348" s="529" t="s">
        <v>797</v>
      </c>
      <c r="C348" s="808">
        <v>46217</v>
      </c>
      <c r="D348" s="809">
        <v>0.65253472222221998</v>
      </c>
      <c r="E348" s="529" t="s">
        <v>1943</v>
      </c>
      <c r="F348" s="529" t="s">
        <v>864</v>
      </c>
      <c r="G348" s="529" t="s">
        <v>800</v>
      </c>
      <c r="H348" s="810">
        <v>20</v>
      </c>
      <c r="I348" s="811">
        <v>129985.2</v>
      </c>
      <c r="J348" s="529" t="s">
        <v>816</v>
      </c>
      <c r="K348" s="529" t="s">
        <v>802</v>
      </c>
      <c r="L348" s="529" t="s">
        <v>1144</v>
      </c>
      <c r="M348" s="529" t="s">
        <v>1944</v>
      </c>
      <c r="N348" s="529" t="s">
        <v>804</v>
      </c>
      <c r="O348" s="529" t="s">
        <v>577</v>
      </c>
      <c r="P348" s="529" t="s">
        <v>1945</v>
      </c>
    </row>
    <row r="349" spans="1:16" x14ac:dyDescent="0.25">
      <c r="A349" s="529" t="s">
        <v>796</v>
      </c>
      <c r="B349" s="529" t="s">
        <v>797</v>
      </c>
      <c r="C349" s="808">
        <v>46217</v>
      </c>
      <c r="D349" s="809">
        <v>0.84165509259258997</v>
      </c>
      <c r="E349" s="529" t="s">
        <v>1949</v>
      </c>
      <c r="F349" s="529" t="s">
        <v>957</v>
      </c>
      <c r="G349" s="529" t="s">
        <v>800</v>
      </c>
      <c r="H349" s="810">
        <v>10</v>
      </c>
      <c r="I349" s="811">
        <v>61935.9</v>
      </c>
      <c r="J349" s="529" t="s">
        <v>816</v>
      </c>
      <c r="K349" s="529" t="s">
        <v>802</v>
      </c>
      <c r="L349" s="529" t="s">
        <v>1144</v>
      </c>
      <c r="M349" s="529" t="s">
        <v>1950</v>
      </c>
      <c r="N349" s="529" t="s">
        <v>804</v>
      </c>
      <c r="O349" s="529" t="s">
        <v>577</v>
      </c>
      <c r="P349" s="529" t="s">
        <v>1951</v>
      </c>
    </row>
    <row r="350" spans="1:16" x14ac:dyDescent="0.25">
      <c r="A350" s="529" t="s">
        <v>796</v>
      </c>
      <c r="B350" s="529" t="s">
        <v>797</v>
      </c>
      <c r="C350" s="808">
        <v>46217</v>
      </c>
      <c r="D350" s="809">
        <v>0.41709490740741001</v>
      </c>
      <c r="E350" s="529" t="s">
        <v>1952</v>
      </c>
      <c r="F350" s="529" t="s">
        <v>957</v>
      </c>
      <c r="G350" s="529" t="s">
        <v>800</v>
      </c>
      <c r="H350" s="810">
        <v>5</v>
      </c>
      <c r="I350" s="811">
        <v>30967.95</v>
      </c>
      <c r="J350" s="529" t="s">
        <v>816</v>
      </c>
      <c r="K350" s="529" t="s">
        <v>802</v>
      </c>
      <c r="L350" s="529" t="s">
        <v>857</v>
      </c>
      <c r="M350" s="529" t="s">
        <v>1953</v>
      </c>
      <c r="N350" s="529" t="s">
        <v>804</v>
      </c>
      <c r="O350" s="529" t="s">
        <v>577</v>
      </c>
      <c r="P350" s="529" t="s">
        <v>1954</v>
      </c>
    </row>
    <row r="351" spans="1:16" x14ac:dyDescent="0.25">
      <c r="A351" s="529" t="s">
        <v>796</v>
      </c>
      <c r="B351" s="529" t="s">
        <v>797</v>
      </c>
      <c r="C351" s="808">
        <v>46217</v>
      </c>
      <c r="D351" s="809">
        <v>0.54908564814814997</v>
      </c>
      <c r="E351" s="529" t="s">
        <v>1955</v>
      </c>
      <c r="F351" s="529" t="s">
        <v>957</v>
      </c>
      <c r="G351" s="529" t="s">
        <v>800</v>
      </c>
      <c r="H351" s="810">
        <v>20</v>
      </c>
      <c r="I351" s="811">
        <v>123871.8</v>
      </c>
      <c r="J351" s="529" t="s">
        <v>816</v>
      </c>
      <c r="K351" s="529" t="s">
        <v>802</v>
      </c>
      <c r="L351" s="529" t="s">
        <v>1406</v>
      </c>
      <c r="M351" s="529" t="s">
        <v>1956</v>
      </c>
      <c r="N351" s="529" t="s">
        <v>804</v>
      </c>
      <c r="O351" s="529" t="s">
        <v>577</v>
      </c>
      <c r="P351" s="529" t="s">
        <v>1957</v>
      </c>
    </row>
    <row r="352" spans="1:16" x14ac:dyDescent="0.25">
      <c r="A352" s="529" t="s">
        <v>796</v>
      </c>
      <c r="B352" s="529" t="s">
        <v>797</v>
      </c>
      <c r="C352" s="808">
        <v>46217</v>
      </c>
      <c r="D352" s="809">
        <v>0.28465277777777998</v>
      </c>
      <c r="E352" s="529" t="s">
        <v>1958</v>
      </c>
      <c r="F352" s="529" t="s">
        <v>957</v>
      </c>
      <c r="G352" s="529" t="s">
        <v>800</v>
      </c>
      <c r="H352" s="810">
        <v>20</v>
      </c>
      <c r="I352" s="811">
        <v>123871.8</v>
      </c>
      <c r="J352" s="529" t="s">
        <v>816</v>
      </c>
      <c r="K352" s="529" t="s">
        <v>802</v>
      </c>
      <c r="L352" s="529" t="s">
        <v>848</v>
      </c>
      <c r="M352" s="529" t="s">
        <v>1959</v>
      </c>
      <c r="N352" s="529" t="s">
        <v>804</v>
      </c>
      <c r="O352" s="529" t="s">
        <v>577</v>
      </c>
      <c r="P352" s="529" t="s">
        <v>1960</v>
      </c>
    </row>
    <row r="353" spans="1:16" x14ac:dyDescent="0.25">
      <c r="A353" s="529" t="s">
        <v>796</v>
      </c>
      <c r="B353" s="529" t="s">
        <v>797</v>
      </c>
      <c r="C353" s="808">
        <v>46217</v>
      </c>
      <c r="D353" s="809">
        <v>0.65206018518519004</v>
      </c>
      <c r="E353" s="529" t="s">
        <v>1946</v>
      </c>
      <c r="F353" s="529" t="s">
        <v>957</v>
      </c>
      <c r="G353" s="529" t="s">
        <v>800</v>
      </c>
      <c r="H353" s="810">
        <v>30</v>
      </c>
      <c r="I353" s="811">
        <v>185807.7</v>
      </c>
      <c r="J353" s="529" t="s">
        <v>816</v>
      </c>
      <c r="K353" s="529" t="s">
        <v>802</v>
      </c>
      <c r="L353" s="529" t="s">
        <v>1144</v>
      </c>
      <c r="M353" s="529" t="s">
        <v>1947</v>
      </c>
      <c r="N353" s="529" t="s">
        <v>804</v>
      </c>
      <c r="O353" s="529" t="s">
        <v>577</v>
      </c>
      <c r="P353" s="529" t="s">
        <v>1948</v>
      </c>
    </row>
    <row r="354" spans="1:16" x14ac:dyDescent="0.25">
      <c r="A354" s="529" t="s">
        <v>796</v>
      </c>
      <c r="B354" s="529" t="s">
        <v>797</v>
      </c>
      <c r="C354" s="808">
        <v>46217</v>
      </c>
      <c r="D354" s="809">
        <v>0.93793981481481004</v>
      </c>
      <c r="E354" s="529" t="s">
        <v>1970</v>
      </c>
      <c r="F354" s="529" t="s">
        <v>815</v>
      </c>
      <c r="G354" s="529" t="s">
        <v>800</v>
      </c>
      <c r="H354" s="810">
        <v>25</v>
      </c>
      <c r="I354" s="811">
        <v>156058.75</v>
      </c>
      <c r="J354" s="529" t="s">
        <v>816</v>
      </c>
      <c r="K354" s="529" t="s">
        <v>802</v>
      </c>
      <c r="L354" s="529" t="s">
        <v>1406</v>
      </c>
      <c r="M354" s="529" t="s">
        <v>1971</v>
      </c>
      <c r="N354" s="529" t="s">
        <v>804</v>
      </c>
      <c r="O354" s="529" t="s">
        <v>577</v>
      </c>
      <c r="P354" s="529" t="s">
        <v>1972</v>
      </c>
    </row>
    <row r="355" spans="1:16" x14ac:dyDescent="0.25">
      <c r="A355" s="529" t="s">
        <v>796</v>
      </c>
      <c r="B355" s="529" t="s">
        <v>797</v>
      </c>
      <c r="C355" s="808">
        <v>46217</v>
      </c>
      <c r="D355" s="809">
        <v>0.41752314814815</v>
      </c>
      <c r="E355" s="529" t="s">
        <v>1961</v>
      </c>
      <c r="F355" s="529" t="s">
        <v>815</v>
      </c>
      <c r="G355" s="529" t="s">
        <v>800</v>
      </c>
      <c r="H355" s="810">
        <v>50</v>
      </c>
      <c r="I355" s="811">
        <v>312117.5</v>
      </c>
      <c r="J355" s="529" t="s">
        <v>816</v>
      </c>
      <c r="K355" s="529" t="s">
        <v>802</v>
      </c>
      <c r="L355" s="529" t="s">
        <v>857</v>
      </c>
      <c r="M355" s="529" t="s">
        <v>1962</v>
      </c>
      <c r="N355" s="529" t="s">
        <v>804</v>
      </c>
      <c r="O355" s="529" t="s">
        <v>577</v>
      </c>
      <c r="P355" s="529" t="s">
        <v>1963</v>
      </c>
    </row>
    <row r="356" spans="1:16" x14ac:dyDescent="0.25">
      <c r="A356" s="529" t="s">
        <v>796</v>
      </c>
      <c r="B356" s="529" t="s">
        <v>797</v>
      </c>
      <c r="C356" s="808">
        <v>46217</v>
      </c>
      <c r="D356" s="809">
        <v>0.65231481481481002</v>
      </c>
      <c r="E356" s="529" t="s">
        <v>1964</v>
      </c>
      <c r="F356" s="529" t="s">
        <v>815</v>
      </c>
      <c r="G356" s="529" t="s">
        <v>800</v>
      </c>
      <c r="H356" s="810">
        <v>20</v>
      </c>
      <c r="I356" s="811">
        <v>124847</v>
      </c>
      <c r="J356" s="529" t="s">
        <v>816</v>
      </c>
      <c r="K356" s="529" t="s">
        <v>802</v>
      </c>
      <c r="L356" s="529" t="s">
        <v>1144</v>
      </c>
      <c r="M356" s="529" t="s">
        <v>1965</v>
      </c>
      <c r="N356" s="529" t="s">
        <v>804</v>
      </c>
      <c r="O356" s="529" t="s">
        <v>577</v>
      </c>
      <c r="P356" s="529" t="s">
        <v>1966</v>
      </c>
    </row>
    <row r="357" spans="1:16" x14ac:dyDescent="0.25">
      <c r="A357" s="529" t="s">
        <v>796</v>
      </c>
      <c r="B357" s="529" t="s">
        <v>797</v>
      </c>
      <c r="C357" s="808">
        <v>46217</v>
      </c>
      <c r="D357" s="809">
        <v>0.33743055555556001</v>
      </c>
      <c r="E357" s="529" t="s">
        <v>1967</v>
      </c>
      <c r="F357" s="529" t="s">
        <v>815</v>
      </c>
      <c r="G357" s="529" t="s">
        <v>800</v>
      </c>
      <c r="H357" s="810">
        <v>20</v>
      </c>
      <c r="I357" s="811">
        <v>124847</v>
      </c>
      <c r="J357" s="529" t="s">
        <v>816</v>
      </c>
      <c r="K357" s="529" t="s">
        <v>802</v>
      </c>
      <c r="L357" s="529" t="s">
        <v>920</v>
      </c>
      <c r="M357" s="529" t="s">
        <v>1968</v>
      </c>
      <c r="N357" s="529" t="s">
        <v>804</v>
      </c>
      <c r="O357" s="529" t="s">
        <v>577</v>
      </c>
      <c r="P357" s="529" t="s">
        <v>1969</v>
      </c>
    </row>
    <row r="358" spans="1:16" x14ac:dyDescent="0.25">
      <c r="A358" s="529" t="s">
        <v>796</v>
      </c>
      <c r="B358" s="529" t="s">
        <v>797</v>
      </c>
      <c r="C358" s="808">
        <v>46217</v>
      </c>
      <c r="D358" s="809">
        <v>0.65182870370370005</v>
      </c>
      <c r="E358" s="529" t="s">
        <v>1973</v>
      </c>
      <c r="F358" s="529" t="s">
        <v>821</v>
      </c>
      <c r="G358" s="529" t="s">
        <v>800</v>
      </c>
      <c r="H358" s="810">
        <v>15</v>
      </c>
      <c r="I358" s="811">
        <v>97146.45</v>
      </c>
      <c r="J358" s="529" t="s">
        <v>801</v>
      </c>
      <c r="K358" s="529" t="s">
        <v>802</v>
      </c>
      <c r="L358" s="529" t="s">
        <v>1144</v>
      </c>
      <c r="M358" s="529" t="s">
        <v>1974</v>
      </c>
      <c r="N358" s="529" t="s">
        <v>804</v>
      </c>
      <c r="O358" s="529" t="s">
        <v>577</v>
      </c>
      <c r="P358" s="529" t="s">
        <v>1975</v>
      </c>
    </row>
    <row r="359" spans="1:16" x14ac:dyDescent="0.25">
      <c r="A359" s="529" t="s">
        <v>796</v>
      </c>
      <c r="B359" s="529" t="s">
        <v>797</v>
      </c>
      <c r="C359" s="808">
        <v>46217</v>
      </c>
      <c r="D359" s="809">
        <v>0.84129629629629998</v>
      </c>
      <c r="E359" s="529" t="s">
        <v>1976</v>
      </c>
      <c r="F359" s="529" t="s">
        <v>821</v>
      </c>
      <c r="G359" s="529" t="s">
        <v>800</v>
      </c>
      <c r="H359" s="810">
        <v>10</v>
      </c>
      <c r="I359" s="811">
        <v>64764.3</v>
      </c>
      <c r="J359" s="529" t="s">
        <v>801</v>
      </c>
      <c r="K359" s="529" t="s">
        <v>802</v>
      </c>
      <c r="L359" s="529" t="s">
        <v>1144</v>
      </c>
      <c r="M359" s="529" t="s">
        <v>1977</v>
      </c>
      <c r="N359" s="529" t="s">
        <v>804</v>
      </c>
      <c r="O359" s="529" t="s">
        <v>577</v>
      </c>
      <c r="P359" s="529" t="s">
        <v>1978</v>
      </c>
    </row>
    <row r="360" spans="1:16" x14ac:dyDescent="0.25">
      <c r="A360" s="529" t="s">
        <v>796</v>
      </c>
      <c r="B360" s="529" t="s">
        <v>797</v>
      </c>
      <c r="C360" s="808">
        <v>46217</v>
      </c>
      <c r="D360" s="809">
        <v>0.93767361111111003</v>
      </c>
      <c r="E360" s="529" t="s">
        <v>1979</v>
      </c>
      <c r="F360" s="529" t="s">
        <v>877</v>
      </c>
      <c r="G360" s="529" t="s">
        <v>800</v>
      </c>
      <c r="H360" s="810">
        <v>10</v>
      </c>
      <c r="I360" s="811">
        <v>64370.400000000001</v>
      </c>
      <c r="J360" s="529" t="s">
        <v>816</v>
      </c>
      <c r="K360" s="529" t="s">
        <v>802</v>
      </c>
      <c r="L360" s="529" t="s">
        <v>1406</v>
      </c>
      <c r="M360" s="529" t="s">
        <v>1980</v>
      </c>
      <c r="N360" s="529" t="s">
        <v>804</v>
      </c>
      <c r="O360" s="529" t="s">
        <v>577</v>
      </c>
      <c r="P360" s="529" t="s">
        <v>1981</v>
      </c>
    </row>
    <row r="361" spans="1:16" x14ac:dyDescent="0.25">
      <c r="A361" s="529" t="s">
        <v>796</v>
      </c>
      <c r="B361" s="529" t="s">
        <v>797</v>
      </c>
      <c r="C361" s="808">
        <v>46217</v>
      </c>
      <c r="D361" s="809">
        <v>0.41737268518519</v>
      </c>
      <c r="E361" s="529" t="s">
        <v>1982</v>
      </c>
      <c r="F361" s="529" t="s">
        <v>832</v>
      </c>
      <c r="G361" s="529" t="s">
        <v>800</v>
      </c>
      <c r="H361" s="810">
        <v>10</v>
      </c>
      <c r="I361" s="811">
        <v>66187</v>
      </c>
      <c r="J361" s="529" t="s">
        <v>816</v>
      </c>
      <c r="K361" s="529" t="s">
        <v>802</v>
      </c>
      <c r="L361" s="529" t="s">
        <v>857</v>
      </c>
      <c r="M361" s="529" t="s">
        <v>1983</v>
      </c>
      <c r="N361" s="529" t="s">
        <v>804</v>
      </c>
      <c r="O361" s="529" t="s">
        <v>577</v>
      </c>
      <c r="P361" s="529" t="s">
        <v>1984</v>
      </c>
    </row>
    <row r="362" spans="1:16" x14ac:dyDescent="0.25">
      <c r="A362" s="529" t="s">
        <v>796</v>
      </c>
      <c r="B362" s="529" t="s">
        <v>797</v>
      </c>
      <c r="C362" s="808">
        <v>46217</v>
      </c>
      <c r="D362" s="809">
        <v>0.84206018518518999</v>
      </c>
      <c r="E362" s="529" t="s">
        <v>1985</v>
      </c>
      <c r="F362" s="529" t="s">
        <v>832</v>
      </c>
      <c r="G362" s="529" t="s">
        <v>800</v>
      </c>
      <c r="H362" s="810">
        <v>5</v>
      </c>
      <c r="I362" s="811">
        <v>33093.5</v>
      </c>
      <c r="J362" s="529" t="s">
        <v>816</v>
      </c>
      <c r="K362" s="529" t="s">
        <v>802</v>
      </c>
      <c r="L362" s="529" t="s">
        <v>1144</v>
      </c>
      <c r="M362" s="529" t="s">
        <v>1986</v>
      </c>
      <c r="N362" s="529" t="s">
        <v>804</v>
      </c>
      <c r="O362" s="529" t="s">
        <v>577</v>
      </c>
      <c r="P362" s="529" t="s">
        <v>1987</v>
      </c>
    </row>
    <row r="363" spans="1:16" x14ac:dyDescent="0.25">
      <c r="A363" s="529" t="s">
        <v>796</v>
      </c>
      <c r="B363" s="529" t="s">
        <v>797</v>
      </c>
      <c r="C363" s="808">
        <v>46217</v>
      </c>
      <c r="D363" s="809">
        <v>0.41693287037037002</v>
      </c>
      <c r="E363" s="529" t="s">
        <v>1988</v>
      </c>
      <c r="F363" s="529" t="s">
        <v>838</v>
      </c>
      <c r="G363" s="529" t="s">
        <v>800</v>
      </c>
      <c r="H363" s="810">
        <v>12</v>
      </c>
      <c r="I363" s="811">
        <v>78192.72</v>
      </c>
      <c r="J363" s="529" t="s">
        <v>801</v>
      </c>
      <c r="K363" s="529" t="s">
        <v>802</v>
      </c>
      <c r="L363" s="529" t="s">
        <v>857</v>
      </c>
      <c r="M363" s="529" t="s">
        <v>1989</v>
      </c>
      <c r="N363" s="529" t="s">
        <v>804</v>
      </c>
      <c r="O363" s="529" t="s">
        <v>577</v>
      </c>
      <c r="P363" s="529" t="s">
        <v>1990</v>
      </c>
    </row>
    <row r="364" spans="1:16" x14ac:dyDescent="0.25">
      <c r="A364" s="529" t="s">
        <v>796</v>
      </c>
      <c r="B364" s="529" t="s">
        <v>797</v>
      </c>
      <c r="C364" s="808">
        <v>46218</v>
      </c>
      <c r="D364" s="809">
        <v>0.89616898148148005</v>
      </c>
      <c r="E364" s="529" t="s">
        <v>2062</v>
      </c>
      <c r="F364" s="529" t="s">
        <v>919</v>
      </c>
      <c r="G364" s="529" t="s">
        <v>800</v>
      </c>
      <c r="H364" s="810">
        <v>50</v>
      </c>
      <c r="I364" s="811">
        <v>301803</v>
      </c>
      <c r="J364" s="529" t="s">
        <v>816</v>
      </c>
      <c r="K364" s="529" t="s">
        <v>802</v>
      </c>
      <c r="L364" s="529" t="s">
        <v>857</v>
      </c>
      <c r="M364" s="529" t="s">
        <v>2087</v>
      </c>
      <c r="N364" s="529" t="s">
        <v>804</v>
      </c>
      <c r="O364" s="529" t="s">
        <v>577</v>
      </c>
      <c r="P364" s="529" t="s">
        <v>2063</v>
      </c>
    </row>
    <row r="365" spans="1:16" x14ac:dyDescent="0.25">
      <c r="A365" s="529" t="s">
        <v>796</v>
      </c>
      <c r="B365" s="529" t="s">
        <v>797</v>
      </c>
      <c r="C365" s="808">
        <v>46218</v>
      </c>
      <c r="D365" s="809">
        <v>0.61898148148148002</v>
      </c>
      <c r="E365" s="529" t="s">
        <v>2041</v>
      </c>
      <c r="F365" s="529" t="s">
        <v>919</v>
      </c>
      <c r="G365" s="529" t="s">
        <v>800</v>
      </c>
      <c r="H365" s="810">
        <v>50</v>
      </c>
      <c r="I365" s="811">
        <v>301803</v>
      </c>
      <c r="J365" s="529" t="s">
        <v>816</v>
      </c>
      <c r="K365" s="529" t="s">
        <v>802</v>
      </c>
      <c r="L365" s="529" t="s">
        <v>857</v>
      </c>
      <c r="M365" s="529" t="s">
        <v>2042</v>
      </c>
      <c r="N365" s="529" t="s">
        <v>804</v>
      </c>
      <c r="O365" s="529" t="s">
        <v>577</v>
      </c>
      <c r="P365" s="529" t="s">
        <v>2043</v>
      </c>
    </row>
    <row r="366" spans="1:16" x14ac:dyDescent="0.25">
      <c r="A366" s="529" t="s">
        <v>796</v>
      </c>
      <c r="B366" s="529" t="s">
        <v>797</v>
      </c>
      <c r="C366" s="808">
        <v>46218</v>
      </c>
      <c r="D366" s="809">
        <v>0.61914351851852001</v>
      </c>
      <c r="E366" s="529" t="s">
        <v>2044</v>
      </c>
      <c r="F366" s="529" t="s">
        <v>799</v>
      </c>
      <c r="G366" s="529" t="s">
        <v>800</v>
      </c>
      <c r="H366" s="810">
        <v>20</v>
      </c>
      <c r="I366" s="811">
        <v>121905.2</v>
      </c>
      <c r="J366" s="529" t="s">
        <v>801</v>
      </c>
      <c r="K366" s="529" t="s">
        <v>802</v>
      </c>
      <c r="L366" s="529" t="s">
        <v>857</v>
      </c>
      <c r="M366" s="529" t="s">
        <v>2045</v>
      </c>
      <c r="N366" s="529" t="s">
        <v>804</v>
      </c>
      <c r="O366" s="529" t="s">
        <v>577</v>
      </c>
      <c r="P366" s="529" t="s">
        <v>2046</v>
      </c>
    </row>
    <row r="367" spans="1:16" x14ac:dyDescent="0.25">
      <c r="A367" s="529" t="s">
        <v>796</v>
      </c>
      <c r="B367" s="529" t="s">
        <v>797</v>
      </c>
      <c r="C367" s="808">
        <v>46218</v>
      </c>
      <c r="D367" s="809">
        <v>1.6643518518520001E-2</v>
      </c>
      <c r="E367" s="529" t="s">
        <v>1991</v>
      </c>
      <c r="F367" s="529" t="s">
        <v>851</v>
      </c>
      <c r="G367" s="529" t="s">
        <v>800</v>
      </c>
      <c r="H367" s="810">
        <v>16</v>
      </c>
      <c r="I367" s="811">
        <v>100006.72</v>
      </c>
      <c r="J367" s="529" t="s">
        <v>816</v>
      </c>
      <c r="K367" s="529" t="s">
        <v>802</v>
      </c>
      <c r="L367" s="529" t="s">
        <v>1144</v>
      </c>
      <c r="M367" s="529" t="s">
        <v>2010</v>
      </c>
      <c r="N367" s="529" t="s">
        <v>804</v>
      </c>
      <c r="O367" s="529" t="s">
        <v>577</v>
      </c>
      <c r="P367" s="529" t="s">
        <v>1992</v>
      </c>
    </row>
    <row r="368" spans="1:16" x14ac:dyDescent="0.25">
      <c r="A368" s="529" t="s">
        <v>796</v>
      </c>
      <c r="B368" s="529" t="s">
        <v>797</v>
      </c>
      <c r="C368" s="808">
        <v>46218</v>
      </c>
      <c r="D368" s="809">
        <v>0.28203703703703997</v>
      </c>
      <c r="E368" s="529" t="s">
        <v>2011</v>
      </c>
      <c r="F368" s="529" t="s">
        <v>812</v>
      </c>
      <c r="G368" s="529" t="s">
        <v>800</v>
      </c>
      <c r="H368" s="810">
        <v>5</v>
      </c>
      <c r="I368" s="811">
        <v>31823.200000000001</v>
      </c>
      <c r="J368" s="529" t="s">
        <v>801</v>
      </c>
      <c r="K368" s="529" t="s">
        <v>802</v>
      </c>
      <c r="L368" s="529" t="s">
        <v>844</v>
      </c>
      <c r="M368" s="529" t="s">
        <v>2050</v>
      </c>
      <c r="N368" s="529" t="s">
        <v>804</v>
      </c>
      <c r="O368" s="529" t="s">
        <v>577</v>
      </c>
      <c r="P368" s="529" t="s">
        <v>2012</v>
      </c>
    </row>
    <row r="369" spans="1:16" x14ac:dyDescent="0.25">
      <c r="A369" s="529" t="s">
        <v>796</v>
      </c>
      <c r="B369" s="529" t="s">
        <v>797</v>
      </c>
      <c r="C369" s="808">
        <v>46218</v>
      </c>
      <c r="D369" s="809">
        <v>0.17583333333333001</v>
      </c>
      <c r="E369" s="529" t="s">
        <v>2013</v>
      </c>
      <c r="F369" s="529" t="s">
        <v>812</v>
      </c>
      <c r="G369" s="529" t="s">
        <v>800</v>
      </c>
      <c r="H369" s="810">
        <v>12</v>
      </c>
      <c r="I369" s="811">
        <v>76375.679999999993</v>
      </c>
      <c r="J369" s="529" t="s">
        <v>801</v>
      </c>
      <c r="K369" s="529" t="s">
        <v>802</v>
      </c>
      <c r="L369" s="529" t="s">
        <v>920</v>
      </c>
      <c r="M369" s="529" t="s">
        <v>2014</v>
      </c>
      <c r="N369" s="529" t="s">
        <v>804</v>
      </c>
      <c r="O369" s="529" t="s">
        <v>577</v>
      </c>
      <c r="P369" s="529" t="s">
        <v>2015</v>
      </c>
    </row>
    <row r="370" spans="1:16" x14ac:dyDescent="0.25">
      <c r="A370" s="529" t="s">
        <v>796</v>
      </c>
      <c r="B370" s="529" t="s">
        <v>797</v>
      </c>
      <c r="C370" s="808">
        <v>46218</v>
      </c>
      <c r="D370" s="809">
        <v>0.61855324074074003</v>
      </c>
      <c r="E370" s="529" t="s">
        <v>2047</v>
      </c>
      <c r="F370" s="529" t="s">
        <v>812</v>
      </c>
      <c r="G370" s="529" t="s">
        <v>800</v>
      </c>
      <c r="H370" s="810">
        <v>10</v>
      </c>
      <c r="I370" s="811">
        <v>63646.400000000001</v>
      </c>
      <c r="J370" s="529" t="s">
        <v>801</v>
      </c>
      <c r="K370" s="529" t="s">
        <v>802</v>
      </c>
      <c r="L370" s="529" t="s">
        <v>857</v>
      </c>
      <c r="M370" s="529" t="s">
        <v>2048</v>
      </c>
      <c r="N370" s="529" t="s">
        <v>804</v>
      </c>
      <c r="O370" s="529" t="s">
        <v>577</v>
      </c>
      <c r="P370" s="529" t="s">
        <v>2049</v>
      </c>
    </row>
    <row r="371" spans="1:16" x14ac:dyDescent="0.25">
      <c r="A371" s="529" t="s">
        <v>796</v>
      </c>
      <c r="B371" s="529" t="s">
        <v>797</v>
      </c>
      <c r="C371" s="808">
        <v>46218</v>
      </c>
      <c r="D371" s="809">
        <v>0.86542824074073998</v>
      </c>
      <c r="E371" s="529" t="s">
        <v>2064</v>
      </c>
      <c r="F371" s="529" t="s">
        <v>864</v>
      </c>
      <c r="G371" s="529" t="s">
        <v>800</v>
      </c>
      <c r="H371" s="810">
        <v>15</v>
      </c>
      <c r="I371" s="811">
        <v>97488.9</v>
      </c>
      <c r="J371" s="529" t="s">
        <v>816</v>
      </c>
      <c r="K371" s="529" t="s">
        <v>802</v>
      </c>
      <c r="L371" s="529" t="s">
        <v>1144</v>
      </c>
      <c r="M371" s="529" t="s">
        <v>2065</v>
      </c>
      <c r="N371" s="529" t="s">
        <v>804</v>
      </c>
      <c r="O371" s="529" t="s">
        <v>577</v>
      </c>
      <c r="P371" s="529" t="s">
        <v>2066</v>
      </c>
    </row>
    <row r="372" spans="1:16" x14ac:dyDescent="0.25">
      <c r="A372" s="529" t="s">
        <v>796</v>
      </c>
      <c r="B372" s="529" t="s">
        <v>797</v>
      </c>
      <c r="C372" s="808">
        <v>46218</v>
      </c>
      <c r="D372" s="809">
        <v>0.61876157407406995</v>
      </c>
      <c r="E372" s="529" t="s">
        <v>2052</v>
      </c>
      <c r="F372" s="529" t="s">
        <v>957</v>
      </c>
      <c r="G372" s="529" t="s">
        <v>800</v>
      </c>
      <c r="H372" s="810">
        <v>20</v>
      </c>
      <c r="I372" s="811">
        <v>123871.8</v>
      </c>
      <c r="J372" s="529" t="s">
        <v>816</v>
      </c>
      <c r="K372" s="529" t="s">
        <v>802</v>
      </c>
      <c r="L372" s="529" t="s">
        <v>857</v>
      </c>
      <c r="M372" s="529" t="s">
        <v>2053</v>
      </c>
      <c r="N372" s="529" t="s">
        <v>804</v>
      </c>
      <c r="O372" s="529" t="s">
        <v>577</v>
      </c>
      <c r="P372" s="529" t="s">
        <v>2054</v>
      </c>
    </row>
    <row r="373" spans="1:16" x14ac:dyDescent="0.25">
      <c r="A373" s="529" t="s">
        <v>796</v>
      </c>
      <c r="B373" s="529" t="s">
        <v>797</v>
      </c>
      <c r="C373" s="808">
        <v>46218</v>
      </c>
      <c r="D373" s="809">
        <v>1.6886574074070002E-2</v>
      </c>
      <c r="E373" s="529" t="s">
        <v>1993</v>
      </c>
      <c r="F373" s="529" t="s">
        <v>957</v>
      </c>
      <c r="G373" s="529" t="s">
        <v>800</v>
      </c>
      <c r="H373" s="810">
        <v>25</v>
      </c>
      <c r="I373" s="811">
        <v>154839.75</v>
      </c>
      <c r="J373" s="529" t="s">
        <v>816</v>
      </c>
      <c r="K373" s="529" t="s">
        <v>802</v>
      </c>
      <c r="L373" s="529" t="s">
        <v>1144</v>
      </c>
      <c r="M373" s="529" t="s">
        <v>2016</v>
      </c>
      <c r="N373" s="529" t="s">
        <v>804</v>
      </c>
      <c r="O373" s="529" t="s">
        <v>577</v>
      </c>
      <c r="P373" s="529" t="s">
        <v>1994</v>
      </c>
    </row>
    <row r="374" spans="1:16" x14ac:dyDescent="0.25">
      <c r="A374" s="529" t="s">
        <v>796</v>
      </c>
      <c r="B374" s="529" t="s">
        <v>797</v>
      </c>
      <c r="C374" s="808">
        <v>46218</v>
      </c>
      <c r="D374" s="809">
        <v>0.28251157407407002</v>
      </c>
      <c r="E374" s="529" t="s">
        <v>2017</v>
      </c>
      <c r="F374" s="529" t="s">
        <v>957</v>
      </c>
      <c r="G374" s="529" t="s">
        <v>800</v>
      </c>
      <c r="H374" s="810">
        <v>27</v>
      </c>
      <c r="I374" s="811">
        <v>167226.93</v>
      </c>
      <c r="J374" s="529" t="s">
        <v>816</v>
      </c>
      <c r="K374" s="529" t="s">
        <v>802</v>
      </c>
      <c r="L374" s="529" t="s">
        <v>844</v>
      </c>
      <c r="M374" s="529" t="s">
        <v>2051</v>
      </c>
      <c r="N374" s="529" t="s">
        <v>804</v>
      </c>
      <c r="O374" s="529" t="s">
        <v>577</v>
      </c>
      <c r="P374" s="529" t="s">
        <v>2018</v>
      </c>
    </row>
    <row r="375" spans="1:16" x14ac:dyDescent="0.25">
      <c r="A375" s="529" t="s">
        <v>796</v>
      </c>
      <c r="B375" s="529" t="s">
        <v>797</v>
      </c>
      <c r="C375" s="808">
        <v>46218</v>
      </c>
      <c r="D375" s="809">
        <v>0.17659722222221999</v>
      </c>
      <c r="E375" s="529" t="s">
        <v>2019</v>
      </c>
      <c r="F375" s="529" t="s">
        <v>815</v>
      </c>
      <c r="G375" s="529" t="s">
        <v>800</v>
      </c>
      <c r="H375" s="810">
        <v>25</v>
      </c>
      <c r="I375" s="811">
        <v>156058.75</v>
      </c>
      <c r="J375" s="529" t="s">
        <v>816</v>
      </c>
      <c r="K375" s="529" t="s">
        <v>802</v>
      </c>
      <c r="L375" s="529" t="s">
        <v>920</v>
      </c>
      <c r="M375" s="529" t="s">
        <v>2020</v>
      </c>
      <c r="N375" s="529" t="s">
        <v>804</v>
      </c>
      <c r="O375" s="529" t="s">
        <v>577</v>
      </c>
      <c r="P375" s="529" t="s">
        <v>2021</v>
      </c>
    </row>
    <row r="376" spans="1:16" x14ac:dyDescent="0.25">
      <c r="A376" s="529" t="s">
        <v>796</v>
      </c>
      <c r="B376" s="529" t="s">
        <v>797</v>
      </c>
      <c r="C376" s="808">
        <v>46218</v>
      </c>
      <c r="D376" s="809">
        <v>0.89633101851852004</v>
      </c>
      <c r="E376" s="529" t="s">
        <v>2067</v>
      </c>
      <c r="F376" s="529" t="s">
        <v>815</v>
      </c>
      <c r="G376" s="529" t="s">
        <v>800</v>
      </c>
      <c r="H376" s="810">
        <v>60</v>
      </c>
      <c r="I376" s="811">
        <v>374541</v>
      </c>
      <c r="J376" s="529" t="s">
        <v>816</v>
      </c>
      <c r="K376" s="529" t="s">
        <v>802</v>
      </c>
      <c r="L376" s="529" t="s">
        <v>857</v>
      </c>
      <c r="M376" s="529" t="s">
        <v>2088</v>
      </c>
      <c r="N376" s="529" t="s">
        <v>804</v>
      </c>
      <c r="O376" s="529" t="s">
        <v>577</v>
      </c>
      <c r="P376" s="529" t="s">
        <v>2068</v>
      </c>
    </row>
    <row r="377" spans="1:16" x14ac:dyDescent="0.25">
      <c r="A377" s="529" t="s">
        <v>796</v>
      </c>
      <c r="B377" s="529" t="s">
        <v>797</v>
      </c>
      <c r="C377" s="808">
        <v>46218</v>
      </c>
      <c r="D377" s="809">
        <v>1.7199074074069998E-2</v>
      </c>
      <c r="E377" s="529" t="s">
        <v>1995</v>
      </c>
      <c r="F377" s="529" t="s">
        <v>815</v>
      </c>
      <c r="G377" s="529" t="s">
        <v>800</v>
      </c>
      <c r="H377" s="810">
        <v>22</v>
      </c>
      <c r="I377" s="811">
        <v>137331.70000000001</v>
      </c>
      <c r="J377" s="529" t="s">
        <v>816</v>
      </c>
      <c r="K377" s="529" t="s">
        <v>802</v>
      </c>
      <c r="L377" s="529" t="s">
        <v>1144</v>
      </c>
      <c r="M377" s="529" t="s">
        <v>2022</v>
      </c>
      <c r="N377" s="529" t="s">
        <v>804</v>
      </c>
      <c r="O377" s="529" t="s">
        <v>577</v>
      </c>
      <c r="P377" s="529" t="s">
        <v>1996</v>
      </c>
    </row>
    <row r="378" spans="1:16" x14ac:dyDescent="0.25">
      <c r="A378" s="529" t="s">
        <v>796</v>
      </c>
      <c r="B378" s="529" t="s">
        <v>797</v>
      </c>
      <c r="C378" s="808">
        <v>46218</v>
      </c>
      <c r="D378" s="809">
        <v>0.86516203703703998</v>
      </c>
      <c r="E378" s="529" t="s">
        <v>2069</v>
      </c>
      <c r="F378" s="529" t="s">
        <v>815</v>
      </c>
      <c r="G378" s="529" t="s">
        <v>800</v>
      </c>
      <c r="H378" s="810">
        <v>30</v>
      </c>
      <c r="I378" s="811">
        <v>187270.5</v>
      </c>
      <c r="J378" s="529" t="s">
        <v>816</v>
      </c>
      <c r="K378" s="529" t="s">
        <v>802</v>
      </c>
      <c r="L378" s="529" t="s">
        <v>1144</v>
      </c>
      <c r="M378" s="529" t="s">
        <v>2070</v>
      </c>
      <c r="N378" s="529" t="s">
        <v>804</v>
      </c>
      <c r="O378" s="529" t="s">
        <v>577</v>
      </c>
      <c r="P378" s="529" t="s">
        <v>2071</v>
      </c>
    </row>
    <row r="379" spans="1:16" x14ac:dyDescent="0.25">
      <c r="A379" s="529" t="s">
        <v>796</v>
      </c>
      <c r="B379" s="529" t="s">
        <v>797</v>
      </c>
      <c r="C379" s="808">
        <v>46218</v>
      </c>
      <c r="D379" s="809">
        <v>0.86391203703704</v>
      </c>
      <c r="E379" s="529" t="s">
        <v>2072</v>
      </c>
      <c r="F379" s="529" t="s">
        <v>821</v>
      </c>
      <c r="G379" s="529" t="s">
        <v>800</v>
      </c>
      <c r="H379" s="810">
        <v>20</v>
      </c>
      <c r="I379" s="811">
        <v>129528.6</v>
      </c>
      <c r="J379" s="529" t="s">
        <v>801</v>
      </c>
      <c r="K379" s="529" t="s">
        <v>802</v>
      </c>
      <c r="L379" s="529" t="s">
        <v>1144</v>
      </c>
      <c r="M379" s="529" t="s">
        <v>2073</v>
      </c>
      <c r="N379" s="529" t="s">
        <v>804</v>
      </c>
      <c r="O379" s="529" t="s">
        <v>577</v>
      </c>
      <c r="P379" s="529" t="s">
        <v>2074</v>
      </c>
    </row>
    <row r="380" spans="1:16" x14ac:dyDescent="0.25">
      <c r="A380" s="529" t="s">
        <v>796</v>
      </c>
      <c r="B380" s="529" t="s">
        <v>797</v>
      </c>
      <c r="C380" s="808">
        <v>46218</v>
      </c>
      <c r="D380" s="809">
        <v>0.86473379629629998</v>
      </c>
      <c r="E380" s="529" t="s">
        <v>2075</v>
      </c>
      <c r="F380" s="529" t="s">
        <v>824</v>
      </c>
      <c r="G380" s="529" t="s">
        <v>800</v>
      </c>
      <c r="H380" s="810">
        <v>2</v>
      </c>
      <c r="I380" s="811">
        <v>12641.92</v>
      </c>
      <c r="J380" s="529" t="s">
        <v>816</v>
      </c>
      <c r="K380" s="529" t="s">
        <v>802</v>
      </c>
      <c r="L380" s="529" t="s">
        <v>1144</v>
      </c>
      <c r="M380" s="529" t="s">
        <v>2076</v>
      </c>
      <c r="N380" s="529" t="s">
        <v>804</v>
      </c>
      <c r="O380" s="529" t="s">
        <v>577</v>
      </c>
      <c r="P380" s="529" t="s">
        <v>2077</v>
      </c>
    </row>
    <row r="381" spans="1:16" x14ac:dyDescent="0.25">
      <c r="A381" s="529" t="s">
        <v>796</v>
      </c>
      <c r="B381" s="529" t="s">
        <v>797</v>
      </c>
      <c r="C381" s="808">
        <v>46218</v>
      </c>
      <c r="D381" s="809">
        <v>0.28224537037037001</v>
      </c>
      <c r="E381" s="529" t="s">
        <v>2026</v>
      </c>
      <c r="F381" s="529" t="s">
        <v>829</v>
      </c>
      <c r="G381" s="529" t="s">
        <v>800</v>
      </c>
      <c r="H381" s="810">
        <v>2</v>
      </c>
      <c r="I381" s="811">
        <v>12982.46</v>
      </c>
      <c r="J381" s="529" t="s">
        <v>816</v>
      </c>
      <c r="K381" s="529" t="s">
        <v>802</v>
      </c>
      <c r="L381" s="529" t="s">
        <v>844</v>
      </c>
      <c r="M381" s="529" t="s">
        <v>2055</v>
      </c>
      <c r="N381" s="529" t="s">
        <v>804</v>
      </c>
      <c r="O381" s="529" t="s">
        <v>577</v>
      </c>
      <c r="P381" s="529" t="s">
        <v>2027</v>
      </c>
    </row>
    <row r="382" spans="1:16" x14ac:dyDescent="0.25">
      <c r="A382" s="529" t="s">
        <v>796</v>
      </c>
      <c r="B382" s="529" t="s">
        <v>797</v>
      </c>
      <c r="C382" s="808">
        <v>46218</v>
      </c>
      <c r="D382" s="809">
        <v>0.86413194444443997</v>
      </c>
      <c r="E382" s="529" t="s">
        <v>2078</v>
      </c>
      <c r="F382" s="529" t="s">
        <v>829</v>
      </c>
      <c r="G382" s="529" t="s">
        <v>800</v>
      </c>
      <c r="H382" s="810">
        <v>5</v>
      </c>
      <c r="I382" s="811">
        <v>32456.15</v>
      </c>
      <c r="J382" s="529" t="s">
        <v>816</v>
      </c>
      <c r="K382" s="529" t="s">
        <v>802</v>
      </c>
      <c r="L382" s="529" t="s">
        <v>1144</v>
      </c>
      <c r="M382" s="529" t="s">
        <v>2079</v>
      </c>
      <c r="N382" s="529" t="s">
        <v>804</v>
      </c>
      <c r="O382" s="529" t="s">
        <v>577</v>
      </c>
      <c r="P382" s="529" t="s">
        <v>2080</v>
      </c>
    </row>
    <row r="383" spans="1:16" x14ac:dyDescent="0.25">
      <c r="A383" s="529" t="s">
        <v>796</v>
      </c>
      <c r="B383" s="529" t="s">
        <v>797</v>
      </c>
      <c r="C383" s="808">
        <v>46218</v>
      </c>
      <c r="D383" s="809">
        <v>0.17605324074074</v>
      </c>
      <c r="E383" s="529" t="s">
        <v>2023</v>
      </c>
      <c r="F383" s="529" t="s">
        <v>829</v>
      </c>
      <c r="G383" s="529" t="s">
        <v>800</v>
      </c>
      <c r="H383" s="810">
        <v>12</v>
      </c>
      <c r="I383" s="811">
        <v>77894.759999999995</v>
      </c>
      <c r="J383" s="529" t="s">
        <v>816</v>
      </c>
      <c r="K383" s="529" t="s">
        <v>802</v>
      </c>
      <c r="L383" s="529" t="s">
        <v>920</v>
      </c>
      <c r="M383" s="529" t="s">
        <v>2024</v>
      </c>
      <c r="N383" s="529" t="s">
        <v>804</v>
      </c>
      <c r="O383" s="529" t="s">
        <v>577</v>
      </c>
      <c r="P383" s="529" t="s">
        <v>2025</v>
      </c>
    </row>
    <row r="384" spans="1:16" x14ac:dyDescent="0.25">
      <c r="A384" s="529" t="s">
        <v>796</v>
      </c>
      <c r="B384" s="529" t="s">
        <v>797</v>
      </c>
      <c r="C384" s="808">
        <v>46218</v>
      </c>
      <c r="D384" s="809">
        <v>0.86435185185185004</v>
      </c>
      <c r="E384" s="529" t="s">
        <v>2081</v>
      </c>
      <c r="F384" s="529" t="s">
        <v>877</v>
      </c>
      <c r="G384" s="529" t="s">
        <v>800</v>
      </c>
      <c r="H384" s="810">
        <v>15</v>
      </c>
      <c r="I384" s="811">
        <v>96555.6</v>
      </c>
      <c r="J384" s="529" t="s">
        <v>816</v>
      </c>
      <c r="K384" s="529" t="s">
        <v>802</v>
      </c>
      <c r="L384" s="529" t="s">
        <v>1144</v>
      </c>
      <c r="M384" s="529" t="s">
        <v>2082</v>
      </c>
      <c r="N384" s="529" t="s">
        <v>804</v>
      </c>
      <c r="O384" s="529" t="s">
        <v>577</v>
      </c>
      <c r="P384" s="529" t="s">
        <v>2083</v>
      </c>
    </row>
    <row r="385" spans="1:16" x14ac:dyDescent="0.25">
      <c r="A385" s="529" t="s">
        <v>796</v>
      </c>
      <c r="B385" s="529" t="s">
        <v>797</v>
      </c>
      <c r="C385" s="808">
        <v>46218</v>
      </c>
      <c r="D385" s="809">
        <v>0.86495370370369995</v>
      </c>
      <c r="E385" s="529" t="s">
        <v>2084</v>
      </c>
      <c r="F385" s="529" t="s">
        <v>832</v>
      </c>
      <c r="G385" s="529" t="s">
        <v>800</v>
      </c>
      <c r="H385" s="810">
        <v>15</v>
      </c>
      <c r="I385" s="811">
        <v>99280.5</v>
      </c>
      <c r="J385" s="529" t="s">
        <v>816</v>
      </c>
      <c r="K385" s="529" t="s">
        <v>802</v>
      </c>
      <c r="L385" s="529" t="s">
        <v>1144</v>
      </c>
      <c r="M385" s="529" t="s">
        <v>2085</v>
      </c>
      <c r="N385" s="529" t="s">
        <v>804</v>
      </c>
      <c r="O385" s="529" t="s">
        <v>577</v>
      </c>
      <c r="P385" s="529" t="s">
        <v>2086</v>
      </c>
    </row>
    <row r="386" spans="1:16" x14ac:dyDescent="0.25">
      <c r="A386" s="529" t="s">
        <v>796</v>
      </c>
      <c r="B386" s="529" t="s">
        <v>797</v>
      </c>
      <c r="C386" s="808">
        <v>46218</v>
      </c>
      <c r="D386" s="809">
        <v>0.28265046296295998</v>
      </c>
      <c r="E386" s="529" t="s">
        <v>2028</v>
      </c>
      <c r="F386" s="529" t="s">
        <v>832</v>
      </c>
      <c r="G386" s="529" t="s">
        <v>800</v>
      </c>
      <c r="H386" s="810">
        <v>5</v>
      </c>
      <c r="I386" s="811">
        <v>33093.5</v>
      </c>
      <c r="J386" s="529" t="s">
        <v>816</v>
      </c>
      <c r="K386" s="529" t="s">
        <v>802</v>
      </c>
      <c r="L386" s="529" t="s">
        <v>844</v>
      </c>
      <c r="M386" s="529" t="s">
        <v>2056</v>
      </c>
      <c r="N386" s="529" t="s">
        <v>804</v>
      </c>
      <c r="O386" s="529" t="s">
        <v>577</v>
      </c>
      <c r="P386" s="529" t="s">
        <v>2029</v>
      </c>
    </row>
    <row r="387" spans="1:16" x14ac:dyDescent="0.25">
      <c r="A387" s="529" t="s">
        <v>796</v>
      </c>
      <c r="B387" s="529" t="s">
        <v>797</v>
      </c>
      <c r="C387" s="808">
        <v>46218</v>
      </c>
      <c r="D387" s="809">
        <v>0.28238425925925997</v>
      </c>
      <c r="E387" s="529" t="s">
        <v>2030</v>
      </c>
      <c r="F387" s="529" t="s">
        <v>835</v>
      </c>
      <c r="G387" s="529" t="s">
        <v>800</v>
      </c>
      <c r="H387" s="810">
        <v>5</v>
      </c>
      <c r="I387" s="811">
        <v>31658.65</v>
      </c>
      <c r="J387" s="529" t="s">
        <v>801</v>
      </c>
      <c r="K387" s="529" t="s">
        <v>802</v>
      </c>
      <c r="L387" s="529" t="s">
        <v>844</v>
      </c>
      <c r="M387" s="529" t="s">
        <v>2057</v>
      </c>
      <c r="N387" s="529" t="s">
        <v>804</v>
      </c>
      <c r="O387" s="529" t="s">
        <v>577</v>
      </c>
      <c r="P387" s="529" t="s">
        <v>2031</v>
      </c>
    </row>
    <row r="388" spans="1:16" x14ac:dyDescent="0.25">
      <c r="A388" s="529" t="s">
        <v>796</v>
      </c>
      <c r="B388" s="529" t="s">
        <v>797</v>
      </c>
      <c r="C388" s="808">
        <v>46218</v>
      </c>
      <c r="D388" s="809">
        <v>0.17622685185185</v>
      </c>
      <c r="E388" s="529" t="s">
        <v>2032</v>
      </c>
      <c r="F388" s="529" t="s">
        <v>838</v>
      </c>
      <c r="G388" s="529" t="s">
        <v>800</v>
      </c>
      <c r="H388" s="810">
        <v>23</v>
      </c>
      <c r="I388" s="811">
        <v>149869.38</v>
      </c>
      <c r="J388" s="529" t="s">
        <v>801</v>
      </c>
      <c r="K388" s="529" t="s">
        <v>802</v>
      </c>
      <c r="L388" s="529" t="s">
        <v>920</v>
      </c>
      <c r="M388" s="529" t="s">
        <v>2033</v>
      </c>
      <c r="N388" s="529" t="s">
        <v>804</v>
      </c>
      <c r="O388" s="529" t="s">
        <v>577</v>
      </c>
      <c r="P388" s="529" t="s">
        <v>2034</v>
      </c>
    </row>
    <row r="389" spans="1:16" x14ac:dyDescent="0.25">
      <c r="A389" s="529" t="s">
        <v>796</v>
      </c>
      <c r="B389" s="529" t="s">
        <v>797</v>
      </c>
      <c r="C389" s="808">
        <v>46218</v>
      </c>
      <c r="D389" s="809">
        <v>0.28281250000000002</v>
      </c>
      <c r="E389" s="529" t="s">
        <v>2035</v>
      </c>
      <c r="F389" s="529" t="s">
        <v>2036</v>
      </c>
      <c r="G389" s="529" t="s">
        <v>800</v>
      </c>
      <c r="H389" s="810">
        <v>23</v>
      </c>
      <c r="I389" s="811">
        <v>162560.54999999999</v>
      </c>
      <c r="J389" s="529" t="s">
        <v>801</v>
      </c>
      <c r="K389" s="529" t="s">
        <v>802</v>
      </c>
      <c r="L389" s="529" t="s">
        <v>844</v>
      </c>
      <c r="M389" s="529" t="s">
        <v>2058</v>
      </c>
      <c r="N389" s="529" t="s">
        <v>804</v>
      </c>
      <c r="O389" s="529" t="s">
        <v>577</v>
      </c>
      <c r="P389" s="529" t="s">
        <v>2037</v>
      </c>
    </row>
    <row r="390" spans="1:16" x14ac:dyDescent="0.25">
      <c r="A390" s="529" t="s">
        <v>796</v>
      </c>
      <c r="B390" s="529" t="s">
        <v>797</v>
      </c>
      <c r="C390" s="808">
        <v>46218</v>
      </c>
      <c r="D390" s="809">
        <v>0.17641203703704</v>
      </c>
      <c r="E390" s="529" t="s">
        <v>2038</v>
      </c>
      <c r="F390" s="529" t="s">
        <v>841</v>
      </c>
      <c r="G390" s="529" t="s">
        <v>800</v>
      </c>
      <c r="H390" s="810">
        <v>14</v>
      </c>
      <c r="I390" s="811">
        <v>97129.62</v>
      </c>
      <c r="J390" s="529" t="s">
        <v>801</v>
      </c>
      <c r="K390" s="529" t="s">
        <v>802</v>
      </c>
      <c r="L390" s="529" t="s">
        <v>920</v>
      </c>
      <c r="M390" s="529" t="s">
        <v>2039</v>
      </c>
      <c r="N390" s="529" t="s">
        <v>804</v>
      </c>
      <c r="O390" s="529" t="s">
        <v>577</v>
      </c>
      <c r="P390" s="529" t="s">
        <v>2040</v>
      </c>
    </row>
    <row r="391" spans="1:16" x14ac:dyDescent="0.25">
      <c r="A391" s="529" t="s">
        <v>796</v>
      </c>
      <c r="B391" s="529" t="s">
        <v>797</v>
      </c>
      <c r="C391" s="808">
        <v>46219</v>
      </c>
      <c r="D391" s="809">
        <v>0.19707175925925999</v>
      </c>
      <c r="E391" s="529" t="s">
        <v>2089</v>
      </c>
      <c r="F391" s="529" t="s">
        <v>919</v>
      </c>
      <c r="G391" s="529" t="s">
        <v>800</v>
      </c>
      <c r="H391" s="810">
        <v>30</v>
      </c>
      <c r="I391" s="811">
        <v>181081.8</v>
      </c>
      <c r="J391" s="529" t="s">
        <v>816</v>
      </c>
      <c r="K391" s="529" t="s">
        <v>802</v>
      </c>
      <c r="L391" s="529" t="s">
        <v>857</v>
      </c>
      <c r="M391" s="529" t="s">
        <v>2139</v>
      </c>
      <c r="N391" s="529" t="s">
        <v>804</v>
      </c>
      <c r="O391" s="529" t="s">
        <v>577</v>
      </c>
      <c r="P391" s="529" t="s">
        <v>2090</v>
      </c>
    </row>
    <row r="392" spans="1:16" x14ac:dyDescent="0.25">
      <c r="A392" s="529" t="s">
        <v>796</v>
      </c>
      <c r="B392" s="529" t="s">
        <v>797</v>
      </c>
      <c r="C392" s="808">
        <v>46219</v>
      </c>
      <c r="D392" s="809">
        <v>0.1634837962963</v>
      </c>
      <c r="E392" s="529" t="s">
        <v>2091</v>
      </c>
      <c r="F392" s="529" t="s">
        <v>919</v>
      </c>
      <c r="G392" s="529" t="s">
        <v>800</v>
      </c>
      <c r="H392" s="810">
        <v>30</v>
      </c>
      <c r="I392" s="811">
        <v>181081.8</v>
      </c>
      <c r="J392" s="529" t="s">
        <v>816</v>
      </c>
      <c r="K392" s="529" t="s">
        <v>802</v>
      </c>
      <c r="L392" s="529" t="s">
        <v>857</v>
      </c>
      <c r="M392" s="529" t="s">
        <v>2140</v>
      </c>
      <c r="N392" s="529" t="s">
        <v>804</v>
      </c>
      <c r="O392" s="529" t="s">
        <v>577</v>
      </c>
      <c r="P392" s="529" t="s">
        <v>2092</v>
      </c>
    </row>
    <row r="393" spans="1:16" x14ac:dyDescent="0.25">
      <c r="A393" s="529" t="s">
        <v>796</v>
      </c>
      <c r="B393" s="529" t="s">
        <v>797</v>
      </c>
      <c r="C393" s="808">
        <v>46219</v>
      </c>
      <c r="D393" s="809">
        <v>0.64243055555555995</v>
      </c>
      <c r="E393" s="529" t="s">
        <v>2136</v>
      </c>
      <c r="F393" s="529" t="s">
        <v>919</v>
      </c>
      <c r="G393" s="529" t="s">
        <v>800</v>
      </c>
      <c r="H393" s="810">
        <v>15</v>
      </c>
      <c r="I393" s="811">
        <v>90540.9</v>
      </c>
      <c r="J393" s="529" t="s">
        <v>816</v>
      </c>
      <c r="K393" s="529" t="s">
        <v>802</v>
      </c>
      <c r="L393" s="529" t="s">
        <v>844</v>
      </c>
      <c r="M393" s="529" t="s">
        <v>2137</v>
      </c>
      <c r="N393" s="529" t="s">
        <v>804</v>
      </c>
      <c r="O393" s="529" t="s">
        <v>577</v>
      </c>
      <c r="P393" s="529" t="s">
        <v>2138</v>
      </c>
    </row>
    <row r="394" spans="1:16" x14ac:dyDescent="0.25">
      <c r="A394" s="529" t="s">
        <v>796</v>
      </c>
      <c r="B394" s="529" t="s">
        <v>797</v>
      </c>
      <c r="C394" s="808">
        <v>46219</v>
      </c>
      <c r="D394" s="809">
        <v>0.37090277777778002</v>
      </c>
      <c r="E394" s="529" t="s">
        <v>2141</v>
      </c>
      <c r="F394" s="529" t="s">
        <v>919</v>
      </c>
      <c r="G394" s="529" t="s">
        <v>800</v>
      </c>
      <c r="H394" s="810">
        <v>20</v>
      </c>
      <c r="I394" s="811">
        <v>120721.2</v>
      </c>
      <c r="J394" s="529" t="s">
        <v>816</v>
      </c>
      <c r="K394" s="529" t="s">
        <v>802</v>
      </c>
      <c r="L394" s="529" t="s">
        <v>857</v>
      </c>
      <c r="M394" s="529" t="s">
        <v>2142</v>
      </c>
      <c r="N394" s="529" t="s">
        <v>804</v>
      </c>
      <c r="O394" s="529" t="s">
        <v>577</v>
      </c>
      <c r="P394" s="529" t="s">
        <v>2143</v>
      </c>
    </row>
    <row r="395" spans="1:16" x14ac:dyDescent="0.25">
      <c r="A395" s="529" t="s">
        <v>796</v>
      </c>
      <c r="B395" s="529" t="s">
        <v>797</v>
      </c>
      <c r="C395" s="808">
        <v>46219</v>
      </c>
      <c r="D395" s="809">
        <v>0.90158564814815001</v>
      </c>
      <c r="E395" s="529" t="s">
        <v>2174</v>
      </c>
      <c r="F395" s="529" t="s">
        <v>919</v>
      </c>
      <c r="G395" s="529" t="s">
        <v>800</v>
      </c>
      <c r="H395" s="810">
        <v>10</v>
      </c>
      <c r="I395" s="811">
        <v>60360.6</v>
      </c>
      <c r="J395" s="529" t="s">
        <v>816</v>
      </c>
      <c r="K395" s="529" t="s">
        <v>802</v>
      </c>
      <c r="L395" s="529" t="s">
        <v>857</v>
      </c>
      <c r="M395" s="529" t="s">
        <v>2175</v>
      </c>
      <c r="N395" s="529" t="s">
        <v>804</v>
      </c>
      <c r="O395" s="529" t="s">
        <v>577</v>
      </c>
      <c r="P395" s="529" t="s">
        <v>2176</v>
      </c>
    </row>
    <row r="396" spans="1:16" x14ac:dyDescent="0.25">
      <c r="A396" s="529" t="s">
        <v>796</v>
      </c>
      <c r="B396" s="529" t="s">
        <v>797</v>
      </c>
      <c r="C396" s="808">
        <v>46219</v>
      </c>
      <c r="D396" s="809">
        <v>0.37103009259259001</v>
      </c>
      <c r="E396" s="529" t="s">
        <v>2148</v>
      </c>
      <c r="F396" s="529" t="s">
        <v>799</v>
      </c>
      <c r="G396" s="529" t="s">
        <v>800</v>
      </c>
      <c r="H396" s="810">
        <v>20</v>
      </c>
      <c r="I396" s="811">
        <v>121905.2</v>
      </c>
      <c r="J396" s="529" t="s">
        <v>801</v>
      </c>
      <c r="K396" s="529" t="s">
        <v>802</v>
      </c>
      <c r="L396" s="529" t="s">
        <v>857</v>
      </c>
      <c r="M396" s="529" t="s">
        <v>2149</v>
      </c>
      <c r="N396" s="529" t="s">
        <v>804</v>
      </c>
      <c r="O396" s="529" t="s">
        <v>577</v>
      </c>
      <c r="P396" s="529" t="s">
        <v>2150</v>
      </c>
    </row>
    <row r="397" spans="1:16" x14ac:dyDescent="0.25">
      <c r="A397" s="529" t="s">
        <v>796</v>
      </c>
      <c r="B397" s="529" t="s">
        <v>797</v>
      </c>
      <c r="C397" s="808">
        <v>46219</v>
      </c>
      <c r="D397" s="809">
        <v>0.64263888888888998</v>
      </c>
      <c r="E397" s="529" t="s">
        <v>2145</v>
      </c>
      <c r="F397" s="529" t="s">
        <v>799</v>
      </c>
      <c r="G397" s="529" t="s">
        <v>800</v>
      </c>
      <c r="H397" s="810">
        <v>45</v>
      </c>
      <c r="I397" s="811">
        <v>274286.7</v>
      </c>
      <c r="J397" s="529" t="s">
        <v>801</v>
      </c>
      <c r="K397" s="529" t="s">
        <v>802</v>
      </c>
      <c r="L397" s="529" t="s">
        <v>844</v>
      </c>
      <c r="M397" s="529" t="s">
        <v>2146</v>
      </c>
      <c r="N397" s="529" t="s">
        <v>804</v>
      </c>
      <c r="O397" s="529" t="s">
        <v>577</v>
      </c>
      <c r="P397" s="529" t="s">
        <v>2147</v>
      </c>
    </row>
    <row r="398" spans="1:16" x14ac:dyDescent="0.25">
      <c r="A398" s="529" t="s">
        <v>796</v>
      </c>
      <c r="B398" s="529" t="s">
        <v>797</v>
      </c>
      <c r="C398" s="808">
        <v>46219</v>
      </c>
      <c r="D398" s="809">
        <v>0.16368055555555999</v>
      </c>
      <c r="E398" s="529" t="s">
        <v>2093</v>
      </c>
      <c r="F398" s="529" t="s">
        <v>799</v>
      </c>
      <c r="G398" s="529" t="s">
        <v>800</v>
      </c>
      <c r="H398" s="810">
        <v>30</v>
      </c>
      <c r="I398" s="811">
        <v>182857.8</v>
      </c>
      <c r="J398" s="529" t="s">
        <v>801</v>
      </c>
      <c r="K398" s="529" t="s">
        <v>802</v>
      </c>
      <c r="L398" s="529" t="s">
        <v>857</v>
      </c>
      <c r="M398" s="529" t="s">
        <v>2144</v>
      </c>
      <c r="N398" s="529" t="s">
        <v>804</v>
      </c>
      <c r="O398" s="529" t="s">
        <v>577</v>
      </c>
      <c r="P398" s="529" t="s">
        <v>2094</v>
      </c>
    </row>
    <row r="399" spans="1:16" x14ac:dyDescent="0.25">
      <c r="A399" s="529" t="s">
        <v>796</v>
      </c>
      <c r="B399" s="529" t="s">
        <v>797</v>
      </c>
      <c r="C399" s="808">
        <v>46219</v>
      </c>
      <c r="D399" s="809">
        <v>0.90178240740741</v>
      </c>
      <c r="E399" s="529" t="s">
        <v>2177</v>
      </c>
      <c r="F399" s="529" t="s">
        <v>799</v>
      </c>
      <c r="G399" s="529" t="s">
        <v>800</v>
      </c>
      <c r="H399" s="810">
        <v>10</v>
      </c>
      <c r="I399" s="811">
        <v>60952.6</v>
      </c>
      <c r="J399" s="529" t="s">
        <v>801</v>
      </c>
      <c r="K399" s="529" t="s">
        <v>802</v>
      </c>
      <c r="L399" s="529" t="s">
        <v>857</v>
      </c>
      <c r="M399" s="529" t="s">
        <v>2178</v>
      </c>
      <c r="N399" s="529" t="s">
        <v>804</v>
      </c>
      <c r="O399" s="529" t="s">
        <v>577</v>
      </c>
      <c r="P399" s="529" t="s">
        <v>2179</v>
      </c>
    </row>
    <row r="400" spans="1:16" x14ac:dyDescent="0.25">
      <c r="A400" s="529" t="s">
        <v>796</v>
      </c>
      <c r="B400" s="529" t="s">
        <v>797</v>
      </c>
      <c r="C400" s="808">
        <v>46219</v>
      </c>
      <c r="D400" s="809">
        <v>4.628472222222E-2</v>
      </c>
      <c r="E400" s="529" t="s">
        <v>2095</v>
      </c>
      <c r="F400" s="529" t="s">
        <v>851</v>
      </c>
      <c r="G400" s="529" t="s">
        <v>800</v>
      </c>
      <c r="H400" s="810">
        <v>10</v>
      </c>
      <c r="I400" s="811">
        <v>62504.2</v>
      </c>
      <c r="J400" s="529" t="s">
        <v>816</v>
      </c>
      <c r="K400" s="529" t="s">
        <v>802</v>
      </c>
      <c r="L400" s="529" t="s">
        <v>857</v>
      </c>
      <c r="M400" s="529" t="s">
        <v>2096</v>
      </c>
      <c r="N400" s="529" t="s">
        <v>804</v>
      </c>
      <c r="O400" s="529" t="s">
        <v>577</v>
      </c>
      <c r="P400" s="529" t="s">
        <v>2097</v>
      </c>
    </row>
    <row r="401" spans="1:16" x14ac:dyDescent="0.25">
      <c r="A401" s="529" t="s">
        <v>796</v>
      </c>
      <c r="B401" s="529" t="s">
        <v>797</v>
      </c>
      <c r="C401" s="808">
        <v>46219</v>
      </c>
      <c r="D401" s="809">
        <v>0.90114583333332998</v>
      </c>
      <c r="E401" s="529" t="s">
        <v>2180</v>
      </c>
      <c r="F401" s="529" t="s">
        <v>851</v>
      </c>
      <c r="G401" s="529" t="s">
        <v>800</v>
      </c>
      <c r="H401" s="810">
        <v>20</v>
      </c>
      <c r="I401" s="811">
        <v>125008.4</v>
      </c>
      <c r="J401" s="529" t="s">
        <v>816</v>
      </c>
      <c r="K401" s="529" t="s">
        <v>802</v>
      </c>
      <c r="L401" s="529" t="s">
        <v>857</v>
      </c>
      <c r="M401" s="529" t="s">
        <v>2181</v>
      </c>
      <c r="N401" s="529" t="s">
        <v>804</v>
      </c>
      <c r="O401" s="529" t="s">
        <v>577</v>
      </c>
      <c r="P401" s="529" t="s">
        <v>2182</v>
      </c>
    </row>
    <row r="402" spans="1:16" x14ac:dyDescent="0.25">
      <c r="A402" s="529" t="s">
        <v>796</v>
      </c>
      <c r="B402" s="529" t="s">
        <v>797</v>
      </c>
      <c r="C402" s="808">
        <v>46219</v>
      </c>
      <c r="D402" s="809">
        <v>0.95909722222222005</v>
      </c>
      <c r="E402" s="529" t="s">
        <v>2183</v>
      </c>
      <c r="F402" s="529" t="s">
        <v>812</v>
      </c>
      <c r="G402" s="529" t="s">
        <v>800</v>
      </c>
      <c r="H402" s="810">
        <v>20</v>
      </c>
      <c r="I402" s="811">
        <v>127292.8</v>
      </c>
      <c r="J402" s="529" t="s">
        <v>801</v>
      </c>
      <c r="K402" s="529" t="s">
        <v>802</v>
      </c>
      <c r="L402" s="529" t="s">
        <v>920</v>
      </c>
      <c r="M402" s="529" t="s">
        <v>577</v>
      </c>
      <c r="N402" s="529" t="s">
        <v>804</v>
      </c>
      <c r="O402" s="529" t="s">
        <v>577</v>
      </c>
      <c r="P402" s="529" t="s">
        <v>2184</v>
      </c>
    </row>
    <row r="403" spans="1:16" x14ac:dyDescent="0.25">
      <c r="A403" s="529" t="s">
        <v>796</v>
      </c>
      <c r="B403" s="529" t="s">
        <v>797</v>
      </c>
      <c r="C403" s="808">
        <v>46219</v>
      </c>
      <c r="D403" s="809">
        <v>0.90129629629630004</v>
      </c>
      <c r="E403" s="529" t="s">
        <v>2185</v>
      </c>
      <c r="F403" s="529" t="s">
        <v>812</v>
      </c>
      <c r="G403" s="529" t="s">
        <v>800</v>
      </c>
      <c r="H403" s="810">
        <v>5</v>
      </c>
      <c r="I403" s="811">
        <v>31823.200000000001</v>
      </c>
      <c r="J403" s="529" t="s">
        <v>801</v>
      </c>
      <c r="K403" s="529" t="s">
        <v>802</v>
      </c>
      <c r="L403" s="529" t="s">
        <v>857</v>
      </c>
      <c r="M403" s="529" t="s">
        <v>2186</v>
      </c>
      <c r="N403" s="529" t="s">
        <v>804</v>
      </c>
      <c r="O403" s="529" t="s">
        <v>577</v>
      </c>
      <c r="P403" s="529" t="s">
        <v>2187</v>
      </c>
    </row>
    <row r="404" spans="1:16" x14ac:dyDescent="0.25">
      <c r="A404" s="529" t="s">
        <v>796</v>
      </c>
      <c r="B404" s="529" t="s">
        <v>797</v>
      </c>
      <c r="C404" s="808">
        <v>46219</v>
      </c>
      <c r="D404" s="809">
        <v>4.658564814815E-2</v>
      </c>
      <c r="E404" s="529" t="s">
        <v>2098</v>
      </c>
      <c r="F404" s="529" t="s">
        <v>812</v>
      </c>
      <c r="G404" s="529" t="s">
        <v>800</v>
      </c>
      <c r="H404" s="810">
        <v>10</v>
      </c>
      <c r="I404" s="811">
        <v>63646.400000000001</v>
      </c>
      <c r="J404" s="529" t="s">
        <v>801</v>
      </c>
      <c r="K404" s="529" t="s">
        <v>802</v>
      </c>
      <c r="L404" s="529" t="s">
        <v>857</v>
      </c>
      <c r="M404" s="529" t="s">
        <v>2099</v>
      </c>
      <c r="N404" s="529" t="s">
        <v>804</v>
      </c>
      <c r="O404" s="529" t="s">
        <v>577</v>
      </c>
      <c r="P404" s="529" t="s">
        <v>2100</v>
      </c>
    </row>
    <row r="405" spans="1:16" x14ac:dyDescent="0.25">
      <c r="A405" s="529" t="s">
        <v>796</v>
      </c>
      <c r="B405" s="529" t="s">
        <v>797</v>
      </c>
      <c r="C405" s="808">
        <v>46219</v>
      </c>
      <c r="D405" s="809">
        <v>0.90209490740741005</v>
      </c>
      <c r="E405" s="529" t="s">
        <v>2188</v>
      </c>
      <c r="F405" s="529" t="s">
        <v>864</v>
      </c>
      <c r="G405" s="529" t="s">
        <v>800</v>
      </c>
      <c r="H405" s="810">
        <v>8</v>
      </c>
      <c r="I405" s="811">
        <v>51994.080000000002</v>
      </c>
      <c r="J405" s="529" t="s">
        <v>816</v>
      </c>
      <c r="K405" s="529" t="s">
        <v>802</v>
      </c>
      <c r="L405" s="529" t="s">
        <v>857</v>
      </c>
      <c r="M405" s="529" t="s">
        <v>2189</v>
      </c>
      <c r="N405" s="529" t="s">
        <v>804</v>
      </c>
      <c r="O405" s="529" t="s">
        <v>577</v>
      </c>
      <c r="P405" s="529" t="s">
        <v>2190</v>
      </c>
    </row>
    <row r="406" spans="1:16" x14ac:dyDescent="0.25">
      <c r="A406" s="529" t="s">
        <v>796</v>
      </c>
      <c r="B406" s="529" t="s">
        <v>797</v>
      </c>
      <c r="C406" s="808">
        <v>46219</v>
      </c>
      <c r="D406" s="809">
        <v>0.95961805555556001</v>
      </c>
      <c r="E406" s="529" t="s">
        <v>2191</v>
      </c>
      <c r="F406" s="529" t="s">
        <v>864</v>
      </c>
      <c r="G406" s="529" t="s">
        <v>800</v>
      </c>
      <c r="H406" s="810">
        <v>20</v>
      </c>
      <c r="I406" s="811">
        <v>129985.2</v>
      </c>
      <c r="J406" s="529" t="s">
        <v>816</v>
      </c>
      <c r="K406" s="529" t="s">
        <v>802</v>
      </c>
      <c r="L406" s="529" t="s">
        <v>920</v>
      </c>
      <c r="M406" s="529" t="s">
        <v>577</v>
      </c>
      <c r="N406" s="529" t="s">
        <v>804</v>
      </c>
      <c r="O406" s="529" t="s">
        <v>577</v>
      </c>
      <c r="P406" s="529" t="s">
        <v>2192</v>
      </c>
    </row>
    <row r="407" spans="1:16" x14ac:dyDescent="0.25">
      <c r="A407" s="529" t="s">
        <v>796</v>
      </c>
      <c r="B407" s="529" t="s">
        <v>797</v>
      </c>
      <c r="C407" s="808">
        <v>46219</v>
      </c>
      <c r="D407" s="809">
        <v>4.7708333333330001E-2</v>
      </c>
      <c r="E407" s="529" t="s">
        <v>2101</v>
      </c>
      <c r="F407" s="529" t="s">
        <v>864</v>
      </c>
      <c r="G407" s="529" t="s">
        <v>800</v>
      </c>
      <c r="H407" s="810">
        <v>11</v>
      </c>
      <c r="I407" s="811">
        <v>71491.86</v>
      </c>
      <c r="J407" s="529" t="s">
        <v>816</v>
      </c>
      <c r="K407" s="529" t="s">
        <v>802</v>
      </c>
      <c r="L407" s="529" t="s">
        <v>857</v>
      </c>
      <c r="M407" s="529" t="s">
        <v>2102</v>
      </c>
      <c r="N407" s="529" t="s">
        <v>804</v>
      </c>
      <c r="O407" s="529" t="s">
        <v>577</v>
      </c>
      <c r="P407" s="529" t="s">
        <v>2103</v>
      </c>
    </row>
    <row r="408" spans="1:16" x14ac:dyDescent="0.25">
      <c r="A408" s="529" t="s">
        <v>796</v>
      </c>
      <c r="B408" s="529" t="s">
        <v>797</v>
      </c>
      <c r="C408" s="808">
        <v>46219</v>
      </c>
      <c r="D408" s="809">
        <v>0.95940972222221998</v>
      </c>
      <c r="E408" s="529" t="s">
        <v>2193</v>
      </c>
      <c r="F408" s="529" t="s">
        <v>957</v>
      </c>
      <c r="G408" s="529" t="s">
        <v>800</v>
      </c>
      <c r="H408" s="810">
        <v>30</v>
      </c>
      <c r="I408" s="811">
        <v>185807.7</v>
      </c>
      <c r="J408" s="529" t="s">
        <v>816</v>
      </c>
      <c r="K408" s="529" t="s">
        <v>802</v>
      </c>
      <c r="L408" s="529" t="s">
        <v>920</v>
      </c>
      <c r="M408" s="529" t="s">
        <v>577</v>
      </c>
      <c r="N408" s="529" t="s">
        <v>804</v>
      </c>
      <c r="O408" s="529" t="s">
        <v>577</v>
      </c>
      <c r="P408" s="529" t="s">
        <v>2194</v>
      </c>
    </row>
    <row r="409" spans="1:16" x14ac:dyDescent="0.25">
      <c r="A409" s="529" t="s">
        <v>796</v>
      </c>
      <c r="B409" s="529" t="s">
        <v>797</v>
      </c>
      <c r="C409" s="808">
        <v>46219</v>
      </c>
      <c r="D409" s="809">
        <v>0.19693287037036999</v>
      </c>
      <c r="E409" s="529" t="s">
        <v>2104</v>
      </c>
      <c r="F409" s="529" t="s">
        <v>957</v>
      </c>
      <c r="G409" s="529" t="s">
        <v>800</v>
      </c>
      <c r="H409" s="810">
        <v>36</v>
      </c>
      <c r="I409" s="811">
        <v>222969.24</v>
      </c>
      <c r="J409" s="529" t="s">
        <v>816</v>
      </c>
      <c r="K409" s="529" t="s">
        <v>802</v>
      </c>
      <c r="L409" s="529" t="s">
        <v>857</v>
      </c>
      <c r="M409" s="529" t="s">
        <v>2151</v>
      </c>
      <c r="N409" s="529" t="s">
        <v>804</v>
      </c>
      <c r="O409" s="529" t="s">
        <v>577</v>
      </c>
      <c r="P409" s="529" t="s">
        <v>2105</v>
      </c>
    </row>
    <row r="410" spans="1:16" x14ac:dyDescent="0.25">
      <c r="A410" s="529" t="s">
        <v>796</v>
      </c>
      <c r="B410" s="529" t="s">
        <v>797</v>
      </c>
      <c r="C410" s="808">
        <v>46219</v>
      </c>
      <c r="D410" s="809">
        <v>0.64280092592592997</v>
      </c>
      <c r="E410" s="529" t="s">
        <v>2156</v>
      </c>
      <c r="F410" s="529" t="s">
        <v>815</v>
      </c>
      <c r="G410" s="529" t="s">
        <v>800</v>
      </c>
      <c r="H410" s="810">
        <v>20</v>
      </c>
      <c r="I410" s="811">
        <v>124847</v>
      </c>
      <c r="J410" s="529" t="s">
        <v>816</v>
      </c>
      <c r="K410" s="529" t="s">
        <v>802</v>
      </c>
      <c r="L410" s="529" t="s">
        <v>844</v>
      </c>
      <c r="M410" s="529" t="s">
        <v>2157</v>
      </c>
      <c r="N410" s="529" t="s">
        <v>804</v>
      </c>
      <c r="O410" s="529" t="s">
        <v>577</v>
      </c>
      <c r="P410" s="529" t="s">
        <v>2158</v>
      </c>
    </row>
    <row r="411" spans="1:16" x14ac:dyDescent="0.25">
      <c r="A411" s="529" t="s">
        <v>796</v>
      </c>
      <c r="B411" s="529" t="s">
        <v>797</v>
      </c>
      <c r="C411" s="808">
        <v>46219</v>
      </c>
      <c r="D411" s="809">
        <v>0.37157407407407</v>
      </c>
      <c r="E411" s="529" t="s">
        <v>2153</v>
      </c>
      <c r="F411" s="529" t="s">
        <v>815</v>
      </c>
      <c r="G411" s="529" t="s">
        <v>800</v>
      </c>
      <c r="H411" s="810">
        <v>16</v>
      </c>
      <c r="I411" s="811">
        <v>99877.6</v>
      </c>
      <c r="J411" s="529" t="s">
        <v>816</v>
      </c>
      <c r="K411" s="529" t="s">
        <v>802</v>
      </c>
      <c r="L411" s="529" t="s">
        <v>857</v>
      </c>
      <c r="M411" s="529" t="s">
        <v>2154</v>
      </c>
      <c r="N411" s="529" t="s">
        <v>804</v>
      </c>
      <c r="O411" s="529" t="s">
        <v>577</v>
      </c>
      <c r="P411" s="529" t="s">
        <v>2155</v>
      </c>
    </row>
    <row r="412" spans="1:16" x14ac:dyDescent="0.25">
      <c r="A412" s="529" t="s">
        <v>796</v>
      </c>
      <c r="B412" s="529" t="s">
        <v>797</v>
      </c>
      <c r="C412" s="808">
        <v>46219</v>
      </c>
      <c r="D412" s="809">
        <v>0.16383101851852</v>
      </c>
      <c r="E412" s="529" t="s">
        <v>2109</v>
      </c>
      <c r="F412" s="529" t="s">
        <v>815</v>
      </c>
      <c r="G412" s="529" t="s">
        <v>800</v>
      </c>
      <c r="H412" s="810">
        <v>40</v>
      </c>
      <c r="I412" s="811">
        <v>249694</v>
      </c>
      <c r="J412" s="529" t="s">
        <v>816</v>
      </c>
      <c r="K412" s="529" t="s">
        <v>802</v>
      </c>
      <c r="L412" s="529" t="s">
        <v>857</v>
      </c>
      <c r="M412" s="529" t="s">
        <v>2152</v>
      </c>
      <c r="N412" s="529" t="s">
        <v>804</v>
      </c>
      <c r="O412" s="529" t="s">
        <v>577</v>
      </c>
      <c r="P412" s="529" t="s">
        <v>2110</v>
      </c>
    </row>
    <row r="413" spans="1:16" x14ac:dyDescent="0.25">
      <c r="A413" s="529" t="s">
        <v>796</v>
      </c>
      <c r="B413" s="529" t="s">
        <v>797</v>
      </c>
      <c r="C413" s="808">
        <v>46219</v>
      </c>
      <c r="D413" s="809">
        <v>0.90192129629630002</v>
      </c>
      <c r="E413" s="529" t="s">
        <v>2195</v>
      </c>
      <c r="F413" s="529" t="s">
        <v>815</v>
      </c>
      <c r="G413" s="529" t="s">
        <v>800</v>
      </c>
      <c r="H413" s="810">
        <v>25</v>
      </c>
      <c r="I413" s="811">
        <v>156058.75</v>
      </c>
      <c r="J413" s="529" t="s">
        <v>816</v>
      </c>
      <c r="K413" s="529" t="s">
        <v>802</v>
      </c>
      <c r="L413" s="529" t="s">
        <v>857</v>
      </c>
      <c r="M413" s="529" t="s">
        <v>2196</v>
      </c>
      <c r="N413" s="529" t="s">
        <v>804</v>
      </c>
      <c r="O413" s="529" t="s">
        <v>577</v>
      </c>
      <c r="P413" s="529" t="s">
        <v>2197</v>
      </c>
    </row>
    <row r="414" spans="1:16" x14ac:dyDescent="0.25">
      <c r="A414" s="529" t="s">
        <v>796</v>
      </c>
      <c r="B414" s="529" t="s">
        <v>797</v>
      </c>
      <c r="C414" s="808">
        <v>46219</v>
      </c>
      <c r="D414" s="809">
        <v>4.758101851852E-2</v>
      </c>
      <c r="E414" s="529" t="s">
        <v>2106</v>
      </c>
      <c r="F414" s="529" t="s">
        <v>815</v>
      </c>
      <c r="G414" s="529" t="s">
        <v>800</v>
      </c>
      <c r="H414" s="810">
        <v>15</v>
      </c>
      <c r="I414" s="811">
        <v>93635.25</v>
      </c>
      <c r="J414" s="529" t="s">
        <v>816</v>
      </c>
      <c r="K414" s="529" t="s">
        <v>802</v>
      </c>
      <c r="L414" s="529" t="s">
        <v>857</v>
      </c>
      <c r="M414" s="529" t="s">
        <v>2107</v>
      </c>
      <c r="N414" s="529" t="s">
        <v>804</v>
      </c>
      <c r="O414" s="529" t="s">
        <v>577</v>
      </c>
      <c r="P414" s="529" t="s">
        <v>2108</v>
      </c>
    </row>
    <row r="415" spans="1:16" x14ac:dyDescent="0.25">
      <c r="A415" s="529" t="s">
        <v>796</v>
      </c>
      <c r="B415" s="529" t="s">
        <v>797</v>
      </c>
      <c r="C415" s="808">
        <v>46219</v>
      </c>
      <c r="D415" s="809">
        <v>0.58017361111110999</v>
      </c>
      <c r="E415" s="529" t="s">
        <v>2162</v>
      </c>
      <c r="F415" s="529" t="s">
        <v>821</v>
      </c>
      <c r="G415" s="529" t="s">
        <v>800</v>
      </c>
      <c r="H415" s="810">
        <v>20</v>
      </c>
      <c r="I415" s="811">
        <v>129528.6</v>
      </c>
      <c r="J415" s="529" t="s">
        <v>801</v>
      </c>
      <c r="K415" s="529" t="s">
        <v>802</v>
      </c>
      <c r="L415" s="529" t="s">
        <v>844</v>
      </c>
      <c r="M415" s="529" t="s">
        <v>2163</v>
      </c>
      <c r="N415" s="529" t="s">
        <v>804</v>
      </c>
      <c r="O415" s="529" t="s">
        <v>577</v>
      </c>
      <c r="P415" s="529" t="s">
        <v>2164</v>
      </c>
    </row>
    <row r="416" spans="1:16" x14ac:dyDescent="0.25">
      <c r="A416" s="529" t="s">
        <v>796</v>
      </c>
      <c r="B416" s="529" t="s">
        <v>797</v>
      </c>
      <c r="C416" s="808">
        <v>46219</v>
      </c>
      <c r="D416" s="809">
        <v>4.645833333333E-2</v>
      </c>
      <c r="E416" s="529" t="s">
        <v>2111</v>
      </c>
      <c r="F416" s="529" t="s">
        <v>821</v>
      </c>
      <c r="G416" s="529" t="s">
        <v>800</v>
      </c>
      <c r="H416" s="810">
        <v>21</v>
      </c>
      <c r="I416" s="811">
        <v>136005.03</v>
      </c>
      <c r="J416" s="529" t="s">
        <v>801</v>
      </c>
      <c r="K416" s="529" t="s">
        <v>802</v>
      </c>
      <c r="L416" s="529" t="s">
        <v>857</v>
      </c>
      <c r="M416" s="529" t="s">
        <v>2112</v>
      </c>
      <c r="N416" s="529" t="s">
        <v>804</v>
      </c>
      <c r="O416" s="529" t="s">
        <v>577</v>
      </c>
      <c r="P416" s="529" t="s">
        <v>2113</v>
      </c>
    </row>
    <row r="417" spans="1:16" x14ac:dyDescent="0.25">
      <c r="A417" s="529" t="s">
        <v>796</v>
      </c>
      <c r="B417" s="529" t="s">
        <v>797</v>
      </c>
      <c r="C417" s="808">
        <v>46219</v>
      </c>
      <c r="D417" s="809">
        <v>0.64226851851851996</v>
      </c>
      <c r="E417" s="529" t="s">
        <v>2159</v>
      </c>
      <c r="F417" s="529" t="s">
        <v>821</v>
      </c>
      <c r="G417" s="529" t="s">
        <v>800</v>
      </c>
      <c r="H417" s="810">
        <v>20</v>
      </c>
      <c r="I417" s="811">
        <v>129528.6</v>
      </c>
      <c r="J417" s="529" t="s">
        <v>801</v>
      </c>
      <c r="K417" s="529" t="s">
        <v>802</v>
      </c>
      <c r="L417" s="529" t="s">
        <v>844</v>
      </c>
      <c r="M417" s="529" t="s">
        <v>2160</v>
      </c>
      <c r="N417" s="529" t="s">
        <v>804</v>
      </c>
      <c r="O417" s="529" t="s">
        <v>577</v>
      </c>
      <c r="P417" s="529" t="s">
        <v>2161</v>
      </c>
    </row>
    <row r="418" spans="1:16" x14ac:dyDescent="0.25">
      <c r="A418" s="529" t="s">
        <v>796</v>
      </c>
      <c r="B418" s="529" t="s">
        <v>797</v>
      </c>
      <c r="C418" s="808">
        <v>46219</v>
      </c>
      <c r="D418" s="809">
        <v>0.58072916666666996</v>
      </c>
      <c r="E418" s="529" t="s">
        <v>2165</v>
      </c>
      <c r="F418" s="529" t="s">
        <v>824</v>
      </c>
      <c r="G418" s="529" t="s">
        <v>800</v>
      </c>
      <c r="H418" s="810">
        <v>10</v>
      </c>
      <c r="I418" s="811">
        <v>63209.599999999999</v>
      </c>
      <c r="J418" s="529" t="s">
        <v>816</v>
      </c>
      <c r="K418" s="529" t="s">
        <v>802</v>
      </c>
      <c r="L418" s="529" t="s">
        <v>844</v>
      </c>
      <c r="M418" s="529" t="s">
        <v>2166</v>
      </c>
      <c r="N418" s="529" t="s">
        <v>804</v>
      </c>
      <c r="O418" s="529" t="s">
        <v>577</v>
      </c>
      <c r="P418" s="529" t="s">
        <v>2167</v>
      </c>
    </row>
    <row r="419" spans="1:16" x14ac:dyDescent="0.25">
      <c r="A419" s="529" t="s">
        <v>796</v>
      </c>
      <c r="B419" s="529" t="s">
        <v>797</v>
      </c>
      <c r="C419" s="808">
        <v>46219</v>
      </c>
      <c r="D419" s="809">
        <v>4.6805555555559999E-2</v>
      </c>
      <c r="E419" s="529" t="s">
        <v>2114</v>
      </c>
      <c r="F419" s="529" t="s">
        <v>829</v>
      </c>
      <c r="G419" s="529" t="s">
        <v>800</v>
      </c>
      <c r="H419" s="810">
        <v>5</v>
      </c>
      <c r="I419" s="811">
        <v>32456.15</v>
      </c>
      <c r="J419" s="529" t="s">
        <v>816</v>
      </c>
      <c r="K419" s="529" t="s">
        <v>802</v>
      </c>
      <c r="L419" s="529" t="s">
        <v>857</v>
      </c>
      <c r="M419" s="529" t="s">
        <v>2115</v>
      </c>
      <c r="N419" s="529" t="s">
        <v>804</v>
      </c>
      <c r="O419" s="529" t="s">
        <v>577</v>
      </c>
      <c r="P419" s="529" t="s">
        <v>2116</v>
      </c>
    </row>
    <row r="420" spans="1:16" x14ac:dyDescent="0.25">
      <c r="A420" s="529" t="s">
        <v>796</v>
      </c>
      <c r="B420" s="529" t="s">
        <v>797</v>
      </c>
      <c r="C420" s="808">
        <v>46219</v>
      </c>
      <c r="D420" s="809">
        <v>0.90143518518518995</v>
      </c>
      <c r="E420" s="529" t="s">
        <v>2198</v>
      </c>
      <c r="F420" s="529" t="s">
        <v>981</v>
      </c>
      <c r="G420" s="529" t="s">
        <v>800</v>
      </c>
      <c r="H420" s="810">
        <v>10</v>
      </c>
      <c r="I420" s="811">
        <v>64947.199999999997</v>
      </c>
      <c r="J420" s="529" t="s">
        <v>801</v>
      </c>
      <c r="K420" s="529" t="s">
        <v>802</v>
      </c>
      <c r="L420" s="529" t="s">
        <v>857</v>
      </c>
      <c r="M420" s="529" t="s">
        <v>2199</v>
      </c>
      <c r="N420" s="529" t="s">
        <v>804</v>
      </c>
      <c r="O420" s="529" t="s">
        <v>577</v>
      </c>
      <c r="P420" s="529" t="s">
        <v>2200</v>
      </c>
    </row>
    <row r="421" spans="1:16" x14ac:dyDescent="0.25">
      <c r="A421" s="529" t="s">
        <v>796</v>
      </c>
      <c r="B421" s="529" t="s">
        <v>797</v>
      </c>
      <c r="C421" s="808">
        <v>46219</v>
      </c>
      <c r="D421" s="809">
        <v>0.95925925925926003</v>
      </c>
      <c r="E421" s="529" t="s">
        <v>2201</v>
      </c>
      <c r="F421" s="529" t="s">
        <v>877</v>
      </c>
      <c r="G421" s="529" t="s">
        <v>800</v>
      </c>
      <c r="H421" s="810">
        <v>8</v>
      </c>
      <c r="I421" s="811">
        <v>51496.32</v>
      </c>
      <c r="J421" s="529" t="s">
        <v>816</v>
      </c>
      <c r="K421" s="529" t="s">
        <v>802</v>
      </c>
      <c r="L421" s="529" t="s">
        <v>920</v>
      </c>
      <c r="M421" s="529" t="s">
        <v>577</v>
      </c>
      <c r="N421" s="529" t="s">
        <v>804</v>
      </c>
      <c r="O421" s="529" t="s">
        <v>577</v>
      </c>
      <c r="P421" s="529" t="s">
        <v>2202</v>
      </c>
    </row>
    <row r="422" spans="1:16" x14ac:dyDescent="0.25">
      <c r="A422" s="529" t="s">
        <v>796</v>
      </c>
      <c r="B422" s="529" t="s">
        <v>797</v>
      </c>
      <c r="C422" s="808">
        <v>46219</v>
      </c>
      <c r="D422" s="809">
        <v>0.58031250000000001</v>
      </c>
      <c r="E422" s="529" t="s">
        <v>2168</v>
      </c>
      <c r="F422" s="529" t="s">
        <v>877</v>
      </c>
      <c r="G422" s="529" t="s">
        <v>800</v>
      </c>
      <c r="H422" s="810">
        <v>8</v>
      </c>
      <c r="I422" s="811">
        <v>51496.32</v>
      </c>
      <c r="J422" s="529" t="s">
        <v>816</v>
      </c>
      <c r="K422" s="529" t="s">
        <v>802</v>
      </c>
      <c r="L422" s="529" t="s">
        <v>844</v>
      </c>
      <c r="M422" s="529" t="s">
        <v>2169</v>
      </c>
      <c r="N422" s="529" t="s">
        <v>804</v>
      </c>
      <c r="O422" s="529" t="s">
        <v>577</v>
      </c>
      <c r="P422" s="529" t="s">
        <v>2170</v>
      </c>
    </row>
    <row r="423" spans="1:16" x14ac:dyDescent="0.25">
      <c r="A423" s="529" t="s">
        <v>796</v>
      </c>
      <c r="B423" s="529" t="s">
        <v>797</v>
      </c>
      <c r="C423" s="808">
        <v>46219</v>
      </c>
      <c r="D423" s="809">
        <v>4.696759259259E-2</v>
      </c>
      <c r="E423" s="529" t="s">
        <v>2117</v>
      </c>
      <c r="F423" s="529" t="s">
        <v>877</v>
      </c>
      <c r="G423" s="529" t="s">
        <v>800</v>
      </c>
      <c r="H423" s="810">
        <v>10</v>
      </c>
      <c r="I423" s="811">
        <v>64370.400000000001</v>
      </c>
      <c r="J423" s="529" t="s">
        <v>816</v>
      </c>
      <c r="K423" s="529" t="s">
        <v>802</v>
      </c>
      <c r="L423" s="529" t="s">
        <v>857</v>
      </c>
      <c r="M423" s="529" t="s">
        <v>2118</v>
      </c>
      <c r="N423" s="529" t="s">
        <v>804</v>
      </c>
      <c r="O423" s="529" t="s">
        <v>577</v>
      </c>
      <c r="P423" s="529" t="s">
        <v>2119</v>
      </c>
    </row>
    <row r="424" spans="1:16" x14ac:dyDescent="0.25">
      <c r="A424" s="529" t="s">
        <v>796</v>
      </c>
      <c r="B424" s="529" t="s">
        <v>797</v>
      </c>
      <c r="C424" s="808">
        <v>46219</v>
      </c>
      <c r="D424" s="809">
        <v>4.7395833333330001E-2</v>
      </c>
      <c r="E424" s="529" t="s">
        <v>2120</v>
      </c>
      <c r="F424" s="529" t="s">
        <v>832</v>
      </c>
      <c r="G424" s="529" t="s">
        <v>800</v>
      </c>
      <c r="H424" s="810">
        <v>11</v>
      </c>
      <c r="I424" s="811">
        <v>72805.7</v>
      </c>
      <c r="J424" s="529" t="s">
        <v>816</v>
      </c>
      <c r="K424" s="529" t="s">
        <v>802</v>
      </c>
      <c r="L424" s="529" t="s">
        <v>857</v>
      </c>
      <c r="M424" s="529" t="s">
        <v>2121</v>
      </c>
      <c r="N424" s="529" t="s">
        <v>804</v>
      </c>
      <c r="O424" s="529" t="s">
        <v>577</v>
      </c>
      <c r="P424" s="529" t="s">
        <v>2122</v>
      </c>
    </row>
    <row r="425" spans="1:16" x14ac:dyDescent="0.25">
      <c r="A425" s="529" t="s">
        <v>796</v>
      </c>
      <c r="B425" s="529" t="s">
        <v>797</v>
      </c>
      <c r="C425" s="808">
        <v>46219</v>
      </c>
      <c r="D425" s="809">
        <v>0.58096064814814996</v>
      </c>
      <c r="E425" s="529" t="s">
        <v>2171</v>
      </c>
      <c r="F425" s="529" t="s">
        <v>832</v>
      </c>
      <c r="G425" s="529" t="s">
        <v>800</v>
      </c>
      <c r="H425" s="810">
        <v>5</v>
      </c>
      <c r="I425" s="811">
        <v>33093.5</v>
      </c>
      <c r="J425" s="529" t="s">
        <v>816</v>
      </c>
      <c r="K425" s="529" t="s">
        <v>802</v>
      </c>
      <c r="L425" s="529" t="s">
        <v>844</v>
      </c>
      <c r="M425" s="529" t="s">
        <v>2172</v>
      </c>
      <c r="N425" s="529" t="s">
        <v>804</v>
      </c>
      <c r="O425" s="529" t="s">
        <v>577</v>
      </c>
      <c r="P425" s="529" t="s">
        <v>2173</v>
      </c>
    </row>
    <row r="426" spans="1:16" x14ac:dyDescent="0.25">
      <c r="A426" s="529" t="s">
        <v>796</v>
      </c>
      <c r="B426" s="529" t="s">
        <v>797</v>
      </c>
      <c r="C426" s="808">
        <v>46219</v>
      </c>
      <c r="D426" s="809">
        <v>4.7199074074070001E-2</v>
      </c>
      <c r="E426" s="529" t="s">
        <v>2123</v>
      </c>
      <c r="F426" s="529" t="s">
        <v>841</v>
      </c>
      <c r="G426" s="529" t="s">
        <v>800</v>
      </c>
      <c r="H426" s="810">
        <v>7</v>
      </c>
      <c r="I426" s="811">
        <v>48564.81</v>
      </c>
      <c r="J426" s="529" t="s">
        <v>801</v>
      </c>
      <c r="K426" s="529" t="s">
        <v>802</v>
      </c>
      <c r="L426" s="529" t="s">
        <v>857</v>
      </c>
      <c r="M426" s="529" t="s">
        <v>2124</v>
      </c>
      <c r="N426" s="529" t="s">
        <v>804</v>
      </c>
      <c r="O426" s="529" t="s">
        <v>577</v>
      </c>
      <c r="P426" s="529" t="s">
        <v>2125</v>
      </c>
    </row>
  </sheetData>
  <autoFilter ref="A1:P320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R72"/>
  <sheetViews>
    <sheetView workbookViewId="0">
      <selection activeCell="J12" sqref="J12"/>
    </sheetView>
  </sheetViews>
  <sheetFormatPr defaultRowHeight="15" x14ac:dyDescent="0.25"/>
  <cols>
    <col min="1" max="1" width="15.5703125" style="167" bestFit="1" customWidth="1"/>
    <col min="2" max="2" width="10.28515625" bestFit="1" customWidth="1"/>
    <col min="3" max="4" width="10.28515625" customWidth="1"/>
    <col min="5" max="18" width="10.28515625" style="251" customWidth="1"/>
  </cols>
  <sheetData>
    <row r="1" spans="1:18" x14ac:dyDescent="0.25">
      <c r="A1" s="259" t="s">
        <v>1</v>
      </c>
      <c r="B1" s="260" t="s">
        <v>360</v>
      </c>
      <c r="C1" s="261">
        <v>45901</v>
      </c>
      <c r="D1" s="261">
        <v>45902</v>
      </c>
      <c r="E1" s="261">
        <v>45903</v>
      </c>
      <c r="F1" s="261">
        <v>45904</v>
      </c>
      <c r="G1" s="261">
        <v>45905</v>
      </c>
      <c r="H1" s="261">
        <v>45906</v>
      </c>
      <c r="I1" s="261">
        <v>45907</v>
      </c>
      <c r="J1" s="261">
        <v>45908</v>
      </c>
      <c r="K1" s="261">
        <v>45909</v>
      </c>
      <c r="L1" s="261">
        <v>45910</v>
      </c>
      <c r="M1" s="261">
        <v>45911</v>
      </c>
      <c r="N1" s="261">
        <v>45912</v>
      </c>
      <c r="O1" s="261">
        <v>45913</v>
      </c>
      <c r="P1" s="261">
        <v>45914</v>
      </c>
      <c r="Q1" s="261">
        <v>45915</v>
      </c>
      <c r="R1" s="261">
        <v>45916</v>
      </c>
    </row>
    <row r="2" spans="1:18" x14ac:dyDescent="0.25">
      <c r="A2" s="166"/>
      <c r="B2" s="142">
        <f>SUM(C2:N2)</f>
        <v>0</v>
      </c>
      <c r="C2" s="142"/>
      <c r="D2" s="142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365"/>
      <c r="Q2" s="365"/>
      <c r="R2" s="365"/>
    </row>
    <row r="3" spans="1:18" x14ac:dyDescent="0.25">
      <c r="A3" s="166"/>
      <c r="B3" s="142">
        <f>SUM(C3:R3)</f>
        <v>0</v>
      </c>
      <c r="C3" s="142"/>
      <c r="D3" s="142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</row>
    <row r="4" spans="1:18" x14ac:dyDescent="0.25">
      <c r="A4" s="166"/>
      <c r="B4" s="142">
        <f t="shared" ref="B4:B67" si="0">SUM(C4:R4)</f>
        <v>0</v>
      </c>
      <c r="C4" s="142"/>
      <c r="D4" s="142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</row>
    <row r="5" spans="1:18" x14ac:dyDescent="0.25">
      <c r="A5" s="166"/>
      <c r="B5" s="142">
        <f t="shared" si="0"/>
        <v>0</v>
      </c>
      <c r="C5" s="142"/>
      <c r="D5" s="142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</row>
    <row r="6" spans="1:18" x14ac:dyDescent="0.25">
      <c r="A6" s="166"/>
      <c r="B6" s="142">
        <f t="shared" si="0"/>
        <v>0</v>
      </c>
      <c r="C6" s="142"/>
      <c r="D6" s="142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</row>
    <row r="7" spans="1:18" x14ac:dyDescent="0.25">
      <c r="A7" s="166"/>
      <c r="B7" s="142">
        <f t="shared" si="0"/>
        <v>0</v>
      </c>
      <c r="C7" s="142"/>
      <c r="D7" s="142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</row>
    <row r="8" spans="1:18" x14ac:dyDescent="0.25">
      <c r="A8" s="166"/>
      <c r="B8" s="142">
        <f t="shared" si="0"/>
        <v>0</v>
      </c>
      <c r="C8" s="142"/>
      <c r="D8" s="142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</row>
    <row r="9" spans="1:18" x14ac:dyDescent="0.25">
      <c r="A9" s="166"/>
      <c r="B9" s="142">
        <f t="shared" si="0"/>
        <v>0</v>
      </c>
      <c r="C9" s="142"/>
      <c r="D9" s="142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</row>
    <row r="10" spans="1:18" x14ac:dyDescent="0.25">
      <c r="A10" s="166"/>
      <c r="B10" s="142">
        <f t="shared" si="0"/>
        <v>0</v>
      </c>
      <c r="C10" s="142"/>
      <c r="D10" s="142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</row>
    <row r="11" spans="1:18" x14ac:dyDescent="0.25">
      <c r="A11" s="166"/>
      <c r="B11" s="142">
        <f t="shared" si="0"/>
        <v>0</v>
      </c>
      <c r="C11" s="142"/>
      <c r="D11" s="142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</row>
    <row r="12" spans="1:18" x14ac:dyDescent="0.25">
      <c r="A12" s="168"/>
      <c r="B12" s="142">
        <f t="shared" si="0"/>
        <v>0</v>
      </c>
      <c r="C12" s="142"/>
      <c r="D12" s="142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</row>
    <row r="13" spans="1:18" x14ac:dyDescent="0.25">
      <c r="A13" s="168"/>
      <c r="B13" s="142">
        <f t="shared" si="0"/>
        <v>0</v>
      </c>
      <c r="C13" s="142"/>
      <c r="D13" s="142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</row>
    <row r="14" spans="1:18" x14ac:dyDescent="0.25">
      <c r="A14" s="168"/>
      <c r="B14" s="142">
        <f t="shared" si="0"/>
        <v>0</v>
      </c>
      <c r="C14" s="142"/>
      <c r="D14" s="142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</row>
    <row r="15" spans="1:18" x14ac:dyDescent="0.25">
      <c r="A15" s="168"/>
      <c r="B15" s="142">
        <f t="shared" si="0"/>
        <v>0</v>
      </c>
      <c r="C15" s="142"/>
      <c r="D15" s="142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</row>
    <row r="16" spans="1:18" x14ac:dyDescent="0.25">
      <c r="A16" s="168"/>
      <c r="B16" s="142">
        <f t="shared" si="0"/>
        <v>0</v>
      </c>
      <c r="C16" s="142"/>
      <c r="D16" s="142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</row>
    <row r="17" spans="1:18" x14ac:dyDescent="0.25">
      <c r="A17" s="166"/>
      <c r="B17" s="142">
        <f t="shared" si="0"/>
        <v>0</v>
      </c>
      <c r="C17" s="142"/>
      <c r="D17" s="142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</row>
    <row r="18" spans="1:18" x14ac:dyDescent="0.25">
      <c r="A18" s="166"/>
      <c r="B18" s="142">
        <f t="shared" si="0"/>
        <v>0</v>
      </c>
      <c r="C18" s="142"/>
      <c r="D18" s="142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</row>
    <row r="19" spans="1:18" x14ac:dyDescent="0.25">
      <c r="A19" s="166"/>
      <c r="B19" s="142">
        <f t="shared" si="0"/>
        <v>0</v>
      </c>
      <c r="C19" s="142"/>
      <c r="D19" s="142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</row>
    <row r="20" spans="1:18" x14ac:dyDescent="0.25">
      <c r="A20" s="166"/>
      <c r="B20" s="142">
        <f t="shared" si="0"/>
        <v>0</v>
      </c>
      <c r="C20" s="142"/>
      <c r="D20" s="142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365"/>
      <c r="Q20" s="365"/>
      <c r="R20" s="365"/>
    </row>
    <row r="21" spans="1:18" x14ac:dyDescent="0.25">
      <c r="A21" s="166"/>
      <c r="B21" s="142">
        <f t="shared" si="0"/>
        <v>0</v>
      </c>
      <c r="C21" s="142"/>
      <c r="D21" s="142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</row>
    <row r="22" spans="1:18" x14ac:dyDescent="0.25">
      <c r="A22" s="166"/>
      <c r="B22" s="142">
        <f t="shared" si="0"/>
        <v>0</v>
      </c>
      <c r="C22" s="142"/>
      <c r="D22" s="142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</row>
    <row r="23" spans="1:18" x14ac:dyDescent="0.25">
      <c r="A23" s="166"/>
      <c r="B23" s="142">
        <f t="shared" si="0"/>
        <v>0</v>
      </c>
      <c r="C23" s="142"/>
      <c r="D23" s="142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</row>
    <row r="24" spans="1:18" x14ac:dyDescent="0.25">
      <c r="A24" s="166"/>
      <c r="B24" s="142">
        <f t="shared" si="0"/>
        <v>0</v>
      </c>
      <c r="C24" s="8"/>
      <c r="D24" s="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366"/>
      <c r="Q24" s="366"/>
      <c r="R24" s="366"/>
    </row>
    <row r="25" spans="1:18" x14ac:dyDescent="0.25">
      <c r="A25" s="166"/>
      <c r="B25" s="142">
        <f t="shared" si="0"/>
        <v>0</v>
      </c>
      <c r="C25" s="8"/>
      <c r="D25" s="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</row>
    <row r="26" spans="1:18" x14ac:dyDescent="0.25">
      <c r="A26" s="171"/>
      <c r="B26" s="142">
        <f t="shared" si="0"/>
        <v>0</v>
      </c>
      <c r="C26" s="10"/>
      <c r="D26" s="10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365"/>
      <c r="Q26" s="365"/>
      <c r="R26" s="365"/>
    </row>
    <row r="27" spans="1:18" x14ac:dyDescent="0.25">
      <c r="A27" s="171"/>
      <c r="B27" s="142">
        <f t="shared" si="0"/>
        <v>0</v>
      </c>
      <c r="C27" s="10"/>
      <c r="D27" s="10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</row>
    <row r="28" spans="1:18" x14ac:dyDescent="0.25">
      <c r="A28" s="171"/>
      <c r="B28" s="142">
        <f t="shared" si="0"/>
        <v>0</v>
      </c>
      <c r="C28" s="10"/>
      <c r="D28" s="10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</row>
    <row r="29" spans="1:18" x14ac:dyDescent="0.25">
      <c r="A29" s="171"/>
      <c r="B29" s="142">
        <f t="shared" si="0"/>
        <v>0</v>
      </c>
      <c r="C29" s="10"/>
      <c r="D29" s="10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</row>
    <row r="30" spans="1:18" x14ac:dyDescent="0.25">
      <c r="A30" s="171"/>
      <c r="B30" s="142">
        <f t="shared" si="0"/>
        <v>0</v>
      </c>
      <c r="C30" s="10"/>
      <c r="D30" s="10"/>
      <c r="E30" s="248"/>
      <c r="F30" s="248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</row>
    <row r="31" spans="1:18" x14ac:dyDescent="0.25">
      <c r="A31" s="166"/>
      <c r="B31" s="142">
        <f t="shared" si="0"/>
        <v>0</v>
      </c>
      <c r="C31" s="8"/>
      <c r="D31" s="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</row>
    <row r="32" spans="1:18" x14ac:dyDescent="0.25">
      <c r="A32" s="172"/>
      <c r="B32" s="142">
        <f t="shared" si="0"/>
        <v>0</v>
      </c>
      <c r="C32" s="8"/>
      <c r="D32" s="8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</row>
    <row r="33" spans="1:18" x14ac:dyDescent="0.25">
      <c r="A33" s="172"/>
      <c r="B33" s="142">
        <f t="shared" si="0"/>
        <v>0</v>
      </c>
      <c r="C33" s="172"/>
      <c r="D33" s="172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</row>
    <row r="34" spans="1:18" x14ac:dyDescent="0.25">
      <c r="A34" s="172"/>
      <c r="B34" s="142">
        <f t="shared" si="0"/>
        <v>0</v>
      </c>
      <c r="C34" s="172"/>
      <c r="D34" s="172"/>
      <c r="E34" s="249"/>
      <c r="F34" s="249"/>
      <c r="G34" s="249"/>
      <c r="H34" s="249"/>
      <c r="I34" s="249"/>
      <c r="J34" s="249"/>
      <c r="K34" s="249"/>
      <c r="L34" s="249"/>
      <c r="M34" s="258"/>
      <c r="N34" s="258"/>
      <c r="O34" s="258"/>
      <c r="P34" s="258"/>
      <c r="Q34" s="258"/>
      <c r="R34" s="258"/>
    </row>
    <row r="35" spans="1:18" x14ac:dyDescent="0.25">
      <c r="A35" s="172"/>
      <c r="B35" s="142">
        <f t="shared" si="0"/>
        <v>0</v>
      </c>
      <c r="C35" s="172"/>
      <c r="D35" s="172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</row>
    <row r="36" spans="1:18" x14ac:dyDescent="0.25">
      <c r="A36" s="172"/>
      <c r="B36" s="142">
        <f t="shared" si="0"/>
        <v>0</v>
      </c>
      <c r="C36" s="172"/>
      <c r="D36" s="172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</row>
    <row r="37" spans="1:18" x14ac:dyDescent="0.25">
      <c r="A37" s="172"/>
      <c r="B37" s="142">
        <f t="shared" si="0"/>
        <v>0</v>
      </c>
      <c r="C37" s="172"/>
      <c r="D37" s="172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</row>
    <row r="38" spans="1:18" x14ac:dyDescent="0.25">
      <c r="A38" s="172"/>
      <c r="B38" s="142">
        <f t="shared" si="0"/>
        <v>0</v>
      </c>
      <c r="C38" s="172"/>
      <c r="D38" s="172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x14ac:dyDescent="0.25">
      <c r="A39" s="172"/>
      <c r="B39" s="142">
        <f t="shared" si="0"/>
        <v>0</v>
      </c>
      <c r="C39" s="172"/>
      <c r="D39" s="172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</row>
    <row r="40" spans="1:18" x14ac:dyDescent="0.25">
      <c r="A40" s="172"/>
      <c r="B40" s="142">
        <f t="shared" si="0"/>
        <v>0</v>
      </c>
      <c r="C40" s="172"/>
      <c r="D40" s="172"/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</row>
    <row r="41" spans="1:18" x14ac:dyDescent="0.25">
      <c r="A41" s="172"/>
      <c r="B41" s="142">
        <f t="shared" si="0"/>
        <v>0</v>
      </c>
      <c r="C41" s="172"/>
      <c r="D41" s="172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</row>
    <row r="42" spans="1:18" x14ac:dyDescent="0.25">
      <c r="A42" s="172"/>
      <c r="B42" s="142">
        <f t="shared" si="0"/>
        <v>0</v>
      </c>
      <c r="C42" s="172"/>
      <c r="D42" s="172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x14ac:dyDescent="0.25">
      <c r="A43" s="172"/>
      <c r="B43" s="142">
        <f t="shared" si="0"/>
        <v>0</v>
      </c>
      <c r="C43" s="172"/>
      <c r="D43" s="172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</row>
    <row r="44" spans="1:18" x14ac:dyDescent="0.25">
      <c r="A44" s="172"/>
      <c r="B44" s="142">
        <f t="shared" si="0"/>
        <v>0</v>
      </c>
      <c r="C44" s="172"/>
      <c r="D44" s="172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</row>
    <row r="45" spans="1:18" x14ac:dyDescent="0.25">
      <c r="A45" s="172"/>
      <c r="B45" s="142">
        <f t="shared" si="0"/>
        <v>0</v>
      </c>
      <c r="C45" s="8"/>
      <c r="D45" s="8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</row>
    <row r="46" spans="1:18" x14ac:dyDescent="0.25">
      <c r="A46" s="172"/>
      <c r="B46" s="142">
        <f t="shared" si="0"/>
        <v>0</v>
      </c>
      <c r="C46" s="8"/>
      <c r="D46" s="8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</row>
    <row r="47" spans="1:18" x14ac:dyDescent="0.25">
      <c r="A47" s="172"/>
      <c r="B47" s="142">
        <f t="shared" si="0"/>
        <v>0</v>
      </c>
      <c r="C47" s="8"/>
      <c r="D47" s="8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</row>
    <row r="48" spans="1:18" x14ac:dyDescent="0.25">
      <c r="A48" s="172"/>
      <c r="B48" s="142">
        <f t="shared" si="0"/>
        <v>0</v>
      </c>
      <c r="C48" s="172"/>
      <c r="D48" s="172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</row>
    <row r="49" spans="1:18" x14ac:dyDescent="0.25">
      <c r="A49" s="172"/>
      <c r="B49" s="142">
        <f t="shared" si="0"/>
        <v>0</v>
      </c>
      <c r="C49" s="172"/>
      <c r="D49" s="172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x14ac:dyDescent="0.25">
      <c r="A50" s="172"/>
      <c r="B50" s="142">
        <f t="shared" si="0"/>
        <v>0</v>
      </c>
      <c r="C50" s="172"/>
      <c r="D50" s="172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</row>
    <row r="51" spans="1:18" x14ac:dyDescent="0.25">
      <c r="A51" s="172"/>
      <c r="B51" s="142">
        <f t="shared" si="0"/>
        <v>0</v>
      </c>
      <c r="C51" s="8"/>
      <c r="D51" s="8"/>
      <c r="E51" s="249"/>
      <c r="F51" s="249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</row>
    <row r="52" spans="1:18" x14ac:dyDescent="0.25">
      <c r="A52" s="172"/>
      <c r="B52" s="142">
        <f t="shared" si="0"/>
        <v>0</v>
      </c>
      <c r="C52" s="8"/>
      <c r="D52" s="8"/>
      <c r="E52" s="249"/>
      <c r="F52" s="249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</row>
    <row r="53" spans="1:18" x14ac:dyDescent="0.25">
      <c r="A53" s="172"/>
      <c r="B53" s="142">
        <f t="shared" si="0"/>
        <v>0</v>
      </c>
      <c r="C53" s="8"/>
      <c r="D53" s="8"/>
      <c r="E53" s="249"/>
      <c r="F53" s="249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</row>
    <row r="54" spans="1:18" x14ac:dyDescent="0.25">
      <c r="A54" s="172"/>
      <c r="B54" s="142">
        <f t="shared" si="0"/>
        <v>0</v>
      </c>
      <c r="C54" s="8"/>
      <c r="D54" s="8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x14ac:dyDescent="0.25">
      <c r="A55" s="172"/>
      <c r="B55" s="142">
        <f t="shared" si="0"/>
        <v>0</v>
      </c>
      <c r="C55" s="8"/>
      <c r="D55" s="8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</row>
    <row r="56" spans="1:18" x14ac:dyDescent="0.25">
      <c r="A56" s="172"/>
      <c r="B56" s="142">
        <f t="shared" si="0"/>
        <v>0</v>
      </c>
      <c r="C56" s="8"/>
      <c r="D56" s="8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x14ac:dyDescent="0.25">
      <c r="A57" s="172"/>
      <c r="B57" s="142">
        <f t="shared" si="0"/>
        <v>0</v>
      </c>
      <c r="C57" s="8"/>
      <c r="D57" s="8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</row>
    <row r="58" spans="1:18" x14ac:dyDescent="0.25">
      <c r="A58" s="172"/>
      <c r="B58" s="142">
        <f t="shared" si="0"/>
        <v>0</v>
      </c>
      <c r="C58" s="8"/>
      <c r="D58" s="8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</row>
    <row r="59" spans="1:18" x14ac:dyDescent="0.25">
      <c r="A59" s="172"/>
      <c r="B59" s="142">
        <f t="shared" si="0"/>
        <v>0</v>
      </c>
      <c r="C59" s="8"/>
      <c r="D59" s="8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</row>
    <row r="60" spans="1:18" x14ac:dyDescent="0.25">
      <c r="A60" s="172"/>
      <c r="B60" s="142">
        <f t="shared" si="0"/>
        <v>0</v>
      </c>
      <c r="C60" s="8"/>
      <c r="D60" s="8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</row>
    <row r="61" spans="1:18" x14ac:dyDescent="0.25">
      <c r="A61" s="172"/>
      <c r="B61" s="142">
        <f t="shared" si="0"/>
        <v>0</v>
      </c>
      <c r="C61" s="10"/>
      <c r="D61" s="10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</row>
    <row r="62" spans="1:18" x14ac:dyDescent="0.25">
      <c r="A62" s="172"/>
      <c r="B62" s="142">
        <f t="shared" si="0"/>
        <v>0</v>
      </c>
      <c r="C62" s="10"/>
      <c r="D62" s="10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</row>
    <row r="63" spans="1:18" x14ac:dyDescent="0.25">
      <c r="A63" s="172"/>
      <c r="B63" s="142">
        <f t="shared" si="0"/>
        <v>0</v>
      </c>
      <c r="C63" s="10"/>
      <c r="D63" s="10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</row>
    <row r="64" spans="1:18" x14ac:dyDescent="0.25">
      <c r="A64" s="172"/>
      <c r="B64" s="142">
        <f t="shared" si="0"/>
        <v>0</v>
      </c>
      <c r="C64" s="8"/>
      <c r="D64" s="8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x14ac:dyDescent="0.25">
      <c r="A65" s="172"/>
      <c r="B65" s="142">
        <f t="shared" si="0"/>
        <v>0</v>
      </c>
      <c r="C65" s="8"/>
      <c r="D65" s="8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</row>
    <row r="66" spans="1:18" x14ac:dyDescent="0.25">
      <c r="A66" s="172"/>
      <c r="B66" s="142">
        <f t="shared" si="0"/>
        <v>0</v>
      </c>
      <c r="C66" s="8"/>
      <c r="D66" s="8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49"/>
    </row>
    <row r="67" spans="1:18" x14ac:dyDescent="0.25">
      <c r="A67" s="172"/>
      <c r="B67" s="142">
        <f t="shared" si="0"/>
        <v>0</v>
      </c>
      <c r="C67" s="8"/>
      <c r="D67" s="8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x14ac:dyDescent="0.25">
      <c r="A68" s="172"/>
      <c r="B68" s="142">
        <f>SUM(C68:R68)</f>
        <v>0</v>
      </c>
      <c r="C68" s="8"/>
      <c r="D68" s="8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x14ac:dyDescent="0.25">
      <c r="A69" s="172"/>
      <c r="B69" s="142">
        <f>SUM(C69:R69)</f>
        <v>0</v>
      </c>
      <c r="C69" s="8"/>
      <c r="D69" s="8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x14ac:dyDescent="0.25">
      <c r="A70" s="172"/>
      <c r="B70" s="142">
        <f>SUM(C70:R70)</f>
        <v>0</v>
      </c>
      <c r="C70" s="8"/>
      <c r="D70" s="8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</row>
    <row r="71" spans="1:18" x14ac:dyDescent="0.25">
      <c r="A71" s="172"/>
      <c r="B71" s="142">
        <f>SUM(C71:R71)</f>
        <v>0</v>
      </c>
      <c r="C71" s="8"/>
      <c r="D71" s="8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</row>
    <row r="72" spans="1:18" x14ac:dyDescent="0.25">
      <c r="A72" s="172"/>
      <c r="B72" s="142">
        <f>SUM(C72:R72)</f>
        <v>0</v>
      </c>
      <c r="C72" s="8"/>
      <c r="D72" s="8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</row>
  </sheetData>
  <autoFilter ref="A1:D72" xr:uid="{00000000-0009-0000-0000-00000E000000}"/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/>
  <dimension ref="A1:P113"/>
  <sheetViews>
    <sheetView zoomScaleNormal="100" workbookViewId="0">
      <selection sqref="A1:XFD1048576"/>
    </sheetView>
  </sheetViews>
  <sheetFormatPr defaultRowHeight="15" x14ac:dyDescent="0.25"/>
  <cols>
    <col min="1" max="1" width="8.85546875" bestFit="1" customWidth="1"/>
    <col min="2" max="2" width="17.7109375" bestFit="1" customWidth="1"/>
    <col min="3" max="3" width="36.28515625" bestFit="1" customWidth="1"/>
    <col min="4" max="4" width="15.7109375" bestFit="1" customWidth="1"/>
    <col min="5" max="5" width="12.140625" bestFit="1" customWidth="1"/>
    <col min="6" max="6" width="18.5703125" bestFit="1" customWidth="1"/>
    <col min="7" max="7" width="11.5703125" bestFit="1" customWidth="1"/>
    <col min="8" max="8" width="19.140625" bestFit="1" customWidth="1"/>
    <col min="9" max="9" width="24.42578125" bestFit="1" customWidth="1"/>
    <col min="10" max="10" width="36.5703125" bestFit="1" customWidth="1"/>
    <col min="11" max="11" width="33.85546875" bestFit="1" customWidth="1"/>
    <col min="12" max="12" width="26.42578125" bestFit="1" customWidth="1"/>
    <col min="13" max="13" width="22.42578125" bestFit="1" customWidth="1"/>
    <col min="14" max="14" width="22.5703125" bestFit="1" customWidth="1"/>
    <col min="15" max="15" width="19" bestFit="1" customWidth="1"/>
    <col min="16" max="16" width="11.5703125" bestFit="1" customWidth="1"/>
  </cols>
  <sheetData>
    <row r="1" spans="1:16" x14ac:dyDescent="0.25">
      <c r="A1" t="s">
        <v>2220</v>
      </c>
    </row>
    <row r="3" spans="1:16" ht="17.25" customHeight="1" x14ac:dyDescent="0.25">
      <c r="A3" s="763" t="s">
        <v>167</v>
      </c>
      <c r="B3" s="763" t="s">
        <v>371</v>
      </c>
      <c r="C3" s="763" t="s">
        <v>50</v>
      </c>
      <c r="D3" s="763" t="s">
        <v>168</v>
      </c>
      <c r="E3" s="763" t="s">
        <v>169</v>
      </c>
      <c r="F3" s="763" t="s">
        <v>170</v>
      </c>
      <c r="G3" s="763" t="s">
        <v>171</v>
      </c>
      <c r="H3" s="763" t="s">
        <v>172</v>
      </c>
      <c r="I3" s="763" t="s">
        <v>173</v>
      </c>
      <c r="J3" s="763" t="s">
        <v>174</v>
      </c>
      <c r="K3" s="763" t="s">
        <v>175</v>
      </c>
      <c r="L3" s="763" t="s">
        <v>176</v>
      </c>
      <c r="M3" s="763" t="s">
        <v>177</v>
      </c>
      <c r="N3" s="763" t="s">
        <v>178</v>
      </c>
      <c r="O3" s="763" t="s">
        <v>179</v>
      </c>
      <c r="P3" s="763" t="s">
        <v>180</v>
      </c>
    </row>
    <row r="4" spans="1:16" x14ac:dyDescent="0.25">
      <c r="A4" s="764" t="s">
        <v>181</v>
      </c>
      <c r="B4" s="764" t="s">
        <v>372</v>
      </c>
      <c r="C4" s="764" t="s">
        <v>2221</v>
      </c>
      <c r="D4" s="764" t="s">
        <v>2222</v>
      </c>
      <c r="E4" s="764" t="s">
        <v>182</v>
      </c>
      <c r="F4" s="799">
        <v>17</v>
      </c>
      <c r="G4" s="799">
        <v>0</v>
      </c>
      <c r="H4" s="799">
        <v>0</v>
      </c>
      <c r="I4" s="799">
        <v>0</v>
      </c>
      <c r="J4" s="799">
        <v>0</v>
      </c>
      <c r="K4" s="799">
        <v>0</v>
      </c>
      <c r="L4" s="799">
        <v>9</v>
      </c>
      <c r="M4" s="799">
        <v>9</v>
      </c>
      <c r="N4" s="799">
        <v>6</v>
      </c>
      <c r="O4" s="799">
        <v>2</v>
      </c>
      <c r="P4" s="799">
        <v>0</v>
      </c>
    </row>
    <row r="5" spans="1:16" x14ac:dyDescent="0.25">
      <c r="A5" s="765"/>
      <c r="B5" s="765"/>
      <c r="C5" s="765" t="s">
        <v>2223</v>
      </c>
      <c r="D5" s="765" t="s">
        <v>2224</v>
      </c>
      <c r="E5" s="765" t="s">
        <v>182</v>
      </c>
      <c r="F5" s="800">
        <v>6</v>
      </c>
      <c r="G5" s="800">
        <v>0</v>
      </c>
      <c r="H5" s="800">
        <v>0</v>
      </c>
      <c r="I5" s="800">
        <v>0</v>
      </c>
      <c r="J5" s="800">
        <v>0</v>
      </c>
      <c r="K5" s="800">
        <v>0</v>
      </c>
      <c r="L5" s="800">
        <v>0</v>
      </c>
      <c r="M5" s="800">
        <v>0</v>
      </c>
      <c r="N5" s="800">
        <v>5</v>
      </c>
      <c r="O5" s="800">
        <v>1</v>
      </c>
      <c r="P5" s="800">
        <v>0</v>
      </c>
    </row>
    <row r="6" spans="1:16" x14ac:dyDescent="0.25">
      <c r="A6" s="764"/>
      <c r="B6" s="764"/>
      <c r="C6" s="764" t="s">
        <v>905</v>
      </c>
      <c r="D6" s="764" t="s">
        <v>906</v>
      </c>
      <c r="E6" s="764" t="s">
        <v>182</v>
      </c>
      <c r="F6" s="799">
        <v>19</v>
      </c>
      <c r="G6" s="799">
        <v>0</v>
      </c>
      <c r="H6" s="799">
        <v>1</v>
      </c>
      <c r="I6" s="799">
        <v>4</v>
      </c>
      <c r="J6" s="799">
        <v>0</v>
      </c>
      <c r="K6" s="799">
        <v>0</v>
      </c>
      <c r="L6" s="799">
        <v>4</v>
      </c>
      <c r="M6" s="799">
        <v>9</v>
      </c>
      <c r="N6" s="799">
        <v>3</v>
      </c>
      <c r="O6" s="799">
        <v>7</v>
      </c>
      <c r="P6" s="799">
        <v>0</v>
      </c>
    </row>
    <row r="7" spans="1:16" x14ac:dyDescent="0.25">
      <c r="A7" s="765"/>
      <c r="B7" s="765"/>
      <c r="C7" s="765" t="s">
        <v>907</v>
      </c>
      <c r="D7" s="765" t="s">
        <v>908</v>
      </c>
      <c r="E7" s="765" t="s">
        <v>182</v>
      </c>
      <c r="F7" s="800">
        <v>7</v>
      </c>
      <c r="G7" s="800">
        <v>4</v>
      </c>
      <c r="H7" s="800">
        <v>1</v>
      </c>
      <c r="I7" s="800">
        <v>2</v>
      </c>
      <c r="J7" s="800">
        <v>0</v>
      </c>
      <c r="K7" s="800">
        <v>0</v>
      </c>
      <c r="L7" s="800">
        <v>0</v>
      </c>
      <c r="M7" s="800">
        <v>7</v>
      </c>
      <c r="N7" s="800">
        <v>0</v>
      </c>
      <c r="O7" s="800">
        <v>0</v>
      </c>
      <c r="P7" s="800">
        <v>0</v>
      </c>
    </row>
    <row r="8" spans="1:16" x14ac:dyDescent="0.25">
      <c r="A8" s="764"/>
      <c r="B8" s="764"/>
      <c r="C8" s="764" t="s">
        <v>759</v>
      </c>
      <c r="D8" s="764" t="s">
        <v>760</v>
      </c>
      <c r="E8" s="764" t="s">
        <v>182</v>
      </c>
      <c r="F8" s="799">
        <v>16</v>
      </c>
      <c r="G8" s="799">
        <v>0</v>
      </c>
      <c r="H8" s="799">
        <v>0</v>
      </c>
      <c r="I8" s="799">
        <v>5</v>
      </c>
      <c r="J8" s="799">
        <v>0</v>
      </c>
      <c r="K8" s="799">
        <v>4</v>
      </c>
      <c r="L8" s="799">
        <v>7</v>
      </c>
      <c r="M8" s="799">
        <v>16</v>
      </c>
      <c r="N8" s="799">
        <v>0</v>
      </c>
      <c r="O8" s="799">
        <v>0</v>
      </c>
      <c r="P8" s="799">
        <v>0</v>
      </c>
    </row>
    <row r="9" spans="1:16" x14ac:dyDescent="0.25">
      <c r="A9" s="765"/>
      <c r="B9" s="765"/>
      <c r="C9" s="765" t="s">
        <v>897</v>
      </c>
      <c r="D9" s="765" t="s">
        <v>898</v>
      </c>
      <c r="E9" s="765" t="s">
        <v>182</v>
      </c>
      <c r="F9" s="800">
        <v>1</v>
      </c>
      <c r="G9" s="800">
        <v>0</v>
      </c>
      <c r="H9" s="800">
        <v>1</v>
      </c>
      <c r="I9" s="800">
        <v>0</v>
      </c>
      <c r="J9" s="800">
        <v>0</v>
      </c>
      <c r="K9" s="800">
        <v>0</v>
      </c>
      <c r="L9" s="800">
        <v>0</v>
      </c>
      <c r="M9" s="800">
        <v>1</v>
      </c>
      <c r="N9" s="800">
        <v>0</v>
      </c>
      <c r="O9" s="800">
        <v>0</v>
      </c>
      <c r="P9" s="800">
        <v>0</v>
      </c>
    </row>
    <row r="10" spans="1:16" x14ac:dyDescent="0.25">
      <c r="A10" s="764"/>
      <c r="B10" s="764"/>
      <c r="C10" s="764" t="s">
        <v>1396</v>
      </c>
      <c r="D10" s="764" t="s">
        <v>1397</v>
      </c>
      <c r="E10" s="764" t="s">
        <v>182</v>
      </c>
      <c r="F10" s="799">
        <v>16</v>
      </c>
      <c r="G10" s="799">
        <v>5</v>
      </c>
      <c r="H10" s="799">
        <v>4</v>
      </c>
      <c r="I10" s="799">
        <v>0</v>
      </c>
      <c r="J10" s="799">
        <v>0</v>
      </c>
      <c r="K10" s="799">
        <v>0</v>
      </c>
      <c r="L10" s="799">
        <v>1</v>
      </c>
      <c r="M10" s="799">
        <v>10</v>
      </c>
      <c r="N10" s="799">
        <v>1</v>
      </c>
      <c r="O10" s="799">
        <v>5</v>
      </c>
      <c r="P10" s="799">
        <v>0</v>
      </c>
    </row>
    <row r="11" spans="1:16" x14ac:dyDescent="0.25">
      <c r="A11" s="765"/>
      <c r="B11" s="765"/>
      <c r="C11" s="765" t="s">
        <v>2225</v>
      </c>
      <c r="D11" s="765" t="s">
        <v>2226</v>
      </c>
      <c r="E11" s="765" t="s">
        <v>182</v>
      </c>
      <c r="F11" s="800">
        <v>2</v>
      </c>
      <c r="G11" s="800">
        <v>1</v>
      </c>
      <c r="H11" s="800">
        <v>0</v>
      </c>
      <c r="I11" s="800">
        <v>1</v>
      </c>
      <c r="J11" s="800">
        <v>0</v>
      </c>
      <c r="K11" s="800">
        <v>0</v>
      </c>
      <c r="L11" s="800">
        <v>0</v>
      </c>
      <c r="M11" s="800">
        <v>2</v>
      </c>
      <c r="N11" s="800">
        <v>0</v>
      </c>
      <c r="O11" s="800">
        <v>0</v>
      </c>
      <c r="P11" s="800">
        <v>0</v>
      </c>
    </row>
    <row r="12" spans="1:16" x14ac:dyDescent="0.25">
      <c r="A12" s="764"/>
      <c r="B12" s="764"/>
      <c r="C12" s="764" t="s">
        <v>2203</v>
      </c>
      <c r="D12" s="764" t="s">
        <v>2204</v>
      </c>
      <c r="E12" s="764" t="s">
        <v>182</v>
      </c>
      <c r="F12" s="799">
        <v>9</v>
      </c>
      <c r="G12" s="799">
        <v>0</v>
      </c>
      <c r="H12" s="799">
        <v>3</v>
      </c>
      <c r="I12" s="799">
        <v>0</v>
      </c>
      <c r="J12" s="799">
        <v>0</v>
      </c>
      <c r="K12" s="799">
        <v>0</v>
      </c>
      <c r="L12" s="799">
        <v>0</v>
      </c>
      <c r="M12" s="799">
        <v>3</v>
      </c>
      <c r="N12" s="799">
        <v>0</v>
      </c>
      <c r="O12" s="799">
        <v>6</v>
      </c>
      <c r="P12" s="799">
        <v>0</v>
      </c>
    </row>
    <row r="13" spans="1:16" x14ac:dyDescent="0.25">
      <c r="A13" s="765"/>
      <c r="B13" s="765"/>
      <c r="C13" s="765" t="s">
        <v>1997</v>
      </c>
      <c r="D13" s="765" t="s">
        <v>1998</v>
      </c>
      <c r="E13" s="765" t="s">
        <v>182</v>
      </c>
      <c r="F13" s="800">
        <v>1</v>
      </c>
      <c r="G13" s="800">
        <v>0</v>
      </c>
      <c r="H13" s="800">
        <v>1</v>
      </c>
      <c r="I13" s="800">
        <v>0</v>
      </c>
      <c r="J13" s="800">
        <v>0</v>
      </c>
      <c r="K13" s="800">
        <v>0</v>
      </c>
      <c r="L13" s="800">
        <v>0</v>
      </c>
      <c r="M13" s="800">
        <v>1</v>
      </c>
      <c r="N13" s="800">
        <v>0</v>
      </c>
      <c r="O13" s="800">
        <v>0</v>
      </c>
      <c r="P13" s="800">
        <v>0</v>
      </c>
    </row>
    <row r="14" spans="1:16" x14ac:dyDescent="0.25">
      <c r="A14" s="764"/>
      <c r="B14" s="764"/>
      <c r="C14" s="764" t="s">
        <v>2205</v>
      </c>
      <c r="D14" s="764" t="s">
        <v>2206</v>
      </c>
      <c r="E14" s="764" t="s">
        <v>182</v>
      </c>
      <c r="F14" s="799">
        <v>1</v>
      </c>
      <c r="G14" s="799">
        <v>1</v>
      </c>
      <c r="H14" s="799">
        <v>0</v>
      </c>
      <c r="I14" s="799">
        <v>0</v>
      </c>
      <c r="J14" s="799">
        <v>0</v>
      </c>
      <c r="K14" s="799">
        <v>0</v>
      </c>
      <c r="L14" s="799">
        <v>0</v>
      </c>
      <c r="M14" s="799">
        <v>1</v>
      </c>
      <c r="N14" s="799">
        <v>0</v>
      </c>
      <c r="O14" s="799">
        <v>0</v>
      </c>
      <c r="P14" s="799">
        <v>0</v>
      </c>
    </row>
    <row r="15" spans="1:16" x14ac:dyDescent="0.25">
      <c r="A15" s="765"/>
      <c r="B15" s="765"/>
      <c r="C15" s="765" t="s">
        <v>1208</v>
      </c>
      <c r="D15" s="765" t="s">
        <v>1209</v>
      </c>
      <c r="E15" s="765" t="s">
        <v>182</v>
      </c>
      <c r="F15" s="800">
        <v>1</v>
      </c>
      <c r="G15" s="800">
        <v>0</v>
      </c>
      <c r="H15" s="800">
        <v>1</v>
      </c>
      <c r="I15" s="800">
        <v>0</v>
      </c>
      <c r="J15" s="800">
        <v>0</v>
      </c>
      <c r="K15" s="800">
        <v>0</v>
      </c>
      <c r="L15" s="800">
        <v>0</v>
      </c>
      <c r="M15" s="800">
        <v>1</v>
      </c>
      <c r="N15" s="800">
        <v>0</v>
      </c>
      <c r="O15" s="800">
        <v>0</v>
      </c>
      <c r="P15" s="800">
        <v>0</v>
      </c>
    </row>
    <row r="16" spans="1:16" x14ac:dyDescent="0.25">
      <c r="A16" s="764"/>
      <c r="B16" s="764"/>
      <c r="C16" s="764" t="s">
        <v>2126</v>
      </c>
      <c r="D16" s="764" t="s">
        <v>2127</v>
      </c>
      <c r="E16" s="764" t="s">
        <v>182</v>
      </c>
      <c r="F16" s="799">
        <v>8</v>
      </c>
      <c r="G16" s="799">
        <v>0</v>
      </c>
      <c r="H16" s="799">
        <v>0</v>
      </c>
      <c r="I16" s="799">
        <v>0</v>
      </c>
      <c r="J16" s="799">
        <v>0</v>
      </c>
      <c r="K16" s="799">
        <v>0</v>
      </c>
      <c r="L16" s="799">
        <v>3</v>
      </c>
      <c r="M16" s="799">
        <v>3</v>
      </c>
      <c r="N16" s="799">
        <v>5</v>
      </c>
      <c r="O16" s="799">
        <v>0</v>
      </c>
      <c r="P16" s="799">
        <v>0</v>
      </c>
    </row>
    <row r="17" spans="1:16" x14ac:dyDescent="0.25">
      <c r="A17" s="765"/>
      <c r="B17" s="765"/>
      <c r="C17" s="765" t="s">
        <v>1999</v>
      </c>
      <c r="D17" s="765" t="s">
        <v>2000</v>
      </c>
      <c r="E17" s="765" t="s">
        <v>182</v>
      </c>
      <c r="F17" s="800">
        <v>6</v>
      </c>
      <c r="G17" s="800">
        <v>2</v>
      </c>
      <c r="H17" s="800">
        <v>1</v>
      </c>
      <c r="I17" s="800">
        <v>2</v>
      </c>
      <c r="J17" s="800">
        <v>0</v>
      </c>
      <c r="K17" s="800">
        <v>0</v>
      </c>
      <c r="L17" s="800">
        <v>1</v>
      </c>
      <c r="M17" s="800">
        <v>6</v>
      </c>
      <c r="N17" s="800">
        <v>0</v>
      </c>
      <c r="O17" s="800">
        <v>0</v>
      </c>
      <c r="P17" s="800">
        <v>0</v>
      </c>
    </row>
    <row r="18" spans="1:16" x14ac:dyDescent="0.25">
      <c r="A18" s="764"/>
      <c r="B18" s="764"/>
      <c r="C18" s="764" t="s">
        <v>753</v>
      </c>
      <c r="D18" s="764" t="s">
        <v>754</v>
      </c>
      <c r="E18" s="764" t="s">
        <v>182</v>
      </c>
      <c r="F18" s="799">
        <v>11</v>
      </c>
      <c r="G18" s="799">
        <v>1</v>
      </c>
      <c r="H18" s="799">
        <v>3</v>
      </c>
      <c r="I18" s="799">
        <v>3</v>
      </c>
      <c r="J18" s="799">
        <v>0</v>
      </c>
      <c r="K18" s="799">
        <v>3</v>
      </c>
      <c r="L18" s="799">
        <v>0</v>
      </c>
      <c r="M18" s="799">
        <v>10</v>
      </c>
      <c r="N18" s="799">
        <v>0</v>
      </c>
      <c r="O18" s="799">
        <v>1</v>
      </c>
      <c r="P18" s="799">
        <v>0</v>
      </c>
    </row>
    <row r="19" spans="1:16" x14ac:dyDescent="0.25">
      <c r="A19" s="765"/>
      <c r="B19" s="765"/>
      <c r="C19" s="765" t="s">
        <v>899</v>
      </c>
      <c r="D19" s="765" t="s">
        <v>900</v>
      </c>
      <c r="E19" s="765" t="s">
        <v>182</v>
      </c>
      <c r="F19" s="800">
        <v>14</v>
      </c>
      <c r="G19" s="800">
        <v>0</v>
      </c>
      <c r="H19" s="800">
        <v>3</v>
      </c>
      <c r="I19" s="800">
        <v>0</v>
      </c>
      <c r="J19" s="800">
        <v>2</v>
      </c>
      <c r="K19" s="800">
        <v>3</v>
      </c>
      <c r="L19" s="800">
        <v>4</v>
      </c>
      <c r="M19" s="800">
        <v>12</v>
      </c>
      <c r="N19" s="800">
        <v>1</v>
      </c>
      <c r="O19" s="800">
        <v>1</v>
      </c>
      <c r="P19" s="800">
        <v>0</v>
      </c>
    </row>
    <row r="20" spans="1:16" x14ac:dyDescent="0.25">
      <c r="A20" s="764"/>
      <c r="B20" s="764"/>
      <c r="C20" s="764" t="s">
        <v>2227</v>
      </c>
      <c r="D20" s="764" t="s">
        <v>2228</v>
      </c>
      <c r="E20" s="764" t="s">
        <v>2229</v>
      </c>
      <c r="F20" s="799">
        <v>1</v>
      </c>
      <c r="G20" s="799">
        <v>0</v>
      </c>
      <c r="H20" s="799">
        <v>0</v>
      </c>
      <c r="I20" s="799">
        <v>0</v>
      </c>
      <c r="J20" s="799">
        <v>0</v>
      </c>
      <c r="K20" s="799">
        <v>0</v>
      </c>
      <c r="L20" s="799">
        <v>0</v>
      </c>
      <c r="M20" s="799">
        <v>0</v>
      </c>
      <c r="N20" s="799">
        <v>0</v>
      </c>
      <c r="O20" s="799">
        <v>1</v>
      </c>
      <c r="P20" s="799">
        <v>0</v>
      </c>
    </row>
    <row r="21" spans="1:16" x14ac:dyDescent="0.25">
      <c r="A21" s="765"/>
      <c r="B21" s="765"/>
      <c r="C21" s="765" t="s">
        <v>2230</v>
      </c>
      <c r="D21" s="765" t="s">
        <v>2231</v>
      </c>
      <c r="E21" s="765" t="s">
        <v>2229</v>
      </c>
      <c r="F21" s="800">
        <v>2</v>
      </c>
      <c r="G21" s="800">
        <v>0</v>
      </c>
      <c r="H21" s="800">
        <v>0</v>
      </c>
      <c r="I21" s="800">
        <v>0</v>
      </c>
      <c r="J21" s="800">
        <v>0</v>
      </c>
      <c r="K21" s="800">
        <v>0</v>
      </c>
      <c r="L21" s="800">
        <v>0</v>
      </c>
      <c r="M21" s="800">
        <v>0</v>
      </c>
      <c r="N21" s="800">
        <v>0</v>
      </c>
      <c r="O21" s="800">
        <v>2</v>
      </c>
      <c r="P21" s="800">
        <v>0</v>
      </c>
    </row>
    <row r="22" spans="1:16" x14ac:dyDescent="0.25">
      <c r="A22" s="766"/>
      <c r="B22" s="766" t="s">
        <v>361</v>
      </c>
      <c r="C22" s="766"/>
      <c r="D22" s="766"/>
      <c r="E22" s="766"/>
      <c r="F22" s="801">
        <v>138</v>
      </c>
      <c r="G22" s="801">
        <v>14</v>
      </c>
      <c r="H22" s="801">
        <v>19</v>
      </c>
      <c r="I22" s="801">
        <v>17</v>
      </c>
      <c r="J22" s="801">
        <v>2</v>
      </c>
      <c r="K22" s="801">
        <v>10</v>
      </c>
      <c r="L22" s="801">
        <v>29</v>
      </c>
      <c r="M22" s="801">
        <v>91</v>
      </c>
      <c r="N22" s="801">
        <v>21</v>
      </c>
      <c r="O22" s="801">
        <v>26</v>
      </c>
      <c r="P22" s="801">
        <v>0</v>
      </c>
    </row>
    <row r="23" spans="1:16" x14ac:dyDescent="0.25">
      <c r="A23" s="765"/>
      <c r="B23" s="765" t="s">
        <v>373</v>
      </c>
      <c r="C23" s="765" t="s">
        <v>1900</v>
      </c>
      <c r="D23" s="765" t="s">
        <v>1901</v>
      </c>
      <c r="E23" s="765" t="s">
        <v>1398</v>
      </c>
      <c r="F23" s="800">
        <v>4</v>
      </c>
      <c r="G23" s="800">
        <v>1</v>
      </c>
      <c r="H23" s="800">
        <v>0</v>
      </c>
      <c r="I23" s="800">
        <v>3</v>
      </c>
      <c r="J23" s="800">
        <v>0</v>
      </c>
      <c r="K23" s="800">
        <v>0</v>
      </c>
      <c r="L23" s="800">
        <v>0</v>
      </c>
      <c r="M23" s="800">
        <v>4</v>
      </c>
      <c r="N23" s="800">
        <v>0</v>
      </c>
      <c r="O23" s="800">
        <v>0</v>
      </c>
      <c r="P23" s="800">
        <v>0</v>
      </c>
    </row>
    <row r="24" spans="1:16" x14ac:dyDescent="0.25">
      <c r="A24" s="764"/>
      <c r="B24" s="764"/>
      <c r="C24" s="764" t="s">
        <v>2232</v>
      </c>
      <c r="D24" s="764" t="s">
        <v>2233</v>
      </c>
      <c r="E24" s="764" t="s">
        <v>182</v>
      </c>
      <c r="F24" s="799">
        <v>1</v>
      </c>
      <c r="G24" s="799">
        <v>0</v>
      </c>
      <c r="H24" s="799">
        <v>0</v>
      </c>
      <c r="I24" s="799">
        <v>0</v>
      </c>
      <c r="J24" s="799">
        <v>1</v>
      </c>
      <c r="K24" s="799">
        <v>0</v>
      </c>
      <c r="L24" s="799">
        <v>0</v>
      </c>
      <c r="M24" s="799">
        <v>1</v>
      </c>
      <c r="N24" s="799">
        <v>0</v>
      </c>
      <c r="O24" s="799">
        <v>0</v>
      </c>
      <c r="P24" s="799">
        <v>0</v>
      </c>
    </row>
    <row r="25" spans="1:16" x14ac:dyDescent="0.25">
      <c r="A25" s="765"/>
      <c r="B25" s="765"/>
      <c r="C25" s="765" t="s">
        <v>2234</v>
      </c>
      <c r="D25" s="765" t="s">
        <v>2235</v>
      </c>
      <c r="E25" s="765" t="s">
        <v>182</v>
      </c>
      <c r="F25" s="800">
        <v>1</v>
      </c>
      <c r="G25" s="800">
        <v>0</v>
      </c>
      <c r="H25" s="800">
        <v>0</v>
      </c>
      <c r="I25" s="800">
        <v>0</v>
      </c>
      <c r="J25" s="800">
        <v>0</v>
      </c>
      <c r="K25" s="800">
        <v>0</v>
      </c>
      <c r="L25" s="800">
        <v>0</v>
      </c>
      <c r="M25" s="800">
        <v>0</v>
      </c>
      <c r="N25" s="800">
        <v>0</v>
      </c>
      <c r="O25" s="800">
        <v>1</v>
      </c>
      <c r="P25" s="800">
        <v>0</v>
      </c>
    </row>
    <row r="26" spans="1:16" x14ac:dyDescent="0.25">
      <c r="A26" s="764"/>
      <c r="B26" s="764"/>
      <c r="C26" s="764" t="s">
        <v>2236</v>
      </c>
      <c r="D26" s="764" t="s">
        <v>2237</v>
      </c>
      <c r="E26" s="764" t="s">
        <v>182</v>
      </c>
      <c r="F26" s="799">
        <v>1</v>
      </c>
      <c r="G26" s="799">
        <v>0</v>
      </c>
      <c r="H26" s="799">
        <v>0</v>
      </c>
      <c r="I26" s="799">
        <v>0</v>
      </c>
      <c r="J26" s="799">
        <v>0</v>
      </c>
      <c r="K26" s="799">
        <v>1</v>
      </c>
      <c r="L26" s="799">
        <v>0</v>
      </c>
      <c r="M26" s="799">
        <v>1</v>
      </c>
      <c r="N26" s="799">
        <v>0</v>
      </c>
      <c r="O26" s="799">
        <v>0</v>
      </c>
      <c r="P26" s="799">
        <v>0</v>
      </c>
    </row>
    <row r="27" spans="1:16" x14ac:dyDescent="0.25">
      <c r="A27" s="765"/>
      <c r="B27" s="765"/>
      <c r="C27" s="765" t="s">
        <v>1210</v>
      </c>
      <c r="D27" s="765" t="s">
        <v>1211</v>
      </c>
      <c r="E27" s="765" t="s">
        <v>182</v>
      </c>
      <c r="F27" s="800">
        <v>2</v>
      </c>
      <c r="G27" s="800">
        <v>0</v>
      </c>
      <c r="H27" s="800">
        <v>0</v>
      </c>
      <c r="I27" s="800">
        <v>1</v>
      </c>
      <c r="J27" s="800">
        <v>1</v>
      </c>
      <c r="K27" s="800">
        <v>0</v>
      </c>
      <c r="L27" s="800">
        <v>0</v>
      </c>
      <c r="M27" s="800">
        <v>2</v>
      </c>
      <c r="N27" s="800">
        <v>0</v>
      </c>
      <c r="O27" s="800">
        <v>0</v>
      </c>
      <c r="P27" s="800">
        <v>0</v>
      </c>
    </row>
    <row r="28" spans="1:16" x14ac:dyDescent="0.25">
      <c r="A28" s="764"/>
      <c r="B28" s="764"/>
      <c r="C28" s="764" t="s">
        <v>901</v>
      </c>
      <c r="D28" s="764" t="s">
        <v>902</v>
      </c>
      <c r="E28" s="764" t="s">
        <v>182</v>
      </c>
      <c r="F28" s="799">
        <v>2</v>
      </c>
      <c r="G28" s="799">
        <v>1</v>
      </c>
      <c r="H28" s="799">
        <v>1</v>
      </c>
      <c r="I28" s="799">
        <v>0</v>
      </c>
      <c r="J28" s="799">
        <v>0</v>
      </c>
      <c r="K28" s="799">
        <v>0</v>
      </c>
      <c r="L28" s="799">
        <v>0</v>
      </c>
      <c r="M28" s="799">
        <v>2</v>
      </c>
      <c r="N28" s="799">
        <v>0</v>
      </c>
      <c r="O28" s="799">
        <v>0</v>
      </c>
      <c r="P28" s="799">
        <v>0</v>
      </c>
    </row>
    <row r="29" spans="1:16" x14ac:dyDescent="0.25">
      <c r="A29" s="765"/>
      <c r="B29" s="765"/>
      <c r="C29" s="765" t="s">
        <v>2238</v>
      </c>
      <c r="D29" s="765" t="s">
        <v>2239</v>
      </c>
      <c r="E29" s="765" t="s">
        <v>182</v>
      </c>
      <c r="F29" s="800">
        <v>3</v>
      </c>
      <c r="G29" s="800">
        <v>0</v>
      </c>
      <c r="H29" s="800">
        <v>0</v>
      </c>
      <c r="I29" s="800">
        <v>0</v>
      </c>
      <c r="J29" s="800">
        <v>3</v>
      </c>
      <c r="K29" s="800">
        <v>0</v>
      </c>
      <c r="L29" s="800">
        <v>0</v>
      </c>
      <c r="M29" s="800">
        <v>3</v>
      </c>
      <c r="N29" s="800">
        <v>0</v>
      </c>
      <c r="O29" s="800">
        <v>0</v>
      </c>
      <c r="P29" s="800">
        <v>0</v>
      </c>
    </row>
    <row r="30" spans="1:16" x14ac:dyDescent="0.25">
      <c r="A30" s="764"/>
      <c r="B30" s="764"/>
      <c r="C30" s="764" t="s">
        <v>2240</v>
      </c>
      <c r="D30" s="764" t="s">
        <v>2241</v>
      </c>
      <c r="E30" s="764" t="s">
        <v>182</v>
      </c>
      <c r="F30" s="799">
        <v>1</v>
      </c>
      <c r="G30" s="799">
        <v>1</v>
      </c>
      <c r="H30" s="799">
        <v>0</v>
      </c>
      <c r="I30" s="799">
        <v>0</v>
      </c>
      <c r="J30" s="799">
        <v>0</v>
      </c>
      <c r="K30" s="799">
        <v>0</v>
      </c>
      <c r="L30" s="799">
        <v>0</v>
      </c>
      <c r="M30" s="799">
        <v>1</v>
      </c>
      <c r="N30" s="799">
        <v>0</v>
      </c>
      <c r="O30" s="799">
        <v>0</v>
      </c>
      <c r="P30" s="799">
        <v>0</v>
      </c>
    </row>
    <row r="31" spans="1:16" x14ac:dyDescent="0.25">
      <c r="A31" s="765"/>
      <c r="B31" s="765"/>
      <c r="C31" s="765" t="s">
        <v>2242</v>
      </c>
      <c r="D31" s="765" t="s">
        <v>2243</v>
      </c>
      <c r="E31" s="765" t="s">
        <v>182</v>
      </c>
      <c r="F31" s="800">
        <v>2</v>
      </c>
      <c r="G31" s="800">
        <v>0</v>
      </c>
      <c r="H31" s="800">
        <v>0</v>
      </c>
      <c r="I31" s="800">
        <v>2</v>
      </c>
      <c r="J31" s="800">
        <v>0</v>
      </c>
      <c r="K31" s="800">
        <v>0</v>
      </c>
      <c r="L31" s="800">
        <v>0</v>
      </c>
      <c r="M31" s="800">
        <v>2</v>
      </c>
      <c r="N31" s="800">
        <v>0</v>
      </c>
      <c r="O31" s="800">
        <v>0</v>
      </c>
      <c r="P31" s="800">
        <v>0</v>
      </c>
    </row>
    <row r="32" spans="1:16" x14ac:dyDescent="0.25">
      <c r="A32" s="764"/>
      <c r="B32" s="764"/>
      <c r="C32" s="764" t="s">
        <v>2244</v>
      </c>
      <c r="D32" s="764" t="s">
        <v>2245</v>
      </c>
      <c r="E32" s="764" t="s">
        <v>182</v>
      </c>
      <c r="F32" s="799">
        <v>1</v>
      </c>
      <c r="G32" s="799">
        <v>0</v>
      </c>
      <c r="H32" s="799">
        <v>0</v>
      </c>
      <c r="I32" s="799">
        <v>1</v>
      </c>
      <c r="J32" s="799">
        <v>0</v>
      </c>
      <c r="K32" s="799">
        <v>0</v>
      </c>
      <c r="L32" s="799">
        <v>0</v>
      </c>
      <c r="M32" s="799">
        <v>1</v>
      </c>
      <c r="N32" s="799">
        <v>0</v>
      </c>
      <c r="O32" s="799">
        <v>0</v>
      </c>
      <c r="P32" s="799">
        <v>0</v>
      </c>
    </row>
    <row r="33" spans="1:16" x14ac:dyDescent="0.25">
      <c r="A33" s="765"/>
      <c r="B33" s="765"/>
      <c r="C33" s="765" t="s">
        <v>2246</v>
      </c>
      <c r="D33" s="765" t="s">
        <v>2247</v>
      </c>
      <c r="E33" s="765" t="s">
        <v>182</v>
      </c>
      <c r="F33" s="800">
        <v>5</v>
      </c>
      <c r="G33" s="800">
        <v>0</v>
      </c>
      <c r="H33" s="800">
        <v>0</v>
      </c>
      <c r="I33" s="800">
        <v>1</v>
      </c>
      <c r="J33" s="800">
        <v>0</v>
      </c>
      <c r="K33" s="800">
        <v>3</v>
      </c>
      <c r="L33" s="800">
        <v>0</v>
      </c>
      <c r="M33" s="800">
        <v>4</v>
      </c>
      <c r="N33" s="800">
        <v>0</v>
      </c>
      <c r="O33" s="800">
        <v>1</v>
      </c>
      <c r="P33" s="800">
        <v>0</v>
      </c>
    </row>
    <row r="34" spans="1:16" x14ac:dyDescent="0.25">
      <c r="A34" s="764"/>
      <c r="B34" s="764"/>
      <c r="C34" s="764" t="s">
        <v>2248</v>
      </c>
      <c r="D34" s="764" t="s">
        <v>2249</v>
      </c>
      <c r="E34" s="764" t="s">
        <v>182</v>
      </c>
      <c r="F34" s="799">
        <v>2</v>
      </c>
      <c r="G34" s="799">
        <v>1</v>
      </c>
      <c r="H34" s="799">
        <v>0</v>
      </c>
      <c r="I34" s="799">
        <v>0</v>
      </c>
      <c r="J34" s="799">
        <v>0</v>
      </c>
      <c r="K34" s="799">
        <v>0</v>
      </c>
      <c r="L34" s="799">
        <v>0</v>
      </c>
      <c r="M34" s="799">
        <v>1</v>
      </c>
      <c r="N34" s="799">
        <v>0</v>
      </c>
      <c r="O34" s="799">
        <v>1</v>
      </c>
      <c r="P34" s="799">
        <v>0</v>
      </c>
    </row>
    <row r="35" spans="1:16" x14ac:dyDescent="0.25">
      <c r="A35" s="765"/>
      <c r="B35" s="765"/>
      <c r="C35" s="765" t="s">
        <v>1902</v>
      </c>
      <c r="D35" s="765" t="s">
        <v>1903</v>
      </c>
      <c r="E35" s="765" t="s">
        <v>182</v>
      </c>
      <c r="F35" s="800">
        <v>1</v>
      </c>
      <c r="G35" s="800">
        <v>0</v>
      </c>
      <c r="H35" s="800">
        <v>0</v>
      </c>
      <c r="I35" s="800">
        <v>1</v>
      </c>
      <c r="J35" s="800">
        <v>0</v>
      </c>
      <c r="K35" s="800">
        <v>0</v>
      </c>
      <c r="L35" s="800">
        <v>0</v>
      </c>
      <c r="M35" s="800">
        <v>1</v>
      </c>
      <c r="N35" s="800">
        <v>0</v>
      </c>
      <c r="O35" s="800">
        <v>0</v>
      </c>
      <c r="P35" s="800">
        <v>0</v>
      </c>
    </row>
    <row r="36" spans="1:16" x14ac:dyDescent="0.25">
      <c r="A36" s="764"/>
      <c r="B36" s="764"/>
      <c r="C36" s="764" t="s">
        <v>2207</v>
      </c>
      <c r="D36" s="764" t="s">
        <v>2208</v>
      </c>
      <c r="E36" s="764" t="s">
        <v>1398</v>
      </c>
      <c r="F36" s="799">
        <v>1</v>
      </c>
      <c r="G36" s="799">
        <v>0</v>
      </c>
      <c r="H36" s="799">
        <v>0</v>
      </c>
      <c r="I36" s="799">
        <v>0</v>
      </c>
      <c r="J36" s="799">
        <v>0</v>
      </c>
      <c r="K36" s="799">
        <v>0</v>
      </c>
      <c r="L36" s="799">
        <v>0</v>
      </c>
      <c r="M36" s="799">
        <v>0</v>
      </c>
      <c r="N36" s="799">
        <v>0</v>
      </c>
      <c r="O36" s="799">
        <v>1</v>
      </c>
      <c r="P36" s="799">
        <v>0</v>
      </c>
    </row>
    <row r="37" spans="1:16" x14ac:dyDescent="0.25">
      <c r="A37" s="765"/>
      <c r="B37" s="765"/>
      <c r="C37" s="765" t="s">
        <v>2001</v>
      </c>
      <c r="D37" s="765" t="s">
        <v>2002</v>
      </c>
      <c r="E37" s="765" t="s">
        <v>2003</v>
      </c>
      <c r="F37" s="800">
        <v>1</v>
      </c>
      <c r="G37" s="800">
        <v>0</v>
      </c>
      <c r="H37" s="800">
        <v>0</v>
      </c>
      <c r="I37" s="800">
        <v>0</v>
      </c>
      <c r="J37" s="800">
        <v>0</v>
      </c>
      <c r="K37" s="800">
        <v>0</v>
      </c>
      <c r="L37" s="800">
        <v>0</v>
      </c>
      <c r="M37" s="800">
        <v>0</v>
      </c>
      <c r="N37" s="800">
        <v>0</v>
      </c>
      <c r="O37" s="800">
        <v>1</v>
      </c>
      <c r="P37" s="800">
        <v>0</v>
      </c>
    </row>
    <row r="38" spans="1:16" x14ac:dyDescent="0.25">
      <c r="A38" s="764"/>
      <c r="B38" s="764"/>
      <c r="C38" s="764" t="s">
        <v>1399</v>
      </c>
      <c r="D38" s="764" t="s">
        <v>1400</v>
      </c>
      <c r="E38" s="764" t="s">
        <v>1212</v>
      </c>
      <c r="F38" s="799">
        <v>2</v>
      </c>
      <c r="G38" s="799">
        <v>1</v>
      </c>
      <c r="H38" s="799">
        <v>0</v>
      </c>
      <c r="I38" s="799">
        <v>0</v>
      </c>
      <c r="J38" s="799">
        <v>0</v>
      </c>
      <c r="K38" s="799">
        <v>0</v>
      </c>
      <c r="L38" s="799">
        <v>0</v>
      </c>
      <c r="M38" s="799">
        <v>1</v>
      </c>
      <c r="N38" s="799">
        <v>0</v>
      </c>
      <c r="O38" s="799">
        <v>1</v>
      </c>
      <c r="P38" s="799">
        <v>0</v>
      </c>
    </row>
    <row r="39" spans="1:16" x14ac:dyDescent="0.25">
      <c r="A39" s="765"/>
      <c r="B39" s="765"/>
      <c r="C39" s="765" t="s">
        <v>2250</v>
      </c>
      <c r="D39" s="765" t="s">
        <v>2251</v>
      </c>
      <c r="E39" s="765" t="s">
        <v>1401</v>
      </c>
      <c r="F39" s="800">
        <v>1</v>
      </c>
      <c r="G39" s="800">
        <v>0</v>
      </c>
      <c r="H39" s="800">
        <v>0</v>
      </c>
      <c r="I39" s="800">
        <v>0</v>
      </c>
      <c r="J39" s="800">
        <v>0</v>
      </c>
      <c r="K39" s="800">
        <v>0</v>
      </c>
      <c r="L39" s="800">
        <v>0</v>
      </c>
      <c r="M39" s="800">
        <v>0</v>
      </c>
      <c r="N39" s="800">
        <v>0</v>
      </c>
      <c r="O39" s="800">
        <v>1</v>
      </c>
      <c r="P39" s="800">
        <v>0</v>
      </c>
    </row>
    <row r="40" spans="1:16" x14ac:dyDescent="0.25">
      <c r="A40" s="764"/>
      <c r="B40" s="764"/>
      <c r="C40" s="764" t="s">
        <v>1742</v>
      </c>
      <c r="D40" s="764" t="s">
        <v>1743</v>
      </c>
      <c r="E40" s="764" t="s">
        <v>182</v>
      </c>
      <c r="F40" s="799">
        <v>1</v>
      </c>
      <c r="G40" s="799">
        <v>0</v>
      </c>
      <c r="H40" s="799">
        <v>0</v>
      </c>
      <c r="I40" s="799">
        <v>0</v>
      </c>
      <c r="J40" s="799">
        <v>0</v>
      </c>
      <c r="K40" s="799">
        <v>0</v>
      </c>
      <c r="L40" s="799">
        <v>1</v>
      </c>
      <c r="M40" s="799">
        <v>1</v>
      </c>
      <c r="N40" s="799">
        <v>0</v>
      </c>
      <c r="O40" s="799">
        <v>0</v>
      </c>
      <c r="P40" s="799">
        <v>0</v>
      </c>
    </row>
    <row r="41" spans="1:16" x14ac:dyDescent="0.25">
      <c r="A41" s="765"/>
      <c r="B41" s="765"/>
      <c r="C41" s="765" t="s">
        <v>2128</v>
      </c>
      <c r="D41" s="765" t="s">
        <v>2129</v>
      </c>
      <c r="E41" s="765" t="s">
        <v>182</v>
      </c>
      <c r="F41" s="800">
        <v>2</v>
      </c>
      <c r="G41" s="800">
        <v>0</v>
      </c>
      <c r="H41" s="800">
        <v>0</v>
      </c>
      <c r="I41" s="800">
        <v>0</v>
      </c>
      <c r="J41" s="800">
        <v>0</v>
      </c>
      <c r="K41" s="800">
        <v>1</v>
      </c>
      <c r="L41" s="800">
        <v>0</v>
      </c>
      <c r="M41" s="800">
        <v>1</v>
      </c>
      <c r="N41" s="800">
        <v>0</v>
      </c>
      <c r="O41" s="800">
        <v>1</v>
      </c>
      <c r="P41" s="800">
        <v>0</v>
      </c>
    </row>
    <row r="42" spans="1:16" x14ac:dyDescent="0.25">
      <c r="A42" s="764"/>
      <c r="B42" s="764"/>
      <c r="C42" s="764" t="s">
        <v>1744</v>
      </c>
      <c r="D42" s="764" t="s">
        <v>1745</v>
      </c>
      <c r="E42" s="764" t="s">
        <v>182</v>
      </c>
      <c r="F42" s="799">
        <v>1</v>
      </c>
      <c r="G42" s="799">
        <v>0</v>
      </c>
      <c r="H42" s="799">
        <v>1</v>
      </c>
      <c r="I42" s="799">
        <v>0</v>
      </c>
      <c r="J42" s="799">
        <v>0</v>
      </c>
      <c r="K42" s="799">
        <v>0</v>
      </c>
      <c r="L42" s="799">
        <v>0</v>
      </c>
      <c r="M42" s="799">
        <v>1</v>
      </c>
      <c r="N42" s="799">
        <v>0</v>
      </c>
      <c r="O42" s="799">
        <v>0</v>
      </c>
      <c r="P42" s="799">
        <v>0</v>
      </c>
    </row>
    <row r="43" spans="1:16" x14ac:dyDescent="0.25">
      <c r="A43" s="765"/>
      <c r="B43" s="765"/>
      <c r="C43" s="765" t="s">
        <v>2004</v>
      </c>
      <c r="D43" s="765" t="s">
        <v>2005</v>
      </c>
      <c r="E43" s="765" t="s">
        <v>1401</v>
      </c>
      <c r="F43" s="800">
        <v>1</v>
      </c>
      <c r="G43" s="800">
        <v>1</v>
      </c>
      <c r="H43" s="800">
        <v>0</v>
      </c>
      <c r="I43" s="800">
        <v>0</v>
      </c>
      <c r="J43" s="800">
        <v>0</v>
      </c>
      <c r="K43" s="800">
        <v>0</v>
      </c>
      <c r="L43" s="800">
        <v>0</v>
      </c>
      <c r="M43" s="800">
        <v>1</v>
      </c>
      <c r="N43" s="800">
        <v>0</v>
      </c>
      <c r="O43" s="800">
        <v>0</v>
      </c>
      <c r="P43" s="800">
        <v>0</v>
      </c>
    </row>
    <row r="44" spans="1:16" x14ac:dyDescent="0.25">
      <c r="A44" s="764"/>
      <c r="B44" s="764"/>
      <c r="C44" s="764" t="s">
        <v>2209</v>
      </c>
      <c r="D44" s="764" t="s">
        <v>2210</v>
      </c>
      <c r="E44" s="764" t="s">
        <v>2211</v>
      </c>
      <c r="F44" s="799">
        <v>7</v>
      </c>
      <c r="G44" s="799">
        <v>1</v>
      </c>
      <c r="H44" s="799">
        <v>0</v>
      </c>
      <c r="I44" s="799">
        <v>0</v>
      </c>
      <c r="J44" s="799">
        <v>0</v>
      </c>
      <c r="K44" s="799">
        <v>0</v>
      </c>
      <c r="L44" s="799">
        <v>2</v>
      </c>
      <c r="M44" s="799">
        <v>3</v>
      </c>
      <c r="N44" s="799">
        <v>1</v>
      </c>
      <c r="O44" s="799">
        <v>3</v>
      </c>
      <c r="P44" s="799">
        <v>0</v>
      </c>
    </row>
    <row r="45" spans="1:16" x14ac:dyDescent="0.25">
      <c r="A45" s="766"/>
      <c r="B45" s="766" t="s">
        <v>183</v>
      </c>
      <c r="C45" s="766"/>
      <c r="D45" s="766"/>
      <c r="E45" s="766"/>
      <c r="F45" s="801">
        <v>43</v>
      </c>
      <c r="G45" s="801">
        <v>7</v>
      </c>
      <c r="H45" s="801">
        <v>2</v>
      </c>
      <c r="I45" s="801">
        <v>9</v>
      </c>
      <c r="J45" s="801">
        <v>5</v>
      </c>
      <c r="K45" s="801">
        <v>5</v>
      </c>
      <c r="L45" s="801">
        <v>3</v>
      </c>
      <c r="M45" s="801">
        <v>31</v>
      </c>
      <c r="N45" s="801">
        <v>1</v>
      </c>
      <c r="O45" s="801">
        <v>11</v>
      </c>
      <c r="P45" s="801">
        <v>0</v>
      </c>
    </row>
    <row r="46" spans="1:16" x14ac:dyDescent="0.25">
      <c r="A46" s="764"/>
      <c r="B46" s="764" t="s">
        <v>374</v>
      </c>
      <c r="C46" s="764" t="s">
        <v>598</v>
      </c>
      <c r="D46" s="764" t="s">
        <v>574</v>
      </c>
      <c r="E46" s="764" t="s">
        <v>182</v>
      </c>
      <c r="F46" s="799">
        <v>3</v>
      </c>
      <c r="G46" s="799">
        <v>1</v>
      </c>
      <c r="H46" s="799">
        <v>1</v>
      </c>
      <c r="I46" s="799">
        <v>1</v>
      </c>
      <c r="J46" s="799">
        <v>0</v>
      </c>
      <c r="K46" s="799">
        <v>0</v>
      </c>
      <c r="L46" s="799">
        <v>0</v>
      </c>
      <c r="M46" s="799">
        <v>3</v>
      </c>
      <c r="N46" s="799">
        <v>0</v>
      </c>
      <c r="O46" s="799">
        <v>0</v>
      </c>
      <c r="P46" s="799">
        <v>0</v>
      </c>
    </row>
    <row r="47" spans="1:16" x14ac:dyDescent="0.25">
      <c r="A47" s="765"/>
      <c r="B47" s="765"/>
      <c r="C47" s="765" t="s">
        <v>599</v>
      </c>
      <c r="D47" s="765" t="s">
        <v>596</v>
      </c>
      <c r="E47" s="765" t="s">
        <v>182</v>
      </c>
      <c r="F47" s="800">
        <v>13</v>
      </c>
      <c r="G47" s="800">
        <v>1</v>
      </c>
      <c r="H47" s="800">
        <v>0</v>
      </c>
      <c r="I47" s="800">
        <v>0</v>
      </c>
      <c r="J47" s="800">
        <v>0</v>
      </c>
      <c r="K47" s="800">
        <v>0</v>
      </c>
      <c r="L47" s="800">
        <v>6</v>
      </c>
      <c r="M47" s="800">
        <v>7</v>
      </c>
      <c r="N47" s="800">
        <v>2</v>
      </c>
      <c r="O47" s="800">
        <v>4</v>
      </c>
      <c r="P47" s="800">
        <v>0</v>
      </c>
    </row>
    <row r="48" spans="1:16" x14ac:dyDescent="0.25">
      <c r="A48" s="764"/>
      <c r="B48" s="764"/>
      <c r="C48" s="764" t="s">
        <v>680</v>
      </c>
      <c r="D48" s="764" t="s">
        <v>595</v>
      </c>
      <c r="E48" s="764" t="s">
        <v>182</v>
      </c>
      <c r="F48" s="799">
        <v>5</v>
      </c>
      <c r="G48" s="799">
        <v>0</v>
      </c>
      <c r="H48" s="799">
        <v>0</v>
      </c>
      <c r="I48" s="799">
        <v>0</v>
      </c>
      <c r="J48" s="799">
        <v>0</v>
      </c>
      <c r="K48" s="799">
        <v>0</v>
      </c>
      <c r="L48" s="799">
        <v>2</v>
      </c>
      <c r="M48" s="799">
        <v>2</v>
      </c>
      <c r="N48" s="799">
        <v>1</v>
      </c>
      <c r="O48" s="799">
        <v>2</v>
      </c>
      <c r="P48" s="799">
        <v>0</v>
      </c>
    </row>
    <row r="49" spans="1:16" x14ac:dyDescent="0.25">
      <c r="A49" s="765"/>
      <c r="B49" s="765"/>
      <c r="C49" s="765" t="s">
        <v>656</v>
      </c>
      <c r="D49" s="765" t="s">
        <v>570</v>
      </c>
      <c r="E49" s="765" t="s">
        <v>182</v>
      </c>
      <c r="F49" s="800">
        <v>2</v>
      </c>
      <c r="G49" s="800">
        <v>0</v>
      </c>
      <c r="H49" s="800">
        <v>0</v>
      </c>
      <c r="I49" s="800">
        <v>0</v>
      </c>
      <c r="J49" s="800">
        <v>0</v>
      </c>
      <c r="K49" s="800">
        <v>0</v>
      </c>
      <c r="L49" s="800">
        <v>0</v>
      </c>
      <c r="M49" s="800">
        <v>0</v>
      </c>
      <c r="N49" s="800">
        <v>0</v>
      </c>
      <c r="O49" s="800">
        <v>2</v>
      </c>
      <c r="P49" s="800">
        <v>0</v>
      </c>
    </row>
    <row r="50" spans="1:16" x14ac:dyDescent="0.25">
      <c r="A50" s="764"/>
      <c r="B50" s="764"/>
      <c r="C50" s="764" t="s">
        <v>659</v>
      </c>
      <c r="D50" s="764" t="s">
        <v>575</v>
      </c>
      <c r="E50" s="764" t="s">
        <v>182</v>
      </c>
      <c r="F50" s="799">
        <v>2</v>
      </c>
      <c r="G50" s="799">
        <v>0</v>
      </c>
      <c r="H50" s="799">
        <v>1</v>
      </c>
      <c r="I50" s="799">
        <v>0</v>
      </c>
      <c r="J50" s="799">
        <v>0</v>
      </c>
      <c r="K50" s="799">
        <v>0</v>
      </c>
      <c r="L50" s="799">
        <v>1</v>
      </c>
      <c r="M50" s="799">
        <v>2</v>
      </c>
      <c r="N50" s="799">
        <v>0</v>
      </c>
      <c r="O50" s="799">
        <v>0</v>
      </c>
      <c r="P50" s="799">
        <v>0</v>
      </c>
    </row>
    <row r="51" spans="1:16" x14ac:dyDescent="0.25">
      <c r="A51" s="765"/>
      <c r="B51" s="765"/>
      <c r="C51" s="765" t="s">
        <v>655</v>
      </c>
      <c r="D51" s="765" t="s">
        <v>594</v>
      </c>
      <c r="E51" s="765" t="s">
        <v>182</v>
      </c>
      <c r="F51" s="800">
        <v>4</v>
      </c>
      <c r="G51" s="800">
        <v>1</v>
      </c>
      <c r="H51" s="800">
        <v>0</v>
      </c>
      <c r="I51" s="800">
        <v>0</v>
      </c>
      <c r="J51" s="800">
        <v>0</v>
      </c>
      <c r="K51" s="800">
        <v>0</v>
      </c>
      <c r="L51" s="800">
        <v>0</v>
      </c>
      <c r="M51" s="800">
        <v>1</v>
      </c>
      <c r="N51" s="800">
        <v>0</v>
      </c>
      <c r="O51" s="800">
        <v>3</v>
      </c>
      <c r="P51" s="800">
        <v>0</v>
      </c>
    </row>
    <row r="52" spans="1:16" x14ac:dyDescent="0.25">
      <c r="A52" s="764"/>
      <c r="B52" s="764"/>
      <c r="C52" s="764" t="s">
        <v>661</v>
      </c>
      <c r="D52" s="764" t="s">
        <v>592</v>
      </c>
      <c r="E52" s="764" t="s">
        <v>182</v>
      </c>
      <c r="F52" s="799">
        <v>2</v>
      </c>
      <c r="G52" s="799">
        <v>0</v>
      </c>
      <c r="H52" s="799">
        <v>0</v>
      </c>
      <c r="I52" s="799">
        <v>0</v>
      </c>
      <c r="J52" s="799">
        <v>0</v>
      </c>
      <c r="K52" s="799">
        <v>0</v>
      </c>
      <c r="L52" s="799">
        <v>0</v>
      </c>
      <c r="M52" s="799">
        <v>0</v>
      </c>
      <c r="N52" s="799">
        <v>0</v>
      </c>
      <c r="O52" s="799">
        <v>2</v>
      </c>
      <c r="P52" s="799">
        <v>0</v>
      </c>
    </row>
    <row r="53" spans="1:16" x14ac:dyDescent="0.25">
      <c r="A53" s="765"/>
      <c r="B53" s="765"/>
      <c r="C53" s="765" t="s">
        <v>677</v>
      </c>
      <c r="D53" s="765" t="s">
        <v>589</v>
      </c>
      <c r="E53" s="765" t="s">
        <v>182</v>
      </c>
      <c r="F53" s="800">
        <v>20</v>
      </c>
      <c r="G53" s="800">
        <v>1</v>
      </c>
      <c r="H53" s="800">
        <v>1</v>
      </c>
      <c r="I53" s="800">
        <v>0</v>
      </c>
      <c r="J53" s="800">
        <v>0</v>
      </c>
      <c r="K53" s="800">
        <v>0</v>
      </c>
      <c r="L53" s="800">
        <v>1</v>
      </c>
      <c r="M53" s="800">
        <v>3</v>
      </c>
      <c r="N53" s="800">
        <v>3</v>
      </c>
      <c r="O53" s="800">
        <v>14</v>
      </c>
      <c r="P53" s="800">
        <v>0</v>
      </c>
    </row>
    <row r="54" spans="1:16" x14ac:dyDescent="0.25">
      <c r="A54" s="764"/>
      <c r="B54" s="764"/>
      <c r="C54" s="764" t="s">
        <v>676</v>
      </c>
      <c r="D54" s="764" t="s">
        <v>587</v>
      </c>
      <c r="E54" s="764" t="s">
        <v>182</v>
      </c>
      <c r="F54" s="799">
        <v>4</v>
      </c>
      <c r="G54" s="799">
        <v>0</v>
      </c>
      <c r="H54" s="799">
        <v>1</v>
      </c>
      <c r="I54" s="799">
        <v>0</v>
      </c>
      <c r="J54" s="799">
        <v>0</v>
      </c>
      <c r="K54" s="799">
        <v>0</v>
      </c>
      <c r="L54" s="799">
        <v>0</v>
      </c>
      <c r="M54" s="799">
        <v>1</v>
      </c>
      <c r="N54" s="799">
        <v>0</v>
      </c>
      <c r="O54" s="799">
        <v>3</v>
      </c>
      <c r="P54" s="799">
        <v>0</v>
      </c>
    </row>
    <row r="55" spans="1:16" x14ac:dyDescent="0.25">
      <c r="A55" s="765"/>
      <c r="B55" s="765"/>
      <c r="C55" s="765" t="s">
        <v>675</v>
      </c>
      <c r="D55" s="765" t="s">
        <v>586</v>
      </c>
      <c r="E55" s="765" t="s">
        <v>182</v>
      </c>
      <c r="F55" s="800">
        <v>16</v>
      </c>
      <c r="G55" s="800">
        <v>0</v>
      </c>
      <c r="H55" s="800">
        <v>0</v>
      </c>
      <c r="I55" s="800">
        <v>0</v>
      </c>
      <c r="J55" s="800">
        <v>0</v>
      </c>
      <c r="K55" s="800">
        <v>0</v>
      </c>
      <c r="L55" s="800">
        <v>0</v>
      </c>
      <c r="M55" s="800">
        <v>0</v>
      </c>
      <c r="N55" s="800">
        <v>8</v>
      </c>
      <c r="O55" s="800">
        <v>8</v>
      </c>
      <c r="P55" s="800">
        <v>0</v>
      </c>
    </row>
    <row r="56" spans="1:16" x14ac:dyDescent="0.25">
      <c r="A56" s="764"/>
      <c r="B56" s="764"/>
      <c r="C56" s="764" t="s">
        <v>662</v>
      </c>
      <c r="D56" s="764" t="s">
        <v>585</v>
      </c>
      <c r="E56" s="764" t="s">
        <v>182</v>
      </c>
      <c r="F56" s="799">
        <v>17</v>
      </c>
      <c r="G56" s="799">
        <v>1</v>
      </c>
      <c r="H56" s="799">
        <v>1</v>
      </c>
      <c r="I56" s="799">
        <v>3</v>
      </c>
      <c r="J56" s="799">
        <v>0</v>
      </c>
      <c r="K56" s="799">
        <v>2</v>
      </c>
      <c r="L56" s="799">
        <v>3</v>
      </c>
      <c r="M56" s="799">
        <v>10</v>
      </c>
      <c r="N56" s="799">
        <v>1</v>
      </c>
      <c r="O56" s="799">
        <v>6</v>
      </c>
      <c r="P56" s="799">
        <v>0</v>
      </c>
    </row>
    <row r="57" spans="1:16" x14ac:dyDescent="0.25">
      <c r="A57" s="765"/>
      <c r="B57" s="765"/>
      <c r="C57" s="765" t="s">
        <v>660</v>
      </c>
      <c r="D57" s="765" t="s">
        <v>590</v>
      </c>
      <c r="E57" s="765" t="s">
        <v>182</v>
      </c>
      <c r="F57" s="800">
        <v>13</v>
      </c>
      <c r="G57" s="800">
        <v>1</v>
      </c>
      <c r="H57" s="800">
        <v>1</v>
      </c>
      <c r="I57" s="800">
        <v>0</v>
      </c>
      <c r="J57" s="800">
        <v>0</v>
      </c>
      <c r="K57" s="800">
        <v>1</v>
      </c>
      <c r="L57" s="800">
        <v>2</v>
      </c>
      <c r="M57" s="800">
        <v>5</v>
      </c>
      <c r="N57" s="800">
        <v>2</v>
      </c>
      <c r="O57" s="800">
        <v>6</v>
      </c>
      <c r="P57" s="800">
        <v>0</v>
      </c>
    </row>
    <row r="58" spans="1:16" x14ac:dyDescent="0.25">
      <c r="A58" s="764"/>
      <c r="B58" s="764"/>
      <c r="C58" s="764" t="s">
        <v>658</v>
      </c>
      <c r="D58" s="764" t="s">
        <v>588</v>
      </c>
      <c r="E58" s="764" t="s">
        <v>182</v>
      </c>
      <c r="F58" s="799">
        <v>34</v>
      </c>
      <c r="G58" s="799">
        <v>1</v>
      </c>
      <c r="H58" s="799">
        <v>3</v>
      </c>
      <c r="I58" s="799">
        <v>0</v>
      </c>
      <c r="J58" s="799">
        <v>0</v>
      </c>
      <c r="K58" s="799">
        <v>0</v>
      </c>
      <c r="L58" s="799">
        <v>10</v>
      </c>
      <c r="M58" s="799">
        <v>14</v>
      </c>
      <c r="N58" s="799">
        <v>1</v>
      </c>
      <c r="O58" s="799">
        <v>19</v>
      </c>
      <c r="P58" s="799">
        <v>0</v>
      </c>
    </row>
    <row r="59" spans="1:16" x14ac:dyDescent="0.25">
      <c r="A59" s="765"/>
      <c r="B59" s="765"/>
      <c r="C59" s="765" t="s">
        <v>679</v>
      </c>
      <c r="D59" s="765" t="s">
        <v>573</v>
      </c>
      <c r="E59" s="765" t="s">
        <v>182</v>
      </c>
      <c r="F59" s="800">
        <v>13</v>
      </c>
      <c r="G59" s="800">
        <v>3</v>
      </c>
      <c r="H59" s="800">
        <v>2</v>
      </c>
      <c r="I59" s="800">
        <v>1</v>
      </c>
      <c r="J59" s="800">
        <v>0</v>
      </c>
      <c r="K59" s="800">
        <v>3</v>
      </c>
      <c r="L59" s="800">
        <v>0</v>
      </c>
      <c r="M59" s="800">
        <v>9</v>
      </c>
      <c r="N59" s="800">
        <v>0</v>
      </c>
      <c r="O59" s="800">
        <v>4</v>
      </c>
      <c r="P59" s="800">
        <v>0</v>
      </c>
    </row>
    <row r="60" spans="1:16" x14ac:dyDescent="0.25">
      <c r="A60" s="764"/>
      <c r="B60" s="764"/>
      <c r="C60" s="764" t="s">
        <v>678</v>
      </c>
      <c r="D60" s="764" t="s">
        <v>591</v>
      </c>
      <c r="E60" s="764" t="s">
        <v>182</v>
      </c>
      <c r="F60" s="799">
        <v>1</v>
      </c>
      <c r="G60" s="799">
        <v>0</v>
      </c>
      <c r="H60" s="799">
        <v>0</v>
      </c>
      <c r="I60" s="799">
        <v>0</v>
      </c>
      <c r="J60" s="799">
        <v>0</v>
      </c>
      <c r="K60" s="799">
        <v>0</v>
      </c>
      <c r="L60" s="799">
        <v>0</v>
      </c>
      <c r="M60" s="799">
        <v>0</v>
      </c>
      <c r="N60" s="799">
        <v>0</v>
      </c>
      <c r="O60" s="799">
        <v>1</v>
      </c>
      <c r="P60" s="799">
        <v>0</v>
      </c>
    </row>
    <row r="61" spans="1:16" x14ac:dyDescent="0.25">
      <c r="A61" s="765"/>
      <c r="B61" s="765"/>
      <c r="C61" s="765" t="s">
        <v>673</v>
      </c>
      <c r="D61" s="765" t="s">
        <v>576</v>
      </c>
      <c r="E61" s="765" t="s">
        <v>182</v>
      </c>
      <c r="F61" s="800">
        <v>11</v>
      </c>
      <c r="G61" s="800">
        <v>1</v>
      </c>
      <c r="H61" s="800">
        <v>0</v>
      </c>
      <c r="I61" s="800">
        <v>0</v>
      </c>
      <c r="J61" s="800">
        <v>0</v>
      </c>
      <c r="K61" s="800">
        <v>1</v>
      </c>
      <c r="L61" s="800">
        <v>5</v>
      </c>
      <c r="M61" s="800">
        <v>7</v>
      </c>
      <c r="N61" s="800">
        <v>1</v>
      </c>
      <c r="O61" s="800">
        <v>3</v>
      </c>
      <c r="P61" s="800">
        <v>0</v>
      </c>
    </row>
    <row r="62" spans="1:16" x14ac:dyDescent="0.25">
      <c r="A62" s="764"/>
      <c r="B62" s="764"/>
      <c r="C62" s="764" t="s">
        <v>672</v>
      </c>
      <c r="D62" s="764" t="s">
        <v>603</v>
      </c>
      <c r="E62" s="764" t="s">
        <v>182</v>
      </c>
      <c r="F62" s="799">
        <v>97</v>
      </c>
      <c r="G62" s="799">
        <v>3</v>
      </c>
      <c r="H62" s="799">
        <v>4</v>
      </c>
      <c r="I62" s="799">
        <v>10</v>
      </c>
      <c r="J62" s="799">
        <v>0</v>
      </c>
      <c r="K62" s="799">
        <v>4</v>
      </c>
      <c r="L62" s="799">
        <v>6</v>
      </c>
      <c r="M62" s="799">
        <v>27</v>
      </c>
      <c r="N62" s="799">
        <v>19</v>
      </c>
      <c r="O62" s="799">
        <v>51</v>
      </c>
      <c r="P62" s="799">
        <v>0</v>
      </c>
    </row>
    <row r="63" spans="1:16" x14ac:dyDescent="0.25">
      <c r="A63" s="765"/>
      <c r="B63" s="765"/>
      <c r="C63" s="765" t="s">
        <v>663</v>
      </c>
      <c r="D63" s="765" t="s">
        <v>602</v>
      </c>
      <c r="E63" s="765" t="s">
        <v>182</v>
      </c>
      <c r="F63" s="800">
        <v>23</v>
      </c>
      <c r="G63" s="800">
        <v>2</v>
      </c>
      <c r="H63" s="800">
        <v>0</v>
      </c>
      <c r="I63" s="800">
        <v>4</v>
      </c>
      <c r="J63" s="800">
        <v>0</v>
      </c>
      <c r="K63" s="800">
        <v>2</v>
      </c>
      <c r="L63" s="800">
        <v>4</v>
      </c>
      <c r="M63" s="800">
        <v>12</v>
      </c>
      <c r="N63" s="800">
        <v>3</v>
      </c>
      <c r="O63" s="800">
        <v>8</v>
      </c>
      <c r="P63" s="800">
        <v>0</v>
      </c>
    </row>
    <row r="64" spans="1:16" x14ac:dyDescent="0.25">
      <c r="A64" s="764"/>
      <c r="B64" s="764"/>
      <c r="C64" s="764" t="s">
        <v>671</v>
      </c>
      <c r="D64" s="764" t="s">
        <v>582</v>
      </c>
      <c r="E64" s="764" t="s">
        <v>182</v>
      </c>
      <c r="F64" s="799">
        <v>66</v>
      </c>
      <c r="G64" s="799">
        <v>5</v>
      </c>
      <c r="H64" s="799">
        <v>1</v>
      </c>
      <c r="I64" s="799">
        <v>5</v>
      </c>
      <c r="J64" s="799">
        <v>0</v>
      </c>
      <c r="K64" s="799">
        <v>7</v>
      </c>
      <c r="L64" s="799">
        <v>4</v>
      </c>
      <c r="M64" s="799">
        <v>22</v>
      </c>
      <c r="N64" s="799">
        <v>24</v>
      </c>
      <c r="O64" s="799">
        <v>20</v>
      </c>
      <c r="P64" s="799">
        <v>0</v>
      </c>
    </row>
    <row r="65" spans="1:16" x14ac:dyDescent="0.25">
      <c r="A65" s="765"/>
      <c r="B65" s="765"/>
      <c r="C65" s="765" t="s">
        <v>605</v>
      </c>
      <c r="D65" s="765" t="s">
        <v>584</v>
      </c>
      <c r="E65" s="765" t="s">
        <v>182</v>
      </c>
      <c r="F65" s="800">
        <v>12</v>
      </c>
      <c r="G65" s="800">
        <v>0</v>
      </c>
      <c r="H65" s="800">
        <v>2</v>
      </c>
      <c r="I65" s="800">
        <v>3</v>
      </c>
      <c r="J65" s="800">
        <v>0</v>
      </c>
      <c r="K65" s="800">
        <v>0</v>
      </c>
      <c r="L65" s="800">
        <v>2</v>
      </c>
      <c r="M65" s="800">
        <v>7</v>
      </c>
      <c r="N65" s="800">
        <v>1</v>
      </c>
      <c r="O65" s="800">
        <v>4</v>
      </c>
      <c r="P65" s="800">
        <v>0</v>
      </c>
    </row>
    <row r="66" spans="1:16" x14ac:dyDescent="0.25">
      <c r="A66" s="764"/>
      <c r="B66" s="764"/>
      <c r="C66" s="764" t="s">
        <v>606</v>
      </c>
      <c r="D66" s="764" t="s">
        <v>583</v>
      </c>
      <c r="E66" s="764" t="s">
        <v>182</v>
      </c>
      <c r="F66" s="799">
        <v>7</v>
      </c>
      <c r="G66" s="799">
        <v>0</v>
      </c>
      <c r="H66" s="799">
        <v>0</v>
      </c>
      <c r="I66" s="799">
        <v>0</v>
      </c>
      <c r="J66" s="799">
        <v>0</v>
      </c>
      <c r="K66" s="799">
        <v>0</v>
      </c>
      <c r="L66" s="799">
        <v>0</v>
      </c>
      <c r="M66" s="799">
        <v>0</v>
      </c>
      <c r="N66" s="799">
        <v>3</v>
      </c>
      <c r="O66" s="799">
        <v>4</v>
      </c>
      <c r="P66" s="799">
        <v>0</v>
      </c>
    </row>
    <row r="67" spans="1:16" x14ac:dyDescent="0.25">
      <c r="A67" s="765"/>
      <c r="B67" s="765"/>
      <c r="C67" s="765" t="s">
        <v>674</v>
      </c>
      <c r="D67" s="765" t="s">
        <v>604</v>
      </c>
      <c r="E67" s="765" t="s">
        <v>182</v>
      </c>
      <c r="F67" s="800">
        <v>27</v>
      </c>
      <c r="G67" s="800">
        <v>2</v>
      </c>
      <c r="H67" s="800">
        <v>8</v>
      </c>
      <c r="I67" s="800">
        <v>6</v>
      </c>
      <c r="J67" s="800">
        <v>0</v>
      </c>
      <c r="K67" s="800">
        <v>0</v>
      </c>
      <c r="L67" s="800">
        <v>0</v>
      </c>
      <c r="M67" s="800">
        <v>16</v>
      </c>
      <c r="N67" s="800">
        <v>3</v>
      </c>
      <c r="O67" s="800">
        <v>8</v>
      </c>
      <c r="P67" s="800">
        <v>0</v>
      </c>
    </row>
    <row r="68" spans="1:16" x14ac:dyDescent="0.25">
      <c r="A68" s="764"/>
      <c r="B68" s="764"/>
      <c r="C68" s="764" t="s">
        <v>664</v>
      </c>
      <c r="D68" s="764" t="s">
        <v>581</v>
      </c>
      <c r="E68" s="764" t="s">
        <v>182</v>
      </c>
      <c r="F68" s="799">
        <v>23</v>
      </c>
      <c r="G68" s="799">
        <v>3</v>
      </c>
      <c r="H68" s="799">
        <v>0</v>
      </c>
      <c r="I68" s="799">
        <v>6</v>
      </c>
      <c r="J68" s="799">
        <v>0</v>
      </c>
      <c r="K68" s="799">
        <v>1</v>
      </c>
      <c r="L68" s="799">
        <v>1</v>
      </c>
      <c r="M68" s="799">
        <v>11</v>
      </c>
      <c r="N68" s="799">
        <v>1</v>
      </c>
      <c r="O68" s="799">
        <v>11</v>
      </c>
      <c r="P68" s="799">
        <v>0</v>
      </c>
    </row>
    <row r="69" spans="1:16" x14ac:dyDescent="0.25">
      <c r="A69" s="765"/>
      <c r="B69" s="765"/>
      <c r="C69" s="765" t="s">
        <v>670</v>
      </c>
      <c r="D69" s="765" t="s">
        <v>579</v>
      </c>
      <c r="E69" s="765" t="s">
        <v>182</v>
      </c>
      <c r="F69" s="800">
        <v>13</v>
      </c>
      <c r="G69" s="800">
        <v>0</v>
      </c>
      <c r="H69" s="800">
        <v>0</v>
      </c>
      <c r="I69" s="800">
        <v>0</v>
      </c>
      <c r="J69" s="800">
        <v>0</v>
      </c>
      <c r="K69" s="800">
        <v>0</v>
      </c>
      <c r="L69" s="800">
        <v>3</v>
      </c>
      <c r="M69" s="800">
        <v>3</v>
      </c>
      <c r="N69" s="800">
        <v>0</v>
      </c>
      <c r="O69" s="800">
        <v>10</v>
      </c>
      <c r="P69" s="800">
        <v>0</v>
      </c>
    </row>
    <row r="70" spans="1:16" x14ac:dyDescent="0.25">
      <c r="A70" s="764"/>
      <c r="B70" s="764"/>
      <c r="C70" s="764" t="s">
        <v>669</v>
      </c>
      <c r="D70" s="764" t="s">
        <v>580</v>
      </c>
      <c r="E70" s="764" t="s">
        <v>182</v>
      </c>
      <c r="F70" s="799">
        <v>59</v>
      </c>
      <c r="G70" s="799">
        <v>1</v>
      </c>
      <c r="H70" s="799">
        <v>0</v>
      </c>
      <c r="I70" s="799">
        <v>3</v>
      </c>
      <c r="J70" s="799">
        <v>0</v>
      </c>
      <c r="K70" s="799">
        <v>4</v>
      </c>
      <c r="L70" s="799">
        <v>12</v>
      </c>
      <c r="M70" s="799">
        <v>20</v>
      </c>
      <c r="N70" s="799">
        <v>15</v>
      </c>
      <c r="O70" s="799">
        <v>24</v>
      </c>
      <c r="P70" s="799">
        <v>0</v>
      </c>
    </row>
    <row r="71" spans="1:16" x14ac:dyDescent="0.25">
      <c r="A71" s="765"/>
      <c r="B71" s="765"/>
      <c r="C71" s="765" t="s">
        <v>668</v>
      </c>
      <c r="D71" s="765" t="s">
        <v>578</v>
      </c>
      <c r="E71" s="765" t="s">
        <v>182</v>
      </c>
      <c r="F71" s="800">
        <v>78</v>
      </c>
      <c r="G71" s="800">
        <v>1</v>
      </c>
      <c r="H71" s="800">
        <v>4</v>
      </c>
      <c r="I71" s="800">
        <v>9</v>
      </c>
      <c r="J71" s="800">
        <v>0</v>
      </c>
      <c r="K71" s="800">
        <v>6</v>
      </c>
      <c r="L71" s="800">
        <v>8</v>
      </c>
      <c r="M71" s="800">
        <v>28</v>
      </c>
      <c r="N71" s="800">
        <v>13</v>
      </c>
      <c r="O71" s="800">
        <v>37</v>
      </c>
      <c r="P71" s="800">
        <v>0</v>
      </c>
    </row>
    <row r="72" spans="1:16" x14ac:dyDescent="0.25">
      <c r="A72" s="766"/>
      <c r="B72" s="766" t="s">
        <v>184</v>
      </c>
      <c r="C72" s="766"/>
      <c r="D72" s="766"/>
      <c r="E72" s="766"/>
      <c r="F72" s="801">
        <v>565</v>
      </c>
      <c r="G72" s="801">
        <v>28</v>
      </c>
      <c r="H72" s="801">
        <v>30</v>
      </c>
      <c r="I72" s="801">
        <v>51</v>
      </c>
      <c r="J72" s="801">
        <v>0</v>
      </c>
      <c r="K72" s="801">
        <v>31</v>
      </c>
      <c r="L72" s="801">
        <v>70</v>
      </c>
      <c r="M72" s="801">
        <v>210</v>
      </c>
      <c r="N72" s="801">
        <v>101</v>
      </c>
      <c r="O72" s="801">
        <v>254</v>
      </c>
      <c r="P72" s="801">
        <v>0</v>
      </c>
    </row>
    <row r="73" spans="1:16" x14ac:dyDescent="0.25">
      <c r="A73" s="765"/>
      <c r="B73" s="765" t="s">
        <v>375</v>
      </c>
      <c r="C73" s="765" t="s">
        <v>780</v>
      </c>
      <c r="D73" s="765" t="s">
        <v>733</v>
      </c>
      <c r="E73" s="765" t="s">
        <v>720</v>
      </c>
      <c r="F73" s="800">
        <v>52</v>
      </c>
      <c r="G73" s="800">
        <v>2</v>
      </c>
      <c r="H73" s="800">
        <v>2</v>
      </c>
      <c r="I73" s="800">
        <v>8</v>
      </c>
      <c r="J73" s="800">
        <v>0</v>
      </c>
      <c r="K73" s="800">
        <v>5</v>
      </c>
      <c r="L73" s="800">
        <v>11</v>
      </c>
      <c r="M73" s="800">
        <v>28</v>
      </c>
      <c r="N73" s="800">
        <v>13</v>
      </c>
      <c r="O73" s="800">
        <v>11</v>
      </c>
      <c r="P73" s="800">
        <v>0</v>
      </c>
    </row>
    <row r="74" spans="1:16" x14ac:dyDescent="0.25">
      <c r="A74" s="764"/>
      <c r="B74" s="764"/>
      <c r="C74" s="764" t="s">
        <v>1904</v>
      </c>
      <c r="D74" s="764" t="s">
        <v>734</v>
      </c>
      <c r="E74" s="764" t="s">
        <v>720</v>
      </c>
      <c r="F74" s="799">
        <v>4</v>
      </c>
      <c r="G74" s="799">
        <v>1</v>
      </c>
      <c r="H74" s="799">
        <v>1</v>
      </c>
      <c r="I74" s="799">
        <v>0</v>
      </c>
      <c r="J74" s="799">
        <v>0</v>
      </c>
      <c r="K74" s="799">
        <v>0</v>
      </c>
      <c r="L74" s="799">
        <v>0</v>
      </c>
      <c r="M74" s="799">
        <v>2</v>
      </c>
      <c r="N74" s="799">
        <v>1</v>
      </c>
      <c r="O74" s="799">
        <v>1</v>
      </c>
      <c r="P74" s="799">
        <v>0</v>
      </c>
    </row>
    <row r="75" spans="1:16" x14ac:dyDescent="0.25">
      <c r="A75" s="765"/>
      <c r="B75" s="765"/>
      <c r="C75" s="765" t="s">
        <v>736</v>
      </c>
      <c r="D75" s="765" t="s">
        <v>719</v>
      </c>
      <c r="E75" s="765" t="s">
        <v>720</v>
      </c>
      <c r="F75" s="800">
        <v>115</v>
      </c>
      <c r="G75" s="800">
        <v>24</v>
      </c>
      <c r="H75" s="800">
        <v>5</v>
      </c>
      <c r="I75" s="800">
        <v>14</v>
      </c>
      <c r="J75" s="800">
        <v>1</v>
      </c>
      <c r="K75" s="800">
        <v>5</v>
      </c>
      <c r="L75" s="800">
        <v>24</v>
      </c>
      <c r="M75" s="800">
        <v>73</v>
      </c>
      <c r="N75" s="800">
        <v>16</v>
      </c>
      <c r="O75" s="800">
        <v>26</v>
      </c>
      <c r="P75" s="800">
        <v>0</v>
      </c>
    </row>
    <row r="76" spans="1:16" x14ac:dyDescent="0.25">
      <c r="A76" s="764"/>
      <c r="B76" s="764"/>
      <c r="C76" s="764" t="s">
        <v>788</v>
      </c>
      <c r="D76" s="764" t="s">
        <v>737</v>
      </c>
      <c r="E76" s="764" t="s">
        <v>720</v>
      </c>
      <c r="F76" s="799">
        <v>10</v>
      </c>
      <c r="G76" s="799">
        <v>3</v>
      </c>
      <c r="H76" s="799">
        <v>1</v>
      </c>
      <c r="I76" s="799">
        <v>0</v>
      </c>
      <c r="J76" s="799">
        <v>0</v>
      </c>
      <c r="K76" s="799">
        <v>1</v>
      </c>
      <c r="L76" s="799">
        <v>1</v>
      </c>
      <c r="M76" s="799">
        <v>6</v>
      </c>
      <c r="N76" s="799">
        <v>0</v>
      </c>
      <c r="O76" s="799">
        <v>4</v>
      </c>
      <c r="P76" s="799">
        <v>0</v>
      </c>
    </row>
    <row r="77" spans="1:16" x14ac:dyDescent="0.25">
      <c r="A77" s="766"/>
      <c r="B77" s="766" t="s">
        <v>359</v>
      </c>
      <c r="C77" s="766"/>
      <c r="D77" s="766"/>
      <c r="E77" s="766"/>
      <c r="F77" s="801">
        <v>181</v>
      </c>
      <c r="G77" s="801">
        <v>30</v>
      </c>
      <c r="H77" s="801">
        <v>9</v>
      </c>
      <c r="I77" s="801">
        <v>22</v>
      </c>
      <c r="J77" s="801">
        <v>1</v>
      </c>
      <c r="K77" s="801">
        <v>11</v>
      </c>
      <c r="L77" s="801">
        <v>36</v>
      </c>
      <c r="M77" s="801">
        <v>109</v>
      </c>
      <c r="N77" s="801">
        <v>30</v>
      </c>
      <c r="O77" s="801">
        <v>42</v>
      </c>
      <c r="P77" s="801">
        <v>0</v>
      </c>
    </row>
    <row r="78" spans="1:16" x14ac:dyDescent="0.25">
      <c r="A78" s="764"/>
      <c r="B78" s="764" t="s">
        <v>376</v>
      </c>
      <c r="C78" s="764" t="s">
        <v>2252</v>
      </c>
      <c r="D78" s="764" t="s">
        <v>2253</v>
      </c>
      <c r="E78" s="764" t="s">
        <v>182</v>
      </c>
      <c r="F78" s="799">
        <v>4</v>
      </c>
      <c r="G78" s="799">
        <v>0</v>
      </c>
      <c r="H78" s="799">
        <v>1</v>
      </c>
      <c r="I78" s="799">
        <v>3</v>
      </c>
      <c r="J78" s="799">
        <v>0</v>
      </c>
      <c r="K78" s="799">
        <v>0</v>
      </c>
      <c r="L78" s="799">
        <v>0</v>
      </c>
      <c r="M78" s="799">
        <v>4</v>
      </c>
      <c r="N78" s="799">
        <v>0</v>
      </c>
      <c r="O78" s="799">
        <v>0</v>
      </c>
      <c r="P78" s="799">
        <v>0</v>
      </c>
    </row>
    <row r="79" spans="1:16" x14ac:dyDescent="0.25">
      <c r="A79" s="765"/>
      <c r="B79" s="765"/>
      <c r="C79" s="765" t="s">
        <v>1213</v>
      </c>
      <c r="D79" s="765" t="s">
        <v>1214</v>
      </c>
      <c r="E79" s="765" t="s">
        <v>182</v>
      </c>
      <c r="F79" s="800">
        <v>1</v>
      </c>
      <c r="G79" s="800">
        <v>1</v>
      </c>
      <c r="H79" s="800">
        <v>0</v>
      </c>
      <c r="I79" s="800">
        <v>0</v>
      </c>
      <c r="J79" s="800">
        <v>0</v>
      </c>
      <c r="K79" s="800">
        <v>0</v>
      </c>
      <c r="L79" s="800">
        <v>0</v>
      </c>
      <c r="M79" s="800">
        <v>1</v>
      </c>
      <c r="N79" s="800">
        <v>0</v>
      </c>
      <c r="O79" s="800">
        <v>0</v>
      </c>
      <c r="P79" s="800">
        <v>0</v>
      </c>
    </row>
    <row r="80" spans="1:16" x14ac:dyDescent="0.25">
      <c r="A80" s="764"/>
      <c r="B80" s="764"/>
      <c r="C80" s="764" t="s">
        <v>1215</v>
      </c>
      <c r="D80" s="764" t="s">
        <v>1216</v>
      </c>
      <c r="E80" s="764" t="s">
        <v>182</v>
      </c>
      <c r="F80" s="799">
        <v>4</v>
      </c>
      <c r="G80" s="799">
        <v>2</v>
      </c>
      <c r="H80" s="799">
        <v>1</v>
      </c>
      <c r="I80" s="799">
        <v>0</v>
      </c>
      <c r="J80" s="799">
        <v>0</v>
      </c>
      <c r="K80" s="799">
        <v>0</v>
      </c>
      <c r="L80" s="799">
        <v>0</v>
      </c>
      <c r="M80" s="799">
        <v>3</v>
      </c>
      <c r="N80" s="799">
        <v>0</v>
      </c>
      <c r="O80" s="799">
        <v>1</v>
      </c>
      <c r="P80" s="799">
        <v>0</v>
      </c>
    </row>
    <row r="81" spans="1:16" x14ac:dyDescent="0.25">
      <c r="A81" s="765"/>
      <c r="B81" s="765"/>
      <c r="C81" s="765" t="s">
        <v>1905</v>
      </c>
      <c r="D81" s="765" t="s">
        <v>1906</v>
      </c>
      <c r="E81" s="765" t="s">
        <v>182</v>
      </c>
      <c r="F81" s="800">
        <v>2</v>
      </c>
      <c r="G81" s="800">
        <v>0</v>
      </c>
      <c r="H81" s="800">
        <v>2</v>
      </c>
      <c r="I81" s="800">
        <v>0</v>
      </c>
      <c r="J81" s="800">
        <v>0</v>
      </c>
      <c r="K81" s="800">
        <v>0</v>
      </c>
      <c r="L81" s="800">
        <v>0</v>
      </c>
      <c r="M81" s="800">
        <v>2</v>
      </c>
      <c r="N81" s="800">
        <v>0</v>
      </c>
      <c r="O81" s="800">
        <v>0</v>
      </c>
      <c r="P81" s="800">
        <v>0</v>
      </c>
    </row>
    <row r="82" spans="1:16" x14ac:dyDescent="0.25">
      <c r="A82" s="764"/>
      <c r="B82" s="764"/>
      <c r="C82" s="764" t="s">
        <v>2130</v>
      </c>
      <c r="D82" s="764" t="s">
        <v>2131</v>
      </c>
      <c r="E82" s="764" t="s">
        <v>182</v>
      </c>
      <c r="F82" s="799">
        <v>1</v>
      </c>
      <c r="G82" s="799">
        <v>1</v>
      </c>
      <c r="H82" s="799">
        <v>0</v>
      </c>
      <c r="I82" s="799">
        <v>0</v>
      </c>
      <c r="J82" s="799">
        <v>0</v>
      </c>
      <c r="K82" s="799">
        <v>0</v>
      </c>
      <c r="L82" s="799">
        <v>0</v>
      </c>
      <c r="M82" s="799">
        <v>1</v>
      </c>
      <c r="N82" s="799">
        <v>0</v>
      </c>
      <c r="O82" s="799">
        <v>0</v>
      </c>
      <c r="P82" s="799">
        <v>0</v>
      </c>
    </row>
    <row r="83" spans="1:16" x14ac:dyDescent="0.25">
      <c r="A83" s="765"/>
      <c r="B83" s="765"/>
      <c r="C83" s="765" t="s">
        <v>1584</v>
      </c>
      <c r="D83" s="765" t="s">
        <v>1585</v>
      </c>
      <c r="E83" s="765" t="s">
        <v>182</v>
      </c>
      <c r="F83" s="800">
        <v>1</v>
      </c>
      <c r="G83" s="800">
        <v>0</v>
      </c>
      <c r="H83" s="800">
        <v>0</v>
      </c>
      <c r="I83" s="800">
        <v>0</v>
      </c>
      <c r="J83" s="800">
        <v>0</v>
      </c>
      <c r="K83" s="800">
        <v>1</v>
      </c>
      <c r="L83" s="800">
        <v>0</v>
      </c>
      <c r="M83" s="800">
        <v>1</v>
      </c>
      <c r="N83" s="800">
        <v>0</v>
      </c>
      <c r="O83" s="800">
        <v>0</v>
      </c>
      <c r="P83" s="800">
        <v>0</v>
      </c>
    </row>
    <row r="84" spans="1:16" x14ac:dyDescent="0.25">
      <c r="A84" s="764"/>
      <c r="B84" s="764"/>
      <c r="C84" s="764" t="s">
        <v>2254</v>
      </c>
      <c r="D84" s="764" t="s">
        <v>2255</v>
      </c>
      <c r="E84" s="764" t="s">
        <v>2256</v>
      </c>
      <c r="F84" s="799">
        <v>1</v>
      </c>
      <c r="G84" s="799">
        <v>0</v>
      </c>
      <c r="H84" s="799">
        <v>0</v>
      </c>
      <c r="I84" s="799">
        <v>0</v>
      </c>
      <c r="J84" s="799">
        <v>0</v>
      </c>
      <c r="K84" s="799">
        <v>0</v>
      </c>
      <c r="L84" s="799">
        <v>0</v>
      </c>
      <c r="M84" s="799">
        <v>0</v>
      </c>
      <c r="N84" s="799">
        <v>0</v>
      </c>
      <c r="O84" s="799">
        <v>1</v>
      </c>
      <c r="P84" s="799">
        <v>0</v>
      </c>
    </row>
    <row r="85" spans="1:16" x14ac:dyDescent="0.25">
      <c r="A85" s="765"/>
      <c r="B85" s="765"/>
      <c r="C85" s="765" t="s">
        <v>2257</v>
      </c>
      <c r="D85" s="765" t="s">
        <v>2258</v>
      </c>
      <c r="E85" s="765" t="s">
        <v>2217</v>
      </c>
      <c r="F85" s="800">
        <v>1</v>
      </c>
      <c r="G85" s="800">
        <v>0</v>
      </c>
      <c r="H85" s="800">
        <v>0</v>
      </c>
      <c r="I85" s="800">
        <v>0</v>
      </c>
      <c r="J85" s="800">
        <v>0</v>
      </c>
      <c r="K85" s="800">
        <v>0</v>
      </c>
      <c r="L85" s="800">
        <v>0</v>
      </c>
      <c r="M85" s="800">
        <v>0</v>
      </c>
      <c r="N85" s="800">
        <v>0</v>
      </c>
      <c r="O85" s="800">
        <v>1</v>
      </c>
      <c r="P85" s="800">
        <v>0</v>
      </c>
    </row>
    <row r="86" spans="1:16" x14ac:dyDescent="0.25">
      <c r="A86" s="764"/>
      <c r="B86" s="764"/>
      <c r="C86" s="764" t="s">
        <v>2212</v>
      </c>
      <c r="D86" s="764" t="s">
        <v>2213</v>
      </c>
      <c r="E86" s="764" t="s">
        <v>2214</v>
      </c>
      <c r="F86" s="799">
        <v>2</v>
      </c>
      <c r="G86" s="799">
        <v>1</v>
      </c>
      <c r="H86" s="799">
        <v>0</v>
      </c>
      <c r="I86" s="799">
        <v>0</v>
      </c>
      <c r="J86" s="799">
        <v>0</v>
      </c>
      <c r="K86" s="799">
        <v>0</v>
      </c>
      <c r="L86" s="799">
        <v>0</v>
      </c>
      <c r="M86" s="799">
        <v>1</v>
      </c>
      <c r="N86" s="799">
        <v>0</v>
      </c>
      <c r="O86" s="799">
        <v>1</v>
      </c>
      <c r="P86" s="799">
        <v>0</v>
      </c>
    </row>
    <row r="87" spans="1:16" x14ac:dyDescent="0.25">
      <c r="A87" s="765"/>
      <c r="B87" s="765"/>
      <c r="C87" s="765" t="s">
        <v>2132</v>
      </c>
      <c r="D87" s="765" t="s">
        <v>2133</v>
      </c>
      <c r="E87" s="765" t="s">
        <v>182</v>
      </c>
      <c r="F87" s="800">
        <v>1</v>
      </c>
      <c r="G87" s="800">
        <v>0</v>
      </c>
      <c r="H87" s="800">
        <v>0</v>
      </c>
      <c r="I87" s="800">
        <v>0</v>
      </c>
      <c r="J87" s="800">
        <v>0</v>
      </c>
      <c r="K87" s="800">
        <v>1</v>
      </c>
      <c r="L87" s="800">
        <v>0</v>
      </c>
      <c r="M87" s="800">
        <v>1</v>
      </c>
      <c r="N87" s="800">
        <v>0</v>
      </c>
      <c r="O87" s="800">
        <v>0</v>
      </c>
      <c r="P87" s="800">
        <v>0</v>
      </c>
    </row>
    <row r="88" spans="1:16" x14ac:dyDescent="0.25">
      <c r="A88" s="764"/>
      <c r="B88" s="764"/>
      <c r="C88" s="764" t="s">
        <v>2134</v>
      </c>
      <c r="D88" s="764" t="s">
        <v>2135</v>
      </c>
      <c r="E88" s="764" t="s">
        <v>182</v>
      </c>
      <c r="F88" s="799">
        <v>1</v>
      </c>
      <c r="G88" s="799">
        <v>0</v>
      </c>
      <c r="H88" s="799">
        <v>0</v>
      </c>
      <c r="I88" s="799">
        <v>1</v>
      </c>
      <c r="J88" s="799">
        <v>0</v>
      </c>
      <c r="K88" s="799">
        <v>0</v>
      </c>
      <c r="L88" s="799">
        <v>0</v>
      </c>
      <c r="M88" s="799">
        <v>1</v>
      </c>
      <c r="N88" s="799">
        <v>0</v>
      </c>
      <c r="O88" s="799">
        <v>0</v>
      </c>
      <c r="P88" s="799">
        <v>0</v>
      </c>
    </row>
    <row r="89" spans="1:16" x14ac:dyDescent="0.25">
      <c r="A89" s="765"/>
      <c r="B89" s="765"/>
      <c r="C89" s="765" t="s">
        <v>909</v>
      </c>
      <c r="D89" s="765" t="s">
        <v>910</v>
      </c>
      <c r="E89" s="765" t="s">
        <v>182</v>
      </c>
      <c r="F89" s="800">
        <v>1</v>
      </c>
      <c r="G89" s="800">
        <v>0</v>
      </c>
      <c r="H89" s="800">
        <v>0</v>
      </c>
      <c r="I89" s="800">
        <v>0</v>
      </c>
      <c r="J89" s="800">
        <v>0</v>
      </c>
      <c r="K89" s="800">
        <v>0</v>
      </c>
      <c r="L89" s="800">
        <v>0</v>
      </c>
      <c r="M89" s="800">
        <v>0</v>
      </c>
      <c r="N89" s="800">
        <v>0</v>
      </c>
      <c r="O89" s="800">
        <v>1</v>
      </c>
      <c r="P89" s="800">
        <v>0</v>
      </c>
    </row>
    <row r="90" spans="1:16" x14ac:dyDescent="0.25">
      <c r="A90" s="764"/>
      <c r="B90" s="764"/>
      <c r="C90" s="764" t="s">
        <v>2006</v>
      </c>
      <c r="D90" s="764" t="s">
        <v>2007</v>
      </c>
      <c r="E90" s="764" t="s">
        <v>182</v>
      </c>
      <c r="F90" s="799">
        <v>4</v>
      </c>
      <c r="G90" s="799">
        <v>0</v>
      </c>
      <c r="H90" s="799">
        <v>0</v>
      </c>
      <c r="I90" s="799">
        <v>2</v>
      </c>
      <c r="J90" s="799">
        <v>0</v>
      </c>
      <c r="K90" s="799">
        <v>2</v>
      </c>
      <c r="L90" s="799">
        <v>0</v>
      </c>
      <c r="M90" s="799">
        <v>4</v>
      </c>
      <c r="N90" s="799">
        <v>0</v>
      </c>
      <c r="O90" s="799">
        <v>0</v>
      </c>
      <c r="P90" s="799">
        <v>0</v>
      </c>
    </row>
    <row r="91" spans="1:16" x14ac:dyDescent="0.25">
      <c r="A91" s="765"/>
      <c r="B91" s="765"/>
      <c r="C91" s="765" t="s">
        <v>2215</v>
      </c>
      <c r="D91" s="765" t="s">
        <v>2216</v>
      </c>
      <c r="E91" s="765" t="s">
        <v>2217</v>
      </c>
      <c r="F91" s="800">
        <v>1</v>
      </c>
      <c r="G91" s="800">
        <v>1</v>
      </c>
      <c r="H91" s="800">
        <v>0</v>
      </c>
      <c r="I91" s="800">
        <v>0</v>
      </c>
      <c r="J91" s="800">
        <v>0</v>
      </c>
      <c r="K91" s="800">
        <v>0</v>
      </c>
      <c r="L91" s="800">
        <v>0</v>
      </c>
      <c r="M91" s="800">
        <v>1</v>
      </c>
      <c r="N91" s="800">
        <v>0</v>
      </c>
      <c r="O91" s="800">
        <v>0</v>
      </c>
      <c r="P91" s="800">
        <v>0</v>
      </c>
    </row>
    <row r="92" spans="1:16" x14ac:dyDescent="0.25">
      <c r="A92" s="764"/>
      <c r="B92" s="764"/>
      <c r="C92" s="764" t="s">
        <v>1402</v>
      </c>
      <c r="D92" s="764" t="s">
        <v>1403</v>
      </c>
      <c r="E92" s="764" t="s">
        <v>1401</v>
      </c>
      <c r="F92" s="799">
        <v>1</v>
      </c>
      <c r="G92" s="799">
        <v>1</v>
      </c>
      <c r="H92" s="799">
        <v>0</v>
      </c>
      <c r="I92" s="799">
        <v>0</v>
      </c>
      <c r="J92" s="799">
        <v>0</v>
      </c>
      <c r="K92" s="799">
        <v>0</v>
      </c>
      <c r="L92" s="799">
        <v>0</v>
      </c>
      <c r="M92" s="799">
        <v>1</v>
      </c>
      <c r="N92" s="799">
        <v>0</v>
      </c>
      <c r="O92" s="799">
        <v>0</v>
      </c>
      <c r="P92" s="799">
        <v>0</v>
      </c>
    </row>
    <row r="93" spans="1:16" x14ac:dyDescent="0.25">
      <c r="A93" s="765"/>
      <c r="B93" s="765"/>
      <c r="C93" s="765" t="s">
        <v>2259</v>
      </c>
      <c r="D93" s="765" t="s">
        <v>2260</v>
      </c>
      <c r="E93" s="765" t="s">
        <v>2211</v>
      </c>
      <c r="F93" s="800">
        <v>5</v>
      </c>
      <c r="G93" s="800">
        <v>0</v>
      </c>
      <c r="H93" s="800">
        <v>0</v>
      </c>
      <c r="I93" s="800">
        <v>0</v>
      </c>
      <c r="J93" s="800">
        <v>0</v>
      </c>
      <c r="K93" s="800">
        <v>0</v>
      </c>
      <c r="L93" s="800">
        <v>1</v>
      </c>
      <c r="M93" s="800">
        <v>1</v>
      </c>
      <c r="N93" s="800">
        <v>1</v>
      </c>
      <c r="O93" s="800">
        <v>3</v>
      </c>
      <c r="P93" s="800">
        <v>0</v>
      </c>
    </row>
    <row r="94" spans="1:16" x14ac:dyDescent="0.25">
      <c r="A94" s="766"/>
      <c r="B94" s="766" t="s">
        <v>185</v>
      </c>
      <c r="C94" s="766"/>
      <c r="D94" s="766"/>
      <c r="E94" s="766"/>
      <c r="F94" s="801">
        <v>31</v>
      </c>
      <c r="G94" s="801">
        <v>7</v>
      </c>
      <c r="H94" s="801">
        <v>4</v>
      </c>
      <c r="I94" s="801">
        <v>6</v>
      </c>
      <c r="J94" s="801">
        <v>0</v>
      </c>
      <c r="K94" s="801">
        <v>4</v>
      </c>
      <c r="L94" s="801">
        <v>1</v>
      </c>
      <c r="M94" s="801">
        <v>22</v>
      </c>
      <c r="N94" s="801">
        <v>1</v>
      </c>
      <c r="O94" s="801">
        <v>8</v>
      </c>
      <c r="P94" s="801">
        <v>0</v>
      </c>
    </row>
    <row r="95" spans="1:16" x14ac:dyDescent="0.25">
      <c r="A95" s="765"/>
      <c r="B95" s="765" t="s">
        <v>784</v>
      </c>
      <c r="C95" s="765" t="s">
        <v>785</v>
      </c>
      <c r="D95" s="765" t="s">
        <v>786</v>
      </c>
      <c r="E95" s="765" t="s">
        <v>182</v>
      </c>
      <c r="F95" s="800">
        <v>2</v>
      </c>
      <c r="G95" s="800">
        <v>1</v>
      </c>
      <c r="H95" s="800">
        <v>0</v>
      </c>
      <c r="I95" s="800">
        <v>0</v>
      </c>
      <c r="J95" s="800">
        <v>0</v>
      </c>
      <c r="K95" s="800">
        <v>0</v>
      </c>
      <c r="L95" s="800">
        <v>0</v>
      </c>
      <c r="M95" s="800">
        <v>1</v>
      </c>
      <c r="N95" s="800">
        <v>1</v>
      </c>
      <c r="O95" s="800">
        <v>0</v>
      </c>
      <c r="P95" s="800">
        <v>0</v>
      </c>
    </row>
    <row r="96" spans="1:16" x14ac:dyDescent="0.25">
      <c r="A96" s="766"/>
      <c r="B96" s="766" t="s">
        <v>787</v>
      </c>
      <c r="C96" s="766"/>
      <c r="D96" s="766"/>
      <c r="E96" s="766"/>
      <c r="F96" s="801">
        <v>2</v>
      </c>
      <c r="G96" s="801">
        <v>1</v>
      </c>
      <c r="H96" s="801">
        <v>0</v>
      </c>
      <c r="I96" s="801">
        <v>0</v>
      </c>
      <c r="J96" s="801">
        <v>0</v>
      </c>
      <c r="K96" s="801">
        <v>0</v>
      </c>
      <c r="L96" s="801">
        <v>0</v>
      </c>
      <c r="M96" s="801">
        <v>1</v>
      </c>
      <c r="N96" s="801">
        <v>1</v>
      </c>
      <c r="O96" s="801">
        <v>0</v>
      </c>
      <c r="P96" s="801">
        <v>0</v>
      </c>
    </row>
    <row r="97" spans="1:16" x14ac:dyDescent="0.25">
      <c r="A97" s="1065"/>
      <c r="B97" s="1065"/>
      <c r="C97" s="1065" t="s">
        <v>186</v>
      </c>
      <c r="D97" s="1065"/>
      <c r="E97" s="1065"/>
      <c r="F97" s="1066">
        <v>960</v>
      </c>
      <c r="G97" s="1066">
        <v>87</v>
      </c>
      <c r="H97" s="1066">
        <v>64</v>
      </c>
      <c r="I97" s="1066">
        <v>105</v>
      </c>
      <c r="J97" s="1066">
        <v>8</v>
      </c>
      <c r="K97" s="1066">
        <v>61</v>
      </c>
      <c r="L97" s="1066">
        <v>139</v>
      </c>
      <c r="M97" s="1066">
        <v>464</v>
      </c>
      <c r="N97" s="1066">
        <v>155</v>
      </c>
      <c r="O97" s="1066">
        <v>341</v>
      </c>
      <c r="P97" s="1066">
        <v>0</v>
      </c>
    </row>
    <row r="98" spans="1:16" ht="26.25" x14ac:dyDescent="0.25">
      <c r="A98" s="767"/>
      <c r="B98" s="767"/>
      <c r="C98" s="767"/>
      <c r="D98" s="767" t="s">
        <v>187</v>
      </c>
      <c r="E98" s="767"/>
      <c r="F98" s="767" t="s">
        <v>170</v>
      </c>
      <c r="G98" s="767" t="s">
        <v>171</v>
      </c>
      <c r="H98" s="767" t="s">
        <v>172</v>
      </c>
      <c r="I98" s="767" t="s">
        <v>173</v>
      </c>
      <c r="J98" s="767" t="s">
        <v>174</v>
      </c>
      <c r="K98" s="767" t="s">
        <v>175</v>
      </c>
      <c r="L98" s="767" t="s">
        <v>176</v>
      </c>
      <c r="M98" s="767" t="s">
        <v>177</v>
      </c>
      <c r="N98" s="767" t="s">
        <v>178</v>
      </c>
      <c r="O98" s="767" t="s">
        <v>179</v>
      </c>
      <c r="P98" s="767"/>
    </row>
    <row r="99" spans="1:16" x14ac:dyDescent="0.25">
      <c r="A99" s="765"/>
      <c r="B99" s="765"/>
      <c r="C99" s="765"/>
      <c r="D99" s="765" t="s">
        <v>182</v>
      </c>
      <c r="E99" s="765"/>
      <c r="F99" s="800">
        <v>2</v>
      </c>
      <c r="G99" s="800">
        <v>1</v>
      </c>
      <c r="H99" s="800">
        <v>0</v>
      </c>
      <c r="I99" s="800">
        <v>0</v>
      </c>
      <c r="J99" s="800">
        <v>0</v>
      </c>
      <c r="K99" s="800">
        <v>0</v>
      </c>
      <c r="L99" s="800">
        <v>0</v>
      </c>
      <c r="M99" s="800">
        <v>1</v>
      </c>
      <c r="N99" s="800">
        <v>1</v>
      </c>
      <c r="O99" s="800">
        <v>0</v>
      </c>
      <c r="P99" s="765"/>
    </row>
    <row r="100" spans="1:16" x14ac:dyDescent="0.25">
      <c r="A100" s="764"/>
      <c r="B100" s="764"/>
      <c r="C100" s="764"/>
      <c r="D100" s="764" t="s">
        <v>188</v>
      </c>
      <c r="E100" s="764"/>
      <c r="F100" s="799">
        <v>238</v>
      </c>
      <c r="G100" s="799">
        <v>14</v>
      </c>
      <c r="H100" s="799">
        <v>16</v>
      </c>
      <c r="I100" s="799">
        <v>24</v>
      </c>
      <c r="J100" s="799">
        <v>0</v>
      </c>
      <c r="K100" s="799">
        <v>18</v>
      </c>
      <c r="L100" s="799">
        <v>26</v>
      </c>
      <c r="M100" s="799">
        <v>98</v>
      </c>
      <c r="N100" s="799">
        <v>44</v>
      </c>
      <c r="O100" s="799">
        <v>96</v>
      </c>
      <c r="P100" s="764"/>
    </row>
    <row r="101" spans="1:16" x14ac:dyDescent="0.25">
      <c r="A101" s="765"/>
      <c r="B101" s="765"/>
      <c r="C101" s="765"/>
      <c r="D101" s="765" t="s">
        <v>607</v>
      </c>
      <c r="E101" s="765"/>
      <c r="F101" s="800">
        <v>46</v>
      </c>
      <c r="G101" s="800">
        <v>2</v>
      </c>
      <c r="H101" s="800">
        <v>0</v>
      </c>
      <c r="I101" s="800">
        <v>4</v>
      </c>
      <c r="J101" s="800">
        <v>0</v>
      </c>
      <c r="K101" s="800">
        <v>2</v>
      </c>
      <c r="L101" s="800">
        <v>4</v>
      </c>
      <c r="M101" s="800">
        <v>12</v>
      </c>
      <c r="N101" s="800">
        <v>14</v>
      </c>
      <c r="O101" s="800">
        <v>20</v>
      </c>
      <c r="P101" s="765"/>
    </row>
    <row r="102" spans="1:16" x14ac:dyDescent="0.25">
      <c r="A102" s="764"/>
      <c r="B102" s="764"/>
      <c r="C102" s="764"/>
      <c r="D102" s="764" t="s">
        <v>201</v>
      </c>
      <c r="E102" s="764"/>
      <c r="F102" s="799">
        <v>278</v>
      </c>
      <c r="G102" s="799">
        <v>12</v>
      </c>
      <c r="H102" s="799">
        <v>14</v>
      </c>
      <c r="I102" s="799">
        <v>23</v>
      </c>
      <c r="J102" s="799">
        <v>0</v>
      </c>
      <c r="K102" s="799">
        <v>11</v>
      </c>
      <c r="L102" s="799">
        <v>40</v>
      </c>
      <c r="M102" s="799">
        <v>100</v>
      </c>
      <c r="N102" s="799">
        <v>43</v>
      </c>
      <c r="O102" s="799">
        <v>135</v>
      </c>
      <c r="P102" s="764"/>
    </row>
    <row r="103" spans="1:16" x14ac:dyDescent="0.25">
      <c r="A103" s="765"/>
      <c r="B103" s="765"/>
      <c r="C103" s="765"/>
      <c r="D103" s="765" t="s">
        <v>2008</v>
      </c>
      <c r="E103" s="765"/>
      <c r="F103" s="800">
        <v>3</v>
      </c>
      <c r="G103" s="800">
        <v>0</v>
      </c>
      <c r="H103" s="800">
        <v>0</v>
      </c>
      <c r="I103" s="800">
        <v>0</v>
      </c>
      <c r="J103" s="800">
        <v>0</v>
      </c>
      <c r="K103" s="800">
        <v>0</v>
      </c>
      <c r="L103" s="800">
        <v>0</v>
      </c>
      <c r="M103" s="800">
        <v>0</v>
      </c>
      <c r="N103" s="800">
        <v>0</v>
      </c>
      <c r="O103" s="800">
        <v>3</v>
      </c>
      <c r="P103" s="765"/>
    </row>
    <row r="104" spans="1:16" x14ac:dyDescent="0.25">
      <c r="A104" s="764"/>
      <c r="B104" s="764"/>
      <c r="C104" s="764"/>
      <c r="D104" s="764" t="s">
        <v>747</v>
      </c>
      <c r="E104" s="764"/>
      <c r="F104" s="799">
        <v>107</v>
      </c>
      <c r="G104" s="799">
        <v>8</v>
      </c>
      <c r="H104" s="799">
        <v>11</v>
      </c>
      <c r="I104" s="799">
        <v>16</v>
      </c>
      <c r="J104" s="799">
        <v>2</v>
      </c>
      <c r="K104" s="799">
        <v>10</v>
      </c>
      <c r="L104" s="799">
        <v>28</v>
      </c>
      <c r="M104" s="799">
        <v>75</v>
      </c>
      <c r="N104" s="799">
        <v>20</v>
      </c>
      <c r="O104" s="799">
        <v>12</v>
      </c>
      <c r="P104" s="764"/>
    </row>
    <row r="105" spans="1:16" x14ac:dyDescent="0.25">
      <c r="A105" s="765"/>
      <c r="B105" s="765"/>
      <c r="C105" s="765"/>
      <c r="D105" s="765" t="s">
        <v>1404</v>
      </c>
      <c r="E105" s="765"/>
      <c r="F105" s="800">
        <v>31</v>
      </c>
      <c r="G105" s="800">
        <v>6</v>
      </c>
      <c r="H105" s="800">
        <v>8</v>
      </c>
      <c r="I105" s="800">
        <v>1</v>
      </c>
      <c r="J105" s="800">
        <v>0</v>
      </c>
      <c r="K105" s="800">
        <v>0</v>
      </c>
      <c r="L105" s="800">
        <v>1</v>
      </c>
      <c r="M105" s="800">
        <v>16</v>
      </c>
      <c r="N105" s="800">
        <v>1</v>
      </c>
      <c r="O105" s="800">
        <v>14</v>
      </c>
      <c r="P105" s="765"/>
    </row>
    <row r="106" spans="1:16" x14ac:dyDescent="0.25">
      <c r="A106" s="764"/>
      <c r="B106" s="764"/>
      <c r="C106" s="764"/>
      <c r="D106" s="764" t="s">
        <v>199</v>
      </c>
      <c r="E106" s="764"/>
      <c r="F106" s="799">
        <v>37</v>
      </c>
      <c r="G106" s="799">
        <v>8</v>
      </c>
      <c r="H106" s="799">
        <v>5</v>
      </c>
      <c r="I106" s="799">
        <v>12</v>
      </c>
      <c r="J106" s="799">
        <v>5</v>
      </c>
      <c r="K106" s="799">
        <v>4</v>
      </c>
      <c r="L106" s="799">
        <v>0</v>
      </c>
      <c r="M106" s="799">
        <v>34</v>
      </c>
      <c r="N106" s="799">
        <v>0</v>
      </c>
      <c r="O106" s="799">
        <v>3</v>
      </c>
      <c r="P106" s="764"/>
    </row>
    <row r="107" spans="1:16" x14ac:dyDescent="0.25">
      <c r="A107" s="765"/>
      <c r="B107" s="765"/>
      <c r="C107" s="765"/>
      <c r="D107" s="765" t="s">
        <v>200</v>
      </c>
      <c r="E107" s="765"/>
      <c r="F107" s="800">
        <v>11</v>
      </c>
      <c r="G107" s="800">
        <v>0</v>
      </c>
      <c r="H107" s="800">
        <v>1</v>
      </c>
      <c r="I107" s="800">
        <v>3</v>
      </c>
      <c r="J107" s="800">
        <v>0</v>
      </c>
      <c r="K107" s="800">
        <v>4</v>
      </c>
      <c r="L107" s="800">
        <v>1</v>
      </c>
      <c r="M107" s="800">
        <v>9</v>
      </c>
      <c r="N107" s="800">
        <v>0</v>
      </c>
      <c r="O107" s="800">
        <v>2</v>
      </c>
      <c r="P107" s="765"/>
    </row>
    <row r="108" spans="1:16" x14ac:dyDescent="0.25">
      <c r="A108" s="764"/>
      <c r="B108" s="764"/>
      <c r="C108" s="764"/>
      <c r="D108" s="764" t="s">
        <v>721</v>
      </c>
      <c r="E108" s="764"/>
      <c r="F108" s="799">
        <v>181</v>
      </c>
      <c r="G108" s="799">
        <v>30</v>
      </c>
      <c r="H108" s="799">
        <v>9</v>
      </c>
      <c r="I108" s="799">
        <v>22</v>
      </c>
      <c r="J108" s="799">
        <v>1</v>
      </c>
      <c r="K108" s="799">
        <v>11</v>
      </c>
      <c r="L108" s="799">
        <v>36</v>
      </c>
      <c r="M108" s="799">
        <v>109</v>
      </c>
      <c r="N108" s="799">
        <v>30</v>
      </c>
      <c r="O108" s="799">
        <v>42</v>
      </c>
      <c r="P108" s="764"/>
    </row>
    <row r="109" spans="1:16" x14ac:dyDescent="0.25">
      <c r="A109" s="765"/>
      <c r="B109" s="765"/>
      <c r="C109" s="765"/>
      <c r="D109" s="765" t="s">
        <v>1405</v>
      </c>
      <c r="E109" s="765"/>
      <c r="F109" s="800">
        <v>10</v>
      </c>
      <c r="G109" s="800">
        <v>2</v>
      </c>
      <c r="H109" s="800">
        <v>0</v>
      </c>
      <c r="I109" s="800">
        <v>0</v>
      </c>
      <c r="J109" s="800">
        <v>0</v>
      </c>
      <c r="K109" s="800">
        <v>0</v>
      </c>
      <c r="L109" s="800">
        <v>0</v>
      </c>
      <c r="M109" s="800">
        <v>2</v>
      </c>
      <c r="N109" s="800">
        <v>0</v>
      </c>
      <c r="O109" s="800">
        <v>8</v>
      </c>
      <c r="P109" s="765"/>
    </row>
    <row r="110" spans="1:16" x14ac:dyDescent="0.25">
      <c r="A110" s="764"/>
      <c r="B110" s="764"/>
      <c r="C110" s="764"/>
      <c r="D110" s="764" t="s">
        <v>2218</v>
      </c>
      <c r="E110" s="764"/>
      <c r="F110" s="799">
        <v>16</v>
      </c>
      <c r="G110" s="799">
        <v>4</v>
      </c>
      <c r="H110" s="799">
        <v>0</v>
      </c>
      <c r="I110" s="799">
        <v>0</v>
      </c>
      <c r="J110" s="799">
        <v>0</v>
      </c>
      <c r="K110" s="799">
        <v>1</v>
      </c>
      <c r="L110" s="799">
        <v>3</v>
      </c>
      <c r="M110" s="799">
        <v>8</v>
      </c>
      <c r="N110" s="799">
        <v>2</v>
      </c>
      <c r="O110" s="799">
        <v>6</v>
      </c>
      <c r="P110" s="764"/>
    </row>
    <row r="111" spans="1:16" x14ac:dyDescent="0.25">
      <c r="A111" s="1065"/>
      <c r="B111" s="1065"/>
      <c r="C111" s="1065"/>
      <c r="D111" s="1065" t="s">
        <v>29</v>
      </c>
      <c r="E111" s="1065"/>
      <c r="F111" s="1066">
        <v>960</v>
      </c>
      <c r="G111" s="1066">
        <v>87</v>
      </c>
      <c r="H111" s="1066">
        <v>64</v>
      </c>
      <c r="I111" s="1066">
        <v>105</v>
      </c>
      <c r="J111" s="1066">
        <v>8</v>
      </c>
      <c r="K111" s="1066">
        <v>61</v>
      </c>
      <c r="L111" s="1066">
        <v>139</v>
      </c>
      <c r="M111" s="1066">
        <v>464</v>
      </c>
      <c r="N111" s="1066">
        <v>155</v>
      </c>
      <c r="O111" s="1066">
        <v>341</v>
      </c>
      <c r="P111" s="1065"/>
    </row>
    <row r="112" spans="1:16" ht="26.25" x14ac:dyDescent="0.25">
      <c r="A112" s="767"/>
      <c r="B112" s="767"/>
      <c r="C112" s="767"/>
      <c r="D112" s="767" t="s">
        <v>189</v>
      </c>
      <c r="E112" s="767"/>
      <c r="F112" s="767" t="s">
        <v>170</v>
      </c>
      <c r="G112" s="767" t="s">
        <v>171</v>
      </c>
      <c r="H112" s="767" t="s">
        <v>172</v>
      </c>
      <c r="I112" s="767" t="s">
        <v>173</v>
      </c>
      <c r="J112" s="767" t="s">
        <v>174</v>
      </c>
      <c r="K112" s="767" t="s">
        <v>175</v>
      </c>
      <c r="L112" s="767" t="s">
        <v>176</v>
      </c>
      <c r="M112" s="767" t="s">
        <v>177</v>
      </c>
      <c r="N112" s="767" t="s">
        <v>178</v>
      </c>
      <c r="O112" s="767" t="s">
        <v>179</v>
      </c>
      <c r="P112" s="767"/>
    </row>
    <row r="113" spans="1:16" ht="26.25" x14ac:dyDescent="0.25">
      <c r="A113" s="767"/>
      <c r="B113" s="767"/>
      <c r="C113" s="767"/>
      <c r="D113" s="767" t="s">
        <v>190</v>
      </c>
      <c r="E113" s="767"/>
      <c r="F113" s="767" t="s">
        <v>191</v>
      </c>
      <c r="G113" s="767" t="s">
        <v>171</v>
      </c>
      <c r="H113" s="767" t="s">
        <v>172</v>
      </c>
      <c r="I113" s="767" t="s">
        <v>173</v>
      </c>
      <c r="J113" s="767" t="s">
        <v>174</v>
      </c>
      <c r="K113" s="767" t="s">
        <v>175</v>
      </c>
      <c r="L113" s="767" t="s">
        <v>176</v>
      </c>
      <c r="M113" s="767" t="s">
        <v>177</v>
      </c>
      <c r="N113" s="767" t="s">
        <v>178</v>
      </c>
      <c r="O113" s="767" t="s">
        <v>179</v>
      </c>
      <c r="P113" s="767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/>
  <dimension ref="A1:F83"/>
  <sheetViews>
    <sheetView zoomScaleNormal="100" workbookViewId="0">
      <selection sqref="A1:C32"/>
    </sheetView>
  </sheetViews>
  <sheetFormatPr defaultColWidth="9.140625" defaultRowHeight="15" x14ac:dyDescent="0.25"/>
  <cols>
    <col min="1" max="1" width="7.42578125" bestFit="1" customWidth="1"/>
    <col min="2" max="2" width="13.5703125" bestFit="1" customWidth="1"/>
    <col min="3" max="3" width="8" customWidth="1"/>
    <col min="5" max="5" width="16" bestFit="1" customWidth="1"/>
  </cols>
  <sheetData>
    <row r="1" spans="1:6" x14ac:dyDescent="0.25">
      <c r="A1" s="590" t="s">
        <v>756</v>
      </c>
      <c r="B1" s="590" t="s">
        <v>757</v>
      </c>
      <c r="C1" s="590" t="s">
        <v>29</v>
      </c>
      <c r="E1" t="e">
        <f>VLOOKUP(B1,Cockpit!E4:E178,1,FALSE)</f>
        <v>#N/A</v>
      </c>
      <c r="F1" t="e">
        <f>VLOOKUP(B1,FRONT!B:B,1,0)</f>
        <v>#N/A</v>
      </c>
    </row>
    <row r="2" spans="1:6" x14ac:dyDescent="0.25">
      <c r="A2" s="360" t="s">
        <v>763</v>
      </c>
      <c r="B2" s="360" t="s">
        <v>574</v>
      </c>
      <c r="C2" s="178">
        <v>178</v>
      </c>
      <c r="E2" t="str">
        <f>VLOOKUP(B2,Cockpit!E5:E178,1,FALSE)</f>
        <v>54976724A</v>
      </c>
      <c r="F2" t="str">
        <f>VLOOKUP(B2,FRONT!B:B,1,0)</f>
        <v>54976724A</v>
      </c>
    </row>
    <row r="3" spans="1:6" x14ac:dyDescent="0.25">
      <c r="A3" s="361" t="s">
        <v>764</v>
      </c>
      <c r="B3" s="361" t="s">
        <v>596</v>
      </c>
      <c r="C3" s="179">
        <v>160</v>
      </c>
      <c r="E3" t="str">
        <f>VLOOKUP(B3,Cockpit!E6:E179,1,FALSE)</f>
        <v>54971524A</v>
      </c>
      <c r="F3" t="str">
        <f>VLOOKUP(B3,FRONT!B:B,1,0)</f>
        <v>54971524A</v>
      </c>
    </row>
    <row r="4" spans="1:6" x14ac:dyDescent="0.25">
      <c r="A4" s="360" t="s">
        <v>772</v>
      </c>
      <c r="B4" s="360" t="s">
        <v>595</v>
      </c>
      <c r="C4" s="178">
        <v>87</v>
      </c>
      <c r="E4" t="str">
        <f>VLOOKUP(B4,Cockpit!E7:E180,1,FALSE)</f>
        <v>54971424A</v>
      </c>
      <c r="F4" t="str">
        <f>VLOOKUP(B4,FRONT!B:B,1,0)</f>
        <v>54971424A</v>
      </c>
    </row>
    <row r="5" spans="1:6" x14ac:dyDescent="0.25">
      <c r="A5" s="361" t="s">
        <v>2061</v>
      </c>
      <c r="B5" s="361" t="s">
        <v>570</v>
      </c>
      <c r="C5" s="179">
        <v>8</v>
      </c>
      <c r="E5" t="str">
        <f>VLOOKUP(B5,Cockpit!E8:E181,1,FALSE)</f>
        <v>54976524A</v>
      </c>
      <c r="F5" t="str">
        <f>VLOOKUP(B5,FRONT!B:B,1,0)</f>
        <v>54976524A</v>
      </c>
    </row>
    <row r="6" spans="1:6" x14ac:dyDescent="0.25">
      <c r="A6" s="360" t="s">
        <v>789</v>
      </c>
      <c r="B6" s="360" t="s">
        <v>575</v>
      </c>
      <c r="C6" s="178">
        <v>111</v>
      </c>
      <c r="E6" t="str">
        <f>VLOOKUP(B6,Cockpit!E9:E182,1,FALSE)</f>
        <v>54971124A</v>
      </c>
      <c r="F6" t="str">
        <f>VLOOKUP(B6,FRONT!B:B,1,0)</f>
        <v>54971124A</v>
      </c>
    </row>
    <row r="7" spans="1:6" x14ac:dyDescent="0.25">
      <c r="A7" s="361" t="s">
        <v>765</v>
      </c>
      <c r="B7" s="361" t="s">
        <v>594</v>
      </c>
      <c r="C7" s="179">
        <v>100</v>
      </c>
      <c r="E7" t="str">
        <f>VLOOKUP(B7,Cockpit!E10:E183,1,FALSE)</f>
        <v>54971024A</v>
      </c>
      <c r="F7" t="str">
        <f>VLOOKUP(B7,FRONT!B:B,1,0)</f>
        <v>54971024A</v>
      </c>
    </row>
    <row r="8" spans="1:6" x14ac:dyDescent="0.25">
      <c r="A8" s="360" t="s">
        <v>790</v>
      </c>
      <c r="B8" s="360" t="s">
        <v>592</v>
      </c>
      <c r="C8" s="178">
        <v>93</v>
      </c>
      <c r="E8" t="str">
        <f>VLOOKUP(B8,Cockpit!E11:E184,1,FALSE)</f>
        <v>54970924A</v>
      </c>
      <c r="F8" t="str">
        <f>VLOOKUP(B8,FRONT!B:B,1,0)</f>
        <v>54970924A</v>
      </c>
    </row>
    <row r="9" spans="1:6" x14ac:dyDescent="0.25">
      <c r="A9" s="361" t="s">
        <v>766</v>
      </c>
      <c r="B9" s="361" t="s">
        <v>589</v>
      </c>
      <c r="C9" s="179">
        <v>275</v>
      </c>
      <c r="E9" t="str">
        <f>VLOOKUP(B9,Cockpit!E12:E185,1,FALSE)</f>
        <v>54975024A</v>
      </c>
      <c r="F9" t="str">
        <f>VLOOKUP(B9,FRONT!B:B,1,0)</f>
        <v>54975024A</v>
      </c>
    </row>
    <row r="10" spans="1:6" x14ac:dyDescent="0.25">
      <c r="A10" s="360" t="s">
        <v>767</v>
      </c>
      <c r="B10" s="360" t="s">
        <v>587</v>
      </c>
      <c r="C10" s="178">
        <v>336</v>
      </c>
      <c r="E10" t="str">
        <f>VLOOKUP(B10,Cockpit!E13:E186,1,FALSE)</f>
        <v>54974024A</v>
      </c>
      <c r="F10" t="str">
        <f>VLOOKUP(B10,FRONT!B:B,1,0)</f>
        <v>54974024A</v>
      </c>
    </row>
    <row r="11" spans="1:6" x14ac:dyDescent="0.25">
      <c r="A11" s="361" t="s">
        <v>773</v>
      </c>
      <c r="B11" s="361" t="s">
        <v>586</v>
      </c>
      <c r="C11" s="179">
        <v>272</v>
      </c>
      <c r="E11" t="str">
        <f>VLOOKUP(B11,Cockpit!E14:E187,1,FALSE)</f>
        <v>54973924A</v>
      </c>
      <c r="F11" t="str">
        <f>VLOOKUP(B11,FRONT!B:B,1,0)</f>
        <v>54973924A</v>
      </c>
    </row>
    <row r="12" spans="1:6" x14ac:dyDescent="0.25">
      <c r="A12" s="360" t="s">
        <v>774</v>
      </c>
      <c r="B12" s="360" t="s">
        <v>585</v>
      </c>
      <c r="C12" s="178">
        <v>430</v>
      </c>
      <c r="E12" t="str">
        <f>VLOOKUP(B12,Cockpit!E15:E188,1,FALSE)</f>
        <v>54973824A</v>
      </c>
      <c r="F12" t="str">
        <f>VLOOKUP(B12,FRONT!B:B,1,0)</f>
        <v>54973824A</v>
      </c>
    </row>
    <row r="13" spans="1:6" x14ac:dyDescent="0.25">
      <c r="A13" s="361" t="s">
        <v>795</v>
      </c>
      <c r="B13" s="361" t="s">
        <v>590</v>
      </c>
      <c r="C13" s="179">
        <v>163</v>
      </c>
      <c r="E13" t="str">
        <f>VLOOKUP(B13,Cockpit!E16:E189,1,FALSE)</f>
        <v>54975824A</v>
      </c>
      <c r="F13" t="str">
        <f>VLOOKUP(B13,FRONT!B:B,1,0)</f>
        <v>54975824A</v>
      </c>
    </row>
    <row r="14" spans="1:6" x14ac:dyDescent="0.25">
      <c r="A14" s="360" t="s">
        <v>1207</v>
      </c>
      <c r="B14" s="360" t="s">
        <v>588</v>
      </c>
      <c r="C14" s="178">
        <v>191</v>
      </c>
      <c r="E14" t="str">
        <f>VLOOKUP(B14,Cockpit!E17:E190,1,FALSE)</f>
        <v>54974624A</v>
      </c>
      <c r="F14" t="str">
        <f>VLOOKUP(B14,FRONT!B:B,1,0)</f>
        <v>54974624A</v>
      </c>
    </row>
    <row r="15" spans="1:6" x14ac:dyDescent="0.25">
      <c r="A15" s="361" t="s">
        <v>791</v>
      </c>
      <c r="B15" s="361" t="s">
        <v>573</v>
      </c>
      <c r="C15" s="179">
        <v>224</v>
      </c>
      <c r="E15" t="str">
        <f>VLOOKUP(B15,Cockpit!E18:E191,1,FALSE)</f>
        <v>54974424A</v>
      </c>
      <c r="F15" t="str">
        <f>VLOOKUP(B15,FRONT!B:B,1,0)</f>
        <v>54974424A</v>
      </c>
    </row>
    <row r="16" spans="1:6" x14ac:dyDescent="0.25">
      <c r="A16" s="360" t="s">
        <v>1746</v>
      </c>
      <c r="B16" s="360" t="s">
        <v>591</v>
      </c>
      <c r="C16" s="178">
        <v>16</v>
      </c>
      <c r="E16" t="str">
        <f>VLOOKUP(B16,Cockpit!E19:E192,1,FALSE)</f>
        <v>54976224A</v>
      </c>
      <c r="F16" t="str">
        <f>VLOOKUP(B16,FRONT!B:B,1,0)</f>
        <v>54976224A</v>
      </c>
    </row>
    <row r="17" spans="1:6" x14ac:dyDescent="0.25">
      <c r="A17" s="361" t="s">
        <v>768</v>
      </c>
      <c r="B17" s="361" t="s">
        <v>576</v>
      </c>
      <c r="C17" s="179">
        <v>312</v>
      </c>
      <c r="E17" t="str">
        <f>VLOOKUP(B17,Cockpit!E20:E193,1,FALSE)</f>
        <v>54974824A</v>
      </c>
      <c r="F17" t="str">
        <f>VLOOKUP(B17,FRONT!B:B,1,0)</f>
        <v>54974824A</v>
      </c>
    </row>
    <row r="18" spans="1:6" x14ac:dyDescent="0.25">
      <c r="A18" s="360" t="s">
        <v>769</v>
      </c>
      <c r="B18" s="360" t="s">
        <v>603</v>
      </c>
      <c r="C18" s="178">
        <v>1393</v>
      </c>
      <c r="E18" t="str">
        <f>VLOOKUP(B18,Cockpit!E21:E194,1,FALSE)</f>
        <v>54972824A</v>
      </c>
      <c r="F18" t="str">
        <f>VLOOKUP(B18,FRONT!B:B,1,0)</f>
        <v>54972824A</v>
      </c>
    </row>
    <row r="19" spans="1:6" x14ac:dyDescent="0.25">
      <c r="A19" s="361" t="s">
        <v>792</v>
      </c>
      <c r="B19" s="361" t="s">
        <v>602</v>
      </c>
      <c r="C19" s="179">
        <v>271</v>
      </c>
      <c r="E19" t="str">
        <f>VLOOKUP(B19,Cockpit!E22:E195,1,FALSE)</f>
        <v>54972724A</v>
      </c>
      <c r="F19" t="str">
        <f>VLOOKUP(B19,FRONT!B:B,1,0)</f>
        <v>54972724A</v>
      </c>
    </row>
    <row r="20" spans="1:6" x14ac:dyDescent="0.25">
      <c r="A20" s="360" t="s">
        <v>770</v>
      </c>
      <c r="B20" s="360" t="s">
        <v>582</v>
      </c>
      <c r="C20" s="178">
        <v>1414</v>
      </c>
      <c r="E20" t="str">
        <f>VLOOKUP(B20,Cockpit!E23:E196,1,FALSE)</f>
        <v>54972624A</v>
      </c>
      <c r="F20" t="str">
        <f>VLOOKUP(B20,FRONT!B:B,1,0)</f>
        <v>54972624A</v>
      </c>
    </row>
    <row r="21" spans="1:6" x14ac:dyDescent="0.25">
      <c r="A21" s="361" t="s">
        <v>793</v>
      </c>
      <c r="B21" s="361" t="s">
        <v>584</v>
      </c>
      <c r="C21" s="179">
        <v>335</v>
      </c>
      <c r="E21" t="str">
        <f>VLOOKUP(B21,Cockpit!E24:E197,1,FALSE)</f>
        <v>54973424A</v>
      </c>
      <c r="F21" t="str">
        <f>VLOOKUP(B21,FRONT!B:B,1,0)</f>
        <v>54973424A</v>
      </c>
    </row>
    <row r="22" spans="1:6" x14ac:dyDescent="0.25">
      <c r="A22" s="360" t="s">
        <v>903</v>
      </c>
      <c r="B22" s="360" t="s">
        <v>583</v>
      </c>
      <c r="C22" s="178">
        <v>115</v>
      </c>
      <c r="E22" t="str">
        <f>VLOOKUP(B22,Cockpit!E25:E198,1,FALSE)</f>
        <v>54973324A</v>
      </c>
      <c r="F22" t="str">
        <f>VLOOKUP(B22,FRONT!B:B,1,0)</f>
        <v>54973324A</v>
      </c>
    </row>
    <row r="23" spans="1:6" x14ac:dyDescent="0.25">
      <c r="A23" s="361" t="s">
        <v>775</v>
      </c>
      <c r="B23" s="361" t="s">
        <v>604</v>
      </c>
      <c r="C23" s="179">
        <v>439</v>
      </c>
      <c r="E23" t="str">
        <f>VLOOKUP(B23,Cockpit!E26:E199,1,FALSE)</f>
        <v>54973224A</v>
      </c>
      <c r="F23" t="str">
        <f>VLOOKUP(B23,FRONT!B:B,1,0)</f>
        <v>54973224A</v>
      </c>
    </row>
    <row r="24" spans="1:6" x14ac:dyDescent="0.25">
      <c r="A24" s="360" t="s">
        <v>1206</v>
      </c>
      <c r="B24" s="360" t="s">
        <v>581</v>
      </c>
      <c r="C24" s="178">
        <v>219</v>
      </c>
      <c r="E24" t="str">
        <f>VLOOKUP(B24,Cockpit!E27:E200,1,FALSE)</f>
        <v>54972224A</v>
      </c>
      <c r="F24" t="str">
        <f>VLOOKUP(B24,FRONT!B:B,1,0)</f>
        <v>54972224A</v>
      </c>
    </row>
    <row r="25" spans="1:6" x14ac:dyDescent="0.25">
      <c r="A25" s="361" t="s">
        <v>894</v>
      </c>
      <c r="B25" s="361" t="s">
        <v>579</v>
      </c>
      <c r="C25" s="179">
        <v>188</v>
      </c>
      <c r="E25" t="str">
        <f>VLOOKUP(B25,Cockpit!E28:E201,1,FALSE)</f>
        <v>54972124A</v>
      </c>
      <c r="F25" t="str">
        <f>VLOOKUP(B25,FRONT!B:B,1,0)</f>
        <v>54972124A</v>
      </c>
    </row>
    <row r="26" spans="1:6" x14ac:dyDescent="0.25">
      <c r="A26" s="360" t="s">
        <v>794</v>
      </c>
      <c r="B26" s="360" t="s">
        <v>580</v>
      </c>
      <c r="C26" s="178">
        <v>572</v>
      </c>
      <c r="E26" t="str">
        <f>VLOOKUP(B26,Cockpit!E29:E202,1,FALSE)</f>
        <v>54971824A</v>
      </c>
      <c r="F26" t="str">
        <f>VLOOKUP(B26,FRONT!B:B,1,0)</f>
        <v>54971824A</v>
      </c>
    </row>
    <row r="27" spans="1:6" x14ac:dyDescent="0.25">
      <c r="A27" s="361" t="s">
        <v>771</v>
      </c>
      <c r="B27" s="361" t="s">
        <v>578</v>
      </c>
      <c r="C27" s="179">
        <v>1002</v>
      </c>
      <c r="E27" t="str">
        <f>VLOOKUP(B27,Cockpit!E30:E203,1,FALSE)</f>
        <v>54971724A</v>
      </c>
      <c r="F27" t="str">
        <f>VLOOKUP(B27,FRONT!B:B,1,0)</f>
        <v>54971724A</v>
      </c>
    </row>
    <row r="28" spans="1:6" x14ac:dyDescent="0.25">
      <c r="A28" s="360" t="s">
        <v>776</v>
      </c>
      <c r="B28" s="360" t="s">
        <v>733</v>
      </c>
      <c r="C28" s="178">
        <v>290</v>
      </c>
      <c r="E28" t="e">
        <f>VLOOKUP(B28,Cockpit!E31:E204,1,FALSE)</f>
        <v>#N/A</v>
      </c>
      <c r="F28" t="e">
        <f>VLOOKUP(B28,FRONT!B:B,1,0)</f>
        <v>#N/A</v>
      </c>
    </row>
    <row r="29" spans="1:6" x14ac:dyDescent="0.25">
      <c r="A29" s="361" t="s">
        <v>904</v>
      </c>
      <c r="B29" s="361" t="s">
        <v>734</v>
      </c>
      <c r="C29" s="179">
        <v>132</v>
      </c>
      <c r="E29" t="e">
        <f>VLOOKUP(B29,Cockpit!E32:E205,1,FALSE)</f>
        <v>#N/A</v>
      </c>
      <c r="F29" t="e">
        <f>VLOOKUP(B29,FRONT!B:B,1,0)</f>
        <v>#N/A</v>
      </c>
    </row>
    <row r="30" spans="1:6" x14ac:dyDescent="0.25">
      <c r="A30" s="360" t="s">
        <v>777</v>
      </c>
      <c r="B30" s="360" t="s">
        <v>719</v>
      </c>
      <c r="C30" s="178">
        <v>1326</v>
      </c>
      <c r="E30" t="e">
        <f>VLOOKUP(B30,Cockpit!E33:E206,1,FALSE)</f>
        <v>#N/A</v>
      </c>
      <c r="F30" t="e">
        <f>VLOOKUP(B30,FRONT!B:B,1,0)</f>
        <v>#N/A</v>
      </c>
    </row>
    <row r="31" spans="1:6" x14ac:dyDescent="0.25">
      <c r="A31" s="361" t="s">
        <v>778</v>
      </c>
      <c r="B31" s="361" t="s">
        <v>737</v>
      </c>
      <c r="C31" s="179">
        <v>300</v>
      </c>
      <c r="E31" t="e">
        <f>VLOOKUP(B31,Cockpit!E34:E207,1,FALSE)</f>
        <v>#N/A</v>
      </c>
      <c r="F31" t="e">
        <f>VLOOKUP(B31,FRONT!B:B,1,0)</f>
        <v>#N/A</v>
      </c>
    </row>
    <row r="32" spans="1:6" x14ac:dyDescent="0.25">
      <c r="A32" s="360"/>
      <c r="B32" s="360"/>
      <c r="C32" s="178">
        <v>10952</v>
      </c>
      <c r="E32" t="e">
        <f>VLOOKUP(B32,Cockpit!E35:E208,1,FALSE)</f>
        <v>#N/A</v>
      </c>
      <c r="F32" t="e">
        <f>VLOOKUP(B32,FRONT!B:B,1,0)</f>
        <v>#N/A</v>
      </c>
    </row>
    <row r="33" spans="1:6" x14ac:dyDescent="0.25">
      <c r="A33" s="361"/>
      <c r="B33" s="361"/>
      <c r="C33" s="179"/>
      <c r="E33" t="e">
        <f>VLOOKUP(B33,Cockpit!E36:E209,1,FALSE)</f>
        <v>#N/A</v>
      </c>
      <c r="F33" t="e">
        <f>VLOOKUP(B33,FRONT!B:B,1,0)</f>
        <v>#N/A</v>
      </c>
    </row>
    <row r="34" spans="1:6" x14ac:dyDescent="0.25">
      <c r="A34" s="360"/>
      <c r="B34" s="360"/>
      <c r="C34" s="178"/>
      <c r="D34" s="360"/>
      <c r="E34" t="e">
        <f>VLOOKUP(B34,Cockpit!E37:E210,1,FALSE)</f>
        <v>#N/A</v>
      </c>
      <c r="F34" t="e">
        <f>VLOOKUP(B34,FRONT!B:B,1,0)</f>
        <v>#N/A</v>
      </c>
    </row>
    <row r="35" spans="1:6" x14ac:dyDescent="0.25">
      <c r="A35" s="361"/>
      <c r="B35" s="361"/>
      <c r="C35" s="179"/>
      <c r="D35" s="361"/>
      <c r="E35" t="e">
        <f>VLOOKUP(B35,Cockpit!E38:E211,1,FALSE)</f>
        <v>#N/A</v>
      </c>
      <c r="F35" t="e">
        <f>VLOOKUP(B35,FRONT!B:B,1,0)</f>
        <v>#N/A</v>
      </c>
    </row>
    <row r="36" spans="1:6" x14ac:dyDescent="0.25">
      <c r="A36" s="360"/>
      <c r="B36" s="576"/>
      <c r="D36" s="360"/>
      <c r="E36" t="e">
        <f>VLOOKUP(B36,Cockpit!E39:E212,1,FALSE)</f>
        <v>#N/A</v>
      </c>
      <c r="F36" t="e">
        <f>VLOOKUP(B36,FRONT!B:B,1,0)</f>
        <v>#N/A</v>
      </c>
    </row>
    <row r="37" spans="1:6" x14ac:dyDescent="0.25">
      <c r="A37" s="361"/>
      <c r="B37" s="576"/>
      <c r="D37" s="361"/>
      <c r="E37" t="e">
        <f>VLOOKUP(B37,Cockpit!E40:E213,1,FALSE)</f>
        <v>#N/A</v>
      </c>
      <c r="F37" t="e">
        <f>VLOOKUP(B37,FRONT!B:B,1,0)</f>
        <v>#N/A</v>
      </c>
    </row>
    <row r="38" spans="1:6" x14ac:dyDescent="0.25">
      <c r="A38" s="360"/>
      <c r="B38" s="576"/>
      <c r="D38" s="360"/>
      <c r="E38" t="e">
        <f>VLOOKUP(B38,Cockpit!E41:E214,1,FALSE)</f>
        <v>#N/A</v>
      </c>
      <c r="F38" t="e">
        <f>VLOOKUP(B38,FRONT!B:B,1,0)</f>
        <v>#N/A</v>
      </c>
    </row>
    <row r="39" spans="1:6" x14ac:dyDescent="0.25">
      <c r="A39" s="361"/>
      <c r="B39" s="576"/>
      <c r="D39" s="361"/>
      <c r="E39" t="e">
        <f>VLOOKUP(B39,Cockpit!E42:E215,1,FALSE)</f>
        <v>#N/A</v>
      </c>
      <c r="F39" t="e">
        <f>VLOOKUP(B39,FRONT!B:B,1,0)</f>
        <v>#N/A</v>
      </c>
    </row>
    <row r="40" spans="1:6" x14ac:dyDescent="0.25">
      <c r="A40" s="360"/>
      <c r="B40" s="576"/>
      <c r="D40" s="360"/>
      <c r="E40" t="e">
        <f>VLOOKUP(B40,Cockpit!E43:E216,1,FALSE)</f>
        <v>#N/A</v>
      </c>
      <c r="F40" t="e">
        <f>VLOOKUP(B40,FRONT!B:B,1,0)</f>
        <v>#N/A</v>
      </c>
    </row>
    <row r="41" spans="1:6" x14ac:dyDescent="0.25">
      <c r="A41" s="361"/>
      <c r="B41" s="576"/>
      <c r="D41" s="361"/>
      <c r="E41" t="e">
        <f>VLOOKUP(B41,Cockpit!E44:E217,1,FALSE)</f>
        <v>#N/A</v>
      </c>
      <c r="F41" t="e">
        <f>VLOOKUP(B41,FRONT!B:B,1,0)</f>
        <v>#N/A</v>
      </c>
    </row>
    <row r="42" spans="1:6" x14ac:dyDescent="0.25">
      <c r="A42" s="360"/>
      <c r="B42" s="576"/>
      <c r="D42" s="360"/>
      <c r="E42" t="e">
        <f>VLOOKUP(B42,Cockpit!E45:E218,1,FALSE)</f>
        <v>#N/A</v>
      </c>
      <c r="F42" t="e">
        <f>VLOOKUP(B42,FRONT!B:B,1,0)</f>
        <v>#N/A</v>
      </c>
    </row>
    <row r="43" spans="1:6" x14ac:dyDescent="0.25">
      <c r="A43" s="361"/>
      <c r="B43" s="576"/>
      <c r="D43" s="361"/>
      <c r="E43" t="e">
        <f>VLOOKUP(B43,Cockpit!E46:E219,1,FALSE)</f>
        <v>#N/A</v>
      </c>
      <c r="F43" t="e">
        <f>VLOOKUP(B43,FRONT!B:B,1,0)</f>
        <v>#N/A</v>
      </c>
    </row>
    <row r="44" spans="1:6" x14ac:dyDescent="0.25">
      <c r="A44" s="360"/>
      <c r="B44" s="576"/>
      <c r="D44" s="360"/>
      <c r="E44" t="e">
        <f>VLOOKUP(B44,Cockpit!E47:E220,1,FALSE)</f>
        <v>#N/A</v>
      </c>
      <c r="F44" t="e">
        <f>VLOOKUP(B44,FRONT!B:B,1,0)</f>
        <v>#N/A</v>
      </c>
    </row>
    <row r="45" spans="1:6" x14ac:dyDescent="0.25">
      <c r="A45" s="361"/>
      <c r="B45" s="576"/>
      <c r="D45" s="361"/>
      <c r="E45" t="e">
        <f>VLOOKUP(B45,Cockpit!E48:E221,1,FALSE)</f>
        <v>#N/A</v>
      </c>
      <c r="F45" t="e">
        <f>VLOOKUP(B45,FRONT!B:B,1,0)</f>
        <v>#N/A</v>
      </c>
    </row>
    <row r="46" spans="1:6" x14ac:dyDescent="0.25">
      <c r="A46" s="360"/>
      <c r="B46" s="576"/>
      <c r="D46" s="360"/>
      <c r="E46" t="e">
        <f>VLOOKUP(B46,Cockpit!E49:E222,1,FALSE)</f>
        <v>#N/A</v>
      </c>
      <c r="F46" t="e">
        <f>VLOOKUP(B46,FRONT!B:B,1,0)</f>
        <v>#N/A</v>
      </c>
    </row>
    <row r="47" spans="1:6" x14ac:dyDescent="0.25">
      <c r="A47" s="361"/>
      <c r="B47" s="576"/>
      <c r="D47" s="361"/>
      <c r="E47" t="e">
        <f>VLOOKUP(B47,Cockpit!E50:E223,1,FALSE)</f>
        <v>#N/A</v>
      </c>
      <c r="F47" t="e">
        <f>VLOOKUP(B47,FRONT!B:B,1,0)</f>
        <v>#N/A</v>
      </c>
    </row>
    <row r="48" spans="1:6" x14ac:dyDescent="0.25">
      <c r="A48" s="360"/>
      <c r="B48" s="576"/>
      <c r="D48" s="360"/>
      <c r="E48" t="e">
        <f>VLOOKUP(B48,Cockpit!E51:E224,1,FALSE)</f>
        <v>#N/A</v>
      </c>
      <c r="F48" t="e">
        <f>VLOOKUP(B48,FRONT!B:B,1,0)</f>
        <v>#N/A</v>
      </c>
    </row>
    <row r="49" spans="1:6" x14ac:dyDescent="0.25">
      <c r="A49" s="361"/>
      <c r="B49" s="576"/>
      <c r="D49" s="361"/>
      <c r="E49" t="e">
        <f>VLOOKUP(B49,Cockpit!E52:E225,1,FALSE)</f>
        <v>#N/A</v>
      </c>
      <c r="F49" t="e">
        <f>VLOOKUP(B49,FRONT!B:B,1,0)</f>
        <v>#N/A</v>
      </c>
    </row>
    <row r="50" spans="1:6" x14ac:dyDescent="0.25">
      <c r="A50" s="360"/>
      <c r="B50" s="576"/>
      <c r="D50" s="360"/>
      <c r="E50" t="e">
        <f>VLOOKUP(B50,Cockpit!E53:E226,1,FALSE)</f>
        <v>#N/A</v>
      </c>
      <c r="F50" t="e">
        <f>VLOOKUP(B50,FRONT!B:B,1,0)</f>
        <v>#N/A</v>
      </c>
    </row>
    <row r="51" spans="1:6" x14ac:dyDescent="0.25">
      <c r="A51" s="361"/>
      <c r="B51" s="576"/>
      <c r="D51" s="361"/>
      <c r="E51" t="e">
        <f>VLOOKUP(B51,Cockpit!E54:E227,1,FALSE)</f>
        <v>#N/A</v>
      </c>
      <c r="F51" t="e">
        <f>VLOOKUP(B51,FRONT!B:B,1,0)</f>
        <v>#N/A</v>
      </c>
    </row>
    <row r="52" spans="1:6" x14ac:dyDescent="0.25">
      <c r="A52" s="360"/>
      <c r="B52" s="576"/>
      <c r="D52" s="360"/>
      <c r="E52" t="e">
        <f>VLOOKUP(B52,Cockpit!E55:E228,1,FALSE)</f>
        <v>#N/A</v>
      </c>
      <c r="F52" t="e">
        <f>VLOOKUP(B52,FRONT!B:B,1,0)</f>
        <v>#N/A</v>
      </c>
    </row>
    <row r="53" spans="1:6" x14ac:dyDescent="0.25">
      <c r="A53" s="361"/>
      <c r="B53" s="576"/>
      <c r="D53" s="361"/>
      <c r="E53" t="e">
        <f>VLOOKUP(B53,Cockpit!E56:E229,1,FALSE)</f>
        <v>#N/A</v>
      </c>
      <c r="F53" t="e">
        <f>VLOOKUP(B53,FRONT!B:B,1,0)</f>
        <v>#N/A</v>
      </c>
    </row>
    <row r="54" spans="1:6" x14ac:dyDescent="0.25">
      <c r="A54" s="360"/>
      <c r="B54" s="576"/>
      <c r="D54" s="360"/>
      <c r="E54" t="e">
        <f>VLOOKUP(B54,Cockpit!E57:E230,1,FALSE)</f>
        <v>#N/A</v>
      </c>
      <c r="F54" t="e">
        <f>VLOOKUP(B54,FRONT!B:B,1,0)</f>
        <v>#N/A</v>
      </c>
    </row>
    <row r="55" spans="1:6" x14ac:dyDescent="0.25">
      <c r="A55" s="361"/>
      <c r="B55" s="576"/>
      <c r="D55" s="361"/>
      <c r="E55" t="e">
        <f>VLOOKUP(B55,Cockpit!E58:E231,1,FALSE)</f>
        <v>#N/A</v>
      </c>
      <c r="F55" t="e">
        <f>VLOOKUP(B55,FRONT!B:B,1,0)</f>
        <v>#N/A</v>
      </c>
    </row>
    <row r="56" spans="1:6" x14ac:dyDescent="0.25">
      <c r="A56" s="360"/>
      <c r="B56" s="576"/>
      <c r="D56" s="360"/>
      <c r="E56" t="e">
        <f>VLOOKUP(B56,Cockpit!E59:E232,1,FALSE)</f>
        <v>#N/A</v>
      </c>
      <c r="F56" t="e">
        <f>VLOOKUP(B56,FRONT!B:B,1,0)</f>
        <v>#N/A</v>
      </c>
    </row>
    <row r="57" spans="1:6" x14ac:dyDescent="0.25">
      <c r="A57" s="361"/>
      <c r="B57" s="576"/>
      <c r="D57" s="361"/>
      <c r="E57" t="e">
        <f>VLOOKUP(B57,Cockpit!E60:E233,1,FALSE)</f>
        <v>#N/A</v>
      </c>
      <c r="F57" t="e">
        <f>VLOOKUP(B57,FRONT!B:B,1,0)</f>
        <v>#N/A</v>
      </c>
    </row>
    <row r="58" spans="1:6" x14ac:dyDescent="0.25">
      <c r="A58" s="360"/>
      <c r="B58" s="576"/>
      <c r="D58" s="360"/>
      <c r="E58" t="e">
        <f>VLOOKUP(B58,Cockpit!E61:E234,1,FALSE)</f>
        <v>#N/A</v>
      </c>
      <c r="F58" t="e">
        <f>VLOOKUP(B58,FRONT!B:B,1,0)</f>
        <v>#N/A</v>
      </c>
    </row>
    <row r="59" spans="1:6" x14ac:dyDescent="0.25">
      <c r="A59" s="361"/>
      <c r="B59" s="361"/>
      <c r="C59" s="179"/>
      <c r="D59" s="361"/>
      <c r="E59" t="e">
        <f>VLOOKUP(B59,Cockpit!E62:E235,1,FALSE)</f>
        <v>#N/A</v>
      </c>
      <c r="F59" t="e">
        <f>VLOOKUP(B59,FRONT!B:B,1,0)</f>
        <v>#N/A</v>
      </c>
    </row>
    <row r="60" spans="1:6" x14ac:dyDescent="0.25">
      <c r="A60" s="360"/>
      <c r="B60" s="360"/>
      <c r="C60" s="178"/>
      <c r="D60" s="360"/>
      <c r="E60" t="e">
        <f>VLOOKUP(B60,Cockpit!E63:E236,1,FALSE)</f>
        <v>#N/A</v>
      </c>
      <c r="F60" t="e">
        <f>VLOOKUP(B60,FRONT!B:B,1,0)</f>
        <v>#N/A</v>
      </c>
    </row>
    <row r="61" spans="1:6" x14ac:dyDescent="0.25">
      <c r="A61" s="361"/>
      <c r="B61" s="361"/>
      <c r="C61" s="179"/>
      <c r="D61" s="361"/>
      <c r="E61" t="e">
        <f>VLOOKUP(B61,Cockpit!E64:E237,1,FALSE)</f>
        <v>#N/A</v>
      </c>
      <c r="F61" t="e">
        <f>VLOOKUP(B61,FRONT!B:B,1,0)</f>
        <v>#N/A</v>
      </c>
    </row>
    <row r="62" spans="1:6" x14ac:dyDescent="0.25">
      <c r="A62" s="360"/>
      <c r="B62" s="360"/>
      <c r="C62" s="178"/>
      <c r="D62" s="360"/>
      <c r="E62" t="e">
        <f>VLOOKUP(B62,Cockpit!E65:E238,1,FALSE)</f>
        <v>#N/A</v>
      </c>
      <c r="F62" t="e">
        <f>VLOOKUP(B62,FRONT!B:B,1,0)</f>
        <v>#N/A</v>
      </c>
    </row>
    <row r="63" spans="1:6" x14ac:dyDescent="0.25">
      <c r="A63" s="361"/>
      <c r="B63" s="361"/>
      <c r="C63" s="179"/>
      <c r="D63" s="361"/>
      <c r="E63" t="e">
        <f>VLOOKUP(B63,Cockpit!E66:E239,1,FALSE)</f>
        <v>#N/A</v>
      </c>
      <c r="F63" t="e">
        <f>VLOOKUP(B63,FRONT!B:B,1,0)</f>
        <v>#N/A</v>
      </c>
    </row>
    <row r="64" spans="1:6" x14ac:dyDescent="0.25">
      <c r="A64" s="360"/>
      <c r="B64" s="360"/>
      <c r="C64" s="178"/>
      <c r="D64" s="360"/>
      <c r="E64" t="e">
        <f>VLOOKUP(B64,Cockpit!E67:E240,1,FALSE)</f>
        <v>#N/A</v>
      </c>
      <c r="F64" t="e">
        <f>VLOOKUP(B64,FRONT!B:B,1,0)</f>
        <v>#N/A</v>
      </c>
    </row>
    <row r="65" spans="1:6" x14ac:dyDescent="0.25">
      <c r="A65" s="361"/>
      <c r="B65" s="361"/>
      <c r="C65" s="179"/>
      <c r="D65" s="361"/>
      <c r="E65" t="e">
        <f>VLOOKUP(B65,Cockpit!E68:E241,1,FALSE)</f>
        <v>#N/A</v>
      </c>
      <c r="F65" t="e">
        <f>VLOOKUP(B65,FRONT!B:B,1,0)</f>
        <v>#N/A</v>
      </c>
    </row>
    <row r="66" spans="1:6" x14ac:dyDescent="0.25">
      <c r="A66" s="360"/>
      <c r="B66" s="360"/>
      <c r="C66" s="178"/>
      <c r="D66" s="360"/>
      <c r="E66" t="e">
        <f>VLOOKUP(B66,Cockpit!E69:E242,1,FALSE)</f>
        <v>#N/A</v>
      </c>
      <c r="F66" t="e">
        <f>VLOOKUP(B66,FRONT!B:B,1,0)</f>
        <v>#N/A</v>
      </c>
    </row>
    <row r="67" spans="1:6" x14ac:dyDescent="0.25">
      <c r="A67" s="361"/>
      <c r="B67" s="361"/>
      <c r="C67" s="179"/>
      <c r="D67" s="361"/>
      <c r="E67" t="e">
        <f>VLOOKUP(B67,Cockpit!E70:E243,1,FALSE)</f>
        <v>#N/A</v>
      </c>
      <c r="F67" t="e">
        <f>VLOOKUP(B67,FRONT!B:B,1,0)</f>
        <v>#N/A</v>
      </c>
    </row>
    <row r="68" spans="1:6" x14ac:dyDescent="0.25">
      <c r="A68" s="360"/>
      <c r="B68" s="360"/>
      <c r="C68" s="178"/>
      <c r="D68" s="360"/>
      <c r="E68" t="e">
        <f>VLOOKUP(B68,Cockpit!E71:E244,1,FALSE)</f>
        <v>#N/A</v>
      </c>
      <c r="F68" t="e">
        <f>VLOOKUP(B68,FRONT!B:B,1,0)</f>
        <v>#N/A</v>
      </c>
    </row>
    <row r="69" spans="1:6" x14ac:dyDescent="0.25">
      <c r="A69" s="361"/>
      <c r="B69" s="361"/>
      <c r="C69" s="179"/>
      <c r="D69" s="361"/>
      <c r="E69" t="e">
        <f>VLOOKUP(B69,Cockpit!E72:E245,1,FALSE)</f>
        <v>#N/A</v>
      </c>
      <c r="F69" t="e">
        <f>VLOOKUP(B69,FRONT!B:B,1,0)</f>
        <v>#N/A</v>
      </c>
    </row>
    <row r="70" spans="1:6" x14ac:dyDescent="0.25">
      <c r="A70" s="360"/>
      <c r="B70" s="360"/>
      <c r="C70" s="178"/>
      <c r="D70" s="360"/>
      <c r="E70" t="e">
        <f>VLOOKUP(B70,Cockpit!E73:E246,1,FALSE)</f>
        <v>#N/A</v>
      </c>
      <c r="F70" t="e">
        <f>VLOOKUP(B70,FRONT!B:B,1,0)</f>
        <v>#N/A</v>
      </c>
    </row>
    <row r="71" spans="1:6" x14ac:dyDescent="0.25">
      <c r="A71" s="361"/>
      <c r="B71" s="361"/>
      <c r="C71" s="179"/>
      <c r="E71" t="e">
        <f>VLOOKUP(B71,Cockpit!E74:E247,1,FALSE)</f>
        <v>#N/A</v>
      </c>
      <c r="F71" t="e">
        <f>VLOOKUP(B71,FRONT!B:B,1,0)</f>
        <v>#N/A</v>
      </c>
    </row>
    <row r="72" spans="1:6" x14ac:dyDescent="0.25">
      <c r="A72" s="360"/>
      <c r="B72" s="360"/>
      <c r="C72" s="178"/>
      <c r="E72" t="e">
        <f>VLOOKUP(B72,Cockpit!E75:E248,1,FALSE)</f>
        <v>#N/A</v>
      </c>
      <c r="F72" t="e">
        <f>VLOOKUP(B72,FRONT!B:B,1,0)</f>
        <v>#N/A</v>
      </c>
    </row>
    <row r="73" spans="1:6" x14ac:dyDescent="0.25">
      <c r="A73" s="361"/>
      <c r="B73" s="361"/>
      <c r="C73" s="179"/>
      <c r="E73" t="e">
        <f>VLOOKUP(B73,Cockpit!E76:E249,1,FALSE)</f>
        <v>#N/A</v>
      </c>
      <c r="F73" t="e">
        <f>VLOOKUP(B73,FRONT!B:B,1,0)</f>
        <v>#N/A</v>
      </c>
    </row>
    <row r="74" spans="1:6" x14ac:dyDescent="0.25">
      <c r="A74" s="360"/>
      <c r="B74" s="360"/>
      <c r="C74" s="178"/>
      <c r="E74" t="e">
        <f>VLOOKUP(B74,Cockpit!E77:E250,1,FALSE)</f>
        <v>#N/A</v>
      </c>
      <c r="F74" t="e">
        <f>VLOOKUP(B74,FRONT!B:B,1,0)</f>
        <v>#N/A</v>
      </c>
    </row>
    <row r="75" spans="1:6" x14ac:dyDescent="0.25">
      <c r="A75" s="361"/>
      <c r="B75" s="361"/>
      <c r="C75" s="179"/>
      <c r="E75" t="e">
        <f>VLOOKUP(B75,Cockpit!E78:E251,1,FALSE)</f>
        <v>#N/A</v>
      </c>
      <c r="F75" t="e">
        <f>VLOOKUP(B75,FRONT!B:B,1,0)</f>
        <v>#N/A</v>
      </c>
    </row>
    <row r="76" spans="1:6" x14ac:dyDescent="0.25">
      <c r="A76" s="360"/>
      <c r="B76" s="360"/>
      <c r="C76" s="178"/>
      <c r="E76" t="e">
        <f>VLOOKUP(B76,Cockpit!E79:E252,1,FALSE)</f>
        <v>#N/A</v>
      </c>
      <c r="F76" t="e">
        <f>VLOOKUP(B76,FRONT!B:B,1,0)</f>
        <v>#N/A</v>
      </c>
    </row>
    <row r="77" spans="1:6" x14ac:dyDescent="0.25">
      <c r="A77" s="361"/>
      <c r="B77" s="361"/>
      <c r="C77" s="179"/>
      <c r="E77" t="e">
        <f>VLOOKUP(B77,Cockpit!E80:E253,1,FALSE)</f>
        <v>#N/A</v>
      </c>
      <c r="F77" t="e">
        <f>VLOOKUP(B77,FRONT!B:B,1,0)</f>
        <v>#N/A</v>
      </c>
    </row>
    <row r="78" spans="1:6" x14ac:dyDescent="0.25">
      <c r="A78" s="360"/>
      <c r="B78" s="360"/>
      <c r="C78" s="178"/>
      <c r="E78" t="e">
        <f>VLOOKUP(B78,Cockpit!E81:E254,1,FALSE)</f>
        <v>#N/A</v>
      </c>
      <c r="F78" t="e">
        <f>VLOOKUP(B78,FRONT!B:B,1,0)</f>
        <v>#N/A</v>
      </c>
    </row>
    <row r="79" spans="1:6" x14ac:dyDescent="0.25">
      <c r="A79" s="361"/>
      <c r="B79" s="361"/>
      <c r="C79" s="179"/>
    </row>
    <row r="80" spans="1:6" x14ac:dyDescent="0.25">
      <c r="A80" s="360"/>
      <c r="B80" s="360"/>
      <c r="C80" s="178"/>
    </row>
    <row r="81" spans="1:3" x14ac:dyDescent="0.25">
      <c r="A81" s="361"/>
      <c r="B81" s="361"/>
      <c r="C81" s="179"/>
    </row>
    <row r="82" spans="1:3" x14ac:dyDescent="0.25">
      <c r="A82" s="360"/>
      <c r="B82" s="360"/>
      <c r="C82" s="178"/>
    </row>
    <row r="83" spans="1:3" x14ac:dyDescent="0.25">
      <c r="A83" s="361"/>
      <c r="B83" s="361"/>
      <c r="C83" s="179"/>
    </row>
  </sheetData>
  <autoFilter ref="A1:E70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/>
  <dimension ref="A1:GI367"/>
  <sheetViews>
    <sheetView zoomScaleNormal="100" workbookViewId="0">
      <pane xSplit="5" ySplit="1" topLeftCell="BW2" activePane="bottomRight" state="frozen"/>
      <selection pane="topRight" activeCell="F1" sqref="F1"/>
      <selection pane="bottomLeft" activeCell="A2" sqref="A2"/>
      <selection pane="bottomRight" activeCell="CA21" sqref="CA21"/>
    </sheetView>
  </sheetViews>
  <sheetFormatPr defaultColWidth="4" defaultRowHeight="15" x14ac:dyDescent="0.25"/>
  <cols>
    <col min="1" max="1" width="28" style="175" customWidth="1"/>
    <col min="2" max="2" width="10.28515625" customWidth="1"/>
    <col min="3" max="4" width="11.140625" hidden="1" customWidth="1"/>
    <col min="5" max="5" width="8" customWidth="1"/>
    <col min="6" max="6" width="3.85546875" hidden="1" customWidth="1"/>
    <col min="7" max="7" width="3.42578125" hidden="1" customWidth="1"/>
    <col min="8" max="8" width="4.28515625" hidden="1" customWidth="1"/>
    <col min="9" max="9" width="4.140625" hidden="1" customWidth="1"/>
    <col min="10" max="10" width="3.42578125" hidden="1" customWidth="1"/>
    <col min="11" max="19" width="4" hidden="1" customWidth="1"/>
    <col min="20" max="20" width="3.42578125" hidden="1" customWidth="1"/>
    <col min="21" max="24" width="4" customWidth="1"/>
    <col min="25" max="25" width="3.42578125" customWidth="1"/>
    <col min="26" max="26" width="4" customWidth="1"/>
    <col min="27" max="27" width="4.28515625" customWidth="1"/>
    <col min="28" max="32" width="4" customWidth="1"/>
    <col min="33" max="33" width="3.42578125" customWidth="1"/>
    <col min="34" max="34" width="4.140625" customWidth="1"/>
    <col min="35" max="35" width="3.42578125" customWidth="1"/>
    <col min="36" max="36" width="4.140625" customWidth="1"/>
    <col min="37" max="37" width="3.42578125" customWidth="1"/>
    <col min="38" max="39" width="4" customWidth="1"/>
    <col min="40" max="40" width="4.140625" customWidth="1"/>
    <col min="41" max="44" width="4" customWidth="1"/>
    <col min="45" max="45" width="3.42578125" customWidth="1"/>
    <col min="46" max="46" width="4" customWidth="1"/>
    <col min="47" max="48" width="3.42578125" customWidth="1"/>
    <col min="49" max="50" width="4.140625" customWidth="1"/>
    <col min="51" max="51" width="4.28515625" customWidth="1"/>
    <col min="52" max="52" width="4" customWidth="1"/>
    <col min="53" max="57" width="3.42578125" customWidth="1"/>
    <col min="58" max="61" width="4" customWidth="1"/>
    <col min="62" max="64" width="3.42578125" customWidth="1"/>
    <col min="65" max="71" width="4" customWidth="1"/>
    <col min="72" max="72" width="3.42578125" customWidth="1"/>
    <col min="73" max="73" width="4" customWidth="1"/>
    <col min="74" max="74" width="3.42578125" customWidth="1"/>
    <col min="75" max="75" width="4" customWidth="1"/>
    <col min="76" max="79" width="3.42578125" customWidth="1"/>
    <col min="80" max="81" width="4.5703125" customWidth="1"/>
    <col min="82" max="82" width="3.42578125" customWidth="1"/>
    <col min="83" max="83" width="4" customWidth="1"/>
    <col min="84" max="84" width="3.42578125" customWidth="1"/>
    <col min="85" max="86" width="4" customWidth="1"/>
    <col min="87" max="87" width="3.42578125" customWidth="1"/>
    <col min="88" max="88" width="4" customWidth="1"/>
    <col min="89" max="98" width="3.42578125" customWidth="1"/>
    <col min="99" max="100" width="4.140625" customWidth="1"/>
    <col min="101" max="103" width="4" customWidth="1"/>
    <col min="104" max="105" width="3.42578125" customWidth="1"/>
    <col min="106" max="112" width="4" customWidth="1"/>
    <col min="113" max="113" width="3.42578125" customWidth="1"/>
    <col min="114" max="117" width="4" customWidth="1"/>
    <col min="118" max="119" width="3.42578125" customWidth="1"/>
    <col min="120" max="130" width="4" customWidth="1"/>
    <col min="131" max="134" width="3.42578125" customWidth="1"/>
    <col min="135" max="139" width="4" customWidth="1"/>
    <col min="140" max="140" width="3.42578125" customWidth="1"/>
    <col min="141" max="147" width="4" customWidth="1"/>
    <col min="148" max="148" width="4.28515625" customWidth="1"/>
    <col min="149" max="149" width="3.42578125" customWidth="1"/>
    <col min="150" max="155" width="4" customWidth="1"/>
    <col min="156" max="156" width="3.42578125" customWidth="1"/>
    <col min="157" max="157" width="4" customWidth="1"/>
    <col min="158" max="158" width="4.28515625" customWidth="1"/>
    <col min="159" max="159" width="4.140625" customWidth="1"/>
    <col min="160" max="161" width="3.42578125" customWidth="1"/>
    <col min="162" max="170" width="4" customWidth="1"/>
    <col min="171" max="171" width="3.42578125" customWidth="1"/>
    <col min="172" max="181" width="4" customWidth="1"/>
    <col min="182" max="182" width="4.28515625" customWidth="1"/>
    <col min="183" max="191" width="4" customWidth="1"/>
  </cols>
  <sheetData>
    <row r="1" spans="1:191" ht="15.75" x14ac:dyDescent="0.25">
      <c r="A1" s="106"/>
      <c r="B1" s="1026" t="s">
        <v>69</v>
      </c>
      <c r="C1" s="1029" t="s">
        <v>70</v>
      </c>
      <c r="D1" s="122"/>
      <c r="E1" s="1032" t="s">
        <v>68</v>
      </c>
      <c r="F1" s="1025">
        <v>46082</v>
      </c>
      <c r="G1" s="1054"/>
      <c r="H1" s="1054"/>
      <c r="I1" s="1054"/>
      <c r="J1" s="1054"/>
      <c r="K1" s="1025">
        <v>46083</v>
      </c>
      <c r="L1" s="1054"/>
      <c r="M1" s="1054"/>
      <c r="N1" s="1054"/>
      <c r="O1" s="1054"/>
      <c r="P1" s="1025">
        <v>46084</v>
      </c>
      <c r="Q1" s="1054"/>
      <c r="R1" s="1054"/>
      <c r="S1" s="1054"/>
      <c r="T1" s="1054"/>
      <c r="U1" s="1025">
        <v>46116</v>
      </c>
      <c r="V1" s="1054"/>
      <c r="W1" s="1054"/>
      <c r="X1" s="1054"/>
      <c r="Y1" s="1054"/>
      <c r="Z1" s="1025">
        <v>46086</v>
      </c>
      <c r="AA1" s="1054"/>
      <c r="AB1" s="1054"/>
      <c r="AC1" s="1054"/>
      <c r="AD1" s="1054"/>
      <c r="AE1" s="1025">
        <v>46087</v>
      </c>
      <c r="AF1" s="1054"/>
      <c r="AG1" s="1054"/>
      <c r="AH1" s="1054"/>
      <c r="AI1" s="1054"/>
      <c r="AJ1" s="1025">
        <v>46088</v>
      </c>
      <c r="AK1" s="1054"/>
      <c r="AL1" s="1054"/>
      <c r="AM1" s="1054"/>
      <c r="AN1" s="1054"/>
      <c r="AO1" s="1025">
        <v>46089</v>
      </c>
      <c r="AP1" s="1054"/>
      <c r="AQ1" s="1054"/>
      <c r="AR1" s="1054"/>
      <c r="AS1" s="1054"/>
      <c r="AT1" s="1058">
        <v>46090</v>
      </c>
      <c r="AU1" s="1024"/>
      <c r="AV1" s="1024"/>
      <c r="AW1" s="1024"/>
      <c r="AX1" s="1024"/>
      <c r="AY1" s="1025">
        <v>46091</v>
      </c>
      <c r="AZ1" s="1054"/>
      <c r="BA1" s="1054"/>
      <c r="BB1" s="1054"/>
      <c r="BC1" s="1054"/>
      <c r="BD1" s="1054"/>
      <c r="BE1" s="1054"/>
      <c r="BF1" s="1058">
        <v>46092</v>
      </c>
      <c r="BG1" s="1024"/>
      <c r="BH1" s="1024"/>
      <c r="BI1" s="1024"/>
      <c r="BJ1" s="1024"/>
      <c r="BK1" s="1024"/>
      <c r="BL1" s="1025"/>
      <c r="BM1" s="1025">
        <v>46093</v>
      </c>
      <c r="BN1" s="1054"/>
      <c r="BO1" s="1054"/>
      <c r="BP1" s="1054"/>
      <c r="BQ1" s="1054"/>
      <c r="BR1" s="1058">
        <v>46094</v>
      </c>
      <c r="BS1" s="1024"/>
      <c r="BT1" s="1024"/>
      <c r="BU1" s="1024"/>
      <c r="BV1" s="1024"/>
      <c r="BW1" s="1024"/>
      <c r="BX1" s="1024"/>
      <c r="BY1" s="1025"/>
      <c r="BZ1" s="1053">
        <v>46095</v>
      </c>
      <c r="CA1" s="1054"/>
      <c r="CB1" s="1054"/>
      <c r="CC1" s="1054"/>
      <c r="CD1" s="1054"/>
      <c r="CE1" s="1025">
        <v>46096</v>
      </c>
      <c r="CF1" s="1054"/>
      <c r="CG1" s="1054"/>
      <c r="CH1" s="1054"/>
      <c r="CI1" s="1054"/>
      <c r="CJ1" s="1025">
        <v>46097</v>
      </c>
      <c r="CK1" s="1054"/>
      <c r="CL1" s="1054"/>
      <c r="CM1" s="1054"/>
      <c r="CN1" s="1054"/>
      <c r="CO1" s="1054"/>
      <c r="CP1" s="1054"/>
      <c r="CQ1" s="1054"/>
      <c r="CR1" s="1054"/>
      <c r="CS1" s="1054"/>
      <c r="CT1" s="1054"/>
      <c r="CU1" s="1054"/>
      <c r="CV1" s="1054"/>
      <c r="CW1" s="1025">
        <v>46099</v>
      </c>
      <c r="CX1" s="1054"/>
      <c r="CY1" s="1054"/>
      <c r="CZ1" s="1054"/>
      <c r="DA1" s="1054"/>
      <c r="DB1" s="1025">
        <v>46100</v>
      </c>
      <c r="DC1" s="1054"/>
      <c r="DD1" s="1054"/>
      <c r="DE1" s="1054"/>
      <c r="DF1" s="1054"/>
      <c r="DG1" s="1054"/>
      <c r="DH1" s="1054"/>
      <c r="DI1" s="1054"/>
      <c r="DJ1" s="1054"/>
      <c r="DK1" s="1054"/>
      <c r="DL1" s="1054"/>
      <c r="DM1" s="1054"/>
      <c r="DN1" s="1054"/>
      <c r="DO1" s="1025">
        <v>46102</v>
      </c>
      <c r="DP1" s="1054"/>
      <c r="DQ1" s="1054"/>
      <c r="DR1" s="1054"/>
      <c r="DS1" s="1054"/>
      <c r="DT1" s="1054"/>
      <c r="DU1" s="1054"/>
      <c r="DV1" s="1054"/>
      <c r="DW1" s="1054"/>
      <c r="DX1" s="1054"/>
      <c r="DY1" s="1025">
        <v>46103</v>
      </c>
      <c r="DZ1" s="1054"/>
      <c r="EA1" s="1054"/>
      <c r="EB1" s="1054"/>
      <c r="EC1" s="1054"/>
      <c r="ED1" s="1025">
        <v>46105</v>
      </c>
      <c r="EE1" s="1054"/>
      <c r="EF1" s="1054"/>
      <c r="EG1" s="1054"/>
      <c r="EH1" s="1054"/>
      <c r="EI1" s="1054"/>
      <c r="EJ1" s="1025">
        <v>46106</v>
      </c>
      <c r="EK1" s="1054"/>
      <c r="EL1" s="1054"/>
      <c r="EM1" s="1054"/>
      <c r="EN1" s="1054"/>
      <c r="EO1" s="1054"/>
      <c r="EP1" s="1054"/>
      <c r="EQ1" s="1054"/>
      <c r="ER1" s="1054"/>
      <c r="ES1" s="1054"/>
      <c r="ET1" s="1025">
        <v>46107</v>
      </c>
      <c r="EU1" s="1054"/>
      <c r="EV1" s="1054"/>
      <c r="EW1" s="1054"/>
      <c r="EX1" s="1054"/>
      <c r="EY1" s="1054"/>
      <c r="EZ1" s="1054"/>
      <c r="FA1" s="1025">
        <v>46108</v>
      </c>
      <c r="FB1" s="1054"/>
      <c r="FC1" s="1054"/>
      <c r="FD1" s="1054"/>
      <c r="FE1" s="1054"/>
      <c r="FF1" s="1025">
        <v>46109</v>
      </c>
      <c r="FG1" s="1054"/>
      <c r="FH1" s="1054"/>
      <c r="FI1" s="1054"/>
      <c r="FJ1" s="1054"/>
      <c r="FK1" s="1025">
        <v>46110</v>
      </c>
      <c r="FL1" s="1054"/>
      <c r="FM1" s="1054"/>
      <c r="FN1" s="1054"/>
      <c r="FO1" s="1054"/>
      <c r="FP1" s="1025">
        <v>46111</v>
      </c>
      <c r="FQ1" s="1054"/>
      <c r="FR1" s="1054"/>
      <c r="FS1" s="1054"/>
      <c r="FT1" s="1054"/>
      <c r="FU1" s="1025">
        <v>46112</v>
      </c>
      <c r="FV1" s="1054"/>
      <c r="FW1" s="1054"/>
      <c r="FX1" s="1054"/>
      <c r="FY1" s="1054"/>
      <c r="FZ1" s="1025">
        <v>46113</v>
      </c>
      <c r="GA1" s="1054"/>
      <c r="GB1" s="1054"/>
      <c r="GC1" s="1054"/>
      <c r="GD1" s="1054"/>
      <c r="GE1" s="1025">
        <v>46114</v>
      </c>
      <c r="GF1" s="1054"/>
      <c r="GG1" s="1054"/>
      <c r="GH1" s="1054"/>
      <c r="GI1" s="1054"/>
    </row>
    <row r="2" spans="1:191" ht="30" customHeight="1" x14ac:dyDescent="0.25">
      <c r="A2" s="107"/>
      <c r="B2" s="1027"/>
      <c r="C2" s="1030"/>
      <c r="D2" s="123"/>
      <c r="E2" s="1033"/>
      <c r="F2" s="108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108">
        <v>2413</v>
      </c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>
        <v>8018</v>
      </c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69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>
        <v>2113</v>
      </c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79"/>
      <c r="EA2" s="46"/>
      <c r="EB2" s="479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</row>
    <row r="3" spans="1:191" s="146" customFormat="1" ht="23.25" customHeight="1" x14ac:dyDescent="0.25">
      <c r="A3" s="110"/>
      <c r="B3" s="1027"/>
      <c r="C3" s="1030"/>
      <c r="D3" s="123"/>
      <c r="E3" s="1033"/>
      <c r="F3" s="144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4" t="s">
        <v>750</v>
      </c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 t="s">
        <v>749</v>
      </c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 t="s">
        <v>748</v>
      </c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145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5"/>
      <c r="EA3" s="145"/>
      <c r="EB3" s="481"/>
      <c r="EC3" s="145"/>
      <c r="ED3" s="145"/>
      <c r="EE3" s="145"/>
      <c r="EF3" s="145"/>
      <c r="EG3" s="145"/>
      <c r="EH3" s="145"/>
      <c r="EI3" s="145"/>
      <c r="EJ3" s="145"/>
      <c r="EK3" s="145"/>
      <c r="EL3" s="145"/>
      <c r="EM3" s="145"/>
      <c r="EN3" s="145"/>
      <c r="EO3" s="145"/>
      <c r="EP3" s="145"/>
      <c r="EQ3" s="145"/>
      <c r="ER3" s="145"/>
      <c r="ES3" s="145"/>
      <c r="ET3" s="145"/>
      <c r="EU3" s="145"/>
      <c r="EV3" s="145"/>
      <c r="EW3" s="145"/>
      <c r="EX3" s="145"/>
      <c r="EY3" s="145"/>
      <c r="EZ3" s="145"/>
      <c r="FA3" s="145"/>
      <c r="FB3" s="145"/>
      <c r="FC3" s="145"/>
      <c r="FD3" s="145"/>
      <c r="FE3" s="145"/>
      <c r="FF3" s="145"/>
      <c r="FG3" s="145"/>
      <c r="FI3" s="145"/>
      <c r="FJ3" s="145"/>
      <c r="FK3" s="145"/>
      <c r="FL3" s="145"/>
      <c r="FM3" s="145"/>
      <c r="FN3" s="145"/>
      <c r="FO3" s="145"/>
      <c r="FP3" s="145"/>
      <c r="FQ3" s="145"/>
      <c r="FR3" s="145"/>
      <c r="FS3" s="145"/>
      <c r="FT3" s="145"/>
      <c r="FU3" s="145"/>
      <c r="FV3" s="145"/>
      <c r="FW3" s="145"/>
      <c r="FX3" s="145"/>
      <c r="FY3" s="145"/>
      <c r="FZ3" s="145"/>
      <c r="GA3" s="145"/>
      <c r="GB3" s="145"/>
      <c r="GC3" s="145"/>
      <c r="GD3" s="145"/>
      <c r="GE3" s="145"/>
      <c r="GF3" s="145"/>
      <c r="GG3" s="145"/>
      <c r="GH3" s="145"/>
      <c r="GI3" s="145"/>
    </row>
    <row r="4" spans="1:191" ht="14.45" customHeight="1" thickBot="1" x14ac:dyDescent="0.3">
      <c r="A4" s="107" t="s">
        <v>149</v>
      </c>
      <c r="B4" s="1028"/>
      <c r="C4" s="1031"/>
      <c r="D4" s="124" t="s">
        <v>276</v>
      </c>
      <c r="E4" s="1034"/>
      <c r="F4" s="356">
        <v>1</v>
      </c>
      <c r="G4" s="10">
        <v>2</v>
      </c>
      <c r="H4" s="10">
        <v>3</v>
      </c>
      <c r="I4" s="10">
        <v>4</v>
      </c>
      <c r="J4" s="10">
        <v>5</v>
      </c>
      <c r="K4" s="10">
        <v>1</v>
      </c>
      <c r="L4" s="10">
        <v>2</v>
      </c>
      <c r="M4" s="10">
        <v>3</v>
      </c>
      <c r="N4" s="10">
        <v>4</v>
      </c>
      <c r="O4" s="10">
        <v>5</v>
      </c>
      <c r="P4" s="10">
        <v>1</v>
      </c>
      <c r="Q4" s="10">
        <v>2</v>
      </c>
      <c r="R4" s="10">
        <v>3</v>
      </c>
      <c r="S4" s="10">
        <v>4</v>
      </c>
      <c r="T4" s="10">
        <v>5</v>
      </c>
      <c r="U4" s="10">
        <v>1</v>
      </c>
      <c r="V4" s="10">
        <v>2</v>
      </c>
      <c r="W4" s="10">
        <v>3</v>
      </c>
      <c r="X4" s="10">
        <v>4</v>
      </c>
      <c r="Y4" s="10">
        <v>5</v>
      </c>
      <c r="Z4" s="10">
        <v>1</v>
      </c>
      <c r="AA4" s="10">
        <v>2</v>
      </c>
      <c r="AB4" s="10">
        <v>3</v>
      </c>
      <c r="AC4" s="10">
        <v>4</v>
      </c>
      <c r="AD4" s="10">
        <v>5</v>
      </c>
      <c r="AE4" s="10">
        <v>1</v>
      </c>
      <c r="AF4" s="10">
        <v>2</v>
      </c>
      <c r="AG4" s="10">
        <v>3</v>
      </c>
      <c r="AH4" s="10">
        <v>4</v>
      </c>
      <c r="AI4" s="10">
        <v>5</v>
      </c>
      <c r="AJ4" s="10">
        <v>1</v>
      </c>
      <c r="AK4" s="10"/>
      <c r="AL4" s="10">
        <v>3</v>
      </c>
      <c r="AM4" s="10">
        <v>4</v>
      </c>
      <c r="AN4" s="10">
        <v>5</v>
      </c>
      <c r="AO4" s="10">
        <v>1</v>
      </c>
      <c r="AP4" s="10">
        <v>2</v>
      </c>
      <c r="AQ4" s="10">
        <v>3</v>
      </c>
      <c r="AR4" s="10">
        <v>4</v>
      </c>
      <c r="AS4" s="10">
        <v>5</v>
      </c>
      <c r="AT4" s="10">
        <v>1</v>
      </c>
      <c r="AU4" s="10">
        <v>2</v>
      </c>
      <c r="AV4" s="10">
        <v>3</v>
      </c>
      <c r="AW4" s="10">
        <v>4</v>
      </c>
      <c r="AX4" s="10"/>
      <c r="AY4" s="10"/>
      <c r="AZ4" s="10">
        <v>2</v>
      </c>
      <c r="BA4" s="10">
        <v>3</v>
      </c>
      <c r="BB4" s="10">
        <v>4</v>
      </c>
      <c r="BC4" s="10"/>
      <c r="BD4" s="10"/>
      <c r="BE4" s="10">
        <v>5</v>
      </c>
      <c r="BF4" s="10">
        <v>1</v>
      </c>
      <c r="BG4" s="10">
        <v>2</v>
      </c>
      <c r="BH4" s="10">
        <v>3</v>
      </c>
      <c r="BI4" s="10">
        <v>4</v>
      </c>
      <c r="BJ4" s="10">
        <v>5</v>
      </c>
      <c r="BK4" s="10"/>
      <c r="BL4" s="10"/>
      <c r="BM4" s="10">
        <v>1</v>
      </c>
      <c r="BN4" s="10">
        <v>2</v>
      </c>
      <c r="BO4" s="10">
        <v>3</v>
      </c>
      <c r="BP4" s="10">
        <v>4</v>
      </c>
      <c r="BQ4" s="10">
        <v>5</v>
      </c>
      <c r="BR4" s="10">
        <v>1</v>
      </c>
      <c r="BS4" s="10">
        <v>2</v>
      </c>
      <c r="BT4" s="10">
        <v>3</v>
      </c>
      <c r="BU4" s="10">
        <v>4</v>
      </c>
      <c r="BV4" s="10">
        <v>5</v>
      </c>
      <c r="BW4" s="10"/>
      <c r="BX4" s="10"/>
      <c r="BY4" s="10"/>
      <c r="BZ4" s="10">
        <v>1</v>
      </c>
      <c r="CA4" s="10">
        <v>2</v>
      </c>
      <c r="CB4" s="10">
        <v>3</v>
      </c>
      <c r="CC4" s="10">
        <v>4</v>
      </c>
      <c r="CD4" s="10">
        <v>5</v>
      </c>
      <c r="CE4" s="10">
        <v>1</v>
      </c>
      <c r="CF4" s="10">
        <v>3</v>
      </c>
      <c r="CG4" s="10"/>
      <c r="CH4" s="10">
        <v>4</v>
      </c>
      <c r="CI4" s="10">
        <v>5</v>
      </c>
      <c r="CJ4" s="10">
        <v>1</v>
      </c>
      <c r="CK4" s="10">
        <v>2</v>
      </c>
      <c r="CL4" s="10"/>
      <c r="CM4" s="10"/>
      <c r="CN4" s="10"/>
      <c r="CO4" s="10"/>
      <c r="CP4" s="10"/>
      <c r="CQ4" s="10"/>
      <c r="CR4" s="10"/>
      <c r="CS4" s="10"/>
      <c r="CT4" s="10">
        <v>3</v>
      </c>
      <c r="CU4" s="10">
        <v>4</v>
      </c>
      <c r="CV4" s="10">
        <v>5</v>
      </c>
      <c r="CW4" s="10">
        <v>1</v>
      </c>
      <c r="CX4" s="10">
        <v>2</v>
      </c>
      <c r="CY4" s="10">
        <v>3</v>
      </c>
      <c r="CZ4" s="10">
        <v>4</v>
      </c>
      <c r="DA4" s="10"/>
      <c r="DB4" s="10">
        <v>1</v>
      </c>
      <c r="DC4" s="10">
        <v>2</v>
      </c>
      <c r="DD4" s="10">
        <v>3</v>
      </c>
      <c r="DE4" s="10">
        <v>4</v>
      </c>
      <c r="DF4" s="10"/>
      <c r="DG4" s="10"/>
      <c r="DH4" s="10">
        <v>5</v>
      </c>
      <c r="DI4" s="10">
        <v>2</v>
      </c>
      <c r="DJ4" s="10">
        <v>3</v>
      </c>
      <c r="DK4" s="10">
        <v>4</v>
      </c>
      <c r="DL4" s="10"/>
      <c r="DM4" s="10"/>
      <c r="DN4" s="10">
        <v>5</v>
      </c>
      <c r="DO4" s="10">
        <v>1</v>
      </c>
      <c r="DP4" s="10">
        <v>2</v>
      </c>
      <c r="DQ4" s="10">
        <v>3</v>
      </c>
      <c r="DR4" s="10">
        <v>4</v>
      </c>
      <c r="DS4" s="10"/>
      <c r="DT4" s="10"/>
      <c r="DU4" s="10"/>
      <c r="DV4" s="10"/>
      <c r="DW4" s="10"/>
      <c r="DX4" s="10">
        <v>5</v>
      </c>
      <c r="DY4" s="10">
        <v>1</v>
      </c>
      <c r="DZ4" s="480">
        <v>2</v>
      </c>
      <c r="EA4" s="10">
        <v>3</v>
      </c>
      <c r="EB4" s="10">
        <v>4</v>
      </c>
      <c r="EC4" s="10">
        <v>5</v>
      </c>
      <c r="ED4" s="10">
        <v>1</v>
      </c>
      <c r="EE4" s="10">
        <v>2</v>
      </c>
      <c r="EF4" s="10">
        <v>3</v>
      </c>
      <c r="EG4" s="10">
        <v>4</v>
      </c>
      <c r="EH4" s="10"/>
      <c r="EI4" s="10">
        <v>5</v>
      </c>
      <c r="EJ4" s="10">
        <v>1</v>
      </c>
      <c r="EK4" s="10">
        <v>2</v>
      </c>
      <c r="EL4" s="10">
        <v>3</v>
      </c>
      <c r="EM4" s="10"/>
      <c r="EN4" s="10"/>
      <c r="EO4" s="10"/>
      <c r="EP4" s="10"/>
      <c r="EQ4" s="10"/>
      <c r="ER4" s="10">
        <v>4</v>
      </c>
      <c r="ES4" s="10">
        <v>5</v>
      </c>
      <c r="ET4" s="10">
        <v>1</v>
      </c>
      <c r="EU4" s="10">
        <v>2</v>
      </c>
      <c r="EV4" s="10">
        <v>3</v>
      </c>
      <c r="EW4" s="10">
        <v>4</v>
      </c>
      <c r="EX4" s="10"/>
      <c r="EY4" s="10"/>
      <c r="EZ4" s="10">
        <v>5</v>
      </c>
      <c r="FA4" s="10">
        <v>1</v>
      </c>
      <c r="FB4" s="10">
        <v>2</v>
      </c>
      <c r="FC4" s="10">
        <v>3</v>
      </c>
      <c r="FD4" s="10">
        <v>4</v>
      </c>
      <c r="FE4" s="10">
        <v>5</v>
      </c>
      <c r="FF4" s="10">
        <v>1</v>
      </c>
      <c r="FG4" s="10">
        <v>2</v>
      </c>
      <c r="FH4" s="10">
        <v>3</v>
      </c>
      <c r="FI4" s="10">
        <v>4</v>
      </c>
      <c r="FJ4" s="10">
        <v>5</v>
      </c>
      <c r="FK4" s="10">
        <v>1</v>
      </c>
      <c r="FL4" s="10">
        <v>2</v>
      </c>
      <c r="FM4" s="10">
        <v>3</v>
      </c>
      <c r="FN4" s="10">
        <v>4</v>
      </c>
      <c r="FO4" s="10">
        <v>5</v>
      </c>
      <c r="FP4" s="10">
        <v>1</v>
      </c>
      <c r="FQ4" s="10">
        <v>2</v>
      </c>
      <c r="FR4" s="10">
        <v>3</v>
      </c>
      <c r="FS4" s="10">
        <v>4</v>
      </c>
      <c r="FT4" s="10">
        <v>5</v>
      </c>
      <c r="FU4" s="10">
        <v>1</v>
      </c>
      <c r="FV4" s="10">
        <v>2</v>
      </c>
      <c r="FW4" s="10">
        <v>3</v>
      </c>
      <c r="FX4" s="10">
        <v>4</v>
      </c>
      <c r="FY4" s="10">
        <v>5</v>
      </c>
      <c r="FZ4" s="10">
        <v>1</v>
      </c>
      <c r="GA4" s="10">
        <v>2</v>
      </c>
      <c r="GB4" s="10">
        <v>3</v>
      </c>
      <c r="GC4" s="10">
        <v>4</v>
      </c>
      <c r="GD4" s="10">
        <v>5</v>
      </c>
      <c r="GE4" s="10"/>
      <c r="GF4" s="10"/>
      <c r="GG4" s="10"/>
      <c r="GH4" s="10"/>
      <c r="GI4" s="10"/>
    </row>
    <row r="5" spans="1:191" ht="15" customHeight="1" x14ac:dyDescent="0.25">
      <c r="A5" s="341">
        <v>544254630353</v>
      </c>
      <c r="B5" s="10">
        <f t="shared" ref="B5:B36" si="0">SUM(F5:GI5)</f>
        <v>0</v>
      </c>
      <c r="C5" s="10">
        <v>0</v>
      </c>
      <c r="D5" s="10" t="b">
        <f>B5=C5</f>
        <v>1</v>
      </c>
      <c r="E5" s="10">
        <f>C5-B5</f>
        <v>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</row>
    <row r="6" spans="1:191" ht="15" customHeight="1" x14ac:dyDescent="0.25">
      <c r="A6" s="341">
        <v>544254630399</v>
      </c>
      <c r="B6" s="10">
        <f t="shared" si="0"/>
        <v>0</v>
      </c>
      <c r="C6" s="10">
        <v>0</v>
      </c>
      <c r="D6" s="10" t="b">
        <f t="shared" ref="D6:D69" si="1">B6=C6</f>
        <v>1</v>
      </c>
      <c r="E6" s="10">
        <f t="shared" ref="E6:E69" si="2">C6-B6</f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8"/>
      <c r="AB6" s="8"/>
      <c r="AC6" s="8"/>
      <c r="AD6" s="8"/>
      <c r="AE6" s="9"/>
      <c r="AF6" s="9"/>
      <c r="AG6" s="9"/>
      <c r="AH6" s="9"/>
      <c r="AI6" s="9"/>
      <c r="AJ6" s="8"/>
      <c r="AK6" s="8"/>
      <c r="AL6" s="8"/>
      <c r="AM6" s="8"/>
      <c r="AN6" s="8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9"/>
      <c r="BA6" s="9"/>
      <c r="BB6" s="9"/>
      <c r="BC6" s="9"/>
      <c r="BD6" s="9"/>
      <c r="BE6" s="9"/>
      <c r="BF6" s="9"/>
      <c r="BG6" s="8"/>
      <c r="BH6" s="8"/>
      <c r="BI6" s="9"/>
      <c r="BJ6" s="8"/>
      <c r="BK6" s="8"/>
      <c r="BL6" s="8"/>
      <c r="BM6" s="9"/>
      <c r="BN6" s="9"/>
      <c r="BO6" s="9"/>
      <c r="BP6" s="9"/>
      <c r="BQ6" s="9"/>
      <c r="BR6" s="8"/>
      <c r="BS6" s="8"/>
      <c r="BT6" s="8"/>
      <c r="BU6" s="8"/>
      <c r="BV6" s="8"/>
      <c r="BW6" s="8"/>
      <c r="BX6" s="8"/>
      <c r="BY6" s="8"/>
      <c r="BZ6" s="9"/>
      <c r="CA6" s="9"/>
      <c r="CB6" s="9"/>
      <c r="CC6" s="9"/>
      <c r="CD6" s="9"/>
      <c r="CE6" s="8"/>
      <c r="CF6" s="8"/>
      <c r="CG6" s="8"/>
      <c r="CH6" s="8"/>
      <c r="CI6" s="8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8"/>
      <c r="CX6" s="8"/>
      <c r="CY6" s="8"/>
      <c r="CZ6" s="8"/>
      <c r="DA6" s="8"/>
      <c r="DB6" s="9"/>
      <c r="DC6" s="9"/>
      <c r="DD6" s="9"/>
      <c r="DE6" s="9"/>
      <c r="DF6" s="9"/>
      <c r="DG6" s="9"/>
      <c r="DH6" s="9"/>
      <c r="DI6" s="8"/>
      <c r="DJ6" s="8"/>
      <c r="DK6" s="8"/>
      <c r="DL6" s="8"/>
      <c r="DM6" s="8"/>
      <c r="DN6" s="8"/>
      <c r="DO6" s="9"/>
      <c r="DP6" s="9"/>
      <c r="DQ6" s="9"/>
      <c r="DR6" s="9"/>
      <c r="DS6" s="9"/>
      <c r="DT6" s="9"/>
      <c r="DU6" s="9"/>
      <c r="DV6" s="9"/>
      <c r="DW6" s="9"/>
      <c r="DX6" s="9"/>
      <c r="DY6" s="8"/>
      <c r="DZ6" s="8"/>
      <c r="EA6" s="8"/>
      <c r="EB6" s="8"/>
      <c r="EC6" s="8"/>
      <c r="ED6" s="9"/>
      <c r="EE6" s="9"/>
      <c r="EF6" s="9"/>
      <c r="EG6" s="9"/>
      <c r="EH6" s="9"/>
      <c r="EI6" s="9"/>
      <c r="EJ6" s="9"/>
      <c r="EK6" s="8"/>
      <c r="EL6" s="8"/>
      <c r="EM6" s="8"/>
      <c r="EN6" s="8"/>
      <c r="EO6" s="8"/>
      <c r="EP6" s="8"/>
      <c r="EQ6" s="8"/>
      <c r="ER6" s="8"/>
      <c r="ES6" s="8"/>
      <c r="ET6" s="9"/>
      <c r="EU6" s="9"/>
      <c r="EV6" s="9"/>
      <c r="EW6" s="9"/>
      <c r="EX6" s="9"/>
      <c r="EY6" s="9"/>
      <c r="EZ6" s="9"/>
      <c r="FA6" s="9"/>
      <c r="FB6" s="8"/>
      <c r="FC6" s="8"/>
      <c r="FD6" s="8"/>
      <c r="FE6" s="8"/>
      <c r="FF6" s="9"/>
      <c r="FG6" s="9"/>
      <c r="FH6" s="9"/>
      <c r="FI6" s="9"/>
      <c r="FJ6" s="9"/>
      <c r="FK6" s="9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9"/>
      <c r="GA6" s="9"/>
      <c r="GB6" s="9"/>
      <c r="GC6" s="9"/>
      <c r="GD6" s="9"/>
      <c r="GE6" s="9"/>
      <c r="GF6" s="9"/>
      <c r="GG6" s="9"/>
      <c r="GH6" s="9"/>
      <c r="GI6" s="9"/>
    </row>
    <row r="7" spans="1:191" ht="15" customHeight="1" x14ac:dyDescent="0.25">
      <c r="A7" s="341">
        <v>544254630397</v>
      </c>
      <c r="B7" s="10">
        <f t="shared" si="0"/>
        <v>0</v>
      </c>
      <c r="C7" s="10">
        <v>0</v>
      </c>
      <c r="D7" s="10" t="b">
        <f t="shared" si="1"/>
        <v>1</v>
      </c>
      <c r="E7" s="10">
        <f t="shared" si="2"/>
        <v>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8"/>
      <c r="AB7" s="8"/>
      <c r="AC7" s="8"/>
      <c r="AD7" s="8"/>
      <c r="AE7" s="9"/>
      <c r="AF7" s="9"/>
      <c r="AG7" s="9"/>
      <c r="AH7" s="9"/>
      <c r="AI7" s="9"/>
      <c r="AJ7" s="8"/>
      <c r="AK7" s="8"/>
      <c r="AL7" s="8"/>
      <c r="AM7" s="8"/>
      <c r="AN7" s="8"/>
      <c r="AO7" s="9"/>
      <c r="AP7" s="9"/>
      <c r="AQ7" s="9"/>
      <c r="AR7" s="9"/>
      <c r="AS7" s="9"/>
      <c r="AT7" s="8"/>
      <c r="AU7" s="8"/>
      <c r="AV7" s="8"/>
      <c r="AW7" s="8"/>
      <c r="AX7" s="8"/>
      <c r="AY7" s="8"/>
      <c r="AZ7" s="9"/>
      <c r="BA7" s="9"/>
      <c r="BB7" s="9"/>
      <c r="BC7" s="9"/>
      <c r="BD7" s="9"/>
      <c r="BE7" s="9"/>
      <c r="BF7" s="9"/>
      <c r="BG7" s="8"/>
      <c r="BH7" s="8"/>
      <c r="BI7" s="8"/>
      <c r="BJ7" s="8"/>
      <c r="BK7" s="8"/>
      <c r="BL7" s="8"/>
      <c r="BM7" s="9"/>
      <c r="BN7" s="9"/>
      <c r="BO7" s="9"/>
      <c r="BP7" s="9"/>
      <c r="BQ7" s="9"/>
      <c r="BR7" s="8"/>
      <c r="BS7" s="8"/>
      <c r="BT7" s="8"/>
      <c r="BU7" s="8"/>
      <c r="BV7" s="8"/>
      <c r="BW7" s="8"/>
      <c r="BX7" s="8"/>
      <c r="BY7" s="8"/>
      <c r="BZ7" s="9"/>
      <c r="CA7" s="9"/>
      <c r="CB7" s="9"/>
      <c r="CC7" s="9"/>
      <c r="CD7" s="9"/>
      <c r="CE7" s="8"/>
      <c r="CF7" s="8"/>
      <c r="CG7" s="8"/>
      <c r="CH7" s="8"/>
      <c r="CI7" s="8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8"/>
      <c r="CX7" s="8"/>
      <c r="CY7" s="8"/>
      <c r="CZ7" s="8"/>
      <c r="DA7" s="8"/>
      <c r="DB7" s="9"/>
      <c r="DC7" s="9"/>
      <c r="DD7" s="9"/>
      <c r="DE7" s="9"/>
      <c r="DF7" s="9"/>
      <c r="DG7" s="9"/>
      <c r="DH7" s="9"/>
      <c r="DI7" s="8"/>
      <c r="DJ7" s="8"/>
      <c r="DK7" s="8"/>
      <c r="DL7" s="8"/>
      <c r="DM7" s="8"/>
      <c r="DN7" s="8"/>
      <c r="DO7" s="9"/>
      <c r="DP7" s="9"/>
      <c r="DQ7" s="9"/>
      <c r="DR7" s="9"/>
      <c r="DS7" s="9"/>
      <c r="DT7" s="9"/>
      <c r="DU7" s="9"/>
      <c r="DV7" s="9"/>
      <c r="DW7" s="9"/>
      <c r="DX7" s="9"/>
      <c r="DY7" s="8"/>
      <c r="DZ7" s="8"/>
      <c r="EA7" s="8"/>
      <c r="EB7" s="8"/>
      <c r="EC7" s="8"/>
      <c r="ED7" s="9"/>
      <c r="EE7" s="9"/>
      <c r="EF7" s="9"/>
      <c r="EG7" s="9"/>
      <c r="EH7" s="9"/>
      <c r="EI7" s="9"/>
      <c r="EJ7" s="9"/>
      <c r="EK7" s="8"/>
      <c r="EL7" s="8"/>
      <c r="EM7" s="8"/>
      <c r="EN7" s="8"/>
      <c r="EO7" s="8"/>
      <c r="EP7" s="8"/>
      <c r="EQ7" s="8"/>
      <c r="ER7" s="8"/>
      <c r="ES7" s="8"/>
      <c r="ET7" s="9"/>
      <c r="EU7" s="9"/>
      <c r="EV7" s="9"/>
      <c r="EW7" s="9"/>
      <c r="EX7" s="9"/>
      <c r="EY7" s="9"/>
      <c r="EZ7" s="9"/>
      <c r="FA7" s="9"/>
      <c r="FB7" s="8"/>
      <c r="FC7" s="8"/>
      <c r="FD7" s="8"/>
      <c r="FE7" s="8"/>
      <c r="FF7" s="9"/>
      <c r="FG7" s="9"/>
      <c r="FH7" s="9"/>
      <c r="FI7" s="9"/>
      <c r="FJ7" s="9"/>
      <c r="FK7" s="9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9"/>
      <c r="GA7" s="9"/>
      <c r="GB7" s="9"/>
      <c r="GC7" s="9"/>
      <c r="GD7" s="9"/>
      <c r="GE7" s="9"/>
      <c r="GF7" s="9"/>
      <c r="GG7" s="9"/>
      <c r="GH7" s="9"/>
      <c r="GI7" s="9"/>
    </row>
    <row r="8" spans="1:191" ht="14.25" customHeight="1" x14ac:dyDescent="0.25">
      <c r="A8" s="341">
        <v>544254630344</v>
      </c>
      <c r="B8" s="10">
        <f t="shared" si="0"/>
        <v>0</v>
      </c>
      <c r="C8" s="10">
        <v>0</v>
      </c>
      <c r="D8" s="10" t="b">
        <f t="shared" si="1"/>
        <v>1</v>
      </c>
      <c r="E8" s="10">
        <f t="shared" si="2"/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8"/>
      <c r="AB8" s="8"/>
      <c r="AC8" s="8"/>
      <c r="AD8" s="8"/>
      <c r="AE8" s="9"/>
      <c r="AF8" s="9"/>
      <c r="AG8" s="9"/>
      <c r="AH8" s="9"/>
      <c r="AI8" s="9"/>
      <c r="AJ8" s="8"/>
      <c r="AK8" s="8"/>
      <c r="AL8" s="8"/>
      <c r="AM8" s="8"/>
      <c r="AN8" s="8"/>
      <c r="AO8" s="9"/>
      <c r="AP8" s="9"/>
      <c r="AQ8" s="9"/>
      <c r="AR8" s="9"/>
      <c r="AS8" s="9"/>
      <c r="AT8" s="8"/>
      <c r="AU8" s="8"/>
      <c r="AV8" s="8"/>
      <c r="AW8" s="8"/>
      <c r="AX8" s="8"/>
      <c r="AY8" s="8"/>
      <c r="AZ8" s="9"/>
      <c r="BA8" s="9"/>
      <c r="BB8" s="9"/>
      <c r="BC8" s="9"/>
      <c r="BD8" s="9"/>
      <c r="BE8" s="9"/>
      <c r="BF8" s="9"/>
      <c r="BG8" s="8"/>
      <c r="BH8" s="8"/>
      <c r="BI8" s="8"/>
      <c r="BJ8" s="8"/>
      <c r="BK8" s="8"/>
      <c r="BL8" s="8"/>
      <c r="BM8" s="9"/>
      <c r="BN8" s="9"/>
      <c r="BO8" s="9"/>
      <c r="BP8" s="9"/>
      <c r="BQ8" s="9"/>
      <c r="BR8" s="8"/>
      <c r="BS8" s="8"/>
      <c r="BT8" s="8"/>
      <c r="BU8" s="8"/>
      <c r="BV8" s="8"/>
      <c r="BW8" s="8"/>
      <c r="BX8" s="8"/>
      <c r="BY8" s="8"/>
      <c r="BZ8" s="9"/>
      <c r="CA8" s="9"/>
      <c r="CB8" s="9"/>
      <c r="CC8" s="9"/>
      <c r="CD8" s="9"/>
      <c r="CE8" s="8"/>
      <c r="CF8" s="8"/>
      <c r="CG8" s="8"/>
      <c r="CH8" s="8"/>
      <c r="CI8" s="8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8"/>
      <c r="CX8" s="8"/>
      <c r="CY8" s="8"/>
      <c r="CZ8" s="8"/>
      <c r="DA8" s="8"/>
      <c r="DB8" s="9"/>
      <c r="DC8" s="9"/>
      <c r="DD8" s="9"/>
      <c r="DE8" s="9"/>
      <c r="DF8" s="9"/>
      <c r="DG8" s="9"/>
      <c r="DH8" s="9"/>
      <c r="DI8" s="8"/>
      <c r="DJ8" s="8"/>
      <c r="DK8" s="8"/>
      <c r="DL8" s="8"/>
      <c r="DM8" s="8"/>
      <c r="DN8" s="8"/>
      <c r="DO8" s="9"/>
      <c r="DP8" s="9"/>
      <c r="DQ8" s="9"/>
      <c r="DR8" s="9"/>
      <c r="DS8" s="9"/>
      <c r="DT8" s="9"/>
      <c r="DU8" s="9"/>
      <c r="DV8" s="9"/>
      <c r="DW8" s="9"/>
      <c r="DX8" s="9"/>
      <c r="DY8" s="8"/>
      <c r="DZ8" s="8"/>
      <c r="EA8" s="8"/>
      <c r="EB8" s="8"/>
      <c r="EC8" s="8"/>
      <c r="ED8" s="9"/>
      <c r="EE8" s="9"/>
      <c r="EF8" s="9"/>
      <c r="EG8" s="9"/>
      <c r="EH8" s="9"/>
      <c r="EI8" s="9"/>
      <c r="EJ8" s="9"/>
      <c r="EK8" s="8"/>
      <c r="EL8" s="8"/>
      <c r="EM8" s="8"/>
      <c r="EN8" s="8"/>
      <c r="EO8" s="8"/>
      <c r="EP8" s="8"/>
      <c r="EQ8" s="8"/>
      <c r="ER8" s="8"/>
      <c r="ES8" s="8"/>
      <c r="ET8" s="9"/>
      <c r="EU8" s="9"/>
      <c r="EV8" s="9"/>
      <c r="EW8" s="9"/>
      <c r="EX8" s="9"/>
      <c r="EY8" s="9"/>
      <c r="EZ8" s="9"/>
      <c r="FA8" s="9"/>
      <c r="FB8" s="8"/>
      <c r="FC8" s="8"/>
      <c r="FD8" s="8"/>
      <c r="FE8" s="8"/>
      <c r="FF8" s="9"/>
      <c r="FG8" s="9"/>
      <c r="FH8" s="9"/>
      <c r="FI8" s="9"/>
      <c r="FJ8" s="9"/>
      <c r="FK8" s="9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9"/>
      <c r="GA8" s="9"/>
      <c r="GB8" s="9"/>
      <c r="GC8" s="9"/>
      <c r="GD8" s="9"/>
      <c r="GE8" s="9"/>
      <c r="GF8" s="9"/>
      <c r="GG8" s="9"/>
      <c r="GH8" s="9"/>
      <c r="GI8" s="9"/>
    </row>
    <row r="9" spans="1:191" ht="15" customHeight="1" x14ac:dyDescent="0.25">
      <c r="A9" s="341">
        <v>544254630347</v>
      </c>
      <c r="B9" s="10">
        <f t="shared" si="0"/>
        <v>0</v>
      </c>
      <c r="C9" s="10">
        <v>0</v>
      </c>
      <c r="D9" s="10" t="b">
        <f t="shared" si="1"/>
        <v>1</v>
      </c>
      <c r="E9" s="10">
        <f t="shared" si="2"/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8"/>
      <c r="AB9" s="8"/>
      <c r="AC9" s="8"/>
      <c r="AD9" s="8"/>
      <c r="AE9" s="9"/>
      <c r="AF9" s="9"/>
      <c r="AG9" s="9"/>
      <c r="AH9" s="9"/>
      <c r="AI9" s="9"/>
      <c r="AJ9" s="8"/>
      <c r="AK9" s="8"/>
      <c r="AL9" s="8"/>
      <c r="AM9" s="8"/>
      <c r="AN9" s="8"/>
      <c r="AO9" s="9"/>
      <c r="AP9" s="9"/>
      <c r="AQ9" s="9"/>
      <c r="AR9" s="9"/>
      <c r="AS9" s="9"/>
      <c r="AT9" s="8"/>
      <c r="AU9" s="8"/>
      <c r="AV9" s="8"/>
      <c r="AW9" s="8"/>
      <c r="AX9" s="8"/>
      <c r="AY9" s="8"/>
      <c r="AZ9" s="9"/>
      <c r="BA9" s="9"/>
      <c r="BB9" s="9"/>
      <c r="BC9" s="9"/>
      <c r="BD9" s="9"/>
      <c r="BE9" s="9"/>
      <c r="BF9" s="9"/>
      <c r="BG9" s="8"/>
      <c r="BH9" s="8"/>
      <c r="BI9" s="8"/>
      <c r="BJ9" s="8"/>
      <c r="BK9" s="8"/>
      <c r="BL9" s="8"/>
      <c r="BM9" s="9"/>
      <c r="BN9" s="9"/>
      <c r="BO9" s="9"/>
      <c r="BP9" s="9"/>
      <c r="BQ9" s="9"/>
      <c r="BR9" s="8"/>
      <c r="BS9" s="8"/>
      <c r="BT9" s="8"/>
      <c r="BU9" s="8"/>
      <c r="BV9" s="8"/>
      <c r="BW9" s="8"/>
      <c r="BX9" s="8"/>
      <c r="BY9" s="8"/>
      <c r="BZ9" s="9"/>
      <c r="CA9" s="9"/>
      <c r="CB9" s="9"/>
      <c r="CC9" s="9"/>
      <c r="CD9" s="9"/>
      <c r="CE9" s="8"/>
      <c r="CF9" s="8"/>
      <c r="CG9" s="8"/>
      <c r="CH9" s="8"/>
      <c r="CI9" s="8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8"/>
      <c r="CX9" s="8"/>
      <c r="CY9" s="8"/>
      <c r="CZ9" s="8"/>
      <c r="DA9" s="8"/>
      <c r="DB9" s="9"/>
      <c r="DC9" s="9"/>
      <c r="DD9" s="9"/>
      <c r="DE9" s="9"/>
      <c r="DF9" s="9"/>
      <c r="DG9" s="9"/>
      <c r="DH9" s="9"/>
      <c r="DI9" s="8"/>
      <c r="DJ9" s="8"/>
      <c r="DK9" s="8"/>
      <c r="DL9" s="8"/>
      <c r="DM9" s="8"/>
      <c r="DN9" s="8"/>
      <c r="DO9" s="9"/>
      <c r="DP9" s="9"/>
      <c r="DQ9" s="9"/>
      <c r="DR9" s="9"/>
      <c r="DS9" s="9"/>
      <c r="DT9" s="9"/>
      <c r="DU9" s="9"/>
      <c r="DV9" s="9"/>
      <c r="DW9" s="9"/>
      <c r="DX9" s="9"/>
      <c r="DY9" s="8"/>
      <c r="DZ9" s="8"/>
      <c r="EA9" s="8"/>
      <c r="EB9" s="8"/>
      <c r="EC9" s="8"/>
      <c r="ED9" s="9"/>
      <c r="EE9" s="9"/>
      <c r="EF9" s="9"/>
      <c r="EG9" s="9"/>
      <c r="EH9" s="9"/>
      <c r="EI9" s="9"/>
      <c r="EJ9" s="9"/>
      <c r="EK9" s="8"/>
      <c r="EL9" s="8"/>
      <c r="EM9" s="8"/>
      <c r="EN9" s="8"/>
      <c r="EO9" s="8"/>
      <c r="EP9" s="8"/>
      <c r="EQ9" s="8"/>
      <c r="ER9" s="8"/>
      <c r="ES9" s="8"/>
      <c r="ET9" s="9"/>
      <c r="EU9" s="9"/>
      <c r="EV9" s="9"/>
      <c r="EW9" s="9"/>
      <c r="EX9" s="9"/>
      <c r="EY9" s="9"/>
      <c r="EZ9" s="9"/>
      <c r="FA9" s="9"/>
      <c r="FB9" s="8"/>
      <c r="FC9" s="8"/>
      <c r="FD9" s="8"/>
      <c r="FE9" s="8"/>
      <c r="FF9" s="9"/>
      <c r="FG9" s="9"/>
      <c r="FH9" s="9"/>
      <c r="FI9" s="9"/>
      <c r="FJ9" s="9"/>
      <c r="FK9" s="9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9"/>
      <c r="GA9" s="9"/>
      <c r="GB9" s="9"/>
      <c r="GC9" s="9"/>
      <c r="GD9" s="9"/>
      <c r="GE9" s="9"/>
      <c r="GF9" s="9"/>
      <c r="GG9" s="9"/>
      <c r="GH9" s="9"/>
      <c r="GI9" s="9"/>
    </row>
    <row r="10" spans="1:191" ht="15" customHeight="1" x14ac:dyDescent="0.25">
      <c r="A10" s="341">
        <v>544254630346</v>
      </c>
      <c r="B10" s="10">
        <f t="shared" si="0"/>
        <v>0</v>
      </c>
      <c r="C10" s="10">
        <v>0</v>
      </c>
      <c r="D10" s="10" t="b">
        <f t="shared" si="1"/>
        <v>1</v>
      </c>
      <c r="E10" s="10">
        <f t="shared" si="2"/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8"/>
      <c r="AB10" s="8"/>
      <c r="AC10" s="8"/>
      <c r="AD10" s="8"/>
      <c r="AE10" s="9"/>
      <c r="AF10" s="9"/>
      <c r="AG10" s="9"/>
      <c r="AH10" s="9"/>
      <c r="AI10" s="9"/>
      <c r="AJ10" s="8"/>
      <c r="AK10" s="8"/>
      <c r="AL10" s="8"/>
      <c r="AM10" s="8"/>
      <c r="AN10" s="8"/>
      <c r="AO10" s="9"/>
      <c r="AP10" s="9"/>
      <c r="AQ10" s="9"/>
      <c r="AR10" s="9"/>
      <c r="AS10" s="9"/>
      <c r="AT10" s="8"/>
      <c r="AU10" s="8"/>
      <c r="AV10" s="8"/>
      <c r="AW10" s="8"/>
      <c r="AX10" s="8"/>
      <c r="AY10" s="8"/>
      <c r="AZ10" s="9"/>
      <c r="BA10" s="9"/>
      <c r="BB10" s="9"/>
      <c r="BC10" s="9"/>
      <c r="BD10" s="9"/>
      <c r="BE10" s="9"/>
      <c r="BF10" s="9"/>
      <c r="BG10" s="8"/>
      <c r="BH10" s="8"/>
      <c r="BI10" s="8"/>
      <c r="BJ10" s="8"/>
      <c r="BK10" s="8"/>
      <c r="BL10" s="8"/>
      <c r="BM10" s="9"/>
      <c r="BN10" s="9"/>
      <c r="BO10" s="9"/>
      <c r="BP10" s="9"/>
      <c r="BQ10" s="9"/>
      <c r="BR10" s="8"/>
      <c r="BS10" s="8"/>
      <c r="BT10" s="8"/>
      <c r="BU10" s="8"/>
      <c r="BV10" s="8"/>
      <c r="BW10" s="8"/>
      <c r="BX10" s="8"/>
      <c r="BY10" s="8"/>
      <c r="BZ10" s="9"/>
      <c r="CA10" s="9"/>
      <c r="CB10" s="9"/>
      <c r="CC10" s="9"/>
      <c r="CD10" s="9"/>
      <c r="CE10" s="8"/>
      <c r="CF10" s="8"/>
      <c r="CG10" s="8"/>
      <c r="CH10" s="8"/>
      <c r="CI10" s="8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8"/>
      <c r="CX10" s="8"/>
      <c r="CY10" s="8"/>
      <c r="CZ10" s="8"/>
      <c r="DA10" s="8"/>
      <c r="DB10" s="9"/>
      <c r="DC10" s="9"/>
      <c r="DD10" s="9"/>
      <c r="DE10" s="9"/>
      <c r="DF10" s="9"/>
      <c r="DG10" s="9"/>
      <c r="DH10" s="9"/>
      <c r="DI10" s="8"/>
      <c r="DJ10" s="8"/>
      <c r="DK10" s="8"/>
      <c r="DL10" s="8"/>
      <c r="DM10" s="8"/>
      <c r="DN10" s="8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8"/>
      <c r="DZ10" s="8"/>
      <c r="EA10" s="8"/>
      <c r="EB10" s="8"/>
      <c r="EC10" s="8"/>
      <c r="ED10" s="9"/>
      <c r="EE10" s="9"/>
      <c r="EF10" s="9"/>
      <c r="EG10" s="9"/>
      <c r="EH10" s="9"/>
      <c r="EI10" s="9"/>
      <c r="EJ10" s="9"/>
      <c r="EK10" s="8"/>
      <c r="EL10" s="8"/>
      <c r="EM10" s="8"/>
      <c r="EN10" s="8"/>
      <c r="EO10" s="8"/>
      <c r="EP10" s="8"/>
      <c r="EQ10" s="8"/>
      <c r="ER10" s="8"/>
      <c r="ES10" s="8"/>
      <c r="ET10" s="9"/>
      <c r="EU10" s="9"/>
      <c r="EV10" s="9"/>
      <c r="EW10" s="9"/>
      <c r="EX10" s="9"/>
      <c r="EY10" s="9"/>
      <c r="EZ10" s="9"/>
      <c r="FA10" s="9"/>
      <c r="FB10" s="8"/>
      <c r="FC10" s="8"/>
      <c r="FD10" s="8"/>
      <c r="FE10" s="8"/>
      <c r="FF10" s="9"/>
      <c r="FG10" s="9"/>
      <c r="FH10" s="9"/>
      <c r="FI10" s="9"/>
      <c r="FJ10" s="9"/>
      <c r="FK10" s="9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9"/>
      <c r="GA10" s="9"/>
      <c r="GB10" s="9"/>
      <c r="GC10" s="9"/>
      <c r="GD10" s="9"/>
      <c r="GE10" s="9"/>
      <c r="GF10" s="9"/>
      <c r="GG10" s="9"/>
      <c r="GH10" s="9"/>
      <c r="GI10" s="9"/>
    </row>
    <row r="11" spans="1:191" ht="15" customHeight="1" x14ac:dyDescent="0.25">
      <c r="A11" s="285">
        <v>544254630157</v>
      </c>
      <c r="B11" s="10">
        <f t="shared" si="0"/>
        <v>0</v>
      </c>
      <c r="C11" s="10">
        <v>0</v>
      </c>
      <c r="D11" s="10" t="b">
        <f t="shared" si="1"/>
        <v>1</v>
      </c>
      <c r="E11" s="10">
        <f t="shared" si="2"/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8"/>
      <c r="AB11" s="8"/>
      <c r="AC11" s="8"/>
      <c r="AD11" s="8"/>
      <c r="AE11" s="9"/>
      <c r="AF11" s="9"/>
      <c r="AG11" s="9"/>
      <c r="AH11" s="9"/>
      <c r="AI11" s="9"/>
      <c r="AJ11" s="8"/>
      <c r="AK11" s="8"/>
      <c r="AL11" s="8"/>
      <c r="AM11" s="8"/>
      <c r="AN11" s="8"/>
      <c r="AO11" s="9"/>
      <c r="AP11" s="9"/>
      <c r="AQ11" s="9"/>
      <c r="AR11" s="9"/>
      <c r="AS11" s="9"/>
      <c r="AT11" s="8"/>
      <c r="AU11" s="8"/>
      <c r="AV11" s="8"/>
      <c r="AW11" s="8"/>
      <c r="AX11" s="8"/>
      <c r="AY11" s="8"/>
      <c r="AZ11" s="9"/>
      <c r="BA11" s="9"/>
      <c r="BB11" s="9"/>
      <c r="BC11" s="9"/>
      <c r="BD11" s="9"/>
      <c r="BE11" s="9"/>
      <c r="BF11" s="9"/>
      <c r="BG11" s="8"/>
      <c r="BH11" s="8"/>
      <c r="BI11" s="8"/>
      <c r="BJ11" s="8"/>
      <c r="BK11" s="8"/>
      <c r="BL11" s="8"/>
      <c r="BM11" s="9"/>
      <c r="BN11" s="9"/>
      <c r="BO11" s="9"/>
      <c r="BP11" s="9"/>
      <c r="BQ11" s="9"/>
      <c r="BR11" s="8"/>
      <c r="BS11" s="8"/>
      <c r="BT11" s="8"/>
      <c r="BU11" s="8"/>
      <c r="BV11" s="8"/>
      <c r="BW11" s="8"/>
      <c r="BX11" s="8"/>
      <c r="BY11" s="8"/>
      <c r="BZ11" s="9"/>
      <c r="CA11" s="9"/>
      <c r="CB11" s="9"/>
      <c r="CC11" s="9"/>
      <c r="CD11" s="9"/>
      <c r="CE11" s="8"/>
      <c r="CF11" s="8"/>
      <c r="CG11" s="8"/>
      <c r="CH11" s="8"/>
      <c r="CI11" s="8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8"/>
      <c r="CX11" s="8"/>
      <c r="CY11" s="8"/>
      <c r="CZ11" s="8"/>
      <c r="DA11" s="8"/>
      <c r="DB11" s="9"/>
      <c r="DC11" s="9"/>
      <c r="DD11" s="9"/>
      <c r="DE11" s="9"/>
      <c r="DF11" s="9"/>
      <c r="DG11" s="9"/>
      <c r="DH11" s="9"/>
      <c r="DI11" s="8"/>
      <c r="DJ11" s="8"/>
      <c r="DK11" s="8"/>
      <c r="DL11" s="8"/>
      <c r="DM11" s="8"/>
      <c r="DN11" s="8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8"/>
      <c r="DZ11" s="8"/>
      <c r="EA11" s="8"/>
      <c r="EB11" s="8"/>
      <c r="EC11" s="8"/>
      <c r="ED11" s="9"/>
      <c r="EE11" s="9"/>
      <c r="EF11" s="9"/>
      <c r="EG11" s="9"/>
      <c r="EH11" s="9"/>
      <c r="EI11" s="9"/>
      <c r="EJ11" s="9"/>
      <c r="EK11" s="8"/>
      <c r="EL11" s="8"/>
      <c r="EM11" s="8"/>
      <c r="EN11" s="8"/>
      <c r="EO11" s="8"/>
      <c r="EP11" s="8"/>
      <c r="EQ11" s="8"/>
      <c r="ER11" s="8"/>
      <c r="ES11" s="8"/>
      <c r="ET11" s="9"/>
      <c r="EU11" s="9"/>
      <c r="EV11" s="9"/>
      <c r="EW11" s="9"/>
      <c r="EX11" s="9"/>
      <c r="EY11" s="9"/>
      <c r="EZ11" s="9"/>
      <c r="FA11" s="9"/>
      <c r="FB11" s="8"/>
      <c r="FC11" s="8"/>
      <c r="FD11" s="8"/>
      <c r="FE11" s="8"/>
      <c r="FF11" s="9"/>
      <c r="FG11" s="9"/>
      <c r="FH11" s="9"/>
      <c r="FI11" s="9"/>
      <c r="FJ11" s="9"/>
      <c r="FK11" s="9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9"/>
      <c r="GA11" s="9"/>
      <c r="GB11" s="9"/>
      <c r="GC11" s="9"/>
      <c r="GD11" s="9"/>
      <c r="GE11" s="9"/>
      <c r="GF11" s="9"/>
      <c r="GG11" s="9"/>
      <c r="GH11" s="9"/>
      <c r="GI11" s="9"/>
    </row>
    <row r="12" spans="1:191" ht="15" customHeight="1" x14ac:dyDescent="0.25">
      <c r="A12" s="285">
        <v>544254630181</v>
      </c>
      <c r="B12" s="10">
        <f t="shared" si="0"/>
        <v>0</v>
      </c>
      <c r="C12" s="10">
        <v>0</v>
      </c>
      <c r="D12" s="10" t="b">
        <f t="shared" si="1"/>
        <v>1</v>
      </c>
      <c r="E12" s="10">
        <f t="shared" si="2"/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8"/>
      <c r="AB12" s="8"/>
      <c r="AC12" s="8"/>
      <c r="AD12" s="8"/>
      <c r="AE12" s="9"/>
      <c r="AF12" s="9"/>
      <c r="AG12" s="9"/>
      <c r="AH12" s="9"/>
      <c r="AI12" s="9"/>
      <c r="AJ12" s="8"/>
      <c r="AK12" s="8"/>
      <c r="AL12" s="8"/>
      <c r="AM12" s="8"/>
      <c r="AN12" s="8"/>
      <c r="AO12" s="9"/>
      <c r="AP12" s="9"/>
      <c r="AQ12" s="9"/>
      <c r="AR12" s="9"/>
      <c r="AS12" s="9"/>
      <c r="AT12" s="8"/>
      <c r="AU12" s="8"/>
      <c r="AV12" s="8"/>
      <c r="AW12" s="8"/>
      <c r="AX12" s="8"/>
      <c r="AY12" s="8"/>
      <c r="AZ12" s="9"/>
      <c r="BA12" s="9"/>
      <c r="BB12" s="9"/>
      <c r="BC12" s="9"/>
      <c r="BD12" s="9"/>
      <c r="BE12" s="9"/>
      <c r="BF12" s="9"/>
      <c r="BG12" s="8"/>
      <c r="BH12" s="8"/>
      <c r="BI12" s="8"/>
      <c r="BJ12" s="8"/>
      <c r="BK12" s="8"/>
      <c r="BL12" s="8"/>
      <c r="BM12" s="9"/>
      <c r="BN12" s="9"/>
      <c r="BO12" s="9"/>
      <c r="BP12" s="9"/>
      <c r="BQ12" s="9"/>
      <c r="BR12" s="8"/>
      <c r="BS12" s="8"/>
      <c r="BT12" s="8"/>
      <c r="BU12" s="8"/>
      <c r="BV12" s="8"/>
      <c r="BW12" s="8"/>
      <c r="BX12" s="8"/>
      <c r="BY12" s="8"/>
      <c r="BZ12" s="9"/>
      <c r="CA12" s="9"/>
      <c r="CB12" s="9"/>
      <c r="CC12" s="9"/>
      <c r="CD12" s="9"/>
      <c r="CE12" s="8"/>
      <c r="CF12" s="8"/>
      <c r="CG12" s="8"/>
      <c r="CH12" s="8"/>
      <c r="CI12" s="8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8"/>
      <c r="CX12" s="8"/>
      <c r="CY12" s="8"/>
      <c r="CZ12" s="8"/>
      <c r="DA12" s="8"/>
      <c r="DB12" s="9"/>
      <c r="DC12" s="9"/>
      <c r="DD12" s="9"/>
      <c r="DE12" s="9"/>
      <c r="DF12" s="9"/>
      <c r="DG12" s="9"/>
      <c r="DH12" s="9"/>
      <c r="DI12" s="8"/>
      <c r="DJ12" s="8"/>
      <c r="DK12" s="8"/>
      <c r="DL12" s="8"/>
      <c r="DM12" s="8"/>
      <c r="DN12" s="8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8"/>
      <c r="DZ12" s="8"/>
      <c r="EA12" s="8"/>
      <c r="EB12" s="8"/>
      <c r="EC12" s="8"/>
      <c r="ED12" s="9"/>
      <c r="EE12" s="9"/>
      <c r="EF12" s="9"/>
      <c r="EG12" s="9"/>
      <c r="EH12" s="9"/>
      <c r="EI12" s="9"/>
      <c r="EJ12" s="9"/>
      <c r="EK12" s="8"/>
      <c r="EL12" s="8"/>
      <c r="EM12" s="8"/>
      <c r="EN12" s="8"/>
      <c r="EO12" s="8"/>
      <c r="EP12" s="8"/>
      <c r="EQ12" s="8"/>
      <c r="ER12" s="8"/>
      <c r="ES12" s="8"/>
      <c r="ET12" s="9"/>
      <c r="EU12" s="9"/>
      <c r="EV12" s="9"/>
      <c r="EW12" s="9"/>
      <c r="EX12" s="9"/>
      <c r="EY12" s="9"/>
      <c r="EZ12" s="9"/>
      <c r="FA12" s="9"/>
      <c r="FB12" s="8"/>
      <c r="FC12" s="8"/>
      <c r="FD12" s="8"/>
      <c r="FE12" s="8"/>
      <c r="FF12" s="9"/>
      <c r="FG12" s="9"/>
      <c r="FH12" s="9"/>
      <c r="FI12" s="9"/>
      <c r="FJ12" s="9"/>
      <c r="FK12" s="9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9"/>
      <c r="GA12" s="9"/>
      <c r="GB12" s="9"/>
      <c r="GC12" s="9"/>
      <c r="GD12" s="9"/>
      <c r="GE12" s="9"/>
      <c r="GF12" s="9"/>
      <c r="GG12" s="9"/>
      <c r="GH12" s="9"/>
      <c r="GI12" s="9"/>
    </row>
    <row r="13" spans="1:191" ht="15" customHeight="1" x14ac:dyDescent="0.25">
      <c r="A13" s="285">
        <v>544254630159</v>
      </c>
      <c r="B13" s="10">
        <f t="shared" si="0"/>
        <v>0</v>
      </c>
      <c r="C13" s="10">
        <v>0</v>
      </c>
      <c r="D13" s="10" t="b">
        <f t="shared" si="1"/>
        <v>1</v>
      </c>
      <c r="E13" s="10">
        <f t="shared" si="2"/>
        <v>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8"/>
      <c r="AB13" s="8"/>
      <c r="AC13" s="8"/>
      <c r="AD13" s="8"/>
      <c r="AE13" s="9"/>
      <c r="AF13" s="9"/>
      <c r="AG13" s="9"/>
      <c r="AH13" s="9"/>
      <c r="AI13" s="9"/>
      <c r="AJ13" s="8"/>
      <c r="AK13" s="8"/>
      <c r="AL13" s="8"/>
      <c r="AM13" s="8"/>
      <c r="AN13" s="8"/>
      <c r="AO13" s="9"/>
      <c r="AP13" s="9"/>
      <c r="AQ13" s="9"/>
      <c r="AR13" s="9"/>
      <c r="AS13" s="9"/>
      <c r="AT13" s="8"/>
      <c r="AU13" s="8"/>
      <c r="AV13" s="8"/>
      <c r="AW13" s="8"/>
      <c r="AX13" s="8"/>
      <c r="AY13" s="8"/>
      <c r="AZ13" s="9"/>
      <c r="BA13" s="9"/>
      <c r="BB13" s="9"/>
      <c r="BC13" s="9"/>
      <c r="BD13" s="9"/>
      <c r="BE13" s="9"/>
      <c r="BF13" s="9"/>
      <c r="BG13" s="8"/>
      <c r="BH13" s="8"/>
      <c r="BI13" s="8"/>
      <c r="BJ13" s="8"/>
      <c r="BK13" s="8"/>
      <c r="BL13" s="8"/>
      <c r="BM13" s="9"/>
      <c r="BN13" s="9"/>
      <c r="BO13" s="9"/>
      <c r="BP13" s="9"/>
      <c r="BQ13" s="9"/>
      <c r="BR13" s="8"/>
      <c r="BS13" s="8"/>
      <c r="BT13" s="8"/>
      <c r="BU13" s="8"/>
      <c r="BV13" s="8"/>
      <c r="BW13" s="8"/>
      <c r="BX13" s="8"/>
      <c r="BY13" s="8"/>
      <c r="BZ13" s="9"/>
      <c r="CA13" s="9"/>
      <c r="CB13" s="9"/>
      <c r="CC13" s="9"/>
      <c r="CD13" s="9"/>
      <c r="CE13" s="8"/>
      <c r="CF13" s="8"/>
      <c r="CG13" s="8"/>
      <c r="CH13" s="8"/>
      <c r="CI13" s="8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8"/>
      <c r="CX13" s="8"/>
      <c r="CY13" s="8"/>
      <c r="CZ13" s="8"/>
      <c r="DA13" s="8"/>
      <c r="DB13" s="9"/>
      <c r="DC13" s="9"/>
      <c r="DD13" s="9"/>
      <c r="DE13" s="9"/>
      <c r="DF13" s="9"/>
      <c r="DG13" s="9"/>
      <c r="DH13" s="9"/>
      <c r="DI13" s="8"/>
      <c r="DJ13" s="8"/>
      <c r="DK13" s="8"/>
      <c r="DL13" s="8"/>
      <c r="DM13" s="8"/>
      <c r="DN13" s="8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8"/>
      <c r="DZ13" s="8"/>
      <c r="EA13" s="8"/>
      <c r="EB13" s="8"/>
      <c r="EC13" s="8"/>
      <c r="ED13" s="9"/>
      <c r="EE13" s="9"/>
      <c r="EF13" s="9"/>
      <c r="EG13" s="9"/>
      <c r="EH13" s="9"/>
      <c r="EI13" s="9"/>
      <c r="EJ13" s="9"/>
      <c r="EK13" s="8"/>
      <c r="EL13" s="8"/>
      <c r="EM13" s="8"/>
      <c r="EN13" s="8"/>
      <c r="EO13" s="8"/>
      <c r="EP13" s="8"/>
      <c r="EQ13" s="8"/>
      <c r="ER13" s="8"/>
      <c r="ES13" s="8"/>
      <c r="ET13" s="9"/>
      <c r="EU13" s="9"/>
      <c r="EV13" s="9"/>
      <c r="EW13" s="9"/>
      <c r="EX13" s="9"/>
      <c r="EY13" s="9"/>
      <c r="EZ13" s="9"/>
      <c r="FA13" s="9"/>
      <c r="FB13" s="8"/>
      <c r="FC13" s="8"/>
      <c r="FD13" s="8"/>
      <c r="FE13" s="8"/>
      <c r="FF13" s="9"/>
      <c r="FG13" s="9"/>
      <c r="FH13" s="9"/>
      <c r="FI13" s="9"/>
      <c r="FJ13" s="9"/>
      <c r="FK13" s="9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9"/>
      <c r="GA13" s="9"/>
      <c r="GB13" s="9"/>
      <c r="GC13" s="9"/>
      <c r="GD13" s="9"/>
      <c r="GE13" s="9"/>
      <c r="GF13" s="9"/>
      <c r="GG13" s="9"/>
      <c r="GH13" s="9"/>
      <c r="GI13" s="9"/>
    </row>
    <row r="14" spans="1:191" ht="15" customHeight="1" x14ac:dyDescent="0.25">
      <c r="A14" s="285">
        <v>544254630186</v>
      </c>
      <c r="B14" s="10">
        <f t="shared" si="0"/>
        <v>0</v>
      </c>
      <c r="C14" s="10">
        <v>0</v>
      </c>
      <c r="D14" s="10" t="b">
        <f t="shared" si="1"/>
        <v>1</v>
      </c>
      <c r="E14" s="10">
        <f t="shared" si="2"/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8"/>
      <c r="AB14" s="8"/>
      <c r="AC14" s="8"/>
      <c r="AD14" s="8"/>
      <c r="AE14" s="9"/>
      <c r="AF14" s="9"/>
      <c r="AG14" s="9"/>
      <c r="AH14" s="9"/>
      <c r="AI14" s="9"/>
      <c r="AJ14" s="8"/>
      <c r="AK14" s="8"/>
      <c r="AL14" s="8"/>
      <c r="AM14" s="8"/>
      <c r="AN14" s="8"/>
      <c r="AO14" s="9"/>
      <c r="AP14" s="9"/>
      <c r="AQ14" s="9"/>
      <c r="AR14" s="9"/>
      <c r="AS14" s="9"/>
      <c r="AT14" s="8"/>
      <c r="AU14" s="8"/>
      <c r="AV14" s="8"/>
      <c r="AW14" s="8"/>
      <c r="AX14" s="8"/>
      <c r="AY14" s="8"/>
      <c r="AZ14" s="9"/>
      <c r="BA14" s="9"/>
      <c r="BB14" s="9"/>
      <c r="BC14" s="9"/>
      <c r="BD14" s="9"/>
      <c r="BE14" s="9"/>
      <c r="BF14" s="9"/>
      <c r="BG14" s="8"/>
      <c r="BH14" s="8"/>
      <c r="BI14" s="8"/>
      <c r="BJ14" s="8"/>
      <c r="BK14" s="8"/>
      <c r="BL14" s="8"/>
      <c r="BM14" s="9"/>
      <c r="BN14" s="9"/>
      <c r="BO14" s="9"/>
      <c r="BP14" s="9"/>
      <c r="BQ14" s="9"/>
      <c r="BR14" s="8"/>
      <c r="BS14" s="8"/>
      <c r="BT14" s="8"/>
      <c r="BU14" s="8"/>
      <c r="BV14" s="8"/>
      <c r="BW14" s="8"/>
      <c r="BX14" s="8"/>
      <c r="BY14" s="8"/>
      <c r="BZ14" s="9"/>
      <c r="CA14" s="9"/>
      <c r="CB14" s="9"/>
      <c r="CC14" s="9"/>
      <c r="CD14" s="9"/>
      <c r="CE14" s="8"/>
      <c r="CF14" s="8"/>
      <c r="CG14" s="8"/>
      <c r="CH14" s="8"/>
      <c r="CI14" s="8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8"/>
      <c r="CX14" s="8"/>
      <c r="CY14" s="8"/>
      <c r="CZ14" s="8"/>
      <c r="DA14" s="8"/>
      <c r="DB14" s="9"/>
      <c r="DC14" s="9"/>
      <c r="DD14" s="9"/>
      <c r="DE14" s="9"/>
      <c r="DF14" s="9"/>
      <c r="DG14" s="9"/>
      <c r="DH14" s="9"/>
      <c r="DI14" s="8"/>
      <c r="DJ14" s="8"/>
      <c r="DK14" s="8"/>
      <c r="DL14" s="8"/>
      <c r="DM14" s="8"/>
      <c r="DN14" s="8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8"/>
      <c r="DZ14" s="8"/>
      <c r="EA14" s="8"/>
      <c r="EB14" s="8"/>
      <c r="EC14" s="8"/>
      <c r="ED14" s="9"/>
      <c r="EE14" s="9"/>
      <c r="EF14" s="9"/>
      <c r="EG14" s="9"/>
      <c r="EH14" s="9"/>
      <c r="EI14" s="9"/>
      <c r="EJ14" s="9"/>
      <c r="EK14" s="8"/>
      <c r="EL14" s="8"/>
      <c r="EM14" s="8"/>
      <c r="EN14" s="8"/>
      <c r="EO14" s="8"/>
      <c r="EP14" s="8"/>
      <c r="EQ14" s="8"/>
      <c r="ER14" s="8"/>
      <c r="ES14" s="8"/>
      <c r="ET14" s="9"/>
      <c r="EU14" s="9"/>
      <c r="EV14" s="9"/>
      <c r="EW14" s="9"/>
      <c r="EX14" s="9"/>
      <c r="EY14" s="9"/>
      <c r="EZ14" s="9"/>
      <c r="FA14" s="9"/>
      <c r="FB14" s="8"/>
      <c r="FC14" s="8"/>
      <c r="FD14" s="8"/>
      <c r="FE14" s="8"/>
      <c r="FF14" s="9"/>
      <c r="FG14" s="9"/>
      <c r="FH14" s="9"/>
      <c r="FI14" s="9"/>
      <c r="FJ14" s="9"/>
      <c r="FK14" s="9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9"/>
      <c r="GA14" s="9"/>
      <c r="GB14" s="9"/>
      <c r="GC14" s="9"/>
      <c r="GD14" s="9"/>
      <c r="GE14" s="9"/>
      <c r="GF14" s="9"/>
      <c r="GG14" s="9"/>
      <c r="GH14" s="9"/>
      <c r="GI14" s="9"/>
    </row>
    <row r="15" spans="1:191" ht="15" customHeight="1" x14ac:dyDescent="0.25">
      <c r="A15" s="285">
        <v>544254630161</v>
      </c>
      <c r="B15" s="10">
        <f t="shared" si="0"/>
        <v>0</v>
      </c>
      <c r="C15" s="10">
        <v>0</v>
      </c>
      <c r="D15" s="10" t="b">
        <f t="shared" si="1"/>
        <v>1</v>
      </c>
      <c r="E15" s="10">
        <f t="shared" si="2"/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</row>
    <row r="16" spans="1:191" ht="15" customHeight="1" x14ac:dyDescent="0.25">
      <c r="A16" s="285">
        <v>544254630185</v>
      </c>
      <c r="B16" s="10">
        <f t="shared" si="0"/>
        <v>0</v>
      </c>
      <c r="C16" s="10">
        <v>0</v>
      </c>
      <c r="D16" s="10" t="b">
        <f t="shared" si="1"/>
        <v>1</v>
      </c>
      <c r="E16" s="10">
        <f t="shared" si="2"/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8"/>
      <c r="AB16" s="8"/>
      <c r="AC16" s="8"/>
      <c r="AD16" s="8"/>
      <c r="AE16" s="9"/>
      <c r="AF16" s="9"/>
      <c r="AG16" s="9"/>
      <c r="AH16" s="9"/>
      <c r="AI16" s="9"/>
      <c r="AJ16" s="8"/>
      <c r="AK16" s="8"/>
      <c r="AL16" s="8"/>
      <c r="AM16" s="8"/>
      <c r="AN16" s="8"/>
      <c r="AO16" s="9"/>
      <c r="AP16" s="9"/>
      <c r="AQ16" s="9"/>
      <c r="AR16" s="9"/>
      <c r="AS16" s="9"/>
      <c r="AT16" s="8"/>
      <c r="AU16" s="8"/>
      <c r="AV16" s="8"/>
      <c r="AW16" s="8"/>
      <c r="AX16" s="8"/>
      <c r="AY16" s="8"/>
      <c r="AZ16" s="9"/>
      <c r="BA16" s="9"/>
      <c r="BB16" s="9"/>
      <c r="BC16" s="9"/>
      <c r="BD16" s="9"/>
      <c r="BE16" s="9"/>
      <c r="BF16" s="9"/>
      <c r="BG16" s="8"/>
      <c r="BH16" s="8"/>
      <c r="BI16" s="8"/>
      <c r="BJ16" s="8"/>
      <c r="BK16" s="8"/>
      <c r="BL16" s="8"/>
      <c r="BM16" s="9"/>
      <c r="BN16" s="9"/>
      <c r="BO16" s="9"/>
      <c r="BP16" s="9"/>
      <c r="BQ16" s="9"/>
      <c r="BR16" s="8"/>
      <c r="BS16" s="8"/>
      <c r="BT16" s="8"/>
      <c r="BU16" s="8"/>
      <c r="BV16" s="8"/>
      <c r="BW16" s="8"/>
      <c r="BX16" s="8"/>
      <c r="BY16" s="8"/>
      <c r="BZ16" s="9"/>
      <c r="CA16" s="9"/>
      <c r="CB16" s="9"/>
      <c r="CC16" s="9"/>
      <c r="CD16" s="9"/>
      <c r="CE16" s="8"/>
      <c r="CF16" s="8"/>
      <c r="CG16" s="8"/>
      <c r="CH16" s="8"/>
      <c r="CI16" s="8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8"/>
      <c r="CX16" s="8"/>
      <c r="CY16" s="8"/>
      <c r="CZ16" s="8"/>
      <c r="DA16" s="8"/>
      <c r="DB16" s="9"/>
      <c r="DC16" s="9"/>
      <c r="DD16" s="9"/>
      <c r="DE16" s="9"/>
      <c r="DF16" s="9"/>
      <c r="DG16" s="9"/>
      <c r="DH16" s="9"/>
      <c r="DI16" s="8"/>
      <c r="DJ16" s="8"/>
      <c r="DK16" s="8"/>
      <c r="DL16" s="8"/>
      <c r="DM16" s="8"/>
      <c r="DN16" s="8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8"/>
      <c r="DZ16" s="8"/>
      <c r="EA16" s="8"/>
      <c r="EB16" s="8"/>
      <c r="EC16" s="8"/>
      <c r="ED16" s="9"/>
      <c r="EE16" s="9"/>
      <c r="EF16" s="9"/>
      <c r="EG16" s="9"/>
      <c r="EH16" s="9"/>
      <c r="EI16" s="9"/>
      <c r="EJ16" s="9"/>
      <c r="EK16" s="8"/>
      <c r="EL16" s="8"/>
      <c r="EM16" s="8"/>
      <c r="EN16" s="8"/>
      <c r="EO16" s="8"/>
      <c r="EP16" s="8"/>
      <c r="EQ16" s="8"/>
      <c r="ER16" s="8"/>
      <c r="ES16" s="8"/>
      <c r="ET16" s="9"/>
      <c r="EU16" s="9"/>
      <c r="EV16" s="9"/>
      <c r="EW16" s="9"/>
      <c r="EX16" s="9"/>
      <c r="EY16" s="9"/>
      <c r="EZ16" s="9"/>
      <c r="FA16" s="9"/>
      <c r="FB16" s="8"/>
      <c r="FC16" s="8"/>
      <c r="FD16" s="8"/>
      <c r="FE16" s="8"/>
      <c r="FF16" s="9"/>
      <c r="FG16" s="9"/>
      <c r="FH16" s="9"/>
      <c r="FI16" s="9"/>
      <c r="FJ16" s="9"/>
      <c r="FK16" s="9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9"/>
      <c r="GA16" s="9"/>
      <c r="GB16" s="9"/>
      <c r="GC16" s="9"/>
      <c r="GD16" s="9"/>
      <c r="GE16" s="9"/>
      <c r="GF16" s="9"/>
      <c r="GG16" s="9"/>
      <c r="GH16" s="9"/>
      <c r="GI16" s="9"/>
    </row>
    <row r="17" spans="1:191" ht="15" customHeight="1" x14ac:dyDescent="0.25">
      <c r="A17" s="285">
        <v>544254630266</v>
      </c>
      <c r="B17" s="10">
        <f t="shared" si="0"/>
        <v>0</v>
      </c>
      <c r="C17" s="10">
        <v>0</v>
      </c>
      <c r="D17" s="10" t="b">
        <f t="shared" si="1"/>
        <v>1</v>
      </c>
      <c r="E17" s="10">
        <f t="shared" si="2"/>
        <v>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8"/>
      <c r="AB17" s="8"/>
      <c r="AC17" s="8"/>
      <c r="AD17" s="8"/>
      <c r="AE17" s="9"/>
      <c r="AF17" s="9"/>
      <c r="AG17" s="9"/>
      <c r="AH17" s="9"/>
      <c r="AI17" s="9"/>
      <c r="AJ17" s="8"/>
      <c r="AK17" s="8"/>
      <c r="AL17" s="8"/>
      <c r="AM17" s="8"/>
      <c r="AN17" s="8"/>
      <c r="AO17" s="9"/>
      <c r="AP17" s="9"/>
      <c r="AQ17" s="9"/>
      <c r="AR17" s="9"/>
      <c r="AS17" s="9"/>
      <c r="AT17" s="8"/>
      <c r="AU17" s="8"/>
      <c r="AV17" s="8"/>
      <c r="AW17" s="8"/>
      <c r="AX17" s="8"/>
      <c r="AY17" s="8"/>
      <c r="AZ17" s="9"/>
      <c r="BA17" s="9"/>
      <c r="BB17" s="9"/>
      <c r="BC17" s="9"/>
      <c r="BD17" s="9"/>
      <c r="BE17" s="9"/>
      <c r="BF17" s="9"/>
      <c r="BG17" s="8"/>
      <c r="BH17" s="8"/>
      <c r="BI17" s="8"/>
      <c r="BJ17" s="8"/>
      <c r="BK17" s="8"/>
      <c r="BL17" s="8"/>
      <c r="BM17" s="9"/>
      <c r="BN17" s="9"/>
      <c r="BO17" s="9"/>
      <c r="BP17" s="9"/>
      <c r="BQ17" s="9"/>
      <c r="BR17" s="8"/>
      <c r="BS17" s="8"/>
      <c r="BT17" s="8"/>
      <c r="BU17" s="8"/>
      <c r="BV17" s="8"/>
      <c r="BW17" s="8"/>
      <c r="BX17" s="8"/>
      <c r="BY17" s="8"/>
      <c r="BZ17" s="9"/>
      <c r="CA17" s="9"/>
      <c r="CB17" s="9"/>
      <c r="CC17" s="9"/>
      <c r="CD17" s="9"/>
      <c r="CE17" s="8"/>
      <c r="CF17" s="8"/>
      <c r="CG17" s="8"/>
      <c r="CH17" s="8"/>
      <c r="CI17" s="8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8"/>
      <c r="CX17" s="8"/>
      <c r="CY17" s="8"/>
      <c r="CZ17" s="8"/>
      <c r="DA17" s="8"/>
      <c r="DB17" s="9"/>
      <c r="DC17" s="9"/>
      <c r="DD17" s="9"/>
      <c r="DE17" s="9"/>
      <c r="DF17" s="9"/>
      <c r="DG17" s="9"/>
      <c r="DH17" s="9"/>
      <c r="DI17" s="8"/>
      <c r="DJ17" s="8"/>
      <c r="DK17" s="8"/>
      <c r="DL17" s="8"/>
      <c r="DM17" s="8"/>
      <c r="DN17" s="8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8"/>
      <c r="DZ17" s="8"/>
      <c r="EA17" s="8"/>
      <c r="EB17" s="8"/>
      <c r="EC17" s="8"/>
      <c r="ED17" s="9"/>
      <c r="EE17" s="9"/>
      <c r="EF17" s="9"/>
      <c r="EG17" s="9"/>
      <c r="EH17" s="9"/>
      <c r="EI17" s="9"/>
      <c r="EJ17" s="9"/>
      <c r="EK17" s="8"/>
      <c r="EL17" s="8"/>
      <c r="EM17" s="8"/>
      <c r="EN17" s="8"/>
      <c r="EO17" s="8"/>
      <c r="EP17" s="8"/>
      <c r="EQ17" s="8"/>
      <c r="ER17" s="8"/>
      <c r="ES17" s="8"/>
      <c r="ET17" s="9"/>
      <c r="EU17" s="9"/>
      <c r="EV17" s="9"/>
      <c r="EW17" s="9"/>
      <c r="EX17" s="9"/>
      <c r="EY17" s="9"/>
      <c r="EZ17" s="9"/>
      <c r="FA17" s="9"/>
      <c r="FB17" s="8"/>
      <c r="FC17" s="8"/>
      <c r="FD17" s="8"/>
      <c r="FE17" s="8"/>
      <c r="FF17" s="9"/>
      <c r="FG17" s="9"/>
      <c r="FH17" s="9"/>
      <c r="FI17" s="9"/>
      <c r="FJ17" s="9"/>
      <c r="FK17" s="9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9"/>
      <c r="GA17" s="9"/>
      <c r="GB17" s="9"/>
      <c r="GC17" s="9"/>
      <c r="GD17" s="9"/>
      <c r="GE17" s="9"/>
      <c r="GF17" s="9"/>
      <c r="GG17" s="9"/>
      <c r="GH17" s="9"/>
      <c r="GI17" s="9"/>
    </row>
    <row r="18" spans="1:191" ht="15" customHeight="1" x14ac:dyDescent="0.25">
      <c r="A18" s="285">
        <v>544254630163</v>
      </c>
      <c r="B18" s="10">
        <f t="shared" si="0"/>
        <v>0</v>
      </c>
      <c r="C18" s="10">
        <v>0</v>
      </c>
      <c r="D18" s="10" t="b">
        <f t="shared" si="1"/>
        <v>1</v>
      </c>
      <c r="E18" s="10">
        <f t="shared" si="2"/>
        <v>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8"/>
      <c r="AB18" s="8"/>
      <c r="AC18" s="8"/>
      <c r="AD18" s="8"/>
      <c r="AE18" s="9"/>
      <c r="AF18" s="9"/>
      <c r="AG18" s="9"/>
      <c r="AH18" s="9"/>
      <c r="AI18" s="9"/>
      <c r="AJ18" s="8"/>
      <c r="AK18" s="8"/>
      <c r="AL18" s="8"/>
      <c r="AM18" s="8"/>
      <c r="AN18" s="8"/>
      <c r="AO18" s="9"/>
      <c r="AP18" s="9"/>
      <c r="AQ18" s="9"/>
      <c r="AR18" s="9"/>
      <c r="AS18" s="9"/>
      <c r="AT18" s="8"/>
      <c r="AU18" s="8"/>
      <c r="AV18" s="8"/>
      <c r="AW18" s="8"/>
      <c r="AX18" s="8"/>
      <c r="AY18" s="8"/>
      <c r="AZ18" s="9"/>
      <c r="BA18" s="9"/>
      <c r="BB18" s="9"/>
      <c r="BC18" s="9"/>
      <c r="BD18" s="9"/>
      <c r="BE18" s="9"/>
      <c r="BF18" s="9"/>
      <c r="BG18" s="8"/>
      <c r="BH18" s="8"/>
      <c r="BI18" s="8"/>
      <c r="BJ18" s="8"/>
      <c r="BK18" s="8"/>
      <c r="BL18" s="8"/>
      <c r="BM18" s="9"/>
      <c r="BN18" s="9"/>
      <c r="BO18" s="9"/>
      <c r="BP18" s="9"/>
      <c r="BQ18" s="9"/>
      <c r="BR18" s="8"/>
      <c r="BS18" s="8"/>
      <c r="BT18" s="8"/>
      <c r="BU18" s="8"/>
      <c r="BV18" s="8"/>
      <c r="BW18" s="8"/>
      <c r="BX18" s="8"/>
      <c r="BY18" s="8"/>
      <c r="BZ18" s="9"/>
      <c r="CA18" s="9"/>
      <c r="CB18" s="9"/>
      <c r="CC18" s="9"/>
      <c r="CD18" s="9"/>
      <c r="CE18" s="8"/>
      <c r="CF18" s="8"/>
      <c r="CG18" s="8"/>
      <c r="CH18" s="8"/>
      <c r="CI18" s="8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8"/>
      <c r="CX18" s="8"/>
      <c r="CY18" s="8"/>
      <c r="CZ18" s="8"/>
      <c r="DA18" s="8"/>
      <c r="DB18" s="9"/>
      <c r="DC18" s="9"/>
      <c r="DD18" s="9"/>
      <c r="DE18" s="9"/>
      <c r="DF18" s="9"/>
      <c r="DG18" s="9"/>
      <c r="DH18" s="9"/>
      <c r="DI18" s="8"/>
      <c r="DJ18" s="8"/>
      <c r="DK18" s="8"/>
      <c r="DL18" s="8"/>
      <c r="DM18" s="8"/>
      <c r="DN18" s="8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8"/>
      <c r="DZ18" s="8"/>
      <c r="EA18" s="8"/>
      <c r="EB18" s="8"/>
      <c r="EC18" s="8"/>
      <c r="ED18" s="9"/>
      <c r="EE18" s="9"/>
      <c r="EF18" s="9"/>
      <c r="EG18" s="9"/>
      <c r="EH18" s="9"/>
      <c r="EI18" s="9"/>
      <c r="EJ18" s="9"/>
      <c r="EK18" s="8"/>
      <c r="EL18" s="8"/>
      <c r="EM18" s="8"/>
      <c r="EN18" s="8"/>
      <c r="EO18" s="8"/>
      <c r="EP18" s="8"/>
      <c r="EQ18" s="8"/>
      <c r="ER18" s="8"/>
      <c r="ES18" s="8"/>
      <c r="ET18" s="9"/>
      <c r="EU18" s="9"/>
      <c r="EV18" s="9"/>
      <c r="EW18" s="9"/>
      <c r="EX18" s="9"/>
      <c r="EY18" s="9"/>
      <c r="EZ18" s="9"/>
      <c r="FA18" s="9"/>
      <c r="FB18" s="8"/>
      <c r="FC18" s="8"/>
      <c r="FD18" s="8"/>
      <c r="FE18" s="8"/>
      <c r="FF18" s="9"/>
      <c r="FG18" s="9"/>
      <c r="FH18" s="9"/>
      <c r="FI18" s="9"/>
      <c r="FJ18" s="9"/>
      <c r="FK18" s="9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9"/>
      <c r="GA18" s="9"/>
      <c r="GB18" s="9"/>
      <c r="GC18" s="9"/>
      <c r="GD18" s="9"/>
      <c r="GE18" s="9"/>
      <c r="GF18" s="9"/>
      <c r="GG18" s="9"/>
      <c r="GH18" s="9"/>
      <c r="GI18" s="9"/>
    </row>
    <row r="19" spans="1:191" ht="15" customHeight="1" x14ac:dyDescent="0.25">
      <c r="A19" s="285">
        <v>544254630258</v>
      </c>
      <c r="B19" s="10">
        <f t="shared" si="0"/>
        <v>0</v>
      </c>
      <c r="C19" s="10">
        <v>0</v>
      </c>
      <c r="D19" s="10" t="b">
        <f t="shared" si="1"/>
        <v>1</v>
      </c>
      <c r="E19" s="10">
        <f t="shared" si="2"/>
        <v>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8"/>
      <c r="AB19" s="8"/>
      <c r="AC19" s="8"/>
      <c r="AD19" s="8"/>
      <c r="AE19" s="9"/>
      <c r="AF19" s="9"/>
      <c r="AG19" s="9"/>
      <c r="AH19" s="9"/>
      <c r="AI19" s="9"/>
      <c r="AJ19" s="8"/>
      <c r="AK19" s="8"/>
      <c r="AL19" s="8"/>
      <c r="AM19" s="8"/>
      <c r="AN19" s="8"/>
      <c r="AO19" s="9"/>
      <c r="AP19" s="9"/>
      <c r="AQ19" s="9"/>
      <c r="AR19" s="9"/>
      <c r="AS19" s="9"/>
      <c r="AT19" s="8"/>
      <c r="AU19" s="8"/>
      <c r="AV19" s="8"/>
      <c r="AW19" s="8"/>
      <c r="AX19" s="8"/>
      <c r="AY19" s="8"/>
      <c r="AZ19" s="9"/>
      <c r="BA19" s="9"/>
      <c r="BB19" s="9"/>
      <c r="BC19" s="9"/>
      <c r="BD19" s="9"/>
      <c r="BE19" s="9"/>
      <c r="BF19" s="9"/>
      <c r="BG19" s="8"/>
      <c r="BH19" s="8"/>
      <c r="BI19" s="8"/>
      <c r="BJ19" s="8"/>
      <c r="BK19" s="8"/>
      <c r="BL19" s="8"/>
      <c r="BM19" s="9"/>
      <c r="BN19" s="9"/>
      <c r="BO19" s="9"/>
      <c r="BP19" s="9"/>
      <c r="BQ19" s="9"/>
      <c r="BR19" s="8"/>
      <c r="BS19" s="8"/>
      <c r="BT19" s="8"/>
      <c r="BU19" s="8"/>
      <c r="BV19" s="8"/>
      <c r="BW19" s="8"/>
      <c r="BX19" s="8"/>
      <c r="BY19" s="8"/>
      <c r="BZ19" s="9"/>
      <c r="CA19" s="9"/>
      <c r="CB19" s="9"/>
      <c r="CC19" s="9"/>
      <c r="CD19" s="9"/>
      <c r="CE19" s="8"/>
      <c r="CF19" s="8"/>
      <c r="CG19" s="8"/>
      <c r="CH19" s="8"/>
      <c r="CI19" s="8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8"/>
      <c r="CX19" s="8"/>
      <c r="CY19" s="8"/>
      <c r="CZ19" s="8"/>
      <c r="DA19" s="8"/>
      <c r="DB19" s="9"/>
      <c r="DC19" s="9"/>
      <c r="DD19" s="9"/>
      <c r="DE19" s="9"/>
      <c r="DF19" s="9"/>
      <c r="DG19" s="9"/>
      <c r="DH19" s="9"/>
      <c r="DI19" s="8"/>
      <c r="DJ19" s="8"/>
      <c r="DK19" s="8"/>
      <c r="DL19" s="8"/>
      <c r="DM19" s="8"/>
      <c r="DN19" s="8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8"/>
      <c r="DZ19" s="8"/>
      <c r="EA19" s="8"/>
      <c r="EB19" s="8"/>
      <c r="EC19" s="8"/>
      <c r="ED19" s="9"/>
      <c r="EE19" s="9"/>
      <c r="EF19" s="9"/>
      <c r="EG19" s="9"/>
      <c r="EH19" s="9"/>
      <c r="EI19" s="9"/>
      <c r="EJ19" s="9"/>
      <c r="EK19" s="8"/>
      <c r="EL19" s="8"/>
      <c r="EM19" s="8"/>
      <c r="EN19" s="8"/>
      <c r="EO19" s="8"/>
      <c r="EP19" s="8"/>
      <c r="EQ19" s="8"/>
      <c r="ER19" s="8"/>
      <c r="ES19" s="8"/>
      <c r="ET19" s="9"/>
      <c r="EU19" s="9"/>
      <c r="EV19" s="9"/>
      <c r="EW19" s="9"/>
      <c r="EX19" s="9"/>
      <c r="EY19" s="9"/>
      <c r="EZ19" s="9"/>
      <c r="FA19" s="9"/>
      <c r="FB19" s="8"/>
      <c r="FC19" s="8"/>
      <c r="FD19" s="8"/>
      <c r="FE19" s="8"/>
      <c r="FF19" s="9"/>
      <c r="FG19" s="9"/>
      <c r="FH19" s="9"/>
      <c r="FI19" s="9"/>
      <c r="FJ19" s="9"/>
      <c r="FK19" s="9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9"/>
      <c r="GA19" s="9"/>
      <c r="GB19" s="9"/>
      <c r="GC19" s="9"/>
      <c r="GD19" s="9"/>
      <c r="GE19" s="9"/>
      <c r="GF19" s="9"/>
      <c r="GG19" s="9"/>
      <c r="GH19" s="9"/>
      <c r="GI19" s="9"/>
    </row>
    <row r="20" spans="1:191" ht="15" customHeight="1" x14ac:dyDescent="0.25">
      <c r="A20" s="285">
        <v>544254630165</v>
      </c>
      <c r="B20" s="10">
        <f t="shared" si="0"/>
        <v>0</v>
      </c>
      <c r="C20" s="10">
        <v>0</v>
      </c>
      <c r="D20" s="10" t="b">
        <f t="shared" si="1"/>
        <v>1</v>
      </c>
      <c r="E20" s="10">
        <f t="shared" si="2"/>
        <v>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8"/>
      <c r="AB20" s="8"/>
      <c r="AC20" s="8"/>
      <c r="AD20" s="8"/>
      <c r="AE20" s="9"/>
      <c r="AF20" s="9"/>
      <c r="AG20" s="9"/>
      <c r="AH20" s="9"/>
      <c r="AI20" s="9"/>
      <c r="AJ20" s="8"/>
      <c r="AK20" s="8"/>
      <c r="AL20" s="8"/>
      <c r="AM20" s="8"/>
      <c r="AN20" s="8"/>
      <c r="AO20" s="9"/>
      <c r="AP20" s="9"/>
      <c r="AQ20" s="9"/>
      <c r="AR20" s="9"/>
      <c r="AS20" s="9"/>
      <c r="AT20" s="8"/>
      <c r="AU20" s="8"/>
      <c r="AV20" s="8"/>
      <c r="AW20" s="8"/>
      <c r="AX20" s="8"/>
      <c r="AY20" s="8"/>
      <c r="AZ20" s="9"/>
      <c r="BA20" s="9"/>
      <c r="BB20" s="9"/>
      <c r="BC20" s="9"/>
      <c r="BD20" s="9"/>
      <c r="BE20" s="9"/>
      <c r="BF20" s="9"/>
      <c r="BG20" s="8"/>
      <c r="BH20" s="8"/>
      <c r="BI20" s="8"/>
      <c r="BJ20" s="8"/>
      <c r="BK20" s="8"/>
      <c r="BL20" s="8"/>
      <c r="BM20" s="9"/>
      <c r="BN20" s="9"/>
      <c r="BO20" s="9"/>
      <c r="BP20" s="9"/>
      <c r="BQ20" s="9"/>
      <c r="BR20" s="8"/>
      <c r="BS20" s="8"/>
      <c r="BT20" s="8"/>
      <c r="BU20" s="8"/>
      <c r="BV20" s="8"/>
      <c r="BW20" s="8"/>
      <c r="BX20" s="8"/>
      <c r="BY20" s="8"/>
      <c r="BZ20" s="9"/>
      <c r="CA20" s="9"/>
      <c r="CB20" s="9"/>
      <c r="CC20" s="9"/>
      <c r="CD20" s="9"/>
      <c r="CE20" s="8"/>
      <c r="CF20" s="8"/>
      <c r="CG20" s="8"/>
      <c r="CH20" s="8"/>
      <c r="CI20" s="8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8"/>
      <c r="CX20" s="8"/>
      <c r="CY20" s="8"/>
      <c r="CZ20" s="8"/>
      <c r="DA20" s="8"/>
      <c r="DB20" s="9"/>
      <c r="DC20" s="9"/>
      <c r="DD20" s="9"/>
      <c r="DE20" s="9"/>
      <c r="DF20" s="9"/>
      <c r="DG20" s="9"/>
      <c r="DH20" s="9"/>
      <c r="DI20" s="8"/>
      <c r="DJ20" s="8"/>
      <c r="DK20" s="8"/>
      <c r="DL20" s="8"/>
      <c r="DM20" s="8"/>
      <c r="DN20" s="8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8"/>
      <c r="DZ20" s="8"/>
      <c r="EA20" s="8"/>
      <c r="EB20" s="8"/>
      <c r="EC20" s="8"/>
      <c r="ED20" s="9"/>
      <c r="EE20" s="9"/>
      <c r="EF20" s="9"/>
      <c r="EG20" s="9"/>
      <c r="EH20" s="9"/>
      <c r="EI20" s="9"/>
      <c r="EJ20" s="9"/>
      <c r="EK20" s="8"/>
      <c r="EL20" s="8"/>
      <c r="EM20" s="8"/>
      <c r="EN20" s="8"/>
      <c r="EO20" s="8"/>
      <c r="EP20" s="8"/>
      <c r="EQ20" s="8"/>
      <c r="ER20" s="8"/>
      <c r="ES20" s="8"/>
      <c r="ET20" s="9"/>
      <c r="EU20" s="9"/>
      <c r="EV20" s="9"/>
      <c r="EW20" s="9"/>
      <c r="EX20" s="9"/>
      <c r="EY20" s="9"/>
      <c r="EZ20" s="9"/>
      <c r="FA20" s="9"/>
      <c r="FB20" s="8"/>
      <c r="FC20" s="8"/>
      <c r="FD20" s="8"/>
      <c r="FE20" s="8"/>
      <c r="FF20" s="9"/>
      <c r="FG20" s="9"/>
      <c r="FH20" s="9"/>
      <c r="FI20" s="9"/>
      <c r="FJ20" s="9"/>
      <c r="FK20" s="9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9"/>
      <c r="GA20" s="9"/>
      <c r="GB20" s="9"/>
      <c r="GC20" s="9"/>
      <c r="GD20" s="9"/>
      <c r="GE20" s="9"/>
      <c r="GF20" s="9"/>
      <c r="GG20" s="9"/>
      <c r="GH20" s="9"/>
      <c r="GI20" s="9"/>
    </row>
    <row r="21" spans="1:191" ht="15" customHeight="1" x14ac:dyDescent="0.25">
      <c r="A21" s="285">
        <v>544254630259</v>
      </c>
      <c r="B21" s="10">
        <f t="shared" si="0"/>
        <v>0</v>
      </c>
      <c r="C21" s="10">
        <v>0</v>
      </c>
      <c r="D21" s="10" t="b">
        <f t="shared" si="1"/>
        <v>1</v>
      </c>
      <c r="E21" s="10">
        <f t="shared" si="2"/>
        <v>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8"/>
      <c r="AB21" s="8"/>
      <c r="AC21" s="8"/>
      <c r="AD21" s="8"/>
      <c r="AE21" s="9"/>
      <c r="AF21" s="9"/>
      <c r="AG21" s="9"/>
      <c r="AH21" s="9"/>
      <c r="AI21" s="9"/>
      <c r="AJ21" s="8"/>
      <c r="AK21" s="8"/>
      <c r="AL21" s="8"/>
      <c r="AM21" s="8"/>
      <c r="AN21" s="8"/>
      <c r="AO21" s="9"/>
      <c r="AP21" s="9"/>
      <c r="AQ21" s="9"/>
      <c r="AR21" s="9"/>
      <c r="AS21" s="9"/>
      <c r="AT21" s="8"/>
      <c r="AU21" s="8"/>
      <c r="AV21" s="8"/>
      <c r="AW21" s="8"/>
      <c r="AX21" s="8"/>
      <c r="AY21" s="8"/>
      <c r="AZ21" s="9"/>
      <c r="BA21" s="9"/>
      <c r="BB21" s="9"/>
      <c r="BC21" s="9"/>
      <c r="BD21" s="9"/>
      <c r="BE21" s="9"/>
      <c r="BF21" s="9"/>
      <c r="BG21" s="8"/>
      <c r="BH21" s="8"/>
      <c r="BI21" s="8"/>
      <c r="BJ21" s="8"/>
      <c r="BK21" s="8"/>
      <c r="BL21" s="8"/>
      <c r="BM21" s="9"/>
      <c r="BN21" s="9"/>
      <c r="BO21" s="9"/>
      <c r="BP21" s="9"/>
      <c r="BQ21" s="9"/>
      <c r="BR21" s="8"/>
      <c r="BS21" s="8"/>
      <c r="BT21" s="8"/>
      <c r="BU21" s="8"/>
      <c r="BV21" s="8"/>
      <c r="BW21" s="8"/>
      <c r="BX21" s="8"/>
      <c r="BY21" s="8"/>
      <c r="BZ21" s="9"/>
      <c r="CA21" s="9"/>
      <c r="CB21" s="9"/>
      <c r="CC21" s="9"/>
      <c r="CD21" s="9"/>
      <c r="CE21" s="8"/>
      <c r="CF21" s="8"/>
      <c r="CG21" s="8"/>
      <c r="CH21" s="8"/>
      <c r="CI21" s="8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8"/>
      <c r="CX21" s="8"/>
      <c r="CY21" s="8"/>
      <c r="CZ21" s="8"/>
      <c r="DA21" s="8"/>
      <c r="DB21" s="9"/>
      <c r="DC21" s="9"/>
      <c r="DD21" s="9"/>
      <c r="DE21" s="9"/>
      <c r="DF21" s="9"/>
      <c r="DG21" s="9"/>
      <c r="DH21" s="9"/>
      <c r="DI21" s="8"/>
      <c r="DJ21" s="8"/>
      <c r="DK21" s="8"/>
      <c r="DL21" s="8"/>
      <c r="DM21" s="8"/>
      <c r="DN21" s="8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8"/>
      <c r="DZ21" s="8"/>
      <c r="EA21" s="8"/>
      <c r="EB21" s="8"/>
      <c r="EC21" s="8"/>
      <c r="ED21" s="9"/>
      <c r="EE21" s="9"/>
      <c r="EF21" s="9"/>
      <c r="EG21" s="9"/>
      <c r="EH21" s="9"/>
      <c r="EI21" s="9"/>
      <c r="EJ21" s="9"/>
      <c r="EK21" s="8"/>
      <c r="EL21" s="8"/>
      <c r="EM21" s="8"/>
      <c r="EN21" s="8"/>
      <c r="EO21" s="8"/>
      <c r="EP21" s="8"/>
      <c r="EQ21" s="8"/>
      <c r="ER21" s="8"/>
      <c r="ES21" s="8"/>
      <c r="ET21" s="9"/>
      <c r="EU21" s="9"/>
      <c r="EV21" s="9"/>
      <c r="EW21" s="9"/>
      <c r="EX21" s="9"/>
      <c r="EY21" s="9"/>
      <c r="EZ21" s="9"/>
      <c r="FA21" s="9"/>
      <c r="FB21" s="8"/>
      <c r="FC21" s="8"/>
      <c r="FD21" s="8"/>
      <c r="FE21" s="8"/>
      <c r="FF21" s="9"/>
      <c r="FG21" s="9"/>
      <c r="FH21" s="9"/>
      <c r="FI21" s="9"/>
      <c r="FJ21" s="9"/>
      <c r="FK21" s="9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9"/>
      <c r="GA21" s="9"/>
      <c r="GB21" s="9"/>
      <c r="GC21" s="9"/>
      <c r="GD21" s="9"/>
      <c r="GE21" s="9"/>
      <c r="GF21" s="9"/>
      <c r="GG21" s="9"/>
      <c r="GH21" s="9"/>
      <c r="GI21" s="9"/>
    </row>
    <row r="22" spans="1:191" ht="15" customHeight="1" x14ac:dyDescent="0.25">
      <c r="A22" s="285">
        <v>544254630435</v>
      </c>
      <c r="B22" s="10">
        <f t="shared" si="0"/>
        <v>0</v>
      </c>
      <c r="C22" s="10">
        <v>0</v>
      </c>
      <c r="D22" s="10" t="b">
        <f t="shared" si="1"/>
        <v>1</v>
      </c>
      <c r="E22" s="10">
        <f t="shared" si="2"/>
        <v>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8"/>
      <c r="AB22" s="8"/>
      <c r="AC22" s="8"/>
      <c r="AD22" s="8"/>
      <c r="AE22" s="9"/>
      <c r="AF22" s="9"/>
      <c r="AG22" s="9"/>
      <c r="AH22" s="9"/>
      <c r="AI22" s="9"/>
      <c r="AJ22" s="8"/>
      <c r="AK22" s="8"/>
      <c r="AL22" s="8"/>
      <c r="AM22" s="8"/>
      <c r="AN22" s="8"/>
      <c r="AO22" s="9"/>
      <c r="AP22" s="9"/>
      <c r="AQ22" s="9"/>
      <c r="AR22" s="9"/>
      <c r="AS22" s="9"/>
      <c r="AT22" s="8"/>
      <c r="AU22" s="8"/>
      <c r="AV22" s="8"/>
      <c r="AW22" s="8"/>
      <c r="AX22" s="8"/>
      <c r="AY22" s="8"/>
      <c r="AZ22" s="9"/>
      <c r="BA22" s="9"/>
      <c r="BB22" s="9"/>
      <c r="BC22" s="9"/>
      <c r="BD22" s="9"/>
      <c r="BE22" s="9"/>
      <c r="BF22" s="9"/>
      <c r="BG22" s="8"/>
      <c r="BH22" s="8"/>
      <c r="BI22" s="8"/>
      <c r="BJ22" s="8"/>
      <c r="BK22" s="8"/>
      <c r="BL22" s="8"/>
      <c r="BM22" s="9"/>
      <c r="BN22" s="9"/>
      <c r="BO22" s="9"/>
      <c r="BP22" s="9"/>
      <c r="BQ22" s="9"/>
      <c r="BR22" s="8"/>
      <c r="BS22" s="8"/>
      <c r="BT22" s="8"/>
      <c r="BU22" s="8"/>
      <c r="BV22" s="8"/>
      <c r="BW22" s="8"/>
      <c r="BX22" s="8"/>
      <c r="BY22" s="8"/>
      <c r="BZ22" s="9"/>
      <c r="CA22" s="9"/>
      <c r="CB22" s="9"/>
      <c r="CC22" s="9"/>
      <c r="CD22" s="9"/>
      <c r="CE22" s="8"/>
      <c r="CF22" s="8"/>
      <c r="CG22" s="8"/>
      <c r="CH22" s="8"/>
      <c r="CI22" s="8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8"/>
      <c r="CX22" s="8"/>
      <c r="CY22" s="8"/>
      <c r="CZ22" s="8"/>
      <c r="DA22" s="8"/>
      <c r="DB22" s="9"/>
      <c r="DC22" s="9"/>
      <c r="DD22" s="9"/>
      <c r="DE22" s="9"/>
      <c r="DF22" s="9"/>
      <c r="DG22" s="9"/>
      <c r="DH22" s="9"/>
      <c r="DI22" s="8"/>
      <c r="DJ22" s="8"/>
      <c r="DK22" s="8"/>
      <c r="DL22" s="8"/>
      <c r="DM22" s="8"/>
      <c r="DN22" s="8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8"/>
      <c r="DZ22" s="8"/>
      <c r="EA22" s="8"/>
      <c r="EB22" s="8"/>
      <c r="EC22" s="8"/>
      <c r="ED22" s="9"/>
      <c r="EE22" s="9"/>
      <c r="EF22" s="9"/>
      <c r="EG22" s="9"/>
      <c r="EH22" s="9"/>
      <c r="EI22" s="9"/>
      <c r="EJ22" s="9"/>
      <c r="EK22" s="8"/>
      <c r="EL22" s="8"/>
      <c r="EM22" s="8"/>
      <c r="EN22" s="8"/>
      <c r="EO22" s="8"/>
      <c r="EP22" s="8"/>
      <c r="EQ22" s="8"/>
      <c r="ER22" s="8"/>
      <c r="ES22" s="8"/>
      <c r="ET22" s="9"/>
      <c r="EU22" s="9"/>
      <c r="EV22" s="9"/>
      <c r="EW22" s="9"/>
      <c r="EX22" s="9"/>
      <c r="EY22" s="9"/>
      <c r="EZ22" s="9"/>
      <c r="FA22" s="9"/>
      <c r="FB22" s="8"/>
      <c r="FC22" s="8"/>
      <c r="FD22" s="8"/>
      <c r="FE22" s="8"/>
      <c r="FF22" s="9"/>
      <c r="FG22" s="9"/>
      <c r="FH22" s="9"/>
      <c r="FI22" s="9"/>
      <c r="FJ22" s="9"/>
      <c r="FK22" s="9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9"/>
      <c r="GA22" s="9"/>
      <c r="GB22" s="9"/>
      <c r="GC22" s="9"/>
      <c r="GD22" s="9"/>
      <c r="GE22" s="9"/>
      <c r="GF22" s="9"/>
      <c r="GG22" s="9"/>
      <c r="GH22" s="9"/>
      <c r="GI22" s="9"/>
    </row>
    <row r="23" spans="1:191" ht="15" customHeight="1" x14ac:dyDescent="0.25">
      <c r="A23" s="285">
        <v>544254630436</v>
      </c>
      <c r="B23" s="10">
        <f t="shared" si="0"/>
        <v>0</v>
      </c>
      <c r="C23" s="10">
        <v>0</v>
      </c>
      <c r="D23" s="10" t="b">
        <f t="shared" si="1"/>
        <v>1</v>
      </c>
      <c r="E23" s="10">
        <f t="shared" si="2"/>
        <v>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8"/>
      <c r="AB23" s="8"/>
      <c r="AC23" s="8"/>
      <c r="AD23" s="8"/>
      <c r="AE23" s="9"/>
      <c r="AF23" s="9"/>
      <c r="AG23" s="9"/>
      <c r="AH23" s="9"/>
      <c r="AI23" s="9"/>
      <c r="AJ23" s="8"/>
      <c r="AK23" s="8"/>
      <c r="AL23" s="8"/>
      <c r="AM23" s="8"/>
      <c r="AN23" s="8"/>
      <c r="AO23" s="9"/>
      <c r="AP23" s="9"/>
      <c r="AQ23" s="9"/>
      <c r="AR23" s="9"/>
      <c r="AS23" s="9"/>
      <c r="AT23" s="8"/>
      <c r="AU23" s="8"/>
      <c r="AV23" s="8"/>
      <c r="AW23" s="8"/>
      <c r="AX23" s="8"/>
      <c r="AY23" s="8"/>
      <c r="AZ23" s="9"/>
      <c r="BA23" s="9"/>
      <c r="BB23" s="9"/>
      <c r="BC23" s="9"/>
      <c r="BD23" s="9"/>
      <c r="BE23" s="9"/>
      <c r="BF23" s="9"/>
      <c r="BG23" s="8"/>
      <c r="BH23" s="8"/>
      <c r="BI23" s="8"/>
      <c r="BJ23" s="8"/>
      <c r="BK23" s="8"/>
      <c r="BL23" s="8"/>
      <c r="BM23" s="9"/>
      <c r="BN23" s="9"/>
      <c r="BO23" s="9"/>
      <c r="BP23" s="9"/>
      <c r="BQ23" s="9"/>
      <c r="BR23" s="8"/>
      <c r="BS23" s="8"/>
      <c r="BT23" s="8"/>
      <c r="BU23" s="8"/>
      <c r="BV23" s="8"/>
      <c r="BW23" s="8"/>
      <c r="BX23" s="8"/>
      <c r="BY23" s="8"/>
      <c r="BZ23" s="9"/>
      <c r="CA23" s="9"/>
      <c r="CB23" s="9"/>
      <c r="CC23" s="9"/>
      <c r="CD23" s="9"/>
      <c r="CE23" s="8"/>
      <c r="CF23" s="8"/>
      <c r="CG23" s="8"/>
      <c r="CH23" s="8"/>
      <c r="CI23" s="8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8"/>
      <c r="CX23" s="8"/>
      <c r="CY23" s="8"/>
      <c r="CZ23" s="8"/>
      <c r="DA23" s="8"/>
      <c r="DB23" s="9"/>
      <c r="DC23" s="9"/>
      <c r="DD23" s="9"/>
      <c r="DE23" s="9"/>
      <c r="DF23" s="9"/>
      <c r="DG23" s="9"/>
      <c r="DH23" s="9"/>
      <c r="DI23" s="8"/>
      <c r="DJ23" s="8"/>
      <c r="DK23" s="8"/>
      <c r="DL23" s="8"/>
      <c r="DM23" s="8"/>
      <c r="DN23" s="8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8"/>
      <c r="DZ23" s="8"/>
      <c r="EA23" s="8"/>
      <c r="EB23" s="8"/>
      <c r="EC23" s="8"/>
      <c r="ED23" s="9"/>
      <c r="EE23" s="9"/>
      <c r="EF23" s="9"/>
      <c r="EG23" s="9"/>
      <c r="EH23" s="9"/>
      <c r="EI23" s="9"/>
      <c r="EJ23" s="9"/>
      <c r="EK23" s="8"/>
      <c r="EL23" s="8"/>
      <c r="EM23" s="8"/>
      <c r="EN23" s="8"/>
      <c r="EO23" s="8"/>
      <c r="EP23" s="8"/>
      <c r="EQ23" s="8"/>
      <c r="ER23" s="8"/>
      <c r="ES23" s="8"/>
      <c r="ET23" s="9"/>
      <c r="EU23" s="9"/>
      <c r="EV23" s="9"/>
      <c r="EW23" s="9"/>
      <c r="EX23" s="9"/>
      <c r="EY23" s="9"/>
      <c r="EZ23" s="9"/>
      <c r="FA23" s="9"/>
      <c r="FB23" s="8"/>
      <c r="FC23" s="8"/>
      <c r="FD23" s="8"/>
      <c r="FE23" s="8"/>
      <c r="FF23" s="9"/>
      <c r="FG23" s="9"/>
      <c r="FH23" s="9"/>
      <c r="FI23" s="9"/>
      <c r="FJ23" s="9"/>
      <c r="FK23" s="9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9"/>
      <c r="GA23" s="9"/>
      <c r="GB23" s="9"/>
      <c r="GC23" s="9"/>
      <c r="GD23" s="9"/>
      <c r="GE23" s="9"/>
      <c r="GF23" s="9"/>
      <c r="GG23" s="9"/>
      <c r="GH23" s="9"/>
      <c r="GI23" s="9"/>
    </row>
    <row r="24" spans="1:191" ht="15" customHeight="1" x14ac:dyDescent="0.25">
      <c r="A24" s="285">
        <v>544254630247</v>
      </c>
      <c r="B24" s="10">
        <f t="shared" si="0"/>
        <v>0</v>
      </c>
      <c r="C24" s="10">
        <v>0</v>
      </c>
      <c r="D24" s="10" t="b">
        <f t="shared" si="1"/>
        <v>1</v>
      </c>
      <c r="E24" s="10">
        <f t="shared" si="2"/>
        <v>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8"/>
      <c r="AB24" s="8"/>
      <c r="AC24" s="8"/>
      <c r="AD24" s="8"/>
      <c r="AE24" s="9"/>
      <c r="AF24" s="9"/>
      <c r="AG24" s="9"/>
      <c r="AH24" s="9"/>
      <c r="AI24" s="9"/>
      <c r="AJ24" s="8"/>
      <c r="AK24" s="8"/>
      <c r="AL24" s="8"/>
      <c r="AM24" s="8"/>
      <c r="AN24" s="8"/>
      <c r="AO24" s="9"/>
      <c r="AP24" s="9"/>
      <c r="AQ24" s="9"/>
      <c r="AR24" s="9"/>
      <c r="AS24" s="9"/>
      <c r="AT24" s="8"/>
      <c r="AU24" s="8"/>
      <c r="AV24" s="8"/>
      <c r="AW24" s="8"/>
      <c r="AX24" s="8"/>
      <c r="AY24" s="8"/>
      <c r="AZ24" s="9"/>
      <c r="BA24" s="9"/>
      <c r="BB24" s="9"/>
      <c r="BC24" s="9"/>
      <c r="BD24" s="9"/>
      <c r="BE24" s="9"/>
      <c r="BF24" s="9"/>
      <c r="BG24" s="8"/>
      <c r="BH24" s="8"/>
      <c r="BI24" s="8"/>
      <c r="BJ24" s="8"/>
      <c r="BK24" s="8"/>
      <c r="BL24" s="8"/>
      <c r="BM24" s="9"/>
      <c r="BN24" s="9"/>
      <c r="BO24" s="9"/>
      <c r="BP24" s="9"/>
      <c r="BQ24" s="9"/>
      <c r="BR24" s="8"/>
      <c r="BS24" s="8"/>
      <c r="BT24" s="8"/>
      <c r="BU24" s="8"/>
      <c r="BV24" s="8"/>
      <c r="BW24" s="8"/>
      <c r="BX24" s="8"/>
      <c r="BY24" s="8"/>
      <c r="BZ24" s="9"/>
      <c r="CA24" s="9"/>
      <c r="CB24" s="9"/>
      <c r="CC24" s="9"/>
      <c r="CD24" s="9"/>
      <c r="CE24" s="8"/>
      <c r="CF24" s="8"/>
      <c r="CG24" s="8"/>
      <c r="CH24" s="8"/>
      <c r="CI24" s="8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8"/>
      <c r="CX24" s="8"/>
      <c r="CY24" s="8"/>
      <c r="CZ24" s="8"/>
      <c r="DA24" s="8"/>
      <c r="DB24" s="9"/>
      <c r="DC24" s="9"/>
      <c r="DD24" s="9"/>
      <c r="DE24" s="9"/>
      <c r="DF24" s="9"/>
      <c r="DG24" s="9"/>
      <c r="DH24" s="9"/>
      <c r="DI24" s="8"/>
      <c r="DJ24" s="8"/>
      <c r="DK24" s="8"/>
      <c r="DL24" s="8"/>
      <c r="DM24" s="8"/>
      <c r="DN24" s="8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8"/>
      <c r="DZ24" s="8"/>
      <c r="EA24" s="8"/>
      <c r="EB24" s="8"/>
      <c r="EC24" s="8"/>
      <c r="ED24" s="9"/>
      <c r="EE24" s="9"/>
      <c r="EF24" s="9"/>
      <c r="EG24" s="9"/>
      <c r="EH24" s="9"/>
      <c r="EI24" s="9"/>
      <c r="EJ24" s="9"/>
      <c r="EK24" s="8"/>
      <c r="EL24" s="8"/>
      <c r="EM24" s="8"/>
      <c r="EN24" s="8"/>
      <c r="EO24" s="8"/>
      <c r="EP24" s="8"/>
      <c r="EQ24" s="8"/>
      <c r="ER24" s="8"/>
      <c r="ES24" s="8"/>
      <c r="ET24" s="9"/>
      <c r="EU24" s="9"/>
      <c r="EV24" s="9"/>
      <c r="EW24" s="9"/>
      <c r="EX24" s="9"/>
      <c r="EY24" s="9"/>
      <c r="EZ24" s="9"/>
      <c r="FA24" s="9"/>
      <c r="FB24" s="8"/>
      <c r="FC24" s="8"/>
      <c r="FD24" s="8"/>
      <c r="FE24" s="8"/>
      <c r="FF24" s="9"/>
      <c r="FG24" s="9"/>
      <c r="FH24" s="9"/>
      <c r="FI24" s="9"/>
      <c r="FJ24" s="9"/>
      <c r="FK24" s="9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9"/>
      <c r="GA24" s="9"/>
      <c r="GB24" s="9"/>
      <c r="GC24" s="9"/>
      <c r="GD24" s="9"/>
      <c r="GE24" s="9"/>
      <c r="GF24" s="9"/>
      <c r="GG24" s="9"/>
      <c r="GH24" s="9"/>
      <c r="GI24" s="9"/>
    </row>
    <row r="25" spans="1:191" ht="15" customHeight="1" x14ac:dyDescent="0.25">
      <c r="A25" s="285">
        <v>544554600207</v>
      </c>
      <c r="B25" s="10">
        <f t="shared" si="0"/>
        <v>0</v>
      </c>
      <c r="C25" s="10">
        <v>0</v>
      </c>
      <c r="D25" s="10" t="b">
        <f t="shared" si="1"/>
        <v>1</v>
      </c>
      <c r="E25" s="10">
        <f t="shared" si="2"/>
        <v>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8"/>
      <c r="AB25" s="8"/>
      <c r="AC25" s="8"/>
      <c r="AD25" s="8"/>
      <c r="AE25" s="9"/>
      <c r="AF25" s="9"/>
      <c r="AG25" s="9"/>
      <c r="AH25" s="9"/>
      <c r="AI25" s="9"/>
      <c r="AJ25" s="8"/>
      <c r="AK25" s="8"/>
      <c r="AL25" s="8"/>
      <c r="AM25" s="8"/>
      <c r="AN25" s="8"/>
      <c r="AO25" s="9"/>
      <c r="AP25" s="9"/>
      <c r="AQ25" s="9"/>
      <c r="AR25" s="9"/>
      <c r="AS25" s="9"/>
      <c r="AT25" s="8"/>
      <c r="AU25" s="8"/>
      <c r="AV25" s="8"/>
      <c r="AW25" s="8"/>
      <c r="AX25" s="8"/>
      <c r="AY25" s="8"/>
      <c r="AZ25" s="9"/>
      <c r="BA25" s="9"/>
      <c r="BB25" s="9"/>
      <c r="BC25" s="9"/>
      <c r="BD25" s="9"/>
      <c r="BE25" s="9"/>
      <c r="BF25" s="9"/>
      <c r="BG25" s="8"/>
      <c r="BH25" s="8"/>
      <c r="BI25" s="8"/>
      <c r="BJ25" s="8"/>
      <c r="BK25" s="8"/>
      <c r="BL25" s="8"/>
      <c r="BM25" s="9"/>
      <c r="BN25" s="9"/>
      <c r="BO25" s="9"/>
      <c r="BP25" s="9"/>
      <c r="BQ25" s="9"/>
      <c r="BR25" s="8"/>
      <c r="BS25" s="8"/>
      <c r="BT25" s="8"/>
      <c r="BU25" s="8"/>
      <c r="BV25" s="8"/>
      <c r="BW25" s="8"/>
      <c r="BX25" s="8"/>
      <c r="BY25" s="8"/>
      <c r="BZ25" s="9"/>
      <c r="CA25" s="9"/>
      <c r="CB25" s="9"/>
      <c r="CC25" s="9"/>
      <c r="CD25" s="9"/>
      <c r="CE25" s="8"/>
      <c r="CF25" s="8"/>
      <c r="CG25" s="8"/>
      <c r="CH25" s="8"/>
      <c r="CI25" s="8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8"/>
      <c r="CX25" s="8"/>
      <c r="CY25" s="8"/>
      <c r="CZ25" s="8"/>
      <c r="DA25" s="8"/>
      <c r="DB25" s="9"/>
      <c r="DC25" s="9"/>
      <c r="DD25" s="9"/>
      <c r="DE25" s="9"/>
      <c r="DF25" s="9"/>
      <c r="DG25" s="9"/>
      <c r="DH25" s="9"/>
      <c r="DI25" s="8"/>
      <c r="DJ25" s="8"/>
      <c r="DK25" s="8"/>
      <c r="DL25" s="8"/>
      <c r="DM25" s="8"/>
      <c r="DN25" s="8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8"/>
      <c r="DZ25" s="8"/>
      <c r="EA25" s="8"/>
      <c r="EB25" s="8"/>
      <c r="EC25" s="8"/>
      <c r="ED25" s="9"/>
      <c r="EE25" s="9"/>
      <c r="EF25" s="9"/>
      <c r="EG25" s="9"/>
      <c r="EH25" s="9"/>
      <c r="EI25" s="9"/>
      <c r="EJ25" s="9"/>
      <c r="EK25" s="8"/>
      <c r="EL25" s="8"/>
      <c r="EM25" s="8"/>
      <c r="EN25" s="8"/>
      <c r="EO25" s="8"/>
      <c r="EP25" s="8"/>
      <c r="EQ25" s="8"/>
      <c r="ER25" s="8"/>
      <c r="ES25" s="8"/>
      <c r="ET25" s="9"/>
      <c r="EU25" s="9"/>
      <c r="EV25" s="9"/>
      <c r="EW25" s="9"/>
      <c r="EX25" s="9"/>
      <c r="EY25" s="9"/>
      <c r="EZ25" s="9"/>
      <c r="FA25" s="9"/>
      <c r="FB25" s="8"/>
      <c r="FC25" s="8"/>
      <c r="FD25" s="8"/>
      <c r="FE25" s="8"/>
      <c r="FF25" s="9"/>
      <c r="FG25" s="9"/>
      <c r="FH25" s="9"/>
      <c r="FI25" s="9"/>
      <c r="FJ25" s="9"/>
      <c r="FK25" s="9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9"/>
      <c r="GA25" s="9"/>
      <c r="GB25" s="9"/>
      <c r="GC25" s="9"/>
      <c r="GD25" s="9"/>
      <c r="GE25" s="9"/>
      <c r="GF25" s="9"/>
      <c r="GG25" s="9"/>
      <c r="GH25" s="9"/>
      <c r="GI25" s="9"/>
    </row>
    <row r="26" spans="1:191" ht="15" customHeight="1" x14ac:dyDescent="0.25">
      <c r="A26" s="285">
        <v>544554600102</v>
      </c>
      <c r="B26" s="10">
        <f t="shared" si="0"/>
        <v>0</v>
      </c>
      <c r="C26" s="10">
        <v>0</v>
      </c>
      <c r="D26" s="10" t="b">
        <f t="shared" si="1"/>
        <v>1</v>
      </c>
      <c r="E26" s="10">
        <f t="shared" si="2"/>
        <v>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8"/>
      <c r="AB26" s="8"/>
      <c r="AC26" s="8"/>
      <c r="AD26" s="8"/>
      <c r="AE26" s="9"/>
      <c r="AF26" s="9"/>
      <c r="AG26" s="9"/>
      <c r="AH26" s="9"/>
      <c r="AI26" s="9"/>
      <c r="AJ26" s="8"/>
      <c r="AK26" s="8"/>
      <c r="AL26" s="8"/>
      <c r="AM26" s="8"/>
      <c r="AN26" s="8"/>
      <c r="AO26" s="9"/>
      <c r="AP26" s="9"/>
      <c r="AQ26" s="9"/>
      <c r="AR26" s="9"/>
      <c r="AS26" s="9"/>
      <c r="AT26" s="8"/>
      <c r="AU26" s="8"/>
      <c r="AV26" s="8"/>
      <c r="AW26" s="8"/>
      <c r="AX26" s="8"/>
      <c r="AY26" s="8"/>
      <c r="AZ26" s="9"/>
      <c r="BA26" s="9"/>
      <c r="BB26" s="9"/>
      <c r="BC26" s="9"/>
      <c r="BD26" s="9"/>
      <c r="BE26" s="9"/>
      <c r="BF26" s="9"/>
      <c r="BG26" s="8"/>
      <c r="BH26" s="8"/>
      <c r="BI26" s="8"/>
      <c r="BJ26" s="8"/>
      <c r="BK26" s="8"/>
      <c r="BL26" s="8"/>
      <c r="BM26" s="9"/>
      <c r="BN26" s="9"/>
      <c r="BO26" s="9"/>
      <c r="BP26" s="9"/>
      <c r="BQ26" s="9"/>
      <c r="BR26" s="8"/>
      <c r="BS26" s="8"/>
      <c r="BT26" s="8"/>
      <c r="BU26" s="8"/>
      <c r="BV26" s="8"/>
      <c r="BW26" s="8"/>
      <c r="BX26" s="8"/>
      <c r="BY26" s="8"/>
      <c r="BZ26" s="9"/>
      <c r="CA26" s="9"/>
      <c r="CB26" s="9"/>
      <c r="CC26" s="9"/>
      <c r="CD26" s="9"/>
      <c r="CE26" s="8"/>
      <c r="CF26" s="8"/>
      <c r="CG26" s="8"/>
      <c r="CH26" s="8"/>
      <c r="CI26" s="8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8"/>
      <c r="CX26" s="8"/>
      <c r="CY26" s="8"/>
      <c r="CZ26" s="8"/>
      <c r="DA26" s="8"/>
      <c r="DB26" s="9"/>
      <c r="DC26" s="9"/>
      <c r="DD26" s="9"/>
      <c r="DE26" s="9"/>
      <c r="DF26" s="9"/>
      <c r="DG26" s="9"/>
      <c r="DH26" s="9"/>
      <c r="DI26" s="8"/>
      <c r="DJ26" s="8"/>
      <c r="DK26" s="8"/>
      <c r="DL26" s="8"/>
      <c r="DM26" s="8"/>
      <c r="DN26" s="8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8"/>
      <c r="DZ26" s="8"/>
      <c r="EA26" s="8"/>
      <c r="EB26" s="8"/>
      <c r="EC26" s="8"/>
      <c r="ED26" s="9"/>
      <c r="EE26" s="9"/>
      <c r="EF26" s="9"/>
      <c r="EG26" s="9"/>
      <c r="EH26" s="9"/>
      <c r="EI26" s="9"/>
      <c r="EJ26" s="9"/>
      <c r="EK26" s="8"/>
      <c r="EL26" s="8"/>
      <c r="EM26" s="8"/>
      <c r="EN26" s="8"/>
      <c r="EO26" s="8"/>
      <c r="EP26" s="8"/>
      <c r="EQ26" s="8"/>
      <c r="ER26" s="8"/>
      <c r="ES26" s="8"/>
      <c r="ET26" s="9"/>
      <c r="EU26" s="9"/>
      <c r="EV26" s="9"/>
      <c r="EW26" s="9"/>
      <c r="EX26" s="9"/>
      <c r="EY26" s="9"/>
      <c r="EZ26" s="9"/>
      <c r="FA26" s="9"/>
      <c r="FB26" s="8"/>
      <c r="FC26" s="8"/>
      <c r="FD26" s="8"/>
      <c r="FE26" s="8"/>
      <c r="FF26" s="9"/>
      <c r="FG26" s="9"/>
      <c r="FH26" s="9"/>
      <c r="FI26" s="9"/>
      <c r="FJ26" s="9"/>
      <c r="FK26" s="9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9"/>
      <c r="GA26" s="9"/>
      <c r="GB26" s="9"/>
      <c r="GC26" s="9"/>
      <c r="GD26" s="9"/>
      <c r="GE26" s="9"/>
      <c r="GF26" s="9"/>
      <c r="GG26" s="9"/>
      <c r="GH26" s="9"/>
      <c r="GI26" s="9"/>
    </row>
    <row r="27" spans="1:191" ht="15" customHeight="1" x14ac:dyDescent="0.25">
      <c r="A27" s="285">
        <v>544554600225</v>
      </c>
      <c r="B27" s="10">
        <f t="shared" si="0"/>
        <v>0</v>
      </c>
      <c r="C27" s="10">
        <v>0</v>
      </c>
      <c r="D27" s="10" t="b">
        <f t="shared" si="1"/>
        <v>1</v>
      </c>
      <c r="E27" s="10">
        <f t="shared" si="2"/>
        <v>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8"/>
      <c r="AB27" s="8"/>
      <c r="AC27" s="8"/>
      <c r="AD27" s="8"/>
      <c r="AE27" s="9"/>
      <c r="AF27" s="9"/>
      <c r="AG27" s="9"/>
      <c r="AH27" s="9"/>
      <c r="AI27" s="9"/>
      <c r="AJ27" s="8"/>
      <c r="AK27" s="8"/>
      <c r="AL27" s="8"/>
      <c r="AM27" s="8"/>
      <c r="AN27" s="8"/>
      <c r="AO27" s="9"/>
      <c r="AP27" s="9"/>
      <c r="AQ27" s="9"/>
      <c r="AR27" s="9"/>
      <c r="AS27" s="9"/>
      <c r="AT27" s="8"/>
      <c r="AU27" s="8"/>
      <c r="AV27" s="8"/>
      <c r="AW27" s="8"/>
      <c r="AX27" s="8"/>
      <c r="AY27" s="8"/>
      <c r="AZ27" s="9"/>
      <c r="BA27" s="9"/>
      <c r="BB27" s="9"/>
      <c r="BC27" s="9"/>
      <c r="BD27" s="9"/>
      <c r="BE27" s="9"/>
      <c r="BF27" s="9"/>
      <c r="BG27" s="8"/>
      <c r="BH27" s="8"/>
      <c r="BI27" s="8"/>
      <c r="BJ27" s="8"/>
      <c r="BK27" s="8"/>
      <c r="BL27" s="8"/>
      <c r="BM27" s="9"/>
      <c r="BN27" s="9"/>
      <c r="BO27" s="9"/>
      <c r="BP27" s="9"/>
      <c r="BQ27" s="9"/>
      <c r="BR27" s="8"/>
      <c r="BS27" s="8"/>
      <c r="BT27" s="8"/>
      <c r="BU27" s="8"/>
      <c r="BV27" s="8"/>
      <c r="BW27" s="8"/>
      <c r="BX27" s="8"/>
      <c r="BY27" s="8"/>
      <c r="BZ27" s="9"/>
      <c r="CA27" s="9"/>
      <c r="CB27" s="9"/>
      <c r="CC27" s="9"/>
      <c r="CD27" s="9"/>
      <c r="CE27" s="8"/>
      <c r="CF27" s="8"/>
      <c r="CG27" s="8"/>
      <c r="CH27" s="8"/>
      <c r="CI27" s="8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8"/>
      <c r="CX27" s="8"/>
      <c r="CY27" s="8"/>
      <c r="CZ27" s="8"/>
      <c r="DA27" s="8"/>
      <c r="DB27" s="9"/>
      <c r="DC27" s="9"/>
      <c r="DD27" s="9"/>
      <c r="DE27" s="9"/>
      <c r="DF27" s="9"/>
      <c r="DG27" s="9"/>
      <c r="DH27" s="9"/>
      <c r="DI27" s="8"/>
      <c r="DJ27" s="8"/>
      <c r="DK27" s="8"/>
      <c r="DL27" s="8"/>
      <c r="DM27" s="8"/>
      <c r="DN27" s="8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8"/>
      <c r="DZ27" s="8"/>
      <c r="EA27" s="8"/>
      <c r="EB27" s="8"/>
      <c r="EC27" s="8"/>
      <c r="ED27" s="9"/>
      <c r="EE27" s="9"/>
      <c r="EF27" s="9"/>
      <c r="EG27" s="9"/>
      <c r="EH27" s="9"/>
      <c r="EI27" s="9"/>
      <c r="EJ27" s="9"/>
      <c r="EK27" s="8"/>
      <c r="EL27" s="8"/>
      <c r="EM27" s="8"/>
      <c r="EN27" s="8"/>
      <c r="EO27" s="8"/>
      <c r="EP27" s="8"/>
      <c r="EQ27" s="8"/>
      <c r="ER27" s="8"/>
      <c r="ES27" s="8"/>
      <c r="ET27" s="9"/>
      <c r="EU27" s="9"/>
      <c r="EV27" s="9"/>
      <c r="EW27" s="9"/>
      <c r="EX27" s="9"/>
      <c r="EY27" s="9"/>
      <c r="EZ27" s="9"/>
      <c r="FA27" s="9"/>
      <c r="FB27" s="8"/>
      <c r="FC27" s="8"/>
      <c r="FD27" s="8"/>
      <c r="FE27" s="8"/>
      <c r="FF27" s="9"/>
      <c r="FG27" s="9"/>
      <c r="FH27" s="9"/>
      <c r="FI27" s="9"/>
      <c r="FJ27" s="9"/>
      <c r="FK27" s="9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9"/>
      <c r="GA27" s="9"/>
      <c r="GB27" s="9"/>
      <c r="GC27" s="9"/>
      <c r="GD27" s="9"/>
      <c r="GE27" s="9"/>
      <c r="GF27" s="9"/>
      <c r="GG27" s="9"/>
      <c r="GH27" s="9"/>
      <c r="GI27" s="9"/>
    </row>
    <row r="28" spans="1:191" ht="15" customHeight="1" x14ac:dyDescent="0.25">
      <c r="A28" s="285">
        <v>544554600180</v>
      </c>
      <c r="B28" s="10">
        <f t="shared" si="0"/>
        <v>0</v>
      </c>
      <c r="C28" s="10">
        <v>0</v>
      </c>
      <c r="D28" s="10" t="b">
        <f t="shared" si="1"/>
        <v>1</v>
      </c>
      <c r="E28" s="10">
        <f t="shared" si="2"/>
        <v>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8"/>
      <c r="AB28" s="8"/>
      <c r="AC28" s="8"/>
      <c r="AD28" s="8"/>
      <c r="AE28" s="9"/>
      <c r="AF28" s="9"/>
      <c r="AG28" s="9"/>
      <c r="AH28" s="9"/>
      <c r="AI28" s="9"/>
      <c r="AJ28" s="8"/>
      <c r="AK28" s="8"/>
      <c r="AL28" s="8"/>
      <c r="AM28" s="8"/>
      <c r="AN28" s="8"/>
      <c r="AO28" s="9"/>
      <c r="AP28" s="9"/>
      <c r="AQ28" s="9"/>
      <c r="AR28" s="9"/>
      <c r="AS28" s="9"/>
      <c r="AT28" s="8"/>
      <c r="AU28" s="8"/>
      <c r="AV28" s="8"/>
      <c r="AW28" s="8"/>
      <c r="AX28" s="8"/>
      <c r="AY28" s="8"/>
      <c r="AZ28" s="9"/>
      <c r="BA28" s="9"/>
      <c r="BB28" s="9"/>
      <c r="BC28" s="9"/>
      <c r="BD28" s="9"/>
      <c r="BE28" s="9"/>
      <c r="BF28" s="9"/>
      <c r="BG28" s="8"/>
      <c r="BH28" s="8"/>
      <c r="BI28" s="8"/>
      <c r="BJ28" s="8"/>
      <c r="BK28" s="8"/>
      <c r="BL28" s="8"/>
      <c r="BM28" s="9"/>
      <c r="BN28" s="9"/>
      <c r="BO28" s="9"/>
      <c r="BP28" s="9"/>
      <c r="BQ28" s="9"/>
      <c r="BR28" s="8"/>
      <c r="BS28" s="8"/>
      <c r="BT28" s="8"/>
      <c r="BU28" s="8"/>
      <c r="BV28" s="8"/>
      <c r="BW28" s="8"/>
      <c r="BX28" s="8"/>
      <c r="BY28" s="8"/>
      <c r="BZ28" s="9"/>
      <c r="CA28" s="9"/>
      <c r="CB28" s="9"/>
      <c r="CC28" s="9"/>
      <c r="CD28" s="9"/>
      <c r="CE28" s="8"/>
      <c r="CF28" s="8"/>
      <c r="CG28" s="8"/>
      <c r="CH28" s="8"/>
      <c r="CI28" s="8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8"/>
      <c r="CX28" s="8"/>
      <c r="CY28" s="8"/>
      <c r="CZ28" s="8"/>
      <c r="DA28" s="8"/>
      <c r="DB28" s="9"/>
      <c r="DC28" s="9"/>
      <c r="DD28" s="9"/>
      <c r="DE28" s="9"/>
      <c r="DF28" s="9"/>
      <c r="DG28" s="9"/>
      <c r="DH28" s="9"/>
      <c r="DI28" s="8"/>
      <c r="DJ28" s="8"/>
      <c r="DK28" s="8"/>
      <c r="DL28" s="8"/>
      <c r="DM28" s="8"/>
      <c r="DN28" s="8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8"/>
      <c r="DZ28" s="8"/>
      <c r="EA28" s="8"/>
      <c r="EB28" s="8"/>
      <c r="EC28" s="8"/>
      <c r="ED28" s="9"/>
      <c r="EE28" s="9"/>
      <c r="EF28" s="9"/>
      <c r="EG28" s="9"/>
      <c r="EH28" s="9"/>
      <c r="EI28" s="9"/>
      <c r="EJ28" s="9"/>
      <c r="EK28" s="8"/>
      <c r="EL28" s="8"/>
      <c r="EM28" s="8"/>
      <c r="EN28" s="8"/>
      <c r="EO28" s="8"/>
      <c r="EP28" s="8"/>
      <c r="EQ28" s="8"/>
      <c r="ER28" s="8"/>
      <c r="ES28" s="8"/>
      <c r="ET28" s="9"/>
      <c r="EU28" s="9"/>
      <c r="EV28" s="9"/>
      <c r="EW28" s="9"/>
      <c r="EX28" s="9"/>
      <c r="EY28" s="9"/>
      <c r="EZ28" s="9"/>
      <c r="FA28" s="9"/>
      <c r="FB28" s="8"/>
      <c r="FC28" s="8"/>
      <c r="FD28" s="8"/>
      <c r="FE28" s="8"/>
      <c r="FF28" s="9"/>
      <c r="FG28" s="9"/>
      <c r="FH28" s="9"/>
      <c r="FI28" s="9"/>
      <c r="FJ28" s="9"/>
      <c r="FK28" s="9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9"/>
      <c r="GA28" s="9"/>
      <c r="GB28" s="9"/>
      <c r="GC28" s="9"/>
      <c r="GD28" s="9"/>
      <c r="GE28" s="9"/>
      <c r="GF28" s="9"/>
      <c r="GG28" s="9"/>
      <c r="GH28" s="9"/>
      <c r="GI28" s="9"/>
    </row>
    <row r="29" spans="1:191" ht="15" customHeight="1" x14ac:dyDescent="0.25">
      <c r="A29" s="285">
        <v>544554600226</v>
      </c>
      <c r="B29" s="10">
        <f t="shared" si="0"/>
        <v>0</v>
      </c>
      <c r="C29" s="10">
        <v>0</v>
      </c>
      <c r="D29" s="10" t="b">
        <f t="shared" si="1"/>
        <v>1</v>
      </c>
      <c r="E29" s="10">
        <f t="shared" si="2"/>
        <v>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8"/>
      <c r="AB29" s="8"/>
      <c r="AC29" s="8"/>
      <c r="AD29" s="8"/>
      <c r="AE29" s="9"/>
      <c r="AF29" s="9"/>
      <c r="AG29" s="9"/>
      <c r="AH29" s="9"/>
      <c r="AI29" s="9"/>
      <c r="AJ29" s="8"/>
      <c r="AK29" s="8"/>
      <c r="AL29" s="8"/>
      <c r="AM29" s="8"/>
      <c r="AN29" s="8"/>
      <c r="AO29" s="9"/>
      <c r="AP29" s="9"/>
      <c r="AQ29" s="9"/>
      <c r="AR29" s="9"/>
      <c r="AS29" s="9"/>
      <c r="AT29" s="8"/>
      <c r="AU29" s="8"/>
      <c r="AV29" s="8"/>
      <c r="AW29" s="8"/>
      <c r="AX29" s="8"/>
      <c r="AY29" s="8"/>
      <c r="AZ29" s="9"/>
      <c r="BA29" s="9"/>
      <c r="BB29" s="9"/>
      <c r="BC29" s="9"/>
      <c r="BD29" s="9"/>
      <c r="BE29" s="9"/>
      <c r="BF29" s="9"/>
      <c r="BG29" s="8"/>
      <c r="BH29" s="8"/>
      <c r="BI29" s="8"/>
      <c r="BJ29" s="8"/>
      <c r="BK29" s="8"/>
      <c r="BL29" s="8"/>
      <c r="BM29" s="9"/>
      <c r="BN29" s="9"/>
      <c r="BO29" s="9"/>
      <c r="BP29" s="9"/>
      <c r="BQ29" s="9"/>
      <c r="BR29" s="8"/>
      <c r="BS29" s="8"/>
      <c r="BT29" s="8"/>
      <c r="BU29" s="8"/>
      <c r="BV29" s="8"/>
      <c r="BW29" s="8"/>
      <c r="BX29" s="8"/>
      <c r="BY29" s="8"/>
      <c r="BZ29" s="9"/>
      <c r="CA29" s="9"/>
      <c r="CB29" s="9"/>
      <c r="CC29" s="9"/>
      <c r="CD29" s="9"/>
      <c r="CE29" s="8"/>
      <c r="CF29" s="8"/>
      <c r="CG29" s="8"/>
      <c r="CH29" s="8"/>
      <c r="CI29" s="8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8"/>
      <c r="CX29" s="8"/>
      <c r="CY29" s="8"/>
      <c r="CZ29" s="8"/>
      <c r="DA29" s="8"/>
      <c r="DB29" s="9"/>
      <c r="DC29" s="9"/>
      <c r="DD29" s="9"/>
      <c r="DE29" s="9"/>
      <c r="DF29" s="9"/>
      <c r="DG29" s="9"/>
      <c r="DH29" s="9"/>
      <c r="DI29" s="8"/>
      <c r="DJ29" s="8"/>
      <c r="DK29" s="8"/>
      <c r="DL29" s="8"/>
      <c r="DM29" s="8"/>
      <c r="DN29" s="8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8"/>
      <c r="DZ29" s="8"/>
      <c r="EA29" s="8"/>
      <c r="EB29" s="8"/>
      <c r="EC29" s="8"/>
      <c r="ED29" s="9"/>
      <c r="EE29" s="9"/>
      <c r="EF29" s="9"/>
      <c r="EG29" s="9"/>
      <c r="EH29" s="9"/>
      <c r="EI29" s="9"/>
      <c r="EJ29" s="9"/>
      <c r="EK29" s="8"/>
      <c r="EL29" s="8"/>
      <c r="EM29" s="8"/>
      <c r="EN29" s="8"/>
      <c r="EO29" s="8"/>
      <c r="EP29" s="8"/>
      <c r="EQ29" s="8"/>
      <c r="ER29" s="8"/>
      <c r="ES29" s="8"/>
      <c r="ET29" s="9"/>
      <c r="EU29" s="9"/>
      <c r="EV29" s="9"/>
      <c r="EW29" s="9"/>
      <c r="EX29" s="9"/>
      <c r="EY29" s="9"/>
      <c r="EZ29" s="9"/>
      <c r="FA29" s="9"/>
      <c r="FB29" s="8"/>
      <c r="FC29" s="8"/>
      <c r="FD29" s="8"/>
      <c r="FE29" s="8"/>
      <c r="FF29" s="9"/>
      <c r="FG29" s="9"/>
      <c r="FH29" s="9"/>
      <c r="FI29" s="9"/>
      <c r="FJ29" s="9"/>
      <c r="FK29" s="9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9"/>
      <c r="GA29" s="9"/>
      <c r="GB29" s="9"/>
      <c r="GC29" s="9"/>
      <c r="GD29" s="9"/>
      <c r="GE29" s="9"/>
      <c r="GF29" s="9"/>
      <c r="GG29" s="9"/>
      <c r="GH29" s="9"/>
      <c r="GI29" s="9"/>
    </row>
    <row r="30" spans="1:191" ht="15" customHeight="1" x14ac:dyDescent="0.25">
      <c r="A30" s="285">
        <v>544554600103</v>
      </c>
      <c r="B30" s="10">
        <f t="shared" si="0"/>
        <v>0</v>
      </c>
      <c r="C30" s="10">
        <v>0</v>
      </c>
      <c r="D30" s="10" t="b">
        <f t="shared" si="1"/>
        <v>1</v>
      </c>
      <c r="E30" s="10">
        <f t="shared" si="2"/>
        <v>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8"/>
      <c r="AB30" s="8"/>
      <c r="AC30" s="8"/>
      <c r="AD30" s="8"/>
      <c r="AE30" s="9"/>
      <c r="AF30" s="9"/>
      <c r="AG30" s="9"/>
      <c r="AH30" s="9"/>
      <c r="AI30" s="9"/>
      <c r="AJ30" s="8"/>
      <c r="AK30" s="8"/>
      <c r="AL30" s="8"/>
      <c r="AM30" s="8"/>
      <c r="AN30" s="8"/>
      <c r="AO30" s="9"/>
      <c r="AP30" s="9"/>
      <c r="AQ30" s="9"/>
      <c r="AR30" s="9"/>
      <c r="AS30" s="9"/>
      <c r="AT30" s="8"/>
      <c r="AU30" s="8"/>
      <c r="AV30" s="8"/>
      <c r="AW30" s="8"/>
      <c r="AX30" s="8"/>
      <c r="AY30" s="8"/>
      <c r="AZ30" s="9"/>
      <c r="BA30" s="9"/>
      <c r="BB30" s="9"/>
      <c r="BC30" s="9"/>
      <c r="BD30" s="9"/>
      <c r="BE30" s="9"/>
      <c r="BF30" s="9"/>
      <c r="BG30" s="8"/>
      <c r="BH30" s="8"/>
      <c r="BI30" s="8"/>
      <c r="BJ30" s="8"/>
      <c r="BK30" s="8"/>
      <c r="BL30" s="8"/>
      <c r="BM30" s="9"/>
      <c r="BN30" s="9"/>
      <c r="BO30" s="9"/>
      <c r="BP30" s="9"/>
      <c r="BQ30" s="9"/>
      <c r="BR30" s="8"/>
      <c r="BS30" s="8"/>
      <c r="BT30" s="8"/>
      <c r="BU30" s="8"/>
      <c r="BV30" s="8"/>
      <c r="BW30" s="8"/>
      <c r="BX30" s="8"/>
      <c r="BY30" s="8"/>
      <c r="BZ30" s="9"/>
      <c r="CA30" s="9"/>
      <c r="CB30" s="9"/>
      <c r="CC30" s="9"/>
      <c r="CD30" s="9"/>
      <c r="CE30" s="8"/>
      <c r="CF30" s="8"/>
      <c r="CG30" s="8"/>
      <c r="CH30" s="8"/>
      <c r="CI30" s="8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8"/>
      <c r="CX30" s="8"/>
      <c r="CY30" s="8"/>
      <c r="CZ30" s="8"/>
      <c r="DA30" s="8"/>
      <c r="DB30" s="9"/>
      <c r="DC30" s="9"/>
      <c r="DD30" s="9"/>
      <c r="DE30" s="9"/>
      <c r="DF30" s="9"/>
      <c r="DG30" s="9"/>
      <c r="DH30" s="9"/>
      <c r="DI30" s="8"/>
      <c r="DJ30" s="8"/>
      <c r="DK30" s="8"/>
      <c r="DL30" s="8"/>
      <c r="DM30" s="8"/>
      <c r="DN30" s="8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8"/>
      <c r="DZ30" s="8"/>
      <c r="EA30" s="8"/>
      <c r="EB30" s="8"/>
      <c r="EC30" s="8"/>
      <c r="ED30" s="9"/>
      <c r="EE30" s="9"/>
      <c r="EF30" s="9"/>
      <c r="EG30" s="9"/>
      <c r="EH30" s="9"/>
      <c r="EI30" s="9"/>
      <c r="EJ30" s="9"/>
      <c r="EK30" s="8"/>
      <c r="EL30" s="8"/>
      <c r="EM30" s="8"/>
      <c r="EN30" s="8"/>
      <c r="EO30" s="8"/>
      <c r="EP30" s="8"/>
      <c r="EQ30" s="8"/>
      <c r="ER30" s="8"/>
      <c r="ES30" s="8"/>
      <c r="ET30" s="9"/>
      <c r="EU30" s="9"/>
      <c r="EV30" s="9"/>
      <c r="EW30" s="9"/>
      <c r="EX30" s="9"/>
      <c r="EY30" s="9"/>
      <c r="EZ30" s="9"/>
      <c r="FA30" s="9"/>
      <c r="FB30" s="8"/>
      <c r="FC30" s="8"/>
      <c r="FD30" s="8"/>
      <c r="FE30" s="8"/>
      <c r="FF30" s="9"/>
      <c r="FG30" s="9"/>
      <c r="FH30" s="9"/>
      <c r="FI30" s="9"/>
      <c r="FJ30" s="9"/>
      <c r="FK30" s="9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9"/>
      <c r="GA30" s="9"/>
      <c r="GB30" s="9"/>
      <c r="GC30" s="9"/>
      <c r="GD30" s="9"/>
      <c r="GE30" s="9"/>
      <c r="GF30" s="9"/>
      <c r="GG30" s="9"/>
      <c r="GH30" s="9"/>
      <c r="GI30" s="9"/>
    </row>
    <row r="31" spans="1:191" ht="15" customHeight="1" x14ac:dyDescent="0.25">
      <c r="A31" s="285" t="s">
        <v>71</v>
      </c>
      <c r="B31" s="10">
        <f t="shared" si="0"/>
        <v>0</v>
      </c>
      <c r="C31" s="10">
        <v>0</v>
      </c>
      <c r="D31" s="10" t="b">
        <f t="shared" si="1"/>
        <v>1</v>
      </c>
      <c r="E31" s="10">
        <f t="shared" si="2"/>
        <v>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8"/>
      <c r="AB31" s="8"/>
      <c r="AC31" s="8"/>
      <c r="AD31" s="8"/>
      <c r="AE31" s="9"/>
      <c r="AF31" s="9"/>
      <c r="AG31" s="9"/>
      <c r="AH31" s="9"/>
      <c r="AI31" s="9"/>
      <c r="AJ31" s="8"/>
      <c r="AK31" s="8"/>
      <c r="AL31" s="8"/>
      <c r="AM31" s="8"/>
      <c r="AN31" s="8"/>
      <c r="AO31" s="9"/>
      <c r="AP31" s="9"/>
      <c r="AQ31" s="9"/>
      <c r="AR31" s="9"/>
      <c r="AS31" s="9"/>
      <c r="AT31" s="8"/>
      <c r="AU31" s="8"/>
      <c r="AV31" s="8"/>
      <c r="AW31" s="8"/>
      <c r="AX31" s="8"/>
      <c r="AY31" s="8"/>
      <c r="AZ31" s="9"/>
      <c r="BA31" s="9"/>
      <c r="BB31" s="9"/>
      <c r="BC31" s="9"/>
      <c r="BD31" s="9"/>
      <c r="BE31" s="9"/>
      <c r="BF31" s="9"/>
      <c r="BG31" s="8"/>
      <c r="BH31" s="8"/>
      <c r="BI31" s="8"/>
      <c r="BJ31" s="8"/>
      <c r="BK31" s="8"/>
      <c r="BL31" s="8"/>
      <c r="BM31" s="9"/>
      <c r="BN31" s="9"/>
      <c r="BO31" s="9"/>
      <c r="BP31" s="9"/>
      <c r="BQ31" s="9"/>
      <c r="BR31" s="8"/>
      <c r="BS31" s="8"/>
      <c r="BT31" s="8"/>
      <c r="BU31" s="8"/>
      <c r="BV31" s="8"/>
      <c r="BW31" s="8"/>
      <c r="BX31" s="8"/>
      <c r="BY31" s="8"/>
      <c r="BZ31" s="9"/>
      <c r="CA31" s="9"/>
      <c r="CB31" s="9"/>
      <c r="CC31" s="9"/>
      <c r="CD31" s="9"/>
      <c r="CE31" s="8"/>
      <c r="CF31" s="8"/>
      <c r="CG31" s="8"/>
      <c r="CH31" s="8"/>
      <c r="CI31" s="8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8"/>
      <c r="CX31" s="8"/>
      <c r="CY31" s="8"/>
      <c r="CZ31" s="8"/>
      <c r="DA31" s="8"/>
      <c r="DB31" s="9"/>
      <c r="DC31" s="9"/>
      <c r="DD31" s="9"/>
      <c r="DE31" s="9"/>
      <c r="DF31" s="9"/>
      <c r="DG31" s="9"/>
      <c r="DH31" s="9"/>
      <c r="DI31" s="8"/>
      <c r="DJ31" s="8"/>
      <c r="DK31" s="8"/>
      <c r="DL31" s="8"/>
      <c r="DM31" s="8"/>
      <c r="DN31" s="8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8"/>
      <c r="DZ31" s="8"/>
      <c r="EA31" s="8"/>
      <c r="EB31" s="8"/>
      <c r="EC31" s="8"/>
      <c r="ED31" s="9"/>
      <c r="EE31" s="9"/>
      <c r="EF31" s="9"/>
      <c r="EG31" s="9"/>
      <c r="EH31" s="9"/>
      <c r="EI31" s="9"/>
      <c r="EJ31" s="9"/>
      <c r="EK31" s="8"/>
      <c r="EL31" s="8"/>
      <c r="EM31" s="8"/>
      <c r="EN31" s="8"/>
      <c r="EO31" s="8"/>
      <c r="EP31" s="8"/>
      <c r="EQ31" s="8"/>
      <c r="ER31" s="8"/>
      <c r="ES31" s="8"/>
      <c r="ET31" s="9"/>
      <c r="EU31" s="9"/>
      <c r="EV31" s="9"/>
      <c r="EW31" s="9"/>
      <c r="EX31" s="9"/>
      <c r="EY31" s="9"/>
      <c r="EZ31" s="9"/>
      <c r="FA31" s="9"/>
      <c r="FB31" s="8"/>
      <c r="FC31" s="8"/>
      <c r="FD31" s="8"/>
      <c r="FE31" s="8"/>
      <c r="FF31" s="9"/>
      <c r="FG31" s="9"/>
      <c r="FH31" s="9"/>
      <c r="FI31" s="9"/>
      <c r="FJ31" s="9"/>
      <c r="FK31" s="9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9"/>
      <c r="GA31" s="9"/>
      <c r="GB31" s="9"/>
      <c r="GC31" s="9"/>
      <c r="GD31" s="9"/>
      <c r="GE31" s="9"/>
      <c r="GF31" s="9"/>
      <c r="GG31" s="9"/>
      <c r="GH31" s="9"/>
      <c r="GI31" s="9"/>
    </row>
    <row r="32" spans="1:191" ht="15" customHeight="1" x14ac:dyDescent="0.25">
      <c r="A32" s="285">
        <v>544554600228</v>
      </c>
      <c r="B32" s="10">
        <f t="shared" si="0"/>
        <v>0</v>
      </c>
      <c r="C32" s="10">
        <v>0</v>
      </c>
      <c r="D32" s="10" t="b">
        <f t="shared" si="1"/>
        <v>1</v>
      </c>
      <c r="E32" s="10">
        <f t="shared" si="2"/>
        <v>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8"/>
      <c r="AB32" s="8"/>
      <c r="AC32" s="8"/>
      <c r="AD32" s="8"/>
      <c r="AE32" s="9"/>
      <c r="AF32" s="9"/>
      <c r="AG32" s="9"/>
      <c r="AH32" s="9"/>
      <c r="AI32" s="9"/>
      <c r="AJ32" s="8"/>
      <c r="AK32" s="8"/>
      <c r="AL32" s="8"/>
      <c r="AM32" s="8"/>
      <c r="AN32" s="8"/>
      <c r="AO32" s="9"/>
      <c r="AP32" s="9"/>
      <c r="AQ32" s="9"/>
      <c r="AR32" s="9"/>
      <c r="AS32" s="9"/>
      <c r="AT32" s="8"/>
      <c r="AU32" s="8"/>
      <c r="AV32" s="8"/>
      <c r="AW32" s="8"/>
      <c r="AX32" s="8"/>
      <c r="AY32" s="8"/>
      <c r="AZ32" s="9"/>
      <c r="BA32" s="9"/>
      <c r="BB32" s="9"/>
      <c r="BC32" s="9"/>
      <c r="BD32" s="9"/>
      <c r="BE32" s="9"/>
      <c r="BF32" s="9"/>
      <c r="BG32" s="8"/>
      <c r="BH32" s="8"/>
      <c r="BI32" s="8"/>
      <c r="BJ32" s="8"/>
      <c r="BK32" s="8"/>
      <c r="BL32" s="8"/>
      <c r="BM32" s="9"/>
      <c r="BN32" s="9"/>
      <c r="BO32" s="9"/>
      <c r="BP32" s="9"/>
      <c r="BQ32" s="9"/>
      <c r="BR32" s="8"/>
      <c r="BS32" s="8"/>
      <c r="BT32" s="8"/>
      <c r="BU32" s="8"/>
      <c r="BV32" s="8"/>
      <c r="BW32" s="8"/>
      <c r="BX32" s="8"/>
      <c r="BY32" s="8"/>
      <c r="BZ32" s="9"/>
      <c r="CA32" s="9"/>
      <c r="CB32" s="9"/>
      <c r="CC32" s="9"/>
      <c r="CD32" s="9"/>
      <c r="CE32" s="8"/>
      <c r="CF32" s="8"/>
      <c r="CG32" s="8"/>
      <c r="CH32" s="8"/>
      <c r="CI32" s="8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8"/>
      <c r="CX32" s="8"/>
      <c r="CY32" s="8"/>
      <c r="CZ32" s="8"/>
      <c r="DA32" s="8"/>
      <c r="DB32" s="9"/>
      <c r="DC32" s="9"/>
      <c r="DD32" s="9"/>
      <c r="DE32" s="9"/>
      <c r="DF32" s="9"/>
      <c r="DG32" s="9"/>
      <c r="DH32" s="9"/>
      <c r="DI32" s="8"/>
      <c r="DJ32" s="8"/>
      <c r="DK32" s="8"/>
      <c r="DL32" s="8"/>
      <c r="DM32" s="8"/>
      <c r="DN32" s="8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8"/>
      <c r="DZ32" s="8"/>
      <c r="EA32" s="8"/>
      <c r="EB32" s="8"/>
      <c r="EC32" s="8"/>
      <c r="ED32" s="9"/>
      <c r="EE32" s="9"/>
      <c r="EF32" s="9"/>
      <c r="EG32" s="9"/>
      <c r="EH32" s="9"/>
      <c r="EI32" s="9"/>
      <c r="EJ32" s="9"/>
      <c r="EK32" s="8"/>
      <c r="EL32" s="8"/>
      <c r="EM32" s="8"/>
      <c r="EN32" s="8"/>
      <c r="EO32" s="8"/>
      <c r="EP32" s="8"/>
      <c r="EQ32" s="8"/>
      <c r="ER32" s="8"/>
      <c r="ES32" s="8"/>
      <c r="ET32" s="9"/>
      <c r="EU32" s="9"/>
      <c r="EV32" s="9"/>
      <c r="EW32" s="9"/>
      <c r="EX32" s="9"/>
      <c r="EY32" s="9"/>
      <c r="EZ32" s="9"/>
      <c r="FA32" s="9"/>
      <c r="FB32" s="8"/>
      <c r="FC32" s="8"/>
      <c r="FD32" s="8"/>
      <c r="FE32" s="8"/>
      <c r="FF32" s="9"/>
      <c r="FG32" s="9"/>
      <c r="FH32" s="9"/>
      <c r="FI32" s="9"/>
      <c r="FJ32" s="9"/>
      <c r="FK32" s="9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9"/>
      <c r="GA32" s="9"/>
      <c r="GB32" s="9"/>
      <c r="GC32" s="9"/>
      <c r="GD32" s="9"/>
      <c r="GE32" s="9"/>
      <c r="GF32" s="9"/>
      <c r="GG32" s="9"/>
      <c r="GH32" s="9"/>
      <c r="GI32" s="9"/>
    </row>
    <row r="33" spans="1:191" ht="15" customHeight="1" x14ac:dyDescent="0.25">
      <c r="A33" s="285">
        <v>544554610102</v>
      </c>
      <c r="B33" s="10">
        <f t="shared" si="0"/>
        <v>0</v>
      </c>
      <c r="C33" s="10">
        <v>0</v>
      </c>
      <c r="D33" s="10" t="b">
        <f t="shared" si="1"/>
        <v>1</v>
      </c>
      <c r="E33" s="10">
        <f t="shared" si="2"/>
        <v>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8"/>
      <c r="AB33" s="8"/>
      <c r="AC33" s="8"/>
      <c r="AD33" s="8"/>
      <c r="AE33" s="9"/>
      <c r="AF33" s="9"/>
      <c r="AG33" s="9"/>
      <c r="AH33" s="9"/>
      <c r="AI33" s="9"/>
      <c r="AJ33" s="8"/>
      <c r="AK33" s="8"/>
      <c r="AL33" s="8"/>
      <c r="AM33" s="8"/>
      <c r="AN33" s="8"/>
      <c r="AO33" s="9"/>
      <c r="AP33" s="9"/>
      <c r="AQ33" s="9"/>
      <c r="AR33" s="9"/>
      <c r="AS33" s="9"/>
      <c r="AT33" s="8"/>
      <c r="AU33" s="8"/>
      <c r="AV33" s="8"/>
      <c r="AW33" s="8"/>
      <c r="AX33" s="8"/>
      <c r="AY33" s="8"/>
      <c r="AZ33" s="9"/>
      <c r="BA33" s="9"/>
      <c r="BB33" s="9"/>
      <c r="BC33" s="9"/>
      <c r="BD33" s="9"/>
      <c r="BE33" s="9"/>
      <c r="BF33" s="9"/>
      <c r="BG33" s="8"/>
      <c r="BH33" s="8"/>
      <c r="BI33" s="8"/>
      <c r="BJ33" s="8"/>
      <c r="BK33" s="8"/>
      <c r="BL33" s="8"/>
      <c r="BM33" s="9"/>
      <c r="BN33" s="9"/>
      <c r="BO33" s="9"/>
      <c r="BP33" s="9"/>
      <c r="BQ33" s="9"/>
      <c r="BR33" s="8"/>
      <c r="BS33" s="8"/>
      <c r="BT33" s="8"/>
      <c r="BU33" s="8"/>
      <c r="BV33" s="8"/>
      <c r="BW33" s="8"/>
      <c r="BX33" s="8"/>
      <c r="BY33" s="8"/>
      <c r="BZ33" s="9"/>
      <c r="CA33" s="9"/>
      <c r="CB33" s="9"/>
      <c r="CC33" s="9"/>
      <c r="CD33" s="9"/>
      <c r="CE33" s="8"/>
      <c r="CF33" s="8"/>
      <c r="CG33" s="8"/>
      <c r="CH33" s="8"/>
      <c r="CI33" s="8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8"/>
      <c r="CX33" s="8"/>
      <c r="CY33" s="8"/>
      <c r="CZ33" s="8"/>
      <c r="DA33" s="8"/>
      <c r="DB33" s="9"/>
      <c r="DC33" s="9"/>
      <c r="DD33" s="9"/>
      <c r="DE33" s="9"/>
      <c r="DF33" s="9"/>
      <c r="DG33" s="9"/>
      <c r="DH33" s="9"/>
      <c r="DI33" s="8"/>
      <c r="DJ33" s="8"/>
      <c r="DK33" s="8"/>
      <c r="DL33" s="8"/>
      <c r="DM33" s="8"/>
      <c r="DN33" s="8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8"/>
      <c r="DZ33" s="8"/>
      <c r="EA33" s="8"/>
      <c r="EB33" s="8"/>
      <c r="EC33" s="8"/>
      <c r="ED33" s="9"/>
      <c r="EE33" s="9"/>
      <c r="EF33" s="9"/>
      <c r="EG33" s="9"/>
      <c r="EH33" s="9"/>
      <c r="EI33" s="9"/>
      <c r="EJ33" s="9"/>
      <c r="EK33" s="8"/>
      <c r="EL33" s="8"/>
      <c r="EM33" s="8"/>
      <c r="EN33" s="8"/>
      <c r="EO33" s="8"/>
      <c r="EP33" s="8"/>
      <c r="EQ33" s="8"/>
      <c r="ER33" s="8"/>
      <c r="ES33" s="8"/>
      <c r="ET33" s="9"/>
      <c r="EU33" s="9"/>
      <c r="EV33" s="9"/>
      <c r="EW33" s="9"/>
      <c r="EX33" s="9"/>
      <c r="EY33" s="9"/>
      <c r="EZ33" s="9"/>
      <c r="FA33" s="9"/>
      <c r="FB33" s="8"/>
      <c r="FC33" s="8"/>
      <c r="FD33" s="8"/>
      <c r="FE33" s="8"/>
      <c r="FF33" s="9"/>
      <c r="FG33" s="9"/>
      <c r="FH33" s="9"/>
      <c r="FI33" s="9"/>
      <c r="FJ33" s="9"/>
      <c r="FK33" s="9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9"/>
      <c r="GA33" s="9"/>
      <c r="GB33" s="9"/>
      <c r="GC33" s="9"/>
      <c r="GD33" s="9"/>
      <c r="GE33" s="9"/>
      <c r="GF33" s="9"/>
      <c r="GG33" s="9"/>
      <c r="GH33" s="9"/>
      <c r="GI33" s="9"/>
    </row>
    <row r="34" spans="1:191" ht="15" customHeight="1" x14ac:dyDescent="0.25">
      <c r="A34" s="285" t="s">
        <v>72</v>
      </c>
      <c r="B34" s="10">
        <f t="shared" si="0"/>
        <v>0</v>
      </c>
      <c r="C34" s="10">
        <v>0</v>
      </c>
      <c r="D34" s="10" t="b">
        <f t="shared" si="1"/>
        <v>1</v>
      </c>
      <c r="E34" s="10">
        <f t="shared" si="2"/>
        <v>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8"/>
      <c r="AB34" s="8"/>
      <c r="AC34" s="8"/>
      <c r="AD34" s="8"/>
      <c r="AE34" s="9"/>
      <c r="AF34" s="9"/>
      <c r="AG34" s="9"/>
      <c r="AH34" s="9"/>
      <c r="AI34" s="9"/>
      <c r="AJ34" s="8"/>
      <c r="AK34" s="8"/>
      <c r="AL34" s="8"/>
      <c r="AM34" s="8"/>
      <c r="AN34" s="8"/>
      <c r="AO34" s="9"/>
      <c r="AP34" s="9"/>
      <c r="AQ34" s="9"/>
      <c r="AR34" s="9"/>
      <c r="AS34" s="9"/>
      <c r="AT34" s="8"/>
      <c r="AU34" s="8"/>
      <c r="AV34" s="8"/>
      <c r="AW34" s="8"/>
      <c r="AX34" s="8"/>
      <c r="AY34" s="8"/>
      <c r="AZ34" s="9"/>
      <c r="BA34" s="9"/>
      <c r="BB34" s="9"/>
      <c r="BC34" s="9"/>
      <c r="BD34" s="9"/>
      <c r="BE34" s="9"/>
      <c r="BF34" s="9"/>
      <c r="BG34" s="8"/>
      <c r="BH34" s="8"/>
      <c r="BI34" s="8"/>
      <c r="BJ34" s="8"/>
      <c r="BK34" s="8"/>
      <c r="BL34" s="8"/>
      <c r="BM34" s="9"/>
      <c r="BN34" s="9"/>
      <c r="BO34" s="9"/>
      <c r="BP34" s="9"/>
      <c r="BQ34" s="9"/>
      <c r="BR34" s="8"/>
      <c r="BS34" s="8"/>
      <c r="BT34" s="8"/>
      <c r="BU34" s="8"/>
      <c r="BV34" s="8"/>
      <c r="BW34" s="8"/>
      <c r="BX34" s="8"/>
      <c r="BY34" s="8"/>
      <c r="BZ34" s="9"/>
      <c r="CA34" s="9"/>
      <c r="CB34" s="9"/>
      <c r="CC34" s="9"/>
      <c r="CD34" s="9"/>
      <c r="CE34" s="8"/>
      <c r="CF34" s="8"/>
      <c r="CG34" s="8"/>
      <c r="CH34" s="8"/>
      <c r="CI34" s="8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8"/>
      <c r="CX34" s="8"/>
      <c r="CY34" s="8"/>
      <c r="CZ34" s="8"/>
      <c r="DA34" s="8"/>
      <c r="DB34" s="9"/>
      <c r="DC34" s="9"/>
      <c r="DD34" s="9"/>
      <c r="DE34" s="9"/>
      <c r="DF34" s="9"/>
      <c r="DG34" s="9"/>
      <c r="DH34" s="9"/>
      <c r="DI34" s="8"/>
      <c r="DJ34" s="8"/>
      <c r="DK34" s="8"/>
      <c r="DL34" s="8"/>
      <c r="DM34" s="8"/>
      <c r="DN34" s="8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8"/>
      <c r="DZ34" s="8"/>
      <c r="EA34" s="8"/>
      <c r="EB34" s="8"/>
      <c r="EC34" s="8"/>
      <c r="ED34" s="9"/>
      <c r="EE34" s="9"/>
      <c r="EF34" s="9"/>
      <c r="EG34" s="9"/>
      <c r="EH34" s="9"/>
      <c r="EI34" s="9"/>
      <c r="EJ34" s="9"/>
      <c r="EK34" s="8"/>
      <c r="EL34" s="8"/>
      <c r="EM34" s="8"/>
      <c r="EN34" s="8"/>
      <c r="EO34" s="8"/>
      <c r="EP34" s="8"/>
      <c r="EQ34" s="8"/>
      <c r="ER34" s="8"/>
      <c r="ES34" s="8"/>
      <c r="ET34" s="9"/>
      <c r="EU34" s="9"/>
      <c r="EV34" s="9"/>
      <c r="EW34" s="9"/>
      <c r="EX34" s="9"/>
      <c r="EY34" s="9"/>
      <c r="EZ34" s="9"/>
      <c r="FA34" s="9"/>
      <c r="FB34" s="8"/>
      <c r="FC34" s="8"/>
      <c r="FD34" s="8"/>
      <c r="FE34" s="8"/>
      <c r="FF34" s="9"/>
      <c r="FG34" s="9"/>
      <c r="FH34" s="9"/>
      <c r="FI34" s="9"/>
      <c r="FJ34" s="9"/>
      <c r="FK34" s="9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9"/>
      <c r="GA34" s="9"/>
      <c r="GB34" s="9"/>
      <c r="GC34" s="9"/>
      <c r="GD34" s="9"/>
      <c r="GE34" s="9"/>
      <c r="GF34" s="9"/>
      <c r="GG34" s="9"/>
      <c r="GH34" s="9"/>
      <c r="GI34" s="9"/>
    </row>
    <row r="35" spans="1:191" ht="15" customHeight="1" x14ac:dyDescent="0.25">
      <c r="A35" s="285" t="s">
        <v>73</v>
      </c>
      <c r="B35" s="10">
        <f t="shared" si="0"/>
        <v>0</v>
      </c>
      <c r="C35" s="10">
        <v>0</v>
      </c>
      <c r="D35" s="10" t="b">
        <f t="shared" si="1"/>
        <v>1</v>
      </c>
      <c r="E35" s="10">
        <f t="shared" si="2"/>
        <v>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8"/>
      <c r="AB35" s="8"/>
      <c r="AC35" s="8"/>
      <c r="AD35" s="8"/>
      <c r="AE35" s="9"/>
      <c r="AF35" s="9"/>
      <c r="AG35" s="9"/>
      <c r="AH35" s="9"/>
      <c r="AI35" s="9"/>
      <c r="AJ35" s="8"/>
      <c r="AK35" s="8"/>
      <c r="AL35" s="8"/>
      <c r="AM35" s="8"/>
      <c r="AN35" s="8"/>
      <c r="AO35" s="9"/>
      <c r="AP35" s="9"/>
      <c r="AQ35" s="9"/>
      <c r="AR35" s="9"/>
      <c r="AS35" s="9"/>
      <c r="AT35" s="8"/>
      <c r="AU35" s="8"/>
      <c r="AV35" s="8"/>
      <c r="AW35" s="8"/>
      <c r="AX35" s="8"/>
      <c r="AY35" s="8"/>
      <c r="AZ35" s="9"/>
      <c r="BA35" s="9"/>
      <c r="BB35" s="9"/>
      <c r="BC35" s="9"/>
      <c r="BD35" s="9"/>
      <c r="BE35" s="9"/>
      <c r="BF35" s="9"/>
      <c r="BG35" s="8"/>
      <c r="BH35" s="8"/>
      <c r="BI35" s="8"/>
      <c r="BJ35" s="8"/>
      <c r="BK35" s="8"/>
      <c r="BL35" s="8"/>
      <c r="BM35" s="9"/>
      <c r="BN35" s="9"/>
      <c r="BO35" s="9"/>
      <c r="BP35" s="9"/>
      <c r="BQ35" s="9"/>
      <c r="BR35" s="8"/>
      <c r="BS35" s="8"/>
      <c r="BT35" s="8"/>
      <c r="BU35" s="8"/>
      <c r="BV35" s="8"/>
      <c r="BW35" s="8"/>
      <c r="BX35" s="8"/>
      <c r="BY35" s="8"/>
      <c r="BZ35" s="9"/>
      <c r="CA35" s="9"/>
      <c r="CB35" s="9"/>
      <c r="CC35" s="9"/>
      <c r="CD35" s="9"/>
      <c r="CE35" s="8"/>
      <c r="CF35" s="8"/>
      <c r="CG35" s="8"/>
      <c r="CH35" s="8"/>
      <c r="CI35" s="8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8"/>
      <c r="CX35" s="8"/>
      <c r="CY35" s="8"/>
      <c r="CZ35" s="8"/>
      <c r="DA35" s="8"/>
      <c r="DB35" s="9"/>
      <c r="DC35" s="9"/>
      <c r="DD35" s="9"/>
      <c r="DE35" s="9"/>
      <c r="DF35" s="9"/>
      <c r="DG35" s="9"/>
      <c r="DH35" s="9"/>
      <c r="DI35" s="8"/>
      <c r="DJ35" s="8"/>
      <c r="DK35" s="8"/>
      <c r="DL35" s="8"/>
      <c r="DM35" s="8"/>
      <c r="DN35" s="8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8"/>
      <c r="DZ35" s="8"/>
      <c r="EA35" s="8"/>
      <c r="EB35" s="8"/>
      <c r="EC35" s="8"/>
      <c r="ED35" s="9"/>
      <c r="EE35" s="9"/>
      <c r="EF35" s="9"/>
      <c r="EG35" s="9"/>
      <c r="EH35" s="9"/>
      <c r="EI35" s="9"/>
      <c r="EJ35" s="9"/>
      <c r="EK35" s="8"/>
      <c r="EL35" s="8"/>
      <c r="EM35" s="8"/>
      <c r="EN35" s="8"/>
      <c r="EO35" s="8"/>
      <c r="EP35" s="8"/>
      <c r="EQ35" s="8"/>
      <c r="ER35" s="8"/>
      <c r="ES35" s="8"/>
      <c r="ET35" s="9"/>
      <c r="EU35" s="9"/>
      <c r="EV35" s="9"/>
      <c r="EW35" s="9"/>
      <c r="EX35" s="9"/>
      <c r="EY35" s="9"/>
      <c r="EZ35" s="9"/>
      <c r="FA35" s="9"/>
      <c r="FB35" s="8"/>
      <c r="FC35" s="8"/>
      <c r="FD35" s="8"/>
      <c r="FE35" s="8"/>
      <c r="FF35" s="9"/>
      <c r="FG35" s="9"/>
      <c r="FH35" s="9"/>
      <c r="FI35" s="9"/>
      <c r="FJ35" s="9"/>
      <c r="FK35" s="9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9"/>
      <c r="GA35" s="9"/>
      <c r="GB35" s="9"/>
      <c r="GC35" s="9"/>
      <c r="GD35" s="9"/>
      <c r="GE35" s="9"/>
      <c r="GF35" s="9"/>
      <c r="GG35" s="9"/>
      <c r="GH35" s="9"/>
      <c r="GI35" s="9"/>
    </row>
    <row r="36" spans="1:191" ht="15" customHeight="1" x14ac:dyDescent="0.25">
      <c r="A36" s="285" t="s">
        <v>74</v>
      </c>
      <c r="B36" s="10">
        <f t="shared" si="0"/>
        <v>0</v>
      </c>
      <c r="C36" s="10">
        <v>0</v>
      </c>
      <c r="D36" s="10" t="b">
        <f t="shared" si="1"/>
        <v>1</v>
      </c>
      <c r="E36" s="10">
        <f t="shared" si="2"/>
        <v>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8"/>
      <c r="AB36" s="8"/>
      <c r="AC36" s="8"/>
      <c r="AD36" s="8"/>
      <c r="AE36" s="9"/>
      <c r="AF36" s="9"/>
      <c r="AG36" s="9"/>
      <c r="AH36" s="9"/>
      <c r="AI36" s="9"/>
      <c r="AJ36" s="8"/>
      <c r="AK36" s="8"/>
      <c r="AL36" s="8"/>
      <c r="AM36" s="8"/>
      <c r="AN36" s="8"/>
      <c r="AO36" s="9"/>
      <c r="AP36" s="9"/>
      <c r="AQ36" s="9"/>
      <c r="AR36" s="9"/>
      <c r="AS36" s="9"/>
      <c r="AT36" s="8"/>
      <c r="AU36" s="8"/>
      <c r="AV36" s="8"/>
      <c r="AW36" s="8"/>
      <c r="AX36" s="8"/>
      <c r="AY36" s="8"/>
      <c r="AZ36" s="9"/>
      <c r="BA36" s="9"/>
      <c r="BB36" s="9"/>
      <c r="BC36" s="9"/>
      <c r="BD36" s="9"/>
      <c r="BE36" s="9"/>
      <c r="BF36" s="9"/>
      <c r="BG36" s="8"/>
      <c r="BH36" s="8"/>
      <c r="BI36" s="8"/>
      <c r="BJ36" s="8"/>
      <c r="BK36" s="8"/>
      <c r="BL36" s="8"/>
      <c r="BM36" s="9"/>
      <c r="BN36" s="9"/>
      <c r="BO36" s="9"/>
      <c r="BP36" s="9"/>
      <c r="BQ36" s="9"/>
      <c r="BR36" s="8"/>
      <c r="BS36" s="8"/>
      <c r="BT36" s="8"/>
      <c r="BU36" s="8"/>
      <c r="BV36" s="8"/>
      <c r="BW36" s="8"/>
      <c r="BX36" s="8"/>
      <c r="BY36" s="8"/>
      <c r="BZ36" s="9"/>
      <c r="CA36" s="9"/>
      <c r="CB36" s="9"/>
      <c r="CC36" s="9"/>
      <c r="CD36" s="9"/>
      <c r="CE36" s="8"/>
      <c r="CF36" s="8"/>
      <c r="CG36" s="8"/>
      <c r="CH36" s="8"/>
      <c r="CI36" s="8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8"/>
      <c r="CX36" s="8"/>
      <c r="CY36" s="8"/>
      <c r="CZ36" s="8"/>
      <c r="DA36" s="8"/>
      <c r="DB36" s="9"/>
      <c r="DC36" s="9"/>
      <c r="DD36" s="9"/>
      <c r="DE36" s="9"/>
      <c r="DF36" s="9"/>
      <c r="DG36" s="9"/>
      <c r="DH36" s="9"/>
      <c r="DI36" s="8"/>
      <c r="DJ36" s="8"/>
      <c r="DK36" s="8"/>
      <c r="DL36" s="8"/>
      <c r="DM36" s="8"/>
      <c r="DN36" s="8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8"/>
      <c r="DZ36" s="8"/>
      <c r="EA36" s="8"/>
      <c r="EB36" s="8"/>
      <c r="EC36" s="8"/>
      <c r="ED36" s="9"/>
      <c r="EE36" s="9"/>
      <c r="EF36" s="9"/>
      <c r="EG36" s="9"/>
      <c r="EH36" s="9"/>
      <c r="EI36" s="9"/>
      <c r="EJ36" s="9"/>
      <c r="EK36" s="8"/>
      <c r="EL36" s="8"/>
      <c r="EM36" s="8"/>
      <c r="EN36" s="8"/>
      <c r="EO36" s="8"/>
      <c r="EP36" s="8"/>
      <c r="EQ36" s="8"/>
      <c r="ER36" s="8"/>
      <c r="ES36" s="8"/>
      <c r="ET36" s="9"/>
      <c r="EU36" s="9"/>
      <c r="EV36" s="9"/>
      <c r="EW36" s="9"/>
      <c r="EX36" s="9"/>
      <c r="EY36" s="9"/>
      <c r="EZ36" s="9"/>
      <c r="FA36" s="9"/>
      <c r="FB36" s="8"/>
      <c r="FC36" s="8"/>
      <c r="FD36" s="8"/>
      <c r="FE36" s="8"/>
      <c r="FF36" s="9"/>
      <c r="FG36" s="9"/>
      <c r="FH36" s="9"/>
      <c r="FI36" s="9"/>
      <c r="FJ36" s="9"/>
      <c r="FK36" s="9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9"/>
      <c r="GA36" s="9"/>
      <c r="GB36" s="9"/>
      <c r="GC36" s="9"/>
      <c r="GD36" s="9"/>
      <c r="GE36" s="9"/>
      <c r="GF36" s="9"/>
      <c r="GG36" s="9"/>
      <c r="GH36" s="9"/>
      <c r="GI36" s="9"/>
    </row>
    <row r="37" spans="1:191" ht="15" customHeight="1" x14ac:dyDescent="0.25">
      <c r="A37" s="285" t="s">
        <v>75</v>
      </c>
      <c r="B37" s="10">
        <f t="shared" ref="B37:B68" si="3">SUM(F37:GI37)</f>
        <v>0</v>
      </c>
      <c r="C37" s="10">
        <v>0</v>
      </c>
      <c r="D37" s="10" t="b">
        <f t="shared" si="1"/>
        <v>1</v>
      </c>
      <c r="E37" s="10">
        <f t="shared" si="2"/>
        <v>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8"/>
      <c r="AB37" s="8"/>
      <c r="AC37" s="8"/>
      <c r="AD37" s="8"/>
      <c r="AE37" s="9"/>
      <c r="AF37" s="9"/>
      <c r="AG37" s="9"/>
      <c r="AH37" s="9"/>
      <c r="AI37" s="9"/>
      <c r="AJ37" s="8"/>
      <c r="AK37" s="8"/>
      <c r="AL37" s="8"/>
      <c r="AM37" s="8"/>
      <c r="AN37" s="8"/>
      <c r="AO37" s="9"/>
      <c r="AP37" s="9"/>
      <c r="AQ37" s="9"/>
      <c r="AR37" s="9"/>
      <c r="AS37" s="9"/>
      <c r="AT37" s="8"/>
      <c r="AU37" s="8"/>
      <c r="AV37" s="8"/>
      <c r="AW37" s="8"/>
      <c r="AX37" s="8"/>
      <c r="AY37" s="8"/>
      <c r="AZ37" s="9"/>
      <c r="BA37" s="9"/>
      <c r="BB37" s="9"/>
      <c r="BC37" s="9"/>
      <c r="BD37" s="9"/>
      <c r="BE37" s="9"/>
      <c r="BF37" s="9"/>
      <c r="BG37" s="8"/>
      <c r="BH37" s="8"/>
      <c r="BI37" s="8"/>
      <c r="BJ37" s="8"/>
      <c r="BK37" s="8"/>
      <c r="BL37" s="8"/>
      <c r="BM37" s="9"/>
      <c r="BN37" s="9"/>
      <c r="BO37" s="9"/>
      <c r="BP37" s="9"/>
      <c r="BQ37" s="9"/>
      <c r="BR37" s="8"/>
      <c r="BS37" s="8"/>
      <c r="BT37" s="8"/>
      <c r="BU37" s="8"/>
      <c r="BV37" s="8"/>
      <c r="BW37" s="8"/>
      <c r="BX37" s="8"/>
      <c r="BY37" s="8"/>
      <c r="BZ37" s="9"/>
      <c r="CA37" s="9"/>
      <c r="CB37" s="9"/>
      <c r="CC37" s="9"/>
      <c r="CD37" s="9"/>
      <c r="CE37" s="8"/>
      <c r="CF37" s="8"/>
      <c r="CG37" s="8"/>
      <c r="CH37" s="8"/>
      <c r="CI37" s="8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8"/>
      <c r="CX37" s="8"/>
      <c r="CY37" s="8"/>
      <c r="CZ37" s="8"/>
      <c r="DA37" s="8"/>
      <c r="DB37" s="9"/>
      <c r="DC37" s="9"/>
      <c r="DD37" s="9"/>
      <c r="DE37" s="9"/>
      <c r="DF37" s="9"/>
      <c r="DG37" s="9"/>
      <c r="DH37" s="9"/>
      <c r="DI37" s="8"/>
      <c r="DJ37" s="8"/>
      <c r="DK37" s="8"/>
      <c r="DL37" s="8"/>
      <c r="DM37" s="8"/>
      <c r="DN37" s="8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8"/>
      <c r="DZ37" s="8"/>
      <c r="EA37" s="8"/>
      <c r="EB37" s="8"/>
      <c r="EC37" s="8"/>
      <c r="ED37" s="9"/>
      <c r="EE37" s="9"/>
      <c r="EF37" s="9"/>
      <c r="EG37" s="9"/>
      <c r="EH37" s="9"/>
      <c r="EI37" s="9"/>
      <c r="EJ37" s="9"/>
      <c r="EK37" s="8"/>
      <c r="EL37" s="8"/>
      <c r="EM37" s="8"/>
      <c r="EN37" s="8"/>
      <c r="EO37" s="8"/>
      <c r="EP37" s="8"/>
      <c r="EQ37" s="8"/>
      <c r="ER37" s="8"/>
      <c r="ES37" s="8"/>
      <c r="ET37" s="9"/>
      <c r="EU37" s="9"/>
      <c r="EV37" s="9"/>
      <c r="EW37" s="9"/>
      <c r="EX37" s="9"/>
      <c r="EY37" s="9"/>
      <c r="EZ37" s="9"/>
      <c r="FA37" s="9"/>
      <c r="FB37" s="8"/>
      <c r="FC37" s="8"/>
      <c r="FD37" s="8"/>
      <c r="FE37" s="8"/>
      <c r="FF37" s="9"/>
      <c r="FG37" s="9"/>
      <c r="FH37" s="9"/>
      <c r="FI37" s="9"/>
      <c r="FJ37" s="9"/>
      <c r="FK37" s="9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9"/>
      <c r="GA37" s="9"/>
      <c r="GB37" s="9"/>
      <c r="GC37" s="9"/>
      <c r="GD37" s="9"/>
      <c r="GE37" s="9"/>
      <c r="GF37" s="9"/>
      <c r="GG37" s="9"/>
      <c r="GH37" s="9"/>
      <c r="GI37" s="9"/>
    </row>
    <row r="38" spans="1:191" ht="15" customHeight="1" x14ac:dyDescent="0.25">
      <c r="A38" s="285" t="s">
        <v>76</v>
      </c>
      <c r="B38" s="10">
        <f t="shared" si="3"/>
        <v>0</v>
      </c>
      <c r="C38" s="10">
        <v>0</v>
      </c>
      <c r="D38" s="10" t="b">
        <f t="shared" si="1"/>
        <v>1</v>
      </c>
      <c r="E38" s="10">
        <f t="shared" si="2"/>
        <v>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8"/>
      <c r="AB38" s="8"/>
      <c r="AC38" s="8"/>
      <c r="AD38" s="8"/>
      <c r="AE38" s="9"/>
      <c r="AF38" s="9"/>
      <c r="AG38" s="9"/>
      <c r="AH38" s="9"/>
      <c r="AI38" s="9"/>
      <c r="AJ38" s="8"/>
      <c r="AK38" s="8"/>
      <c r="AL38" s="8"/>
      <c r="AM38" s="8"/>
      <c r="AN38" s="8"/>
      <c r="AO38" s="9"/>
      <c r="AP38" s="9"/>
      <c r="AQ38" s="9"/>
      <c r="AR38" s="9"/>
      <c r="AS38" s="9"/>
      <c r="AT38" s="8"/>
      <c r="AU38" s="8"/>
      <c r="AV38" s="8"/>
      <c r="AW38" s="8"/>
      <c r="AX38" s="8"/>
      <c r="AY38" s="8"/>
      <c r="AZ38" s="9"/>
      <c r="BA38" s="9"/>
      <c r="BB38" s="9"/>
      <c r="BC38" s="9"/>
      <c r="BD38" s="9"/>
      <c r="BE38" s="9"/>
      <c r="BF38" s="9"/>
      <c r="BG38" s="8"/>
      <c r="BH38" s="8"/>
      <c r="BI38" s="8"/>
      <c r="BJ38" s="8"/>
      <c r="BK38" s="8"/>
      <c r="BL38" s="8"/>
      <c r="BM38" s="9"/>
      <c r="BN38" s="9"/>
      <c r="BO38" s="9"/>
      <c r="BP38" s="9"/>
      <c r="BQ38" s="9"/>
      <c r="BR38" s="8"/>
      <c r="BS38" s="8"/>
      <c r="BT38" s="8"/>
      <c r="BU38" s="8"/>
      <c r="BV38" s="8"/>
      <c r="BW38" s="8"/>
      <c r="BX38" s="8"/>
      <c r="BY38" s="8"/>
      <c r="BZ38" s="9"/>
      <c r="CA38" s="9"/>
      <c r="CB38" s="9"/>
      <c r="CC38" s="9"/>
      <c r="CD38" s="9"/>
      <c r="CE38" s="8"/>
      <c r="CF38" s="8"/>
      <c r="CG38" s="8"/>
      <c r="CH38" s="8"/>
      <c r="CI38" s="8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8"/>
      <c r="CX38" s="8"/>
      <c r="CY38" s="8"/>
      <c r="CZ38" s="8"/>
      <c r="DA38" s="8"/>
      <c r="DB38" s="9"/>
      <c r="DC38" s="9"/>
      <c r="DD38" s="9"/>
      <c r="DE38" s="9"/>
      <c r="DF38" s="9"/>
      <c r="DG38" s="9"/>
      <c r="DH38" s="9"/>
      <c r="DI38" s="8"/>
      <c r="DJ38" s="8"/>
      <c r="DK38" s="8"/>
      <c r="DL38" s="8"/>
      <c r="DM38" s="8"/>
      <c r="DN38" s="8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8"/>
      <c r="DZ38" s="8"/>
      <c r="EA38" s="8"/>
      <c r="EB38" s="8"/>
      <c r="EC38" s="8"/>
      <c r="ED38" s="9"/>
      <c r="EE38" s="9"/>
      <c r="EF38" s="9"/>
      <c r="EG38" s="9"/>
      <c r="EH38" s="9"/>
      <c r="EI38" s="9"/>
      <c r="EJ38" s="9"/>
      <c r="EK38" s="8"/>
      <c r="EL38" s="8"/>
      <c r="EM38" s="8"/>
      <c r="EN38" s="8"/>
      <c r="EO38" s="8"/>
      <c r="EP38" s="8"/>
      <c r="EQ38" s="8"/>
      <c r="ER38" s="8"/>
      <c r="ES38" s="8"/>
      <c r="ET38" s="9"/>
      <c r="EU38" s="9"/>
      <c r="EV38" s="9"/>
      <c r="EW38" s="9"/>
      <c r="EX38" s="9"/>
      <c r="EY38" s="9"/>
      <c r="EZ38" s="9"/>
      <c r="FA38" s="9"/>
      <c r="FB38" s="8"/>
      <c r="FC38" s="8"/>
      <c r="FD38" s="8"/>
      <c r="FE38" s="8"/>
      <c r="FF38" s="9"/>
      <c r="FG38" s="9"/>
      <c r="FH38" s="9"/>
      <c r="FI38" s="9"/>
      <c r="FJ38" s="9"/>
      <c r="FK38" s="9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9"/>
      <c r="GA38" s="9"/>
      <c r="GB38" s="9"/>
      <c r="GC38" s="9"/>
      <c r="GD38" s="9"/>
      <c r="GE38" s="9"/>
      <c r="GF38" s="9"/>
      <c r="GG38" s="9"/>
      <c r="GH38" s="9"/>
      <c r="GI38" s="9"/>
    </row>
    <row r="39" spans="1:191" ht="15" customHeight="1" x14ac:dyDescent="0.25">
      <c r="A39" s="285" t="s">
        <v>77</v>
      </c>
      <c r="B39" s="10">
        <f t="shared" si="3"/>
        <v>0</v>
      </c>
      <c r="C39" s="10">
        <v>0</v>
      </c>
      <c r="D39" s="10" t="b">
        <f t="shared" si="1"/>
        <v>1</v>
      </c>
      <c r="E39" s="10">
        <f t="shared" si="2"/>
        <v>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8"/>
      <c r="AB39" s="8"/>
      <c r="AC39" s="8"/>
      <c r="AD39" s="8"/>
      <c r="AE39" s="9"/>
      <c r="AF39" s="9"/>
      <c r="AG39" s="9"/>
      <c r="AH39" s="9"/>
      <c r="AI39" s="9"/>
      <c r="AJ39" s="8"/>
      <c r="AK39" s="8"/>
      <c r="AL39" s="8"/>
      <c r="AM39" s="8"/>
      <c r="AN39" s="8"/>
      <c r="AO39" s="9"/>
      <c r="AP39" s="9"/>
      <c r="AQ39" s="9"/>
      <c r="AR39" s="9"/>
      <c r="AS39" s="9"/>
      <c r="AT39" s="8"/>
      <c r="AU39" s="8"/>
      <c r="AV39" s="8"/>
      <c r="AW39" s="8"/>
      <c r="AX39" s="8"/>
      <c r="AY39" s="8"/>
      <c r="AZ39" s="9"/>
      <c r="BA39" s="9"/>
      <c r="BB39" s="9"/>
      <c r="BC39" s="9"/>
      <c r="BD39" s="9"/>
      <c r="BE39" s="9"/>
      <c r="BF39" s="9"/>
      <c r="BG39" s="8"/>
      <c r="BH39" s="8"/>
      <c r="BI39" s="8"/>
      <c r="BJ39" s="8"/>
      <c r="BK39" s="8"/>
      <c r="BL39" s="8"/>
      <c r="BM39" s="9"/>
      <c r="BN39" s="9"/>
      <c r="BO39" s="9"/>
      <c r="BP39" s="9"/>
      <c r="BQ39" s="9"/>
      <c r="BR39" s="8"/>
      <c r="BS39" s="8"/>
      <c r="BT39" s="8"/>
      <c r="BU39" s="8"/>
      <c r="BV39" s="8"/>
      <c r="BW39" s="8"/>
      <c r="BX39" s="8"/>
      <c r="BY39" s="8"/>
      <c r="BZ39" s="9"/>
      <c r="CA39" s="9"/>
      <c r="CB39" s="9"/>
      <c r="CC39" s="9"/>
      <c r="CD39" s="9"/>
      <c r="CE39" s="8"/>
      <c r="CF39" s="8"/>
      <c r="CG39" s="8"/>
      <c r="CH39" s="8"/>
      <c r="CI39" s="8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8"/>
      <c r="CX39" s="8"/>
      <c r="CY39" s="8"/>
      <c r="CZ39" s="8"/>
      <c r="DA39" s="8"/>
      <c r="DB39" s="9"/>
      <c r="DC39" s="9"/>
      <c r="DD39" s="9"/>
      <c r="DE39" s="9"/>
      <c r="DF39" s="9"/>
      <c r="DG39" s="9"/>
      <c r="DH39" s="9"/>
      <c r="DI39" s="8"/>
      <c r="DJ39" s="8"/>
      <c r="DK39" s="8"/>
      <c r="DL39" s="8"/>
      <c r="DM39" s="8"/>
      <c r="DN39" s="8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8"/>
      <c r="DZ39" s="8"/>
      <c r="EA39" s="8"/>
      <c r="EB39" s="8"/>
      <c r="EC39" s="8"/>
      <c r="ED39" s="9"/>
      <c r="EE39" s="9"/>
      <c r="EF39" s="9"/>
      <c r="EG39" s="9"/>
      <c r="EH39" s="9"/>
      <c r="EI39" s="9"/>
      <c r="EJ39" s="9"/>
      <c r="EK39" s="8"/>
      <c r="EL39" s="8"/>
      <c r="EM39" s="8"/>
      <c r="EN39" s="8"/>
      <c r="EO39" s="8"/>
      <c r="EP39" s="8"/>
      <c r="EQ39" s="8"/>
      <c r="ER39" s="8"/>
      <c r="ES39" s="8"/>
      <c r="ET39" s="9"/>
      <c r="EU39" s="9"/>
      <c r="EV39" s="9"/>
      <c r="EW39" s="9"/>
      <c r="EX39" s="9"/>
      <c r="EY39" s="9"/>
      <c r="EZ39" s="9"/>
      <c r="FA39" s="9"/>
      <c r="FB39" s="8"/>
      <c r="FC39" s="8"/>
      <c r="FD39" s="8"/>
      <c r="FE39" s="8"/>
      <c r="FF39" s="9"/>
      <c r="FG39" s="9"/>
      <c r="FH39" s="9"/>
      <c r="FI39" s="9"/>
      <c r="FJ39" s="9"/>
      <c r="FK39" s="9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9"/>
      <c r="GA39" s="9"/>
      <c r="GB39" s="9"/>
      <c r="GC39" s="9"/>
      <c r="GD39" s="9"/>
      <c r="GE39" s="9"/>
      <c r="GF39" s="9"/>
      <c r="GG39" s="9"/>
      <c r="GH39" s="9"/>
      <c r="GI39" s="9"/>
    </row>
    <row r="40" spans="1:191" ht="15" customHeight="1" x14ac:dyDescent="0.25">
      <c r="A40" s="285" t="s">
        <v>78</v>
      </c>
      <c r="B40" s="10">
        <f t="shared" si="3"/>
        <v>0</v>
      </c>
      <c r="C40" s="10">
        <v>0</v>
      </c>
      <c r="D40" s="10" t="b">
        <f t="shared" si="1"/>
        <v>1</v>
      </c>
      <c r="E40" s="10">
        <f t="shared" si="2"/>
        <v>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8"/>
      <c r="AB40" s="8"/>
      <c r="AC40" s="8"/>
      <c r="AD40" s="8"/>
      <c r="AE40" s="9"/>
      <c r="AF40" s="9"/>
      <c r="AG40" s="9"/>
      <c r="AH40" s="9"/>
      <c r="AI40" s="9"/>
      <c r="AJ40" s="8"/>
      <c r="AK40" s="8"/>
      <c r="AL40" s="8"/>
      <c r="AM40" s="8"/>
      <c r="AN40" s="8"/>
      <c r="AO40" s="9"/>
      <c r="AP40" s="9"/>
      <c r="AQ40" s="9"/>
      <c r="AR40" s="9"/>
      <c r="AS40" s="9"/>
      <c r="AT40" s="8"/>
      <c r="AU40" s="8"/>
      <c r="AV40" s="8"/>
      <c r="AW40" s="8"/>
      <c r="AX40" s="8"/>
      <c r="AY40" s="8"/>
      <c r="AZ40" s="9"/>
      <c r="BA40" s="9"/>
      <c r="BB40" s="9"/>
      <c r="BC40" s="9"/>
      <c r="BD40" s="9"/>
      <c r="BE40" s="9"/>
      <c r="BF40" s="9"/>
      <c r="BG40" s="8"/>
      <c r="BH40" s="8"/>
      <c r="BI40" s="8"/>
      <c r="BJ40" s="8"/>
      <c r="BK40" s="8"/>
      <c r="BL40" s="8"/>
      <c r="BM40" s="9"/>
      <c r="BN40" s="9"/>
      <c r="BO40" s="9"/>
      <c r="BP40" s="9"/>
      <c r="BQ40" s="9"/>
      <c r="BR40" s="8"/>
      <c r="BS40" s="8"/>
      <c r="BT40" s="8"/>
      <c r="BU40" s="8"/>
      <c r="BV40" s="8"/>
      <c r="BW40" s="8"/>
      <c r="BX40" s="8"/>
      <c r="BY40" s="8"/>
      <c r="BZ40" s="9"/>
      <c r="CA40" s="9"/>
      <c r="CB40" s="9"/>
      <c r="CC40" s="9"/>
      <c r="CD40" s="9"/>
      <c r="CE40" s="8"/>
      <c r="CF40" s="8"/>
      <c r="CG40" s="8"/>
      <c r="CH40" s="8"/>
      <c r="CI40" s="8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8"/>
      <c r="CX40" s="8"/>
      <c r="CY40" s="8"/>
      <c r="CZ40" s="8"/>
      <c r="DA40" s="8"/>
      <c r="DB40" s="9"/>
      <c r="DC40" s="9"/>
      <c r="DD40" s="9"/>
      <c r="DE40" s="9"/>
      <c r="DF40" s="9"/>
      <c r="DG40" s="9"/>
      <c r="DH40" s="9"/>
      <c r="DI40" s="8"/>
      <c r="DJ40" s="8"/>
      <c r="DK40" s="8"/>
      <c r="DL40" s="8"/>
      <c r="DM40" s="8"/>
      <c r="DN40" s="8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8"/>
      <c r="DZ40" s="8"/>
      <c r="EA40" s="8"/>
      <c r="EB40" s="8"/>
      <c r="EC40" s="8"/>
      <c r="ED40" s="9"/>
      <c r="EE40" s="9"/>
      <c r="EF40" s="9"/>
      <c r="EG40" s="9"/>
      <c r="EH40" s="9"/>
      <c r="EI40" s="9"/>
      <c r="EJ40" s="9"/>
      <c r="EK40" s="8"/>
      <c r="EL40" s="8"/>
      <c r="EM40" s="8"/>
      <c r="EN40" s="8"/>
      <c r="EO40" s="8"/>
      <c r="EP40" s="8"/>
      <c r="EQ40" s="8"/>
      <c r="ER40" s="8"/>
      <c r="ES40" s="8"/>
      <c r="ET40" s="9"/>
      <c r="EU40" s="9"/>
      <c r="EV40" s="9"/>
      <c r="EW40" s="9"/>
      <c r="EX40" s="9"/>
      <c r="EY40" s="9"/>
      <c r="EZ40" s="9"/>
      <c r="FA40" s="9"/>
      <c r="FB40" s="8"/>
      <c r="FC40" s="8"/>
      <c r="FD40" s="8"/>
      <c r="FE40" s="8"/>
      <c r="FF40" s="9"/>
      <c r="FG40" s="9"/>
      <c r="FH40" s="9"/>
      <c r="FI40" s="9"/>
      <c r="FJ40" s="9"/>
      <c r="FK40" s="9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9"/>
      <c r="GA40" s="9"/>
      <c r="GB40" s="9"/>
      <c r="GC40" s="9"/>
      <c r="GD40" s="9"/>
      <c r="GE40" s="9"/>
      <c r="GF40" s="9"/>
      <c r="GG40" s="9"/>
      <c r="GH40" s="9"/>
      <c r="GI40" s="9"/>
    </row>
    <row r="41" spans="1:191" ht="15" customHeight="1" x14ac:dyDescent="0.25">
      <c r="A41" s="285">
        <v>544254630255</v>
      </c>
      <c r="B41" s="10">
        <f t="shared" si="3"/>
        <v>0</v>
      </c>
      <c r="C41" s="10">
        <v>0</v>
      </c>
      <c r="D41" s="10" t="b">
        <f t="shared" si="1"/>
        <v>1</v>
      </c>
      <c r="E41" s="10">
        <f t="shared" si="2"/>
        <v>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8"/>
      <c r="AB41" s="8"/>
      <c r="AC41" s="8"/>
      <c r="AD41" s="8"/>
      <c r="AE41" s="9"/>
      <c r="AF41" s="9"/>
      <c r="AG41" s="9"/>
      <c r="AH41" s="9"/>
      <c r="AI41" s="9"/>
      <c r="AJ41" s="8"/>
      <c r="AK41" s="8"/>
      <c r="AL41" s="8"/>
      <c r="AM41" s="8"/>
      <c r="AN41" s="8"/>
      <c r="AO41" s="9"/>
      <c r="AP41" s="9"/>
      <c r="AQ41" s="9"/>
      <c r="AR41" s="9"/>
      <c r="AS41" s="9"/>
      <c r="AT41" s="8"/>
      <c r="AU41" s="8"/>
      <c r="AV41" s="8"/>
      <c r="AW41" s="8"/>
      <c r="AX41" s="8"/>
      <c r="AY41" s="8"/>
      <c r="AZ41" s="9"/>
      <c r="BA41" s="9"/>
      <c r="BB41" s="9"/>
      <c r="BC41" s="9"/>
      <c r="BD41" s="9"/>
      <c r="BE41" s="9"/>
      <c r="BF41" s="9"/>
      <c r="BG41" s="8"/>
      <c r="BH41" s="8"/>
      <c r="BI41" s="8"/>
      <c r="BJ41" s="8"/>
      <c r="BK41" s="8"/>
      <c r="BL41" s="8"/>
      <c r="BM41" s="9"/>
      <c r="BN41" s="9"/>
      <c r="BO41" s="9"/>
      <c r="BP41" s="9"/>
      <c r="BQ41" s="9"/>
      <c r="BR41" s="8"/>
      <c r="BS41" s="8"/>
      <c r="BT41" s="8"/>
      <c r="BU41" s="8"/>
      <c r="BV41" s="8"/>
      <c r="BW41" s="8"/>
      <c r="BX41" s="8"/>
      <c r="BY41" s="8"/>
      <c r="BZ41" s="9"/>
      <c r="CA41" s="9"/>
      <c r="CB41" s="9"/>
      <c r="CC41" s="9"/>
      <c r="CD41" s="9"/>
      <c r="CE41" s="8"/>
      <c r="CF41" s="8"/>
      <c r="CG41" s="8"/>
      <c r="CH41" s="8"/>
      <c r="CI41" s="8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8"/>
      <c r="CX41" s="8"/>
      <c r="CY41" s="8"/>
      <c r="CZ41" s="8"/>
      <c r="DA41" s="8"/>
      <c r="DB41" s="9"/>
      <c r="DC41" s="9"/>
      <c r="DD41" s="9"/>
      <c r="DE41" s="9"/>
      <c r="DF41" s="9"/>
      <c r="DG41" s="9"/>
      <c r="DH41" s="9"/>
      <c r="DI41" s="8"/>
      <c r="DJ41" s="8"/>
      <c r="DK41" s="8"/>
      <c r="DL41" s="8"/>
      <c r="DM41" s="8"/>
      <c r="DN41" s="8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8"/>
      <c r="DZ41" s="8"/>
      <c r="EA41" s="8"/>
      <c r="EB41" s="8"/>
      <c r="EC41" s="8"/>
      <c r="ED41" s="9"/>
      <c r="EE41" s="9"/>
      <c r="EF41" s="9"/>
      <c r="EG41" s="9"/>
      <c r="EH41" s="9"/>
      <c r="EI41" s="9"/>
      <c r="EJ41" s="9"/>
      <c r="EK41" s="8"/>
      <c r="EL41" s="8"/>
      <c r="EM41" s="8"/>
      <c r="EN41" s="8"/>
      <c r="EO41" s="8"/>
      <c r="EP41" s="8"/>
      <c r="EQ41" s="8"/>
      <c r="ER41" s="8"/>
      <c r="ES41" s="8"/>
      <c r="ET41" s="9"/>
      <c r="EU41" s="9"/>
      <c r="EV41" s="9"/>
      <c r="EW41" s="9"/>
      <c r="EX41" s="9"/>
      <c r="EY41" s="9"/>
      <c r="EZ41" s="9"/>
      <c r="FA41" s="9"/>
      <c r="FB41" s="8"/>
      <c r="FC41" s="8"/>
      <c r="FD41" s="8"/>
      <c r="FE41" s="8"/>
      <c r="FF41" s="9"/>
      <c r="FG41" s="9"/>
      <c r="FH41" s="9"/>
      <c r="FI41" s="9"/>
      <c r="FJ41" s="9"/>
      <c r="FK41" s="9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9"/>
      <c r="GA41" s="9"/>
      <c r="GB41" s="9"/>
      <c r="GC41" s="9"/>
      <c r="GD41" s="9"/>
      <c r="GE41" s="9"/>
      <c r="GF41" s="9"/>
      <c r="GG41" s="9"/>
      <c r="GH41" s="9"/>
      <c r="GI41" s="9"/>
    </row>
    <row r="42" spans="1:191" ht="15" customHeight="1" x14ac:dyDescent="0.25">
      <c r="A42" s="285">
        <v>544254630254</v>
      </c>
      <c r="B42" s="10">
        <f t="shared" si="3"/>
        <v>0</v>
      </c>
      <c r="C42" s="10">
        <v>0</v>
      </c>
      <c r="D42" s="10" t="b">
        <f t="shared" si="1"/>
        <v>1</v>
      </c>
      <c r="E42" s="10">
        <f t="shared" si="2"/>
        <v>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/>
      <c r="Y42" s="9"/>
      <c r="Z42" s="8"/>
      <c r="AA42" s="8"/>
      <c r="AB42" s="8"/>
      <c r="AC42" s="8"/>
      <c r="AD42" s="8"/>
      <c r="AE42" s="9"/>
      <c r="AF42" s="9"/>
      <c r="AG42" s="9"/>
      <c r="AH42" s="9"/>
      <c r="AI42" s="9"/>
      <c r="AJ42" s="169"/>
      <c r="AK42" s="8"/>
      <c r="AL42" s="8"/>
      <c r="AM42" s="8"/>
      <c r="AN42" s="8"/>
      <c r="AO42" s="9"/>
      <c r="AP42" s="9"/>
      <c r="AQ42" s="9"/>
      <c r="AR42" s="9"/>
      <c r="AS42" s="9"/>
      <c r="AT42" s="8"/>
      <c r="AU42" s="8"/>
      <c r="AV42" s="8"/>
      <c r="AW42" s="8"/>
      <c r="AX42" s="8"/>
      <c r="AY42" s="8"/>
      <c r="AZ42" s="9"/>
      <c r="BA42" s="9"/>
      <c r="BB42" s="9"/>
      <c r="BC42" s="9"/>
      <c r="BD42" s="9"/>
      <c r="BE42" s="9"/>
      <c r="BF42" s="9"/>
      <c r="BG42" s="8"/>
      <c r="BH42" s="8"/>
      <c r="BI42" s="8"/>
      <c r="BJ42" s="8"/>
      <c r="BK42" s="8"/>
      <c r="BL42" s="8"/>
      <c r="BM42" s="9"/>
      <c r="BN42" s="9"/>
      <c r="BO42" s="9"/>
      <c r="BP42" s="9"/>
      <c r="BQ42" s="9"/>
      <c r="BR42" s="8"/>
      <c r="BS42" s="8"/>
      <c r="BT42" s="8"/>
      <c r="BU42" s="8"/>
      <c r="BV42" s="8"/>
      <c r="BW42" s="8"/>
      <c r="BX42" s="8"/>
      <c r="BY42" s="8"/>
      <c r="BZ42" s="9"/>
      <c r="CA42" s="9"/>
      <c r="CB42" s="9"/>
      <c r="CC42" s="9"/>
      <c r="CD42" s="9"/>
      <c r="CE42" s="8"/>
      <c r="CF42" s="8"/>
      <c r="CG42" s="8"/>
      <c r="CH42" s="8"/>
      <c r="CI42" s="8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8"/>
      <c r="CX42" s="8"/>
      <c r="CY42" s="8"/>
      <c r="CZ42" s="8"/>
      <c r="DA42" s="8"/>
      <c r="DB42" s="9"/>
      <c r="DC42" s="9"/>
      <c r="DD42" s="9"/>
      <c r="DE42" s="9"/>
      <c r="DF42" s="9"/>
      <c r="DG42" s="9"/>
      <c r="DH42" s="9"/>
      <c r="DI42" s="8"/>
      <c r="DJ42" s="8"/>
      <c r="DK42" s="8"/>
      <c r="DL42" s="8"/>
      <c r="DM42" s="8"/>
      <c r="DN42" s="8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8"/>
      <c r="DZ42" s="8"/>
      <c r="EA42" s="8"/>
      <c r="EB42" s="8"/>
      <c r="EC42" s="8"/>
      <c r="ED42" s="9"/>
      <c r="EE42" s="9"/>
      <c r="EF42" s="9"/>
      <c r="EG42" s="9"/>
      <c r="EH42" s="9"/>
      <c r="EI42" s="9"/>
      <c r="EJ42" s="9"/>
      <c r="EK42" s="8"/>
      <c r="EL42" s="8"/>
      <c r="EM42" s="8"/>
      <c r="EN42" s="8"/>
      <c r="EO42" s="8"/>
      <c r="EP42" s="8"/>
      <c r="EQ42" s="8"/>
      <c r="ER42" s="8"/>
      <c r="ES42" s="8"/>
      <c r="ET42" s="9"/>
      <c r="EU42" s="9"/>
      <c r="EV42" s="9"/>
      <c r="EW42" s="9"/>
      <c r="EX42" s="9"/>
      <c r="EY42" s="9"/>
      <c r="EZ42" s="9"/>
      <c r="FA42" s="9"/>
      <c r="FB42" s="8"/>
      <c r="FC42" s="8"/>
      <c r="FD42" s="8"/>
      <c r="FE42" s="8"/>
      <c r="FF42" s="9"/>
      <c r="FG42" s="9"/>
      <c r="FH42" s="9"/>
      <c r="FI42" s="9"/>
      <c r="FJ42" s="9"/>
      <c r="FK42" s="9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9"/>
      <c r="GA42" s="9"/>
      <c r="GB42" s="9"/>
      <c r="GC42" s="9"/>
      <c r="GD42" s="9"/>
      <c r="GE42" s="9"/>
      <c r="GF42" s="9"/>
      <c r="GG42" s="9"/>
      <c r="GH42" s="9"/>
      <c r="GI42" s="9"/>
    </row>
    <row r="43" spans="1:191" ht="15" customHeight="1" x14ac:dyDescent="0.25">
      <c r="A43" s="285">
        <v>544254630419</v>
      </c>
      <c r="B43" s="10">
        <f t="shared" si="3"/>
        <v>0</v>
      </c>
      <c r="C43" s="10">
        <v>0</v>
      </c>
      <c r="D43" s="10" t="b">
        <f t="shared" si="1"/>
        <v>1</v>
      </c>
      <c r="E43" s="10">
        <f t="shared" si="2"/>
        <v>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8"/>
      <c r="AB43" s="8"/>
      <c r="AC43" s="8"/>
      <c r="AD43" s="8"/>
      <c r="AE43" s="9"/>
      <c r="AF43" s="9"/>
      <c r="AG43" s="9"/>
      <c r="AH43" s="9"/>
      <c r="AI43" s="9"/>
      <c r="AJ43" s="8"/>
      <c r="AK43" s="8"/>
      <c r="AL43" s="8"/>
      <c r="AM43" s="8"/>
      <c r="AN43" s="8"/>
      <c r="AO43" s="9"/>
      <c r="AP43" s="9"/>
      <c r="AQ43" s="9"/>
      <c r="AR43" s="9"/>
      <c r="AS43" s="9"/>
      <c r="AT43" s="8"/>
      <c r="AU43" s="8"/>
      <c r="AV43" s="8"/>
      <c r="AW43" s="8"/>
      <c r="AX43" s="8"/>
      <c r="AY43" s="8"/>
      <c r="AZ43" s="9"/>
      <c r="BA43" s="9"/>
      <c r="BB43" s="9"/>
      <c r="BC43" s="9"/>
      <c r="BD43" s="9"/>
      <c r="BE43" s="9"/>
      <c r="BF43" s="9"/>
      <c r="BG43" s="8"/>
      <c r="BH43" s="8"/>
      <c r="BI43" s="8"/>
      <c r="BJ43" s="8"/>
      <c r="BK43" s="8"/>
      <c r="BL43" s="8"/>
      <c r="BM43" s="9"/>
      <c r="BN43" s="9"/>
      <c r="BO43" s="9"/>
      <c r="BP43" s="9"/>
      <c r="BQ43" s="9"/>
      <c r="BR43" s="8"/>
      <c r="BS43" s="8"/>
      <c r="BT43" s="8"/>
      <c r="BU43" s="8"/>
      <c r="BV43" s="8"/>
      <c r="BW43" s="8"/>
      <c r="BX43" s="8"/>
      <c r="BY43" s="8"/>
      <c r="BZ43" s="9"/>
      <c r="CA43" s="9"/>
      <c r="CB43" s="9"/>
      <c r="CC43" s="9"/>
      <c r="CD43" s="9"/>
      <c r="CE43" s="8"/>
      <c r="CF43" s="8"/>
      <c r="CG43" s="8"/>
      <c r="CH43" s="8"/>
      <c r="CI43" s="8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8"/>
      <c r="CX43" s="8"/>
      <c r="CY43" s="8"/>
      <c r="CZ43" s="8"/>
      <c r="DA43" s="8"/>
      <c r="DB43" s="9"/>
      <c r="DC43" s="9"/>
      <c r="DD43" s="9"/>
      <c r="DE43" s="9"/>
      <c r="DF43" s="9"/>
      <c r="DG43" s="9"/>
      <c r="DH43" s="9"/>
      <c r="DI43" s="8"/>
      <c r="DJ43" s="8"/>
      <c r="DK43" s="8"/>
      <c r="DL43" s="8"/>
      <c r="DM43" s="8"/>
      <c r="DN43" s="8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8"/>
      <c r="DZ43" s="8"/>
      <c r="EA43" s="8"/>
      <c r="EB43" s="8"/>
      <c r="EC43" s="8"/>
      <c r="ED43" s="9"/>
      <c r="EE43" s="9"/>
      <c r="EF43" s="9"/>
      <c r="EG43" s="9"/>
      <c r="EH43" s="9"/>
      <c r="EI43" s="9"/>
      <c r="EJ43" s="9"/>
      <c r="EK43" s="8"/>
      <c r="EL43" s="8"/>
      <c r="EM43" s="8"/>
      <c r="EN43" s="8"/>
      <c r="EO43" s="8"/>
      <c r="EP43" s="8"/>
      <c r="EQ43" s="8"/>
      <c r="ER43" s="8"/>
      <c r="ES43" s="8"/>
      <c r="ET43" s="9"/>
      <c r="EU43" s="9"/>
      <c r="EV43" s="9"/>
      <c r="EW43" s="9"/>
      <c r="EX43" s="9"/>
      <c r="EY43" s="9"/>
      <c r="EZ43" s="9"/>
      <c r="FA43" s="9"/>
      <c r="FB43" s="8"/>
      <c r="FC43" s="8"/>
      <c r="FD43" s="8"/>
      <c r="FE43" s="8"/>
      <c r="FF43" s="9"/>
      <c r="FG43" s="9"/>
      <c r="FH43" s="9"/>
      <c r="FI43" s="9"/>
      <c r="FJ43" s="9"/>
      <c r="FK43" s="9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9"/>
      <c r="GA43" s="9"/>
      <c r="GB43" s="9"/>
      <c r="GC43" s="9"/>
      <c r="GD43" s="9"/>
      <c r="GE43" s="9"/>
      <c r="GF43" s="9"/>
      <c r="GG43" s="9"/>
      <c r="GH43" s="9"/>
      <c r="GI43" s="9"/>
    </row>
    <row r="44" spans="1:191" ht="15" customHeight="1" x14ac:dyDescent="0.25">
      <c r="A44" s="285">
        <v>544254630420</v>
      </c>
      <c r="B44" s="10">
        <f t="shared" si="3"/>
        <v>0</v>
      </c>
      <c r="C44" s="10">
        <v>0</v>
      </c>
      <c r="D44" s="10" t="b">
        <f t="shared" si="1"/>
        <v>1</v>
      </c>
      <c r="E44" s="10">
        <f t="shared" si="2"/>
        <v>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/>
      <c r="Y44" s="9"/>
      <c r="Z44" s="8"/>
      <c r="AA44" s="8"/>
      <c r="AB44" s="8"/>
      <c r="AC44" s="8"/>
      <c r="AD44" s="8"/>
      <c r="AE44" s="9"/>
      <c r="AF44" s="9"/>
      <c r="AG44" s="9"/>
      <c r="AH44" s="9"/>
      <c r="AI44" s="9"/>
      <c r="AJ44" s="8"/>
      <c r="AK44" s="8"/>
      <c r="AL44" s="8"/>
      <c r="AM44" s="8"/>
      <c r="AN44" s="8"/>
      <c r="AO44" s="9"/>
      <c r="AP44" s="9"/>
      <c r="AQ44" s="9"/>
      <c r="AR44" s="9"/>
      <c r="AS44" s="9"/>
      <c r="AT44" s="8"/>
      <c r="AU44" s="8"/>
      <c r="AV44" s="8"/>
      <c r="AW44" s="8"/>
      <c r="AX44" s="8"/>
      <c r="AY44" s="8"/>
      <c r="AZ44" s="9"/>
      <c r="BA44" s="9"/>
      <c r="BB44" s="9"/>
      <c r="BC44" s="9"/>
      <c r="BD44" s="9"/>
      <c r="BE44" s="9"/>
      <c r="BF44" s="9"/>
      <c r="BG44" s="8"/>
      <c r="BH44" s="8"/>
      <c r="BI44" s="8"/>
      <c r="BJ44" s="8"/>
      <c r="BK44" s="8"/>
      <c r="BL44" s="8"/>
      <c r="BM44" s="9"/>
      <c r="BN44" s="9"/>
      <c r="BO44" s="9"/>
      <c r="BP44" s="9"/>
      <c r="BQ44" s="9"/>
      <c r="BR44" s="8"/>
      <c r="BS44" s="8"/>
      <c r="BT44" s="8"/>
      <c r="BU44" s="8"/>
      <c r="BV44" s="8"/>
      <c r="BW44" s="8"/>
      <c r="BX44" s="8"/>
      <c r="BY44" s="8"/>
      <c r="BZ44" s="9"/>
      <c r="CA44" s="9"/>
      <c r="CB44" s="9"/>
      <c r="CC44" s="9"/>
      <c r="CD44" s="9"/>
      <c r="CE44" s="8"/>
      <c r="CF44" s="8"/>
      <c r="CG44" s="8"/>
      <c r="CH44" s="8"/>
      <c r="CI44" s="8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8"/>
      <c r="CX44" s="8"/>
      <c r="CY44" s="8"/>
      <c r="CZ44" s="8"/>
      <c r="DA44" s="8"/>
      <c r="DB44" s="9"/>
      <c r="DC44" s="9"/>
      <c r="DD44" s="9"/>
      <c r="DE44" s="9"/>
      <c r="DF44" s="9"/>
      <c r="DG44" s="9"/>
      <c r="DH44" s="9"/>
      <c r="DI44" s="8"/>
      <c r="DJ44" s="8"/>
      <c r="DK44" s="8"/>
      <c r="DL44" s="8"/>
      <c r="DM44" s="8"/>
      <c r="DN44" s="8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8"/>
      <c r="DZ44" s="8"/>
      <c r="EA44" s="8"/>
      <c r="EB44" s="8"/>
      <c r="EC44" s="8"/>
      <c r="ED44" s="9"/>
      <c r="EE44" s="9"/>
      <c r="EF44" s="9"/>
      <c r="EG44" s="9"/>
      <c r="EH44" s="9"/>
      <c r="EI44" s="9"/>
      <c r="EJ44" s="9"/>
      <c r="EK44" s="8"/>
      <c r="EL44" s="8"/>
      <c r="EM44" s="8"/>
      <c r="EN44" s="8"/>
      <c r="EO44" s="8"/>
      <c r="EP44" s="8"/>
      <c r="EQ44" s="8"/>
      <c r="ER44" s="8"/>
      <c r="ES44" s="8"/>
      <c r="ET44" s="9"/>
      <c r="EU44" s="9"/>
      <c r="EV44" s="9"/>
      <c r="EW44" s="9"/>
      <c r="EX44" s="9"/>
      <c r="EY44" s="9"/>
      <c r="EZ44" s="9"/>
      <c r="FA44" s="9"/>
      <c r="FB44" s="8"/>
      <c r="FC44" s="8"/>
      <c r="FD44" s="8"/>
      <c r="FE44" s="8"/>
      <c r="FF44" s="9"/>
      <c r="FG44" s="9"/>
      <c r="FH44" s="9"/>
      <c r="FI44" s="9"/>
      <c r="FJ44" s="9"/>
      <c r="FK44" s="9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9"/>
      <c r="GA44" s="9"/>
      <c r="GB44" s="9"/>
      <c r="GC44" s="9"/>
      <c r="GD44" s="9"/>
      <c r="GE44" s="9"/>
      <c r="GF44" s="9"/>
      <c r="GG44" s="9"/>
      <c r="GH44" s="9"/>
      <c r="GI44" s="9"/>
    </row>
    <row r="45" spans="1:191" ht="15" customHeight="1" x14ac:dyDescent="0.25">
      <c r="A45" s="285">
        <v>544254630262</v>
      </c>
      <c r="B45" s="10">
        <f t="shared" si="3"/>
        <v>0</v>
      </c>
      <c r="C45" s="10">
        <v>0</v>
      </c>
      <c r="D45" s="10" t="b">
        <f t="shared" si="1"/>
        <v>1</v>
      </c>
      <c r="E45" s="10">
        <f t="shared" si="2"/>
        <v>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9"/>
      <c r="Y45" s="9"/>
      <c r="Z45" s="8"/>
      <c r="AA45" s="8"/>
      <c r="AB45" s="8"/>
      <c r="AC45" s="8"/>
      <c r="AD45" s="8"/>
      <c r="AE45" s="9"/>
      <c r="AF45" s="9"/>
      <c r="AG45" s="9"/>
      <c r="AH45" s="9"/>
      <c r="AI45" s="9"/>
      <c r="AJ45" s="8"/>
      <c r="AK45" s="8"/>
      <c r="AL45" s="8"/>
      <c r="AM45" s="8"/>
      <c r="AN45" s="8"/>
      <c r="AO45" s="9"/>
      <c r="AP45" s="9"/>
      <c r="AQ45" s="9"/>
      <c r="AR45" s="9"/>
      <c r="AS45" s="9"/>
      <c r="AT45" s="8"/>
      <c r="AU45" s="8"/>
      <c r="AV45" s="8"/>
      <c r="AW45" s="8"/>
      <c r="AX45" s="8"/>
      <c r="AY45" s="8"/>
      <c r="AZ45" s="9"/>
      <c r="BA45" s="9"/>
      <c r="BB45" s="9"/>
      <c r="BC45" s="9"/>
      <c r="BD45" s="9"/>
      <c r="BE45" s="9"/>
      <c r="BF45" s="9"/>
      <c r="BG45" s="8"/>
      <c r="BH45" s="8"/>
      <c r="BI45" s="8"/>
      <c r="BJ45" s="8"/>
      <c r="BK45" s="8"/>
      <c r="BL45" s="8"/>
      <c r="BM45" s="9"/>
      <c r="BN45" s="9"/>
      <c r="BO45" s="9"/>
      <c r="BP45" s="9"/>
      <c r="BQ45" s="9"/>
      <c r="BR45" s="8"/>
      <c r="BS45" s="8"/>
      <c r="BT45" s="8"/>
      <c r="BU45" s="8"/>
      <c r="BV45" s="8"/>
      <c r="BW45" s="8"/>
      <c r="BX45" s="8"/>
      <c r="BY45" s="8"/>
      <c r="BZ45" s="9"/>
      <c r="CA45" s="9"/>
      <c r="CB45" s="9"/>
      <c r="CC45" s="9"/>
      <c r="CD45" s="9"/>
      <c r="CE45" s="8"/>
      <c r="CF45" s="8"/>
      <c r="CG45" s="8"/>
      <c r="CH45" s="8"/>
      <c r="CI45" s="8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8"/>
      <c r="CX45" s="8"/>
      <c r="CY45" s="8"/>
      <c r="CZ45" s="8"/>
      <c r="DA45" s="8"/>
      <c r="DB45" s="9"/>
      <c r="DC45" s="9"/>
      <c r="DD45" s="9"/>
      <c r="DE45" s="9"/>
      <c r="DF45" s="9"/>
      <c r="DG45" s="9"/>
      <c r="DH45" s="9"/>
      <c r="DI45" s="8"/>
      <c r="DJ45" s="8"/>
      <c r="DK45" s="8"/>
      <c r="DL45" s="8"/>
      <c r="DM45" s="8"/>
      <c r="DN45" s="8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8"/>
      <c r="DZ45" s="8"/>
      <c r="EA45" s="8"/>
      <c r="EB45" s="8"/>
      <c r="EC45" s="8"/>
      <c r="ED45" s="9"/>
      <c r="EE45" s="9"/>
      <c r="EF45" s="9"/>
      <c r="EG45" s="9"/>
      <c r="EH45" s="9"/>
      <c r="EI45" s="9"/>
      <c r="EJ45" s="9"/>
      <c r="EK45" s="8"/>
      <c r="EL45" s="8"/>
      <c r="EM45" s="8"/>
      <c r="EN45" s="8"/>
      <c r="EO45" s="8"/>
      <c r="EP45" s="8"/>
      <c r="EQ45" s="8"/>
      <c r="ER45" s="8"/>
      <c r="ES45" s="8"/>
      <c r="ET45" s="9"/>
      <c r="EU45" s="9"/>
      <c r="EV45" s="9"/>
      <c r="EW45" s="9"/>
      <c r="EX45" s="9"/>
      <c r="EY45" s="9"/>
      <c r="EZ45" s="9"/>
      <c r="FA45" s="9"/>
      <c r="FB45" s="8"/>
      <c r="FC45" s="8"/>
      <c r="FD45" s="8"/>
      <c r="FE45" s="8"/>
      <c r="FF45" s="9"/>
      <c r="FG45" s="9"/>
      <c r="FH45" s="9"/>
      <c r="FI45" s="9"/>
      <c r="FJ45" s="9"/>
      <c r="FK45" s="9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9"/>
      <c r="GA45" s="9"/>
      <c r="GB45" s="9"/>
      <c r="GC45" s="9"/>
      <c r="GD45" s="9"/>
      <c r="GE45" s="9"/>
      <c r="GF45" s="9"/>
      <c r="GG45" s="9"/>
      <c r="GH45" s="9"/>
      <c r="GI45" s="9"/>
    </row>
    <row r="46" spans="1:191" ht="15" customHeight="1" x14ac:dyDescent="0.25">
      <c r="A46" s="284">
        <v>544254630392</v>
      </c>
      <c r="B46" s="10">
        <f t="shared" si="3"/>
        <v>0</v>
      </c>
      <c r="C46" s="10">
        <v>0</v>
      </c>
      <c r="D46" s="10" t="b">
        <f t="shared" si="1"/>
        <v>1</v>
      </c>
      <c r="E46" s="10">
        <f t="shared" si="2"/>
        <v>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/>
      <c r="Y46" s="9"/>
      <c r="Z46" s="8"/>
      <c r="AA46" s="8"/>
      <c r="AB46" s="8"/>
      <c r="AC46" s="8"/>
      <c r="AD46" s="8"/>
      <c r="AE46" s="9"/>
      <c r="AF46" s="9"/>
      <c r="AG46" s="9"/>
      <c r="AH46" s="9"/>
      <c r="AI46" s="9"/>
      <c r="AJ46" s="8"/>
      <c r="AK46" s="8"/>
      <c r="AL46" s="8"/>
      <c r="AM46" s="8"/>
      <c r="AN46" s="8"/>
      <c r="AO46" s="9"/>
      <c r="AP46" s="9"/>
      <c r="AQ46" s="9"/>
      <c r="AR46" s="9"/>
      <c r="AS46" s="9"/>
      <c r="AT46" s="8"/>
      <c r="AU46" s="8"/>
      <c r="AV46" s="8"/>
      <c r="AW46" s="8"/>
      <c r="AX46" s="8"/>
      <c r="AY46" s="8"/>
      <c r="AZ46" s="9"/>
      <c r="BA46" s="9"/>
      <c r="BB46" s="9"/>
      <c r="BC46" s="9"/>
      <c r="BD46" s="9"/>
      <c r="BE46" s="9"/>
      <c r="BF46" s="9"/>
      <c r="BG46" s="8"/>
      <c r="BH46" s="8"/>
      <c r="BI46" s="8"/>
      <c r="BJ46" s="8"/>
      <c r="BK46" s="8"/>
      <c r="BL46" s="8"/>
      <c r="BM46" s="9"/>
      <c r="BN46" s="9"/>
      <c r="BO46" s="9"/>
      <c r="BP46" s="9"/>
      <c r="BQ46" s="9"/>
      <c r="BR46" s="8"/>
      <c r="BS46" s="8"/>
      <c r="BT46" s="8"/>
      <c r="BU46" s="8"/>
      <c r="BV46" s="8"/>
      <c r="BW46" s="8"/>
      <c r="BX46" s="8"/>
      <c r="BY46" s="8"/>
      <c r="BZ46" s="9"/>
      <c r="CA46" s="9"/>
      <c r="CB46" s="9"/>
      <c r="CC46" s="9"/>
      <c r="CD46" s="9"/>
      <c r="CE46" s="8"/>
      <c r="CF46" s="8"/>
      <c r="CG46" s="8"/>
      <c r="CH46" s="8"/>
      <c r="CI46" s="8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8"/>
      <c r="CX46" s="8"/>
      <c r="CY46" s="8"/>
      <c r="CZ46" s="8"/>
      <c r="DA46" s="8"/>
      <c r="DB46" s="9"/>
      <c r="DC46" s="9"/>
      <c r="DD46" s="9"/>
      <c r="DE46" s="9"/>
      <c r="DF46" s="9"/>
      <c r="DG46" s="9"/>
      <c r="DH46" s="9"/>
      <c r="DI46" s="8"/>
      <c r="DJ46" s="8"/>
      <c r="DK46" s="8"/>
      <c r="DL46" s="8"/>
      <c r="DM46" s="8"/>
      <c r="DN46" s="8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8"/>
      <c r="DZ46" s="8"/>
      <c r="EA46" s="8"/>
      <c r="EB46" s="8"/>
      <c r="EC46" s="8"/>
      <c r="ED46" s="9"/>
      <c r="EE46" s="9"/>
      <c r="EF46" s="9"/>
      <c r="EG46" s="9"/>
      <c r="EH46" s="9"/>
      <c r="EI46" s="9"/>
      <c r="EJ46" s="9"/>
      <c r="EK46" s="8"/>
      <c r="EL46" s="8"/>
      <c r="EM46" s="8"/>
      <c r="EN46" s="8"/>
      <c r="EO46" s="8"/>
      <c r="EP46" s="8"/>
      <c r="EQ46" s="8"/>
      <c r="ER46" s="8"/>
      <c r="ES46" s="8"/>
      <c r="ET46" s="9"/>
      <c r="EU46" s="9"/>
      <c r="EV46" s="9"/>
      <c r="EW46" s="9"/>
      <c r="EX46" s="9"/>
      <c r="EY46" s="9"/>
      <c r="EZ46" s="9"/>
      <c r="FA46" s="9"/>
      <c r="FB46" s="8"/>
      <c r="FC46" s="8"/>
      <c r="FD46" s="8"/>
      <c r="FE46" s="8"/>
      <c r="FF46" s="9"/>
      <c r="FG46" s="9"/>
      <c r="FH46" s="9"/>
      <c r="FI46" s="9"/>
      <c r="FJ46" s="9"/>
      <c r="FK46" s="9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9"/>
      <c r="GA46" s="9"/>
      <c r="GB46" s="9"/>
      <c r="GC46" s="9"/>
      <c r="GD46" s="9"/>
      <c r="GE46" s="9"/>
      <c r="GF46" s="9"/>
      <c r="GG46" s="9"/>
      <c r="GH46" s="9"/>
      <c r="GI46" s="9"/>
    </row>
    <row r="47" spans="1:191" ht="15" customHeight="1" x14ac:dyDescent="0.25">
      <c r="A47" s="284">
        <v>544254630391</v>
      </c>
      <c r="B47" s="10">
        <f t="shared" si="3"/>
        <v>0</v>
      </c>
      <c r="C47" s="10">
        <v>0</v>
      </c>
      <c r="D47" s="10" t="b">
        <f t="shared" si="1"/>
        <v>1</v>
      </c>
      <c r="E47" s="10">
        <f t="shared" si="2"/>
        <v>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9"/>
      <c r="Y47" s="9"/>
      <c r="Z47" s="8"/>
      <c r="AA47" s="8"/>
      <c r="AB47" s="8"/>
      <c r="AC47" s="8"/>
      <c r="AD47" s="8"/>
      <c r="AE47" s="9"/>
      <c r="AF47" s="9"/>
      <c r="AG47" s="9"/>
      <c r="AH47" s="9"/>
      <c r="AI47" s="9"/>
      <c r="AJ47" s="8"/>
      <c r="AK47" s="8"/>
      <c r="AL47" s="8"/>
      <c r="AM47" s="8"/>
      <c r="AN47" s="8"/>
      <c r="AO47" s="9"/>
      <c r="AP47" s="9"/>
      <c r="AQ47" s="9"/>
      <c r="AR47" s="9"/>
      <c r="AS47" s="9"/>
      <c r="AT47" s="8"/>
      <c r="AU47" s="8"/>
      <c r="AV47" s="8"/>
      <c r="AW47" s="8"/>
      <c r="AX47" s="8"/>
      <c r="AY47" s="8"/>
      <c r="AZ47" s="9"/>
      <c r="BA47" s="9"/>
      <c r="BB47" s="9"/>
      <c r="BC47" s="9"/>
      <c r="BD47" s="9"/>
      <c r="BE47" s="9"/>
      <c r="BF47" s="9"/>
      <c r="BG47" s="8"/>
      <c r="BH47" s="8"/>
      <c r="BI47" s="8"/>
      <c r="BJ47" s="8"/>
      <c r="BK47" s="8"/>
      <c r="BL47" s="8"/>
      <c r="BM47" s="9"/>
      <c r="BN47" s="9"/>
      <c r="BO47" s="9"/>
      <c r="BP47" s="9"/>
      <c r="BQ47" s="9"/>
      <c r="BR47" s="8"/>
      <c r="BS47" s="8"/>
      <c r="BT47" s="8"/>
      <c r="BU47" s="8"/>
      <c r="BV47" s="8"/>
      <c r="BW47" s="8"/>
      <c r="BX47" s="8"/>
      <c r="BY47" s="8"/>
      <c r="BZ47" s="9"/>
      <c r="CA47" s="9"/>
      <c r="CB47" s="9"/>
      <c r="CC47" s="9"/>
      <c r="CD47" s="9"/>
      <c r="CE47" s="8"/>
      <c r="CF47" s="8"/>
      <c r="CG47" s="8"/>
      <c r="CH47" s="8"/>
      <c r="CI47" s="8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8"/>
      <c r="CX47" s="8"/>
      <c r="CY47" s="8"/>
      <c r="CZ47" s="8"/>
      <c r="DA47" s="8"/>
      <c r="DB47" s="9"/>
      <c r="DC47" s="9"/>
      <c r="DD47" s="9"/>
      <c r="DE47" s="9"/>
      <c r="DF47" s="9"/>
      <c r="DG47" s="9"/>
      <c r="DH47" s="9"/>
      <c r="DI47" s="8"/>
      <c r="DJ47" s="8"/>
      <c r="DK47" s="8"/>
      <c r="DL47" s="8"/>
      <c r="DM47" s="8"/>
      <c r="DN47" s="8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8"/>
      <c r="DZ47" s="8"/>
      <c r="EA47" s="8"/>
      <c r="EB47" s="8"/>
      <c r="EC47" s="8"/>
      <c r="ED47" s="9"/>
      <c r="EE47" s="9"/>
      <c r="EF47" s="9"/>
      <c r="EG47" s="9"/>
      <c r="EH47" s="9"/>
      <c r="EI47" s="9"/>
      <c r="EJ47" s="9"/>
      <c r="EK47" s="8"/>
      <c r="EL47" s="8"/>
      <c r="EM47" s="8"/>
      <c r="EN47" s="8"/>
      <c r="EO47" s="8"/>
      <c r="EP47" s="8"/>
      <c r="EQ47" s="8"/>
      <c r="ER47" s="8"/>
      <c r="ES47" s="8"/>
      <c r="ET47" s="9"/>
      <c r="EU47" s="9"/>
      <c r="EV47" s="9"/>
      <c r="EW47" s="9"/>
      <c r="EX47" s="9"/>
      <c r="EY47" s="9"/>
      <c r="EZ47" s="9"/>
      <c r="FA47" s="9"/>
      <c r="FB47" s="8"/>
      <c r="FC47" s="8"/>
      <c r="FD47" s="8"/>
      <c r="FE47" s="8"/>
      <c r="FF47" s="9"/>
      <c r="FG47" s="9"/>
      <c r="FH47" s="9"/>
      <c r="FI47" s="9"/>
      <c r="FJ47" s="9"/>
      <c r="FK47" s="9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9"/>
      <c r="GA47" s="9"/>
      <c r="GB47" s="9"/>
      <c r="GC47" s="9"/>
      <c r="GD47" s="9"/>
      <c r="GE47" s="9"/>
      <c r="GF47" s="9"/>
      <c r="GG47" s="9"/>
      <c r="GH47" s="9"/>
      <c r="GI47" s="9"/>
    </row>
    <row r="48" spans="1:191" ht="15" customHeight="1" x14ac:dyDescent="0.25">
      <c r="A48" s="284">
        <v>544254630414</v>
      </c>
      <c r="B48" s="10">
        <f t="shared" si="3"/>
        <v>0</v>
      </c>
      <c r="C48" s="10">
        <v>0</v>
      </c>
      <c r="D48" s="10" t="b">
        <f t="shared" si="1"/>
        <v>1</v>
      </c>
      <c r="E48" s="10">
        <f t="shared" si="2"/>
        <v>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9"/>
      <c r="Y48" s="9"/>
      <c r="Z48" s="8"/>
      <c r="AA48" s="8"/>
      <c r="AB48" s="8"/>
      <c r="AC48" s="8"/>
      <c r="AD48" s="8"/>
      <c r="AE48" s="9"/>
      <c r="AF48" s="9"/>
      <c r="AG48" s="9"/>
      <c r="AH48" s="9"/>
      <c r="AI48" s="9"/>
      <c r="AJ48" s="8"/>
      <c r="AK48" s="8"/>
      <c r="AL48" s="8"/>
      <c r="AM48" s="8"/>
      <c r="AN48" s="8"/>
      <c r="AO48" s="9"/>
      <c r="AP48" s="9"/>
      <c r="AQ48" s="9"/>
      <c r="AR48" s="9"/>
      <c r="AS48" s="9"/>
      <c r="AT48" s="8"/>
      <c r="AU48" s="8"/>
      <c r="AV48" s="8"/>
      <c r="AW48" s="8"/>
      <c r="AX48" s="8"/>
      <c r="AY48" s="8"/>
      <c r="AZ48" s="9"/>
      <c r="BA48" s="9"/>
      <c r="BB48" s="9"/>
      <c r="BC48" s="9"/>
      <c r="BD48" s="9"/>
      <c r="BE48" s="9"/>
      <c r="BF48" s="9"/>
      <c r="BG48" s="8"/>
      <c r="BH48" s="8"/>
      <c r="BI48" s="8"/>
      <c r="BJ48" s="8"/>
      <c r="BK48" s="8"/>
      <c r="BL48" s="8"/>
      <c r="BM48" s="9"/>
      <c r="BN48" s="9"/>
      <c r="BO48" s="9"/>
      <c r="BP48" s="9"/>
      <c r="BQ48" s="9"/>
      <c r="BR48" s="8"/>
      <c r="BS48" s="8"/>
      <c r="BT48" s="8"/>
      <c r="BU48" s="8"/>
      <c r="BV48" s="8"/>
      <c r="BW48" s="8"/>
      <c r="BX48" s="8"/>
      <c r="BY48" s="8"/>
      <c r="BZ48" s="9"/>
      <c r="CA48" s="9"/>
      <c r="CB48" s="9"/>
      <c r="CC48" s="9"/>
      <c r="CD48" s="9"/>
      <c r="CE48" s="8"/>
      <c r="CF48" s="8"/>
      <c r="CG48" s="8"/>
      <c r="CH48" s="8"/>
      <c r="CI48" s="8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8"/>
      <c r="CX48" s="8"/>
      <c r="CY48" s="8"/>
      <c r="CZ48" s="8"/>
      <c r="DA48" s="8"/>
      <c r="DB48" s="9"/>
      <c r="DC48" s="9"/>
      <c r="DD48" s="9"/>
      <c r="DE48" s="9"/>
      <c r="DF48" s="9"/>
      <c r="DG48" s="9"/>
      <c r="DH48" s="9"/>
      <c r="DI48" s="8"/>
      <c r="DJ48" s="8"/>
      <c r="DK48" s="8"/>
      <c r="DL48" s="8"/>
      <c r="DM48" s="8"/>
      <c r="DN48" s="8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8"/>
      <c r="DZ48" s="8"/>
      <c r="EA48" s="8"/>
      <c r="EB48" s="8"/>
      <c r="EC48" s="8"/>
      <c r="ED48" s="9"/>
      <c r="EE48" s="9"/>
      <c r="EF48" s="9"/>
      <c r="EG48" s="9"/>
      <c r="EH48" s="9"/>
      <c r="EI48" s="9"/>
      <c r="EJ48" s="9"/>
      <c r="EK48" s="8"/>
      <c r="EL48" s="8"/>
      <c r="EM48" s="8"/>
      <c r="EN48" s="8"/>
      <c r="EO48" s="8"/>
      <c r="EP48" s="8"/>
      <c r="EQ48" s="8"/>
      <c r="ER48" s="8"/>
      <c r="ES48" s="8"/>
      <c r="ET48" s="9"/>
      <c r="EU48" s="9"/>
      <c r="EV48" s="9"/>
      <c r="EW48" s="9"/>
      <c r="EX48" s="9"/>
      <c r="EY48" s="9"/>
      <c r="EZ48" s="9"/>
      <c r="FA48" s="9"/>
      <c r="FB48" s="8"/>
      <c r="FC48" s="8"/>
      <c r="FD48" s="8"/>
      <c r="FE48" s="8"/>
      <c r="FF48" s="9"/>
      <c r="FG48" s="9"/>
      <c r="FH48" s="9"/>
      <c r="FI48" s="9"/>
      <c r="FJ48" s="9"/>
      <c r="FK48" s="9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9"/>
      <c r="GA48" s="9"/>
      <c r="GB48" s="9"/>
      <c r="GC48" s="9"/>
      <c r="GD48" s="9"/>
      <c r="GE48" s="9"/>
      <c r="GF48" s="9"/>
      <c r="GG48" s="9"/>
      <c r="GH48" s="9"/>
      <c r="GI48" s="9"/>
    </row>
    <row r="49" spans="1:191" ht="15" customHeight="1" x14ac:dyDescent="0.25">
      <c r="A49" s="284">
        <v>544254630393</v>
      </c>
      <c r="B49" s="10">
        <f t="shared" si="3"/>
        <v>0</v>
      </c>
      <c r="C49" s="10">
        <v>0</v>
      </c>
      <c r="D49" s="10" t="b">
        <f t="shared" si="1"/>
        <v>1</v>
      </c>
      <c r="E49" s="10">
        <f t="shared" si="2"/>
        <v>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9"/>
      <c r="Z49" s="8"/>
      <c r="AA49" s="8"/>
      <c r="AB49" s="8"/>
      <c r="AC49" s="8"/>
      <c r="AD49" s="8"/>
      <c r="AE49" s="9"/>
      <c r="AF49" s="9"/>
      <c r="AG49" s="9"/>
      <c r="AH49" s="9"/>
      <c r="AI49" s="9"/>
      <c r="AJ49" s="8"/>
      <c r="AK49" s="8"/>
      <c r="AL49" s="8"/>
      <c r="AM49" s="8"/>
      <c r="AN49" s="8"/>
      <c r="AO49" s="9"/>
      <c r="AP49" s="9"/>
      <c r="AQ49" s="9"/>
      <c r="AR49" s="9"/>
      <c r="AS49" s="9"/>
      <c r="AT49" s="8"/>
      <c r="AU49" s="8"/>
      <c r="AV49" s="8"/>
      <c r="AW49" s="8"/>
      <c r="AX49" s="8"/>
      <c r="AY49" s="8"/>
      <c r="AZ49" s="9"/>
      <c r="BA49" s="9"/>
      <c r="BB49" s="9"/>
      <c r="BC49" s="9"/>
      <c r="BD49" s="9"/>
      <c r="BE49" s="9"/>
      <c r="BF49" s="9"/>
      <c r="BG49" s="8"/>
      <c r="BH49" s="8"/>
      <c r="BI49" s="8"/>
      <c r="BJ49" s="8"/>
      <c r="BK49" s="8"/>
      <c r="BL49" s="8"/>
      <c r="BM49" s="9"/>
      <c r="BN49" s="9"/>
      <c r="BO49" s="9"/>
      <c r="BP49" s="9"/>
      <c r="BQ49" s="9"/>
      <c r="BR49" s="8"/>
      <c r="BS49" s="8"/>
      <c r="BT49" s="8"/>
      <c r="BU49" s="8"/>
      <c r="BV49" s="8"/>
      <c r="BW49" s="8"/>
      <c r="BX49" s="8"/>
      <c r="BY49" s="8"/>
      <c r="BZ49" s="9"/>
      <c r="CA49" s="9"/>
      <c r="CB49" s="9"/>
      <c r="CC49" s="9"/>
      <c r="CD49" s="9"/>
      <c r="CE49" s="8"/>
      <c r="CF49" s="8"/>
      <c r="CG49" s="8"/>
      <c r="CH49" s="8"/>
      <c r="CI49" s="8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8"/>
      <c r="CX49" s="8"/>
      <c r="CY49" s="8"/>
      <c r="CZ49" s="8"/>
      <c r="DA49" s="8"/>
      <c r="DB49" s="9"/>
      <c r="DC49" s="9"/>
      <c r="DD49" s="9"/>
      <c r="DE49" s="9"/>
      <c r="DF49" s="9"/>
      <c r="DG49" s="9"/>
      <c r="DH49" s="9"/>
      <c r="DI49" s="8"/>
      <c r="DJ49" s="8"/>
      <c r="DK49" s="8"/>
      <c r="DL49" s="8"/>
      <c r="DM49" s="8"/>
      <c r="DN49" s="8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8"/>
      <c r="DZ49" s="8"/>
      <c r="EA49" s="8"/>
      <c r="EB49" s="8"/>
      <c r="EC49" s="8"/>
      <c r="ED49" s="9"/>
      <c r="EE49" s="9"/>
      <c r="EF49" s="9"/>
      <c r="EG49" s="9"/>
      <c r="EH49" s="9"/>
      <c r="EI49" s="9"/>
      <c r="EJ49" s="9"/>
      <c r="EK49" s="8"/>
      <c r="EL49" s="8"/>
      <c r="EM49" s="8"/>
      <c r="EN49" s="8"/>
      <c r="EO49" s="8"/>
      <c r="EP49" s="8"/>
      <c r="EQ49" s="8"/>
      <c r="ER49" s="8"/>
      <c r="ES49" s="8"/>
      <c r="ET49" s="9"/>
      <c r="EU49" s="9"/>
      <c r="EV49" s="9"/>
      <c r="EW49" s="9"/>
      <c r="EX49" s="9"/>
      <c r="EY49" s="9"/>
      <c r="EZ49" s="9"/>
      <c r="FA49" s="9"/>
      <c r="FB49" s="8"/>
      <c r="FC49" s="8"/>
      <c r="FD49" s="8"/>
      <c r="FE49" s="8"/>
      <c r="FF49" s="9"/>
      <c r="FG49" s="9"/>
      <c r="FH49" s="9"/>
      <c r="FI49" s="9"/>
      <c r="FJ49" s="9"/>
      <c r="FK49" s="9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9"/>
      <c r="GA49" s="9"/>
      <c r="GB49" s="9"/>
      <c r="GC49" s="9"/>
      <c r="GD49" s="9"/>
      <c r="GE49" s="9"/>
      <c r="GF49" s="9"/>
      <c r="GG49" s="9"/>
      <c r="GH49" s="9"/>
      <c r="GI49" s="9"/>
    </row>
    <row r="50" spans="1:191" ht="15" customHeight="1" x14ac:dyDescent="0.25">
      <c r="A50" s="284">
        <v>544254630421</v>
      </c>
      <c r="B50" s="10">
        <f t="shared" si="3"/>
        <v>0</v>
      </c>
      <c r="C50" s="10">
        <v>0</v>
      </c>
      <c r="D50" s="10" t="b">
        <f t="shared" si="1"/>
        <v>1</v>
      </c>
      <c r="E50" s="10">
        <f t="shared" si="2"/>
        <v>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9"/>
      <c r="Z50" s="8"/>
      <c r="AA50" s="8"/>
      <c r="AB50" s="8"/>
      <c r="AC50" s="8"/>
      <c r="AD50" s="8"/>
      <c r="AE50" s="9"/>
      <c r="AF50" s="9"/>
      <c r="AG50" s="9"/>
      <c r="AH50" s="9"/>
      <c r="AI50" s="9"/>
      <c r="AJ50" s="8"/>
      <c r="AK50" s="8"/>
      <c r="AL50" s="8"/>
      <c r="AM50" s="8"/>
      <c r="AN50" s="8"/>
      <c r="AO50" s="9"/>
      <c r="AP50" s="9"/>
      <c r="AQ50" s="9"/>
      <c r="AR50" s="9"/>
      <c r="AS50" s="9"/>
      <c r="AT50" s="8"/>
      <c r="AU50" s="8"/>
      <c r="AV50" s="8"/>
      <c r="AW50" s="8"/>
      <c r="AX50" s="8"/>
      <c r="AY50" s="8"/>
      <c r="AZ50" s="9"/>
      <c r="BA50" s="9"/>
      <c r="BB50" s="9"/>
      <c r="BC50" s="9"/>
      <c r="BD50" s="9"/>
      <c r="BE50" s="9"/>
      <c r="BF50" s="9"/>
      <c r="BG50" s="8"/>
      <c r="BH50" s="8"/>
      <c r="BI50" s="8"/>
      <c r="BJ50" s="8"/>
      <c r="BK50" s="8"/>
      <c r="BL50" s="8"/>
      <c r="BM50" s="9"/>
      <c r="BN50" s="9"/>
      <c r="BO50" s="9"/>
      <c r="BP50" s="9"/>
      <c r="BQ50" s="9"/>
      <c r="BR50" s="8"/>
      <c r="BS50" s="8"/>
      <c r="BT50" s="8"/>
      <c r="BU50" s="8"/>
      <c r="BV50" s="8"/>
      <c r="BW50" s="8"/>
      <c r="BX50" s="8"/>
      <c r="BY50" s="8"/>
      <c r="BZ50" s="9"/>
      <c r="CA50" s="9"/>
      <c r="CB50" s="9"/>
      <c r="CC50" s="9"/>
      <c r="CD50" s="9"/>
      <c r="CE50" s="8"/>
      <c r="CF50" s="8"/>
      <c r="CG50" s="8"/>
      <c r="CH50" s="8"/>
      <c r="CI50" s="8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8"/>
      <c r="CX50" s="8"/>
      <c r="CY50" s="8"/>
      <c r="CZ50" s="8"/>
      <c r="DA50" s="8"/>
      <c r="DB50" s="9"/>
      <c r="DC50" s="9"/>
      <c r="DD50" s="9"/>
      <c r="DE50" s="9"/>
      <c r="DF50" s="9"/>
      <c r="DG50" s="9"/>
      <c r="DH50" s="9"/>
      <c r="DI50" s="8"/>
      <c r="DJ50" s="8"/>
      <c r="DK50" s="8"/>
      <c r="DL50" s="8"/>
      <c r="DM50" s="8"/>
      <c r="DN50" s="8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8"/>
      <c r="DZ50" s="8"/>
      <c r="EA50" s="8"/>
      <c r="EB50" s="8"/>
      <c r="EC50" s="8"/>
      <c r="ED50" s="9"/>
      <c r="EE50" s="9"/>
      <c r="EF50" s="9"/>
      <c r="EG50" s="9"/>
      <c r="EH50" s="9"/>
      <c r="EI50" s="9"/>
      <c r="EJ50" s="9"/>
      <c r="EK50" s="8"/>
      <c r="EL50" s="8"/>
      <c r="EM50" s="8"/>
      <c r="EN50" s="8"/>
      <c r="EO50" s="8"/>
      <c r="EP50" s="8"/>
      <c r="EQ50" s="8"/>
      <c r="ER50" s="8"/>
      <c r="ES50" s="8"/>
      <c r="ET50" s="9"/>
      <c r="EU50" s="9"/>
      <c r="EV50" s="9"/>
      <c r="EW50" s="9"/>
      <c r="EX50" s="9"/>
      <c r="EY50" s="9"/>
      <c r="EZ50" s="9"/>
      <c r="FA50" s="9"/>
      <c r="FB50" s="8"/>
      <c r="FC50" s="8"/>
      <c r="FD50" s="8"/>
      <c r="FE50" s="8"/>
      <c r="FF50" s="9"/>
      <c r="FG50" s="9"/>
      <c r="FH50" s="9"/>
      <c r="FI50" s="9"/>
      <c r="FJ50" s="9"/>
      <c r="FK50" s="9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9"/>
      <c r="GA50" s="9"/>
      <c r="GB50" s="9"/>
      <c r="GC50" s="9"/>
      <c r="GD50" s="9"/>
      <c r="GE50" s="9"/>
      <c r="GF50" s="9"/>
      <c r="GG50" s="9"/>
      <c r="GH50" s="9"/>
      <c r="GI50" s="9"/>
    </row>
    <row r="51" spans="1:191" ht="15" customHeight="1" x14ac:dyDescent="0.25">
      <c r="A51" s="342">
        <v>544254630390</v>
      </c>
      <c r="B51" s="10">
        <f t="shared" si="3"/>
        <v>0</v>
      </c>
      <c r="C51" s="10">
        <v>0</v>
      </c>
      <c r="D51" s="10" t="b">
        <f t="shared" si="1"/>
        <v>1</v>
      </c>
      <c r="E51" s="10">
        <f t="shared" si="2"/>
        <v>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9"/>
      <c r="Y51" s="9"/>
      <c r="Z51" s="8"/>
      <c r="AA51" s="8"/>
      <c r="AB51" s="8"/>
      <c r="AC51" s="8"/>
      <c r="AD51" s="8"/>
      <c r="AE51" s="9"/>
      <c r="AF51" s="9"/>
      <c r="AG51" s="9"/>
      <c r="AH51" s="9"/>
      <c r="AI51" s="9"/>
      <c r="AJ51" s="8"/>
      <c r="AK51" s="8"/>
      <c r="AL51" s="8"/>
      <c r="AM51" s="8"/>
      <c r="AN51" s="8"/>
      <c r="AO51" s="9"/>
      <c r="AP51" s="9"/>
      <c r="AQ51" s="9"/>
      <c r="AR51" s="9"/>
      <c r="AS51" s="9"/>
      <c r="AT51" s="8"/>
      <c r="AU51" s="8"/>
      <c r="AV51" s="8"/>
      <c r="AW51" s="8"/>
      <c r="AX51" s="8"/>
      <c r="AY51" s="8"/>
      <c r="AZ51" s="9"/>
      <c r="BA51" s="9"/>
      <c r="BB51" s="9"/>
      <c r="BC51" s="9"/>
      <c r="BD51" s="9"/>
      <c r="BE51" s="9"/>
      <c r="BF51" s="9"/>
      <c r="BG51" s="8"/>
      <c r="BH51" s="8"/>
      <c r="BI51" s="8"/>
      <c r="BJ51" s="8"/>
      <c r="BK51" s="8"/>
      <c r="BL51" s="8"/>
      <c r="BM51" s="9"/>
      <c r="BN51" s="9"/>
      <c r="BO51" s="9"/>
      <c r="BP51" s="9"/>
      <c r="BQ51" s="9"/>
      <c r="BR51" s="8"/>
      <c r="BS51" s="8"/>
      <c r="BT51" s="8"/>
      <c r="BU51" s="8"/>
      <c r="BV51" s="8"/>
      <c r="BW51" s="8"/>
      <c r="BX51" s="8"/>
      <c r="BY51" s="8"/>
      <c r="BZ51" s="9"/>
      <c r="CA51" s="9"/>
      <c r="CB51" s="9"/>
      <c r="CC51" s="9"/>
      <c r="CD51" s="9"/>
      <c r="CE51" s="8"/>
      <c r="CF51" s="8"/>
      <c r="CG51" s="8"/>
      <c r="CH51" s="8"/>
      <c r="CI51" s="8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8"/>
      <c r="CX51" s="8"/>
      <c r="CY51" s="8"/>
      <c r="CZ51" s="8"/>
      <c r="DA51" s="8"/>
      <c r="DB51" s="9"/>
      <c r="DC51" s="9"/>
      <c r="DD51" s="9"/>
      <c r="DE51" s="9"/>
      <c r="DF51" s="9"/>
      <c r="DG51" s="9"/>
      <c r="DH51" s="9"/>
      <c r="DI51" s="8"/>
      <c r="DJ51" s="8"/>
      <c r="DK51" s="8"/>
      <c r="DL51" s="8"/>
      <c r="DM51" s="8"/>
      <c r="DN51" s="8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8"/>
      <c r="DZ51" s="8"/>
      <c r="EA51" s="8"/>
      <c r="EB51" s="8"/>
      <c r="EC51" s="8"/>
      <c r="ED51" s="9"/>
      <c r="EE51" s="9"/>
      <c r="EF51" s="9"/>
      <c r="EG51" s="9"/>
      <c r="EH51" s="9"/>
      <c r="EI51" s="9"/>
      <c r="EJ51" s="9"/>
      <c r="EK51" s="8"/>
      <c r="EL51" s="8"/>
      <c r="EM51" s="8"/>
      <c r="EN51" s="8"/>
      <c r="EO51" s="8"/>
      <c r="EP51" s="8"/>
      <c r="EQ51" s="8"/>
      <c r="ER51" s="8"/>
      <c r="ES51" s="8"/>
      <c r="ET51" s="9"/>
      <c r="EU51" s="9"/>
      <c r="EV51" s="9"/>
      <c r="EW51" s="9"/>
      <c r="EX51" s="9"/>
      <c r="EY51" s="9"/>
      <c r="EZ51" s="9"/>
      <c r="FA51" s="9"/>
      <c r="FB51" s="8"/>
      <c r="FC51" s="8"/>
      <c r="FD51" s="8"/>
      <c r="FE51" s="8"/>
      <c r="FF51" s="9"/>
      <c r="FG51" s="9"/>
      <c r="FH51" s="9"/>
      <c r="FI51" s="9"/>
      <c r="FJ51" s="9"/>
      <c r="FK51" s="9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9"/>
      <c r="GA51" s="9"/>
      <c r="GB51" s="9"/>
      <c r="GC51" s="9"/>
      <c r="GD51" s="9"/>
      <c r="GE51" s="9"/>
      <c r="GF51" s="9"/>
      <c r="GG51" s="9"/>
      <c r="GH51" s="9"/>
      <c r="GI51" s="9"/>
    </row>
    <row r="52" spans="1:191" ht="15" customHeight="1" x14ac:dyDescent="0.25">
      <c r="A52" s="342">
        <v>544254630265</v>
      </c>
      <c r="B52" s="10">
        <f t="shared" si="3"/>
        <v>0</v>
      </c>
      <c r="C52" s="10">
        <v>0</v>
      </c>
      <c r="D52" s="10" t="b">
        <f t="shared" si="1"/>
        <v>1</v>
      </c>
      <c r="E52" s="10">
        <f t="shared" si="2"/>
        <v>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/>
      <c r="Y52" s="9"/>
      <c r="Z52" s="8"/>
      <c r="AA52" s="8"/>
      <c r="AB52" s="8"/>
      <c r="AC52" s="8"/>
      <c r="AD52" s="8"/>
      <c r="AE52" s="9"/>
      <c r="AF52" s="9"/>
      <c r="AG52" s="9"/>
      <c r="AH52" s="9"/>
      <c r="AI52" s="9"/>
      <c r="AJ52" s="8"/>
      <c r="AK52" s="8"/>
      <c r="AL52" s="8"/>
      <c r="AM52" s="8"/>
      <c r="AN52" s="8"/>
      <c r="AO52" s="9"/>
      <c r="AP52" s="9"/>
      <c r="AQ52" s="9"/>
      <c r="AR52" s="9"/>
      <c r="AS52" s="9"/>
      <c r="AT52" s="8"/>
      <c r="AU52" s="8"/>
      <c r="AV52" s="8"/>
      <c r="AW52" s="8"/>
      <c r="AX52" s="8"/>
      <c r="AY52" s="8"/>
      <c r="AZ52" s="9"/>
      <c r="BA52" s="9"/>
      <c r="BB52" s="9"/>
      <c r="BC52" s="9"/>
      <c r="BD52" s="9"/>
      <c r="BE52" s="9"/>
      <c r="BF52" s="9"/>
      <c r="BG52" s="8"/>
      <c r="BH52" s="8"/>
      <c r="BI52" s="8"/>
      <c r="BJ52" s="8"/>
      <c r="BK52" s="8"/>
      <c r="BL52" s="8"/>
      <c r="BM52" s="9"/>
      <c r="BN52" s="9"/>
      <c r="BO52" s="9"/>
      <c r="BP52" s="9"/>
      <c r="BQ52" s="9"/>
      <c r="BR52" s="8"/>
      <c r="BS52" s="8"/>
      <c r="BT52" s="8"/>
      <c r="BU52" s="8"/>
      <c r="BV52" s="8"/>
      <c r="BW52" s="8"/>
      <c r="BX52" s="8"/>
      <c r="BY52" s="8"/>
      <c r="BZ52" s="9"/>
      <c r="CA52" s="9"/>
      <c r="CB52" s="9"/>
      <c r="CC52" s="9"/>
      <c r="CD52" s="9"/>
      <c r="CE52" s="8"/>
      <c r="CF52" s="8"/>
      <c r="CG52" s="8"/>
      <c r="CH52" s="8"/>
      <c r="CI52" s="8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8"/>
      <c r="CX52" s="8"/>
      <c r="CY52" s="8"/>
      <c r="CZ52" s="8"/>
      <c r="DA52" s="8"/>
      <c r="DB52" s="9"/>
      <c r="DC52" s="9"/>
      <c r="DD52" s="9"/>
      <c r="DE52" s="9"/>
      <c r="DF52" s="9"/>
      <c r="DG52" s="9"/>
      <c r="DH52" s="9"/>
      <c r="DI52" s="8"/>
      <c r="DJ52" s="8"/>
      <c r="DK52" s="8"/>
      <c r="DL52" s="8"/>
      <c r="DM52" s="8"/>
      <c r="DN52" s="8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8"/>
      <c r="DZ52" s="8"/>
      <c r="EA52" s="8"/>
      <c r="EB52" s="8"/>
      <c r="EC52" s="8"/>
      <c r="ED52" s="9"/>
      <c r="EE52" s="9"/>
      <c r="EF52" s="9"/>
      <c r="EG52" s="9"/>
      <c r="EH52" s="9"/>
      <c r="EI52" s="9"/>
      <c r="EJ52" s="9"/>
      <c r="EK52" s="8"/>
      <c r="EL52" s="8"/>
      <c r="EM52" s="8"/>
      <c r="EN52" s="8"/>
      <c r="EO52" s="8"/>
      <c r="EP52" s="8"/>
      <c r="EQ52" s="8"/>
      <c r="ER52" s="8"/>
      <c r="ES52" s="8"/>
      <c r="ET52" s="9"/>
      <c r="EU52" s="9"/>
      <c r="EV52" s="9"/>
      <c r="EW52" s="9"/>
      <c r="EX52" s="9"/>
      <c r="EY52" s="9"/>
      <c r="EZ52" s="9"/>
      <c r="FA52" s="9"/>
      <c r="FB52" s="8"/>
      <c r="FC52" s="8"/>
      <c r="FD52" s="8"/>
      <c r="FE52" s="8"/>
      <c r="FF52" s="9"/>
      <c r="FG52" s="9"/>
      <c r="FH52" s="9"/>
      <c r="FI52" s="9"/>
      <c r="FJ52" s="9"/>
      <c r="FK52" s="9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9"/>
      <c r="GA52" s="9"/>
      <c r="GB52" s="9"/>
      <c r="GC52" s="9"/>
      <c r="GD52" s="9"/>
      <c r="GE52" s="9"/>
      <c r="GF52" s="9"/>
      <c r="GG52" s="9"/>
      <c r="GH52" s="9"/>
      <c r="GI52" s="9"/>
    </row>
    <row r="53" spans="1:191" ht="15" customHeight="1" x14ac:dyDescent="0.25">
      <c r="A53" s="343">
        <v>544254630264</v>
      </c>
      <c r="B53" s="10">
        <f t="shared" si="3"/>
        <v>0</v>
      </c>
      <c r="C53" s="10">
        <v>0</v>
      </c>
      <c r="D53" s="10" t="b">
        <f t="shared" si="1"/>
        <v>1</v>
      </c>
      <c r="E53" s="10">
        <f t="shared" si="2"/>
        <v>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9"/>
      <c r="Y53" s="9"/>
      <c r="Z53" s="8"/>
      <c r="AA53" s="8"/>
      <c r="AB53" s="8"/>
      <c r="AC53" s="8"/>
      <c r="AD53" s="8"/>
      <c r="AE53" s="9"/>
      <c r="AF53" s="9"/>
      <c r="AG53" s="9"/>
      <c r="AH53" s="9"/>
      <c r="AI53" s="9"/>
      <c r="AJ53" s="8"/>
      <c r="AK53" s="8"/>
      <c r="AL53" s="8"/>
      <c r="AM53" s="8"/>
      <c r="AN53" s="8"/>
      <c r="AO53" s="9"/>
      <c r="AP53" s="9"/>
      <c r="AQ53" s="9"/>
      <c r="AR53" s="9"/>
      <c r="AS53" s="9"/>
      <c r="AT53" s="8"/>
      <c r="AU53" s="8"/>
      <c r="AV53" s="8"/>
      <c r="AW53" s="8"/>
      <c r="AX53" s="8"/>
      <c r="AY53" s="8"/>
      <c r="AZ53" s="9"/>
      <c r="BA53" s="9"/>
      <c r="BB53" s="9"/>
      <c r="BC53" s="9"/>
      <c r="BD53" s="9"/>
      <c r="BE53" s="9"/>
      <c r="BF53" s="9"/>
      <c r="BG53" s="8"/>
      <c r="BH53" s="8"/>
      <c r="BI53" s="8"/>
      <c r="BJ53" s="8"/>
      <c r="BK53" s="8"/>
      <c r="BL53" s="8"/>
      <c r="BM53" s="9"/>
      <c r="BN53" s="9"/>
      <c r="BO53" s="9"/>
      <c r="BP53" s="9"/>
      <c r="BQ53" s="9"/>
      <c r="BR53" s="8"/>
      <c r="BS53" s="8"/>
      <c r="BT53" s="8"/>
      <c r="BU53" s="8"/>
      <c r="BV53" s="8"/>
      <c r="BW53" s="8"/>
      <c r="BX53" s="8"/>
      <c r="BY53" s="8"/>
      <c r="BZ53" s="9"/>
      <c r="CA53" s="9"/>
      <c r="CB53" s="9"/>
      <c r="CC53" s="9"/>
      <c r="CD53" s="9"/>
      <c r="CE53" s="8"/>
      <c r="CF53" s="8"/>
      <c r="CG53" s="8"/>
      <c r="CH53" s="8"/>
      <c r="CI53" s="8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8"/>
      <c r="CX53" s="8"/>
      <c r="CY53" s="8"/>
      <c r="CZ53" s="8"/>
      <c r="DA53" s="8"/>
      <c r="DB53" s="9"/>
      <c r="DC53" s="9"/>
      <c r="DD53" s="9"/>
      <c r="DE53" s="9"/>
      <c r="DF53" s="9"/>
      <c r="DG53" s="9"/>
      <c r="DH53" s="9"/>
      <c r="DI53" s="8"/>
      <c r="DJ53" s="8"/>
      <c r="DK53" s="8"/>
      <c r="DL53" s="8"/>
      <c r="DM53" s="8"/>
      <c r="DN53" s="8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8"/>
      <c r="DZ53" s="8"/>
      <c r="EA53" s="8"/>
      <c r="EB53" s="8"/>
      <c r="EC53" s="8"/>
      <c r="ED53" s="9"/>
      <c r="EE53" s="9"/>
      <c r="EF53" s="9"/>
      <c r="EG53" s="9"/>
      <c r="EH53" s="9"/>
      <c r="EI53" s="9"/>
      <c r="EJ53" s="9"/>
      <c r="EK53" s="8"/>
      <c r="EL53" s="8"/>
      <c r="EM53" s="8"/>
      <c r="EN53" s="8"/>
      <c r="EO53" s="8"/>
      <c r="EP53" s="8"/>
      <c r="EQ53" s="8"/>
      <c r="ER53" s="8"/>
      <c r="ES53" s="8"/>
      <c r="ET53" s="9"/>
      <c r="EU53" s="9"/>
      <c r="EV53" s="9"/>
      <c r="EW53" s="9"/>
      <c r="EX53" s="9"/>
      <c r="EY53" s="9"/>
      <c r="EZ53" s="9"/>
      <c r="FA53" s="9"/>
      <c r="FB53" s="8"/>
      <c r="FC53" s="8"/>
      <c r="FD53" s="8"/>
      <c r="FE53" s="8"/>
      <c r="FF53" s="9"/>
      <c r="FG53" s="9"/>
      <c r="FH53" s="9"/>
      <c r="FI53" s="9"/>
      <c r="FJ53" s="9"/>
      <c r="FK53" s="9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9"/>
      <c r="GA53" s="9"/>
      <c r="GB53" s="9"/>
      <c r="GC53" s="9"/>
      <c r="GD53" s="9"/>
      <c r="GE53" s="9"/>
      <c r="GF53" s="9"/>
      <c r="GG53" s="9"/>
      <c r="GH53" s="9"/>
      <c r="GI53" s="9"/>
    </row>
    <row r="54" spans="1:191" ht="15" customHeight="1" x14ac:dyDescent="0.25">
      <c r="A54" s="276">
        <v>544554630328</v>
      </c>
      <c r="B54" s="10">
        <f t="shared" si="3"/>
        <v>0</v>
      </c>
      <c r="C54" s="10">
        <v>0</v>
      </c>
      <c r="D54" s="10" t="b">
        <f t="shared" si="1"/>
        <v>1</v>
      </c>
      <c r="E54" s="10">
        <f t="shared" si="2"/>
        <v>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9"/>
      <c r="Y54" s="9"/>
      <c r="Z54" s="8"/>
      <c r="AA54" s="8"/>
      <c r="AB54" s="8"/>
      <c r="AC54" s="8"/>
      <c r="AD54" s="8"/>
      <c r="AE54" s="9"/>
      <c r="AF54" s="9"/>
      <c r="AG54" s="9"/>
      <c r="AH54" s="9"/>
      <c r="AI54" s="9"/>
      <c r="AJ54" s="8"/>
      <c r="AK54" s="8"/>
      <c r="AL54" s="8"/>
      <c r="AM54" s="8"/>
      <c r="AN54" s="8"/>
      <c r="AO54" s="9"/>
      <c r="AP54" s="9"/>
      <c r="AQ54" s="9"/>
      <c r="AR54" s="9"/>
      <c r="AS54" s="9"/>
      <c r="AT54" s="8"/>
      <c r="AU54" s="8"/>
      <c r="AV54" s="8"/>
      <c r="AW54" s="8"/>
      <c r="AX54" s="8"/>
      <c r="AY54" s="8"/>
      <c r="AZ54" s="9"/>
      <c r="BA54" s="9"/>
      <c r="BB54" s="9"/>
      <c r="BC54" s="9"/>
      <c r="BD54" s="9"/>
      <c r="BE54" s="9"/>
      <c r="BF54" s="9"/>
      <c r="BG54" s="8"/>
      <c r="BH54" s="8"/>
      <c r="BI54" s="8"/>
      <c r="BJ54" s="8"/>
      <c r="BK54" s="8"/>
      <c r="BL54" s="8"/>
      <c r="BM54" s="9"/>
      <c r="BN54" s="9"/>
      <c r="BO54" s="9"/>
      <c r="BP54" s="9"/>
      <c r="BQ54" s="9"/>
      <c r="BR54" s="8"/>
      <c r="BS54" s="8"/>
      <c r="BT54" s="8"/>
      <c r="BU54" s="8"/>
      <c r="BV54" s="8"/>
      <c r="BW54" s="8"/>
      <c r="BX54" s="8"/>
      <c r="BY54" s="8"/>
      <c r="BZ54" s="9"/>
      <c r="CA54" s="9"/>
      <c r="CB54" s="9"/>
      <c r="CC54" s="9"/>
      <c r="CD54" s="9"/>
      <c r="CE54" s="8"/>
      <c r="CF54" s="8"/>
      <c r="CG54" s="8"/>
      <c r="CH54" s="8"/>
      <c r="CI54" s="8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8"/>
      <c r="CX54" s="8"/>
      <c r="CY54" s="8"/>
      <c r="CZ54" s="8"/>
      <c r="DA54" s="8"/>
      <c r="DB54" s="9"/>
      <c r="DC54" s="9"/>
      <c r="DD54" s="9"/>
      <c r="DE54" s="9"/>
      <c r="DF54" s="9"/>
      <c r="DG54" s="9"/>
      <c r="DH54" s="9"/>
      <c r="DI54" s="8"/>
      <c r="DJ54" s="8"/>
      <c r="DK54" s="8"/>
      <c r="DL54" s="8"/>
      <c r="DM54" s="8"/>
      <c r="DN54" s="8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8"/>
      <c r="DZ54" s="8"/>
      <c r="EA54" s="8"/>
      <c r="EB54" s="8"/>
      <c r="EC54" s="8"/>
      <c r="ED54" s="9"/>
      <c r="EE54" s="9"/>
      <c r="EF54" s="9"/>
      <c r="EG54" s="9"/>
      <c r="EH54" s="9"/>
      <c r="EI54" s="9"/>
      <c r="EJ54" s="9"/>
      <c r="EK54" s="8"/>
      <c r="EL54" s="8"/>
      <c r="EM54" s="8"/>
      <c r="EN54" s="8"/>
      <c r="EO54" s="8"/>
      <c r="EP54" s="8"/>
      <c r="EQ54" s="8"/>
      <c r="ER54" s="8"/>
      <c r="ES54" s="8"/>
      <c r="ET54" s="9"/>
      <c r="EU54" s="9"/>
      <c r="EV54" s="9"/>
      <c r="EW54" s="9"/>
      <c r="EX54" s="9"/>
      <c r="EY54" s="9"/>
      <c r="EZ54" s="9"/>
      <c r="FA54" s="9"/>
      <c r="FB54" s="8"/>
      <c r="FC54" s="8"/>
      <c r="FD54" s="8"/>
      <c r="FE54" s="8"/>
      <c r="FF54" s="9"/>
      <c r="FG54" s="9"/>
      <c r="FH54" s="9"/>
      <c r="FI54" s="9"/>
      <c r="FJ54" s="9"/>
      <c r="FK54" s="9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9"/>
      <c r="GA54" s="9"/>
      <c r="GB54" s="9"/>
      <c r="GC54" s="9"/>
      <c r="GD54" s="9"/>
      <c r="GE54" s="9"/>
      <c r="GF54" s="9"/>
      <c r="GG54" s="9"/>
      <c r="GH54" s="9"/>
      <c r="GI54" s="9"/>
    </row>
    <row r="55" spans="1:191" ht="15" customHeight="1" x14ac:dyDescent="0.25">
      <c r="A55" s="276">
        <v>544554630329</v>
      </c>
      <c r="B55" s="10">
        <f t="shared" si="3"/>
        <v>0</v>
      </c>
      <c r="C55" s="10">
        <v>0</v>
      </c>
      <c r="D55" s="10" t="b">
        <f t="shared" si="1"/>
        <v>1</v>
      </c>
      <c r="E55" s="10">
        <f t="shared" si="2"/>
        <v>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"/>
      <c r="Y55" s="9"/>
      <c r="Z55" s="8"/>
      <c r="AA55" s="8"/>
      <c r="AB55" s="8"/>
      <c r="AC55" s="8"/>
      <c r="AD55" s="8"/>
      <c r="AE55" s="9"/>
      <c r="AF55" s="9"/>
      <c r="AG55" s="9"/>
      <c r="AH55" s="9"/>
      <c r="AI55" s="9"/>
      <c r="AJ55" s="8"/>
      <c r="AK55" s="8"/>
      <c r="AL55" s="8"/>
      <c r="AM55" s="8"/>
      <c r="AN55" s="8"/>
      <c r="AO55" s="9"/>
      <c r="AP55" s="9"/>
      <c r="AQ55" s="9"/>
      <c r="AR55" s="9"/>
      <c r="AS55" s="9"/>
      <c r="AT55" s="8"/>
      <c r="AU55" s="8"/>
      <c r="AV55" s="8"/>
      <c r="AW55" s="8"/>
      <c r="AX55" s="8"/>
      <c r="AY55" s="8"/>
      <c r="AZ55" s="9"/>
      <c r="BA55" s="9"/>
      <c r="BB55" s="9"/>
      <c r="BC55" s="9"/>
      <c r="BD55" s="9"/>
      <c r="BE55" s="9"/>
      <c r="BF55" s="9"/>
      <c r="BG55" s="8"/>
      <c r="BH55" s="8"/>
      <c r="BI55" s="8"/>
      <c r="BJ55" s="8"/>
      <c r="BK55" s="8"/>
      <c r="BL55" s="8"/>
      <c r="BM55" s="9"/>
      <c r="BN55" s="9"/>
      <c r="BO55" s="9"/>
      <c r="BP55" s="9"/>
      <c r="BQ55" s="9"/>
      <c r="BR55" s="8"/>
      <c r="BS55" s="8"/>
      <c r="BT55" s="8"/>
      <c r="BU55" s="8"/>
      <c r="BV55" s="8"/>
      <c r="BW55" s="8"/>
      <c r="BX55" s="8"/>
      <c r="BY55" s="8"/>
      <c r="BZ55" s="9"/>
      <c r="CA55" s="9"/>
      <c r="CB55" s="9"/>
      <c r="CC55" s="9"/>
      <c r="CD55" s="9"/>
      <c r="CE55" s="8"/>
      <c r="CF55" s="8"/>
      <c r="CG55" s="8"/>
      <c r="CH55" s="8"/>
      <c r="CI55" s="8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8"/>
      <c r="CX55" s="8"/>
      <c r="CY55" s="8"/>
      <c r="CZ55" s="8"/>
      <c r="DA55" s="8"/>
      <c r="DB55" s="9"/>
      <c r="DC55" s="9"/>
      <c r="DD55" s="9"/>
      <c r="DE55" s="9"/>
      <c r="DF55" s="9"/>
      <c r="DG55" s="9"/>
      <c r="DH55" s="9"/>
      <c r="DI55" s="8"/>
      <c r="DJ55" s="8"/>
      <c r="DK55" s="8"/>
      <c r="DL55" s="8"/>
      <c r="DM55" s="8"/>
      <c r="DN55" s="8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8"/>
      <c r="DZ55" s="8"/>
      <c r="EA55" s="8"/>
      <c r="EB55" s="8"/>
      <c r="EC55" s="8"/>
      <c r="ED55" s="9"/>
      <c r="EE55" s="9"/>
      <c r="EF55" s="9"/>
      <c r="EG55" s="9"/>
      <c r="EH55" s="9"/>
      <c r="EI55" s="9"/>
      <c r="EJ55" s="9"/>
      <c r="EK55" s="8"/>
      <c r="EL55" s="8"/>
      <c r="EM55" s="8"/>
      <c r="EN55" s="8"/>
      <c r="EO55" s="8"/>
      <c r="EP55" s="8"/>
      <c r="EQ55" s="8"/>
      <c r="ER55" s="8"/>
      <c r="ES55" s="8"/>
      <c r="ET55" s="9"/>
      <c r="EU55" s="9"/>
      <c r="EV55" s="9"/>
      <c r="EW55" s="9"/>
      <c r="EX55" s="9"/>
      <c r="EY55" s="9"/>
      <c r="EZ55" s="9"/>
      <c r="FA55" s="9"/>
      <c r="FB55" s="8"/>
      <c r="FC55" s="8"/>
      <c r="FD55" s="8"/>
      <c r="FE55" s="8"/>
      <c r="FF55" s="9"/>
      <c r="FG55" s="9"/>
      <c r="FH55" s="9"/>
      <c r="FI55" s="9"/>
      <c r="FJ55" s="9"/>
      <c r="FK55" s="9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9"/>
      <c r="GA55" s="9"/>
      <c r="GB55" s="9"/>
      <c r="GC55" s="9"/>
      <c r="GD55" s="9"/>
      <c r="GE55" s="9"/>
      <c r="GF55" s="9"/>
      <c r="GG55" s="9"/>
      <c r="GH55" s="9"/>
      <c r="GI55" s="9"/>
    </row>
    <row r="56" spans="1:191" ht="15" customHeight="1" x14ac:dyDescent="0.25">
      <c r="A56" s="276">
        <v>544554630331</v>
      </c>
      <c r="B56" s="10">
        <f t="shared" si="3"/>
        <v>0</v>
      </c>
      <c r="C56" s="10">
        <v>0</v>
      </c>
      <c r="D56" s="10" t="b">
        <f t="shared" si="1"/>
        <v>1</v>
      </c>
      <c r="E56" s="10">
        <f t="shared" si="2"/>
        <v>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65"/>
      <c r="R56" s="8"/>
      <c r="S56" s="8"/>
      <c r="T56" s="8"/>
      <c r="U56" s="8"/>
      <c r="V56" s="8"/>
      <c r="W56" s="8"/>
      <c r="X56" s="9"/>
      <c r="Y56" s="9"/>
      <c r="Z56" s="8"/>
      <c r="AA56" s="8"/>
      <c r="AB56" s="8"/>
      <c r="AC56" s="8"/>
      <c r="AD56" s="8"/>
      <c r="AE56" s="9"/>
      <c r="AF56" s="9"/>
      <c r="AG56" s="9"/>
      <c r="AH56" s="9"/>
      <c r="AI56" s="9"/>
      <c r="AJ56" s="8"/>
      <c r="AK56" s="8"/>
      <c r="AL56" s="8"/>
      <c r="AM56" s="8"/>
      <c r="AN56" s="8"/>
      <c r="AO56" s="9"/>
      <c r="AP56" s="9"/>
      <c r="AQ56" s="9"/>
      <c r="AR56" s="9"/>
      <c r="AS56" s="9"/>
      <c r="AT56" s="8"/>
      <c r="AU56" s="8"/>
      <c r="AV56" s="8"/>
      <c r="AW56" s="8"/>
      <c r="AX56" s="8"/>
      <c r="AY56" s="8"/>
      <c r="AZ56" s="9"/>
      <c r="BA56" s="9"/>
      <c r="BB56" s="9"/>
      <c r="BC56" s="9"/>
      <c r="BD56" s="9"/>
      <c r="BE56" s="9"/>
      <c r="BF56" s="9"/>
      <c r="BG56" s="8"/>
      <c r="BH56" s="8"/>
      <c r="BI56" s="8"/>
      <c r="BJ56" s="8"/>
      <c r="BK56" s="8"/>
      <c r="BL56" s="8"/>
      <c r="BM56" s="9"/>
      <c r="BN56" s="9"/>
      <c r="BO56" s="9"/>
      <c r="BP56" s="9"/>
      <c r="BQ56" s="9"/>
      <c r="BR56" s="8"/>
      <c r="BS56" s="8"/>
      <c r="BT56" s="8"/>
      <c r="BU56" s="8"/>
      <c r="BV56" s="8"/>
      <c r="BW56" s="8"/>
      <c r="BX56" s="8"/>
      <c r="BY56" s="8"/>
      <c r="BZ56" s="9"/>
      <c r="CA56" s="9"/>
      <c r="CB56" s="9"/>
      <c r="CC56" s="9"/>
      <c r="CD56" s="9"/>
      <c r="CE56" s="8"/>
      <c r="CF56" s="8"/>
      <c r="CG56" s="8"/>
      <c r="CH56" s="8"/>
      <c r="CI56" s="8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8"/>
      <c r="CX56" s="8"/>
      <c r="CY56" s="8"/>
      <c r="CZ56" s="8"/>
      <c r="DA56" s="8"/>
      <c r="DB56" s="9"/>
      <c r="DC56" s="9"/>
      <c r="DD56" s="9"/>
      <c r="DE56" s="9"/>
      <c r="DF56" s="9"/>
      <c r="DG56" s="9"/>
      <c r="DH56" s="9"/>
      <c r="DI56" s="8"/>
      <c r="DJ56" s="8"/>
      <c r="DK56" s="8"/>
      <c r="DL56" s="8"/>
      <c r="DM56" s="8"/>
      <c r="DN56" s="8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8"/>
      <c r="DZ56" s="8"/>
      <c r="EA56" s="8"/>
      <c r="EB56" s="8"/>
      <c r="EC56" s="8"/>
      <c r="ED56" s="9"/>
      <c r="EE56" s="9"/>
      <c r="EF56" s="9"/>
      <c r="EG56" s="9"/>
      <c r="EH56" s="9"/>
      <c r="EI56" s="9"/>
      <c r="EJ56" s="9"/>
      <c r="EK56" s="8"/>
      <c r="EL56" s="8"/>
      <c r="EM56" s="8"/>
      <c r="EN56" s="8"/>
      <c r="EO56" s="8"/>
      <c r="EP56" s="8"/>
      <c r="EQ56" s="8"/>
      <c r="ER56" s="8"/>
      <c r="ES56" s="8"/>
      <c r="ET56" s="9"/>
      <c r="EU56" s="9"/>
      <c r="EV56" s="9"/>
      <c r="EW56" s="9"/>
      <c r="EX56" s="9"/>
      <c r="EY56" s="9"/>
      <c r="EZ56" s="9"/>
      <c r="FA56" s="9"/>
      <c r="FB56" s="8"/>
      <c r="FC56" s="8"/>
      <c r="FD56" s="8"/>
      <c r="FE56" s="8"/>
      <c r="FF56" s="9"/>
      <c r="FG56" s="9"/>
      <c r="FH56" s="9"/>
      <c r="FI56" s="9"/>
      <c r="FJ56" s="9"/>
      <c r="FK56" s="9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9"/>
      <c r="GA56" s="9"/>
      <c r="GB56" s="9"/>
      <c r="GC56" s="9"/>
      <c r="GD56" s="9"/>
      <c r="GE56" s="9"/>
      <c r="GF56" s="9"/>
      <c r="GG56" s="9"/>
      <c r="GH56" s="9"/>
      <c r="GI56" s="9"/>
    </row>
    <row r="57" spans="1:191" ht="15" customHeight="1" x14ac:dyDescent="0.25">
      <c r="A57" s="276">
        <v>544554630332</v>
      </c>
      <c r="B57" s="10">
        <f t="shared" si="3"/>
        <v>0</v>
      </c>
      <c r="C57" s="10">
        <v>0</v>
      </c>
      <c r="D57" s="10" t="b">
        <f t="shared" si="1"/>
        <v>1</v>
      </c>
      <c r="E57" s="10">
        <f t="shared" si="2"/>
        <v>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"/>
      <c r="Y57" s="9"/>
      <c r="Z57" s="8"/>
      <c r="AA57" s="8"/>
      <c r="AB57" s="8"/>
      <c r="AC57" s="8"/>
      <c r="AD57" s="8"/>
      <c r="AE57" s="9"/>
      <c r="AF57" s="9"/>
      <c r="AG57" s="9"/>
      <c r="AH57" s="9"/>
      <c r="AI57" s="9"/>
      <c r="AJ57" s="8"/>
      <c r="AK57" s="8"/>
      <c r="AL57" s="8"/>
      <c r="AM57" s="8"/>
      <c r="AN57" s="8"/>
      <c r="AO57" s="9"/>
      <c r="AP57" s="9"/>
      <c r="AQ57" s="9"/>
      <c r="AR57" s="9"/>
      <c r="AS57" s="9"/>
      <c r="AT57" s="8"/>
      <c r="AU57" s="8"/>
      <c r="AV57" s="8"/>
      <c r="AW57" s="8"/>
      <c r="AX57" s="8"/>
      <c r="AY57" s="8"/>
      <c r="AZ57" s="9"/>
      <c r="BA57" s="9"/>
      <c r="BB57" s="9"/>
      <c r="BC57" s="9"/>
      <c r="BD57" s="9"/>
      <c r="BE57" s="9"/>
      <c r="BF57" s="9"/>
      <c r="BG57" s="8"/>
      <c r="BH57" s="8"/>
      <c r="BI57" s="8"/>
      <c r="BJ57" s="8"/>
      <c r="BK57" s="8"/>
      <c r="BL57" s="8"/>
      <c r="BM57" s="9"/>
      <c r="BN57" s="9"/>
      <c r="BO57" s="9"/>
      <c r="BP57" s="9"/>
      <c r="BQ57" s="9"/>
      <c r="BR57" s="8"/>
      <c r="BS57" s="8"/>
      <c r="BT57" s="8"/>
      <c r="BU57" s="8"/>
      <c r="BV57" s="8"/>
      <c r="BW57" s="8"/>
      <c r="BX57" s="8"/>
      <c r="BY57" s="8"/>
      <c r="BZ57" s="9"/>
      <c r="CA57" s="9"/>
      <c r="CB57" s="9"/>
      <c r="CC57" s="9"/>
      <c r="CD57" s="9"/>
      <c r="CE57" s="8"/>
      <c r="CF57" s="8"/>
      <c r="CG57" s="8"/>
      <c r="CH57" s="8"/>
      <c r="CI57" s="8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8"/>
      <c r="CX57" s="8"/>
      <c r="CY57" s="8"/>
      <c r="CZ57" s="8"/>
      <c r="DA57" s="8"/>
      <c r="DB57" s="9"/>
      <c r="DC57" s="9"/>
      <c r="DD57" s="9"/>
      <c r="DE57" s="9"/>
      <c r="DF57" s="9"/>
      <c r="DG57" s="9"/>
      <c r="DH57" s="9"/>
      <c r="DI57" s="8"/>
      <c r="DJ57" s="8"/>
      <c r="DK57" s="8"/>
      <c r="DL57" s="8"/>
      <c r="DM57" s="8"/>
      <c r="DN57" s="8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8"/>
      <c r="DZ57" s="8"/>
      <c r="EA57" s="8"/>
      <c r="EB57" s="8"/>
      <c r="EC57" s="8"/>
      <c r="ED57" s="9"/>
      <c r="EE57" s="9"/>
      <c r="EF57" s="9"/>
      <c r="EG57" s="9"/>
      <c r="EH57" s="9"/>
      <c r="EI57" s="9"/>
      <c r="EJ57" s="9"/>
      <c r="EK57" s="8"/>
      <c r="EL57" s="8"/>
      <c r="EM57" s="8"/>
      <c r="EN57" s="8"/>
      <c r="EO57" s="8"/>
      <c r="EP57" s="8"/>
      <c r="EQ57" s="8"/>
      <c r="ER57" s="8"/>
      <c r="ES57" s="8"/>
      <c r="ET57" s="9"/>
      <c r="EU57" s="9"/>
      <c r="EV57" s="9"/>
      <c r="EW57" s="9"/>
      <c r="EX57" s="9"/>
      <c r="EY57" s="9"/>
      <c r="EZ57" s="9"/>
      <c r="FA57" s="9"/>
      <c r="FB57" s="8"/>
      <c r="FC57" s="8"/>
      <c r="FD57" s="8"/>
      <c r="FE57" s="8"/>
      <c r="FF57" s="9"/>
      <c r="FG57" s="9"/>
      <c r="FH57" s="9"/>
      <c r="FI57" s="9"/>
      <c r="FJ57" s="9"/>
      <c r="FK57" s="9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9"/>
      <c r="GA57" s="9"/>
      <c r="GB57" s="9"/>
      <c r="GC57" s="9"/>
      <c r="GD57" s="9"/>
      <c r="GE57" s="9"/>
      <c r="GF57" s="9"/>
      <c r="GG57" s="9"/>
      <c r="GH57" s="9"/>
      <c r="GI57" s="9"/>
    </row>
    <row r="58" spans="1:191" ht="15" customHeight="1" x14ac:dyDescent="0.25">
      <c r="A58" s="276">
        <v>544554630333</v>
      </c>
      <c r="B58" s="10">
        <f t="shared" si="3"/>
        <v>0</v>
      </c>
      <c r="C58" s="10">
        <v>0</v>
      </c>
      <c r="D58" s="10" t="b">
        <f t="shared" si="1"/>
        <v>1</v>
      </c>
      <c r="E58" s="10">
        <f t="shared" si="2"/>
        <v>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  <c r="Y58" s="9"/>
      <c r="Z58" s="8"/>
      <c r="AA58" s="8"/>
      <c r="AB58" s="8"/>
      <c r="AC58" s="8"/>
      <c r="AD58" s="8"/>
      <c r="AE58" s="9"/>
      <c r="AF58" s="9"/>
      <c r="AG58" s="9"/>
      <c r="AH58" s="9"/>
      <c r="AI58" s="9"/>
      <c r="AJ58" s="8"/>
      <c r="AK58" s="8"/>
      <c r="AL58" s="8"/>
      <c r="AM58" s="8"/>
      <c r="AN58" s="8"/>
      <c r="AO58" s="9"/>
      <c r="AP58" s="9"/>
      <c r="AQ58" s="9"/>
      <c r="AR58" s="9"/>
      <c r="AS58" s="9"/>
      <c r="AT58" s="8"/>
      <c r="AU58" s="8"/>
      <c r="AV58" s="8"/>
      <c r="AW58" s="8"/>
      <c r="AX58" s="8"/>
      <c r="AY58" s="8"/>
      <c r="AZ58" s="9"/>
      <c r="BA58" s="9"/>
      <c r="BB58" s="9"/>
      <c r="BC58" s="9"/>
      <c r="BD58" s="9"/>
      <c r="BE58" s="9"/>
      <c r="BF58" s="9"/>
      <c r="BG58" s="8"/>
      <c r="BH58" s="8"/>
      <c r="BI58" s="8"/>
      <c r="BJ58" s="8"/>
      <c r="BK58" s="8"/>
      <c r="BL58" s="8"/>
      <c r="BM58" s="9"/>
      <c r="BN58" s="9"/>
      <c r="BO58" s="9"/>
      <c r="BP58" s="9"/>
      <c r="BQ58" s="9"/>
      <c r="BR58" s="8"/>
      <c r="BS58" s="8"/>
      <c r="BT58" s="8"/>
      <c r="BU58" s="8"/>
      <c r="BV58" s="8"/>
      <c r="BW58" s="8"/>
      <c r="BX58" s="8"/>
      <c r="BY58" s="8"/>
      <c r="BZ58" s="9"/>
      <c r="CA58" s="9"/>
      <c r="CB58" s="9"/>
      <c r="CC58" s="9"/>
      <c r="CD58" s="9"/>
      <c r="CE58" s="8"/>
      <c r="CF58" s="8"/>
      <c r="CG58" s="8"/>
      <c r="CH58" s="8"/>
      <c r="CI58" s="8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8"/>
      <c r="CX58" s="8"/>
      <c r="CY58" s="8"/>
      <c r="CZ58" s="8"/>
      <c r="DA58" s="8"/>
      <c r="DB58" s="9"/>
      <c r="DC58" s="9"/>
      <c r="DD58" s="9"/>
      <c r="DE58" s="9"/>
      <c r="DF58" s="9"/>
      <c r="DG58" s="9"/>
      <c r="DH58" s="9"/>
      <c r="DI58" s="8"/>
      <c r="DJ58" s="8"/>
      <c r="DK58" s="8"/>
      <c r="DL58" s="8"/>
      <c r="DM58" s="8"/>
      <c r="DN58" s="8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8"/>
      <c r="DZ58" s="8"/>
      <c r="EA58" s="8"/>
      <c r="EB58" s="8"/>
      <c r="EC58" s="8"/>
      <c r="ED58" s="9"/>
      <c r="EE58" s="9"/>
      <c r="EF58" s="9"/>
      <c r="EG58" s="9"/>
      <c r="EH58" s="9"/>
      <c r="EI58" s="9"/>
      <c r="EJ58" s="9"/>
      <c r="EK58" s="8"/>
      <c r="EL58" s="8"/>
      <c r="EM58" s="8"/>
      <c r="EN58" s="8"/>
      <c r="EO58" s="8"/>
      <c r="EP58" s="8"/>
      <c r="EQ58" s="8"/>
      <c r="ER58" s="8"/>
      <c r="ES58" s="8"/>
      <c r="ET58" s="9"/>
      <c r="EU58" s="9"/>
      <c r="EV58" s="9"/>
      <c r="EW58" s="9"/>
      <c r="EX58" s="9"/>
      <c r="EY58" s="9"/>
      <c r="EZ58" s="9"/>
      <c r="FA58" s="9"/>
      <c r="FB58" s="8"/>
      <c r="FC58" s="8"/>
      <c r="FD58" s="8"/>
      <c r="FE58" s="8"/>
      <c r="FF58" s="9"/>
      <c r="FG58" s="9"/>
      <c r="FH58" s="9"/>
      <c r="FI58" s="9"/>
      <c r="FJ58" s="9"/>
      <c r="FK58" s="9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9"/>
      <c r="GA58" s="9"/>
      <c r="GB58" s="9"/>
      <c r="GC58" s="9"/>
      <c r="GD58" s="9"/>
      <c r="GE58" s="9"/>
      <c r="GF58" s="9"/>
      <c r="GG58" s="9"/>
      <c r="GH58" s="9"/>
      <c r="GI58" s="9"/>
    </row>
    <row r="59" spans="1:191" ht="21" x14ac:dyDescent="0.25">
      <c r="A59" s="344">
        <v>544254600375</v>
      </c>
      <c r="B59" s="10">
        <f t="shared" si="3"/>
        <v>0</v>
      </c>
      <c r="C59" s="10">
        <v>0</v>
      </c>
      <c r="D59" s="10" t="b">
        <f t="shared" si="1"/>
        <v>1</v>
      </c>
      <c r="E59" s="10">
        <f t="shared" si="2"/>
        <v>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9"/>
      <c r="Z59" s="8"/>
      <c r="AA59" s="8"/>
      <c r="AB59" s="8"/>
      <c r="AC59" s="8"/>
      <c r="AD59" s="8"/>
      <c r="AE59" s="9"/>
      <c r="AF59" s="9"/>
      <c r="AG59" s="9"/>
      <c r="AH59" s="9"/>
      <c r="AI59" s="9"/>
      <c r="AJ59" s="8"/>
      <c r="AK59" s="8"/>
      <c r="AL59" s="8"/>
      <c r="AM59" s="8"/>
      <c r="AN59" s="8"/>
      <c r="AO59" s="9"/>
      <c r="AP59" s="9"/>
      <c r="AQ59" s="9"/>
      <c r="AR59" s="9"/>
      <c r="AS59" s="9"/>
      <c r="AT59" s="8"/>
      <c r="AU59" s="8"/>
      <c r="AV59" s="8"/>
      <c r="AW59" s="8"/>
      <c r="AX59" s="8"/>
      <c r="AY59" s="8"/>
      <c r="AZ59" s="9"/>
      <c r="BA59" s="9"/>
      <c r="BB59" s="9"/>
      <c r="BC59" s="9"/>
      <c r="BD59" s="9"/>
      <c r="BE59" s="9"/>
      <c r="BF59" s="9"/>
      <c r="BG59" s="8"/>
      <c r="BH59" s="8"/>
      <c r="BI59" s="8"/>
      <c r="BJ59" s="8"/>
      <c r="BK59" s="8"/>
      <c r="BL59" s="8"/>
      <c r="BM59" s="9"/>
      <c r="BN59" s="9"/>
      <c r="BO59" s="9"/>
      <c r="BP59" s="9"/>
      <c r="BQ59" s="9"/>
      <c r="BR59" s="8"/>
      <c r="BS59" s="8"/>
      <c r="BT59" s="8"/>
      <c r="BU59" s="8"/>
      <c r="BV59" s="8"/>
      <c r="BW59" s="8"/>
      <c r="BX59" s="8"/>
      <c r="BY59" s="8"/>
      <c r="BZ59" s="9"/>
      <c r="CA59" s="9"/>
      <c r="CB59" s="9"/>
      <c r="CC59" s="9"/>
      <c r="CD59" s="9"/>
      <c r="CE59" s="8"/>
      <c r="CF59" s="8"/>
      <c r="CG59" s="8"/>
      <c r="CH59" s="8"/>
      <c r="CI59" s="8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8"/>
      <c r="CX59" s="8"/>
      <c r="CY59" s="8"/>
      <c r="CZ59" s="8"/>
      <c r="DA59" s="8"/>
      <c r="DB59" s="9"/>
      <c r="DC59" s="9"/>
      <c r="DD59" s="9"/>
      <c r="DE59" s="9"/>
      <c r="DF59" s="9"/>
      <c r="DG59" s="9"/>
      <c r="DH59" s="9"/>
      <c r="DI59" s="8"/>
      <c r="DJ59" s="8"/>
      <c r="DK59" s="8"/>
      <c r="DL59" s="8"/>
      <c r="DM59" s="8"/>
      <c r="DN59" s="8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8"/>
      <c r="DZ59" s="8"/>
      <c r="EA59" s="8"/>
      <c r="EB59" s="8"/>
      <c r="EC59" s="8"/>
      <c r="ED59" s="9"/>
      <c r="EE59" s="9"/>
      <c r="EF59" s="9"/>
      <c r="EG59" s="9"/>
      <c r="EH59" s="9"/>
      <c r="EI59" s="9"/>
      <c r="EJ59" s="9"/>
      <c r="EK59" s="8"/>
      <c r="EL59" s="8"/>
      <c r="EM59" s="8"/>
      <c r="EN59" s="8"/>
      <c r="EO59" s="8"/>
      <c r="EP59" s="8"/>
      <c r="EQ59" s="8"/>
      <c r="ER59" s="8"/>
      <c r="ES59" s="8"/>
      <c r="ET59" s="9"/>
      <c r="EU59" s="9"/>
      <c r="EV59" s="9"/>
      <c r="EW59" s="9"/>
      <c r="EX59" s="9"/>
      <c r="EY59" s="9"/>
      <c r="EZ59" s="9"/>
      <c r="FA59" s="9"/>
      <c r="FB59" s="8"/>
      <c r="FC59" s="8"/>
      <c r="FD59" s="8"/>
      <c r="FE59" s="8"/>
      <c r="FF59" s="9"/>
      <c r="FG59" s="9"/>
      <c r="FH59" s="9"/>
      <c r="FI59" s="9"/>
      <c r="FJ59" s="9"/>
      <c r="FK59" s="9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9"/>
      <c r="GA59" s="9"/>
      <c r="GB59" s="9"/>
      <c r="GC59" s="9"/>
      <c r="GD59" s="9"/>
      <c r="GE59" s="9"/>
      <c r="GF59" s="9"/>
      <c r="GG59" s="9"/>
      <c r="GH59" s="9"/>
      <c r="GI59" s="9"/>
    </row>
    <row r="60" spans="1:191" ht="15" customHeight="1" x14ac:dyDescent="0.25">
      <c r="A60" s="344">
        <v>544254600376</v>
      </c>
      <c r="B60" s="10">
        <f t="shared" si="3"/>
        <v>0</v>
      </c>
      <c r="C60" s="10">
        <v>0</v>
      </c>
      <c r="D60" s="10" t="b">
        <f t="shared" si="1"/>
        <v>1</v>
      </c>
      <c r="E60" s="10">
        <f t="shared" si="2"/>
        <v>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9"/>
      <c r="Y60" s="9"/>
      <c r="Z60" s="8"/>
      <c r="AA60" s="8"/>
      <c r="AB60" s="8"/>
      <c r="AC60" s="8"/>
      <c r="AD60" s="8"/>
      <c r="AE60" s="9"/>
      <c r="AF60" s="9"/>
      <c r="AG60" s="9"/>
      <c r="AH60" s="9"/>
      <c r="AI60" s="9"/>
      <c r="AJ60" s="8"/>
      <c r="AK60" s="8"/>
      <c r="AL60" s="8"/>
      <c r="AM60" s="8"/>
      <c r="AN60" s="8"/>
      <c r="AO60" s="9"/>
      <c r="AP60" s="9"/>
      <c r="AQ60" s="9"/>
      <c r="AR60" s="9"/>
      <c r="AS60" s="9"/>
      <c r="AT60" s="8"/>
      <c r="AU60" s="8"/>
      <c r="AV60" s="8"/>
      <c r="AW60" s="8"/>
      <c r="AX60" s="8"/>
      <c r="AY60" s="8"/>
      <c r="AZ60" s="9"/>
      <c r="BA60" s="9"/>
      <c r="BB60" s="9"/>
      <c r="BC60" s="9"/>
      <c r="BD60" s="9"/>
      <c r="BE60" s="9"/>
      <c r="BF60" s="9"/>
      <c r="BG60" s="8"/>
      <c r="BH60" s="8"/>
      <c r="BI60" s="8"/>
      <c r="BJ60" s="8"/>
      <c r="BK60" s="8"/>
      <c r="BL60" s="8"/>
      <c r="BM60" s="9"/>
      <c r="BN60" s="9"/>
      <c r="BO60" s="9"/>
      <c r="BP60" s="9"/>
      <c r="BQ60" s="9"/>
      <c r="BR60" s="8"/>
      <c r="BS60" s="8"/>
      <c r="BT60" s="8"/>
      <c r="BU60" s="8"/>
      <c r="BV60" s="8"/>
      <c r="BW60" s="8"/>
      <c r="BX60" s="8"/>
      <c r="BY60" s="8"/>
      <c r="BZ60" s="9"/>
      <c r="CA60" s="9"/>
      <c r="CB60" s="9"/>
      <c r="CC60" s="9"/>
      <c r="CD60" s="9"/>
      <c r="CE60" s="8"/>
      <c r="CF60" s="8"/>
      <c r="CG60" s="8"/>
      <c r="CH60" s="8"/>
      <c r="CI60" s="8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8"/>
      <c r="CX60" s="8"/>
      <c r="CY60" s="8"/>
      <c r="CZ60" s="8"/>
      <c r="DA60" s="8"/>
      <c r="DB60" s="9"/>
      <c r="DC60" s="9"/>
      <c r="DD60" s="9"/>
      <c r="DE60" s="9"/>
      <c r="DF60" s="9"/>
      <c r="DG60" s="9"/>
      <c r="DH60" s="9"/>
      <c r="DI60" s="8"/>
      <c r="DJ60" s="8"/>
      <c r="DK60" s="8"/>
      <c r="DL60" s="8"/>
      <c r="DM60" s="8"/>
      <c r="DN60" s="8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8"/>
      <c r="DZ60" s="8"/>
      <c r="EA60" s="8"/>
      <c r="EB60" s="8"/>
      <c r="EC60" s="8"/>
      <c r="ED60" s="9"/>
      <c r="EE60" s="9"/>
      <c r="EF60" s="9"/>
      <c r="EG60" s="9"/>
      <c r="EH60" s="9"/>
      <c r="EI60" s="9"/>
      <c r="EJ60" s="169"/>
      <c r="EK60" s="8"/>
      <c r="EL60" s="8"/>
      <c r="EM60" s="8"/>
      <c r="EN60" s="8"/>
      <c r="EO60" s="8"/>
      <c r="EP60" s="8"/>
      <c r="EQ60" s="8"/>
      <c r="ER60" s="8"/>
      <c r="ES60" s="8"/>
      <c r="ET60" s="9"/>
      <c r="EU60" s="9"/>
      <c r="EV60" s="9"/>
      <c r="EW60" s="9"/>
      <c r="EX60" s="9"/>
      <c r="EY60" s="9"/>
      <c r="EZ60" s="9"/>
      <c r="FA60" s="9"/>
      <c r="FB60" s="8"/>
      <c r="FC60" s="8"/>
      <c r="FD60" s="8"/>
      <c r="FE60" s="8"/>
      <c r="FF60" s="9"/>
      <c r="FG60" s="9"/>
      <c r="FH60" s="9"/>
      <c r="FI60" s="9"/>
      <c r="FJ60" s="9"/>
      <c r="FK60" s="9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9"/>
      <c r="GA60" s="9"/>
      <c r="GB60" s="9"/>
      <c r="GC60" s="9"/>
      <c r="GD60" s="9"/>
      <c r="GE60" s="9"/>
      <c r="GF60" s="9"/>
      <c r="GG60" s="9"/>
      <c r="GH60" s="9"/>
      <c r="GI60" s="9"/>
    </row>
    <row r="61" spans="1:191" ht="16.5" customHeight="1" x14ac:dyDescent="0.25">
      <c r="A61" s="344">
        <v>544254600377</v>
      </c>
      <c r="B61" s="10">
        <f t="shared" si="3"/>
        <v>0</v>
      </c>
      <c r="C61" s="10">
        <v>0</v>
      </c>
      <c r="D61" s="10" t="b">
        <f t="shared" si="1"/>
        <v>1</v>
      </c>
      <c r="E61" s="10">
        <f t="shared" si="2"/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9"/>
      <c r="Y61" s="9"/>
      <c r="Z61" s="8"/>
      <c r="AA61" s="8"/>
      <c r="AB61" s="8"/>
      <c r="AC61" s="8"/>
      <c r="AD61" s="8"/>
      <c r="AE61" s="9"/>
      <c r="AF61" s="9"/>
      <c r="AG61" s="9"/>
      <c r="AH61" s="9"/>
      <c r="AI61" s="9"/>
      <c r="AJ61" s="8"/>
      <c r="AK61" s="8"/>
      <c r="AL61" s="8"/>
      <c r="AM61" s="8"/>
      <c r="AN61" s="8"/>
      <c r="AO61" s="9"/>
      <c r="AP61" s="9"/>
      <c r="AQ61" s="9"/>
      <c r="AR61" s="9"/>
      <c r="AS61" s="9"/>
      <c r="AT61" s="8"/>
      <c r="AU61" s="8"/>
      <c r="AV61" s="8"/>
      <c r="AW61" s="8"/>
      <c r="AX61" s="8"/>
      <c r="AY61" s="8"/>
      <c r="AZ61" s="9"/>
      <c r="BA61" s="9"/>
      <c r="BB61" s="9"/>
      <c r="BC61" s="9"/>
      <c r="BD61" s="9"/>
      <c r="BE61" s="9"/>
      <c r="BF61" s="9"/>
      <c r="BG61" s="8"/>
      <c r="BH61" s="8"/>
      <c r="BI61" s="8"/>
      <c r="BJ61" s="8"/>
      <c r="BK61" s="8"/>
      <c r="BL61" s="8"/>
      <c r="BM61" s="9"/>
      <c r="BN61" s="9"/>
      <c r="BO61" s="9"/>
      <c r="BP61" s="9"/>
      <c r="BQ61" s="9"/>
      <c r="BR61" s="8"/>
      <c r="BS61" s="8"/>
      <c r="BT61" s="8"/>
      <c r="BU61" s="8"/>
      <c r="BV61" s="8"/>
      <c r="BW61" s="8"/>
      <c r="BX61" s="8"/>
      <c r="BY61" s="8"/>
      <c r="BZ61" s="9"/>
      <c r="CA61" s="9"/>
      <c r="CB61" s="9"/>
      <c r="CC61" s="9"/>
      <c r="CD61" s="9"/>
      <c r="CE61" s="8"/>
      <c r="CF61" s="8"/>
      <c r="CG61" s="8"/>
      <c r="CH61" s="8"/>
      <c r="CI61" s="8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8"/>
      <c r="CX61" s="8"/>
      <c r="CY61" s="8"/>
      <c r="CZ61" s="8"/>
      <c r="DA61" s="8"/>
      <c r="DB61" s="9"/>
      <c r="DC61" s="9"/>
      <c r="DD61" s="9"/>
      <c r="DE61" s="9"/>
      <c r="DF61" s="9"/>
      <c r="DG61" s="9"/>
      <c r="DH61" s="9"/>
      <c r="DI61" s="8"/>
      <c r="DJ61" s="8"/>
      <c r="DK61" s="8"/>
      <c r="DL61" s="8"/>
      <c r="DM61" s="8"/>
      <c r="DN61" s="8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8"/>
      <c r="DZ61" s="8"/>
      <c r="EA61" s="8"/>
      <c r="EB61" s="8"/>
      <c r="EC61" s="8"/>
      <c r="ED61" s="9"/>
      <c r="EE61" s="9"/>
      <c r="EF61" s="9"/>
      <c r="EG61" s="9"/>
      <c r="EH61" s="9"/>
      <c r="EI61" s="9"/>
      <c r="EJ61" s="9"/>
      <c r="EK61" s="8"/>
      <c r="EL61" s="8"/>
      <c r="EM61" s="8"/>
      <c r="EN61" s="8"/>
      <c r="EO61" s="8"/>
      <c r="EP61" s="8"/>
      <c r="EQ61" s="8"/>
      <c r="ER61" s="8"/>
      <c r="ES61" s="8"/>
      <c r="ET61" s="9"/>
      <c r="EU61" s="9"/>
      <c r="EV61" s="9"/>
      <c r="EW61" s="9"/>
      <c r="EX61" s="9"/>
      <c r="EY61" s="9"/>
      <c r="EZ61" s="9"/>
      <c r="FA61" s="9"/>
      <c r="FB61" s="8"/>
      <c r="FC61" s="8"/>
      <c r="FD61" s="8"/>
      <c r="FE61" s="8"/>
      <c r="FF61" s="9"/>
      <c r="FG61" s="9"/>
      <c r="FH61" s="9"/>
      <c r="FI61" s="9"/>
      <c r="FJ61" s="9"/>
      <c r="FK61" s="9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9"/>
      <c r="GA61" s="9"/>
      <c r="GB61" s="9"/>
      <c r="GC61" s="9"/>
      <c r="GD61" s="9"/>
      <c r="GE61" s="9"/>
      <c r="GF61" s="9"/>
      <c r="GG61" s="9"/>
      <c r="GH61" s="9"/>
      <c r="GI61" s="9"/>
    </row>
    <row r="62" spans="1:191" ht="15" customHeight="1" x14ac:dyDescent="0.25">
      <c r="A62" s="344">
        <v>544254600378</v>
      </c>
      <c r="B62" s="10">
        <f t="shared" si="3"/>
        <v>0</v>
      </c>
      <c r="C62" s="10">
        <v>0</v>
      </c>
      <c r="D62" s="10" t="b">
        <f t="shared" si="1"/>
        <v>1</v>
      </c>
      <c r="E62" s="10">
        <f t="shared" si="2"/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/>
      <c r="Y62" s="9"/>
      <c r="Z62" s="8"/>
      <c r="AA62" s="8"/>
      <c r="AB62" s="8"/>
      <c r="AC62" s="8"/>
      <c r="AD62" s="8"/>
      <c r="AE62" s="9"/>
      <c r="AF62" s="9"/>
      <c r="AG62" s="9"/>
      <c r="AH62" s="9"/>
      <c r="AI62" s="9"/>
      <c r="AJ62" s="8"/>
      <c r="AK62" s="8"/>
      <c r="AL62" s="8"/>
      <c r="AM62" s="8"/>
      <c r="AN62" s="8"/>
      <c r="AO62" s="9"/>
      <c r="AP62" s="9"/>
      <c r="AQ62" s="9"/>
      <c r="AR62" s="9"/>
      <c r="AS62" s="9"/>
      <c r="AT62" s="8"/>
      <c r="AU62" s="8"/>
      <c r="AV62" s="8"/>
      <c r="AW62" s="8"/>
      <c r="AX62" s="8"/>
      <c r="AY62" s="8"/>
      <c r="AZ62" s="9"/>
      <c r="BA62" s="9"/>
      <c r="BB62" s="9"/>
      <c r="BC62" s="9"/>
      <c r="BD62" s="9"/>
      <c r="BE62" s="9"/>
      <c r="BF62" s="9"/>
      <c r="BG62" s="8"/>
      <c r="BH62" s="8"/>
      <c r="BI62" s="8"/>
      <c r="BJ62" s="8"/>
      <c r="BK62" s="8"/>
      <c r="BL62" s="8"/>
      <c r="BM62" s="9"/>
      <c r="BN62" s="9"/>
      <c r="BO62" s="9"/>
      <c r="BP62" s="9"/>
      <c r="BQ62" s="9"/>
      <c r="BR62" s="8"/>
      <c r="BS62" s="8"/>
      <c r="BT62" s="8"/>
      <c r="BU62" s="8"/>
      <c r="BV62" s="8"/>
      <c r="BW62" s="8"/>
      <c r="BX62" s="8"/>
      <c r="BY62" s="8"/>
      <c r="BZ62" s="9"/>
      <c r="CA62" s="9"/>
      <c r="CB62" s="9"/>
      <c r="CC62" s="9"/>
      <c r="CD62" s="9"/>
      <c r="CE62" s="8"/>
      <c r="CF62" s="8"/>
      <c r="CG62" s="8"/>
      <c r="CH62" s="8"/>
      <c r="CI62" s="8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8"/>
      <c r="CX62" s="8"/>
      <c r="CY62" s="8"/>
      <c r="CZ62" s="8"/>
      <c r="DA62" s="8"/>
      <c r="DB62" s="9"/>
      <c r="DC62" s="9"/>
      <c r="DD62" s="9"/>
      <c r="DE62" s="9"/>
      <c r="DF62" s="9"/>
      <c r="DG62" s="9"/>
      <c r="DH62" s="9"/>
      <c r="DI62" s="8"/>
      <c r="DJ62" s="8"/>
      <c r="DK62" s="8"/>
      <c r="DL62" s="8"/>
      <c r="DM62" s="8"/>
      <c r="DN62" s="8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8"/>
      <c r="DZ62" s="8"/>
      <c r="EA62" s="8"/>
      <c r="EB62" s="8"/>
      <c r="EC62" s="8"/>
      <c r="ED62" s="9"/>
      <c r="EE62" s="9"/>
      <c r="EF62" s="9"/>
      <c r="EG62" s="9"/>
      <c r="EH62" s="9"/>
      <c r="EI62" s="9"/>
      <c r="EJ62" s="9"/>
      <c r="EK62" s="8"/>
      <c r="EL62" s="8"/>
      <c r="EM62" s="8"/>
      <c r="EN62" s="8"/>
      <c r="EO62" s="8"/>
      <c r="EP62" s="8"/>
      <c r="EQ62" s="8"/>
      <c r="ER62" s="8"/>
      <c r="ES62" s="8"/>
      <c r="ET62" s="9"/>
      <c r="EU62" s="9"/>
      <c r="EV62" s="9"/>
      <c r="EW62" s="9"/>
      <c r="EX62" s="9"/>
      <c r="EY62" s="9"/>
      <c r="EZ62" s="9"/>
      <c r="FA62" s="9"/>
      <c r="FB62" s="8"/>
      <c r="FC62" s="8"/>
      <c r="FD62" s="8"/>
      <c r="FE62" s="8"/>
      <c r="FF62" s="9"/>
      <c r="FG62" s="9"/>
      <c r="FH62" s="9"/>
      <c r="FI62" s="9"/>
      <c r="FJ62" s="9"/>
      <c r="FK62" s="9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9"/>
      <c r="GA62" s="9"/>
      <c r="GB62" s="9"/>
      <c r="GC62" s="9"/>
      <c r="GD62" s="9"/>
      <c r="GE62" s="9"/>
      <c r="GF62" s="9"/>
      <c r="GG62" s="9"/>
      <c r="GH62" s="9"/>
      <c r="GI62" s="9"/>
    </row>
    <row r="63" spans="1:191" ht="15" customHeight="1" x14ac:dyDescent="0.25">
      <c r="A63" s="344">
        <v>544254600508</v>
      </c>
      <c r="B63" s="10">
        <f t="shared" si="3"/>
        <v>0</v>
      </c>
      <c r="C63" s="10">
        <v>0</v>
      </c>
      <c r="D63" s="10" t="b">
        <f t="shared" si="1"/>
        <v>1</v>
      </c>
      <c r="E63" s="10">
        <f t="shared" si="2"/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9"/>
      <c r="Y63" s="9"/>
      <c r="Z63" s="8"/>
      <c r="AA63" s="8"/>
      <c r="AB63" s="8"/>
      <c r="AC63" s="8"/>
      <c r="AD63" s="8"/>
      <c r="AE63" s="9"/>
      <c r="AF63" s="9"/>
      <c r="AG63" s="9"/>
      <c r="AH63" s="9"/>
      <c r="AI63" s="9"/>
      <c r="AJ63" s="8"/>
      <c r="AK63" s="8"/>
      <c r="AL63" s="8"/>
      <c r="AM63" s="8"/>
      <c r="AN63" s="8"/>
      <c r="AO63" s="9"/>
      <c r="AP63" s="9"/>
      <c r="AQ63" s="9"/>
      <c r="AR63" s="9"/>
      <c r="AS63" s="9"/>
      <c r="AT63" s="8"/>
      <c r="AU63" s="8"/>
      <c r="AV63" s="8"/>
      <c r="AW63" s="8"/>
      <c r="AX63" s="8"/>
      <c r="AY63" s="8"/>
      <c r="AZ63" s="9"/>
      <c r="BA63" s="9"/>
      <c r="BB63" s="9"/>
      <c r="BC63" s="9"/>
      <c r="BD63" s="9"/>
      <c r="BE63" s="9"/>
      <c r="BF63" s="9"/>
      <c r="BG63" s="8"/>
      <c r="BH63" s="8"/>
      <c r="BI63" s="8"/>
      <c r="BJ63" s="8"/>
      <c r="BK63" s="8"/>
      <c r="BL63" s="8"/>
      <c r="BM63" s="9"/>
      <c r="BN63" s="9"/>
      <c r="BO63" s="9"/>
      <c r="BP63" s="9"/>
      <c r="BQ63" s="9"/>
      <c r="BR63" s="8"/>
      <c r="BS63" s="8"/>
      <c r="BT63" s="8"/>
      <c r="BU63" s="8"/>
      <c r="BV63" s="8"/>
      <c r="BW63" s="8"/>
      <c r="BX63" s="8"/>
      <c r="BY63" s="8"/>
      <c r="BZ63" s="9"/>
      <c r="CA63" s="9"/>
      <c r="CB63" s="9"/>
      <c r="CC63" s="9"/>
      <c r="CD63" s="9"/>
      <c r="CE63" s="8"/>
      <c r="CF63" s="8"/>
      <c r="CG63" s="8"/>
      <c r="CH63" s="8"/>
      <c r="CI63" s="8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8"/>
      <c r="CX63" s="8"/>
      <c r="CY63" s="8"/>
      <c r="CZ63" s="8"/>
      <c r="DA63" s="8"/>
      <c r="DB63" s="9"/>
      <c r="DC63" s="9"/>
      <c r="DD63" s="9"/>
      <c r="DE63" s="9"/>
      <c r="DF63" s="9"/>
      <c r="DG63" s="9"/>
      <c r="DH63" s="9"/>
      <c r="DI63" s="8"/>
      <c r="DJ63" s="8"/>
      <c r="DK63" s="8"/>
      <c r="DL63" s="8"/>
      <c r="DM63" s="8"/>
      <c r="DN63" s="8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8"/>
      <c r="DZ63" s="8"/>
      <c r="EA63" s="8"/>
      <c r="EB63" s="8"/>
      <c r="EC63" s="8"/>
      <c r="ED63" s="9"/>
      <c r="EE63" s="9"/>
      <c r="EF63" s="9"/>
      <c r="EG63" s="9"/>
      <c r="EH63" s="9"/>
      <c r="EI63" s="9"/>
      <c r="EJ63" s="9"/>
      <c r="EK63" s="8"/>
      <c r="EL63" s="8"/>
      <c r="EM63" s="8"/>
      <c r="EN63" s="8"/>
      <c r="EO63" s="8"/>
      <c r="EP63" s="8"/>
      <c r="EQ63" s="8"/>
      <c r="ER63" s="8"/>
      <c r="ES63" s="8"/>
      <c r="ET63" s="9"/>
      <c r="EU63" s="9"/>
      <c r="EV63" s="9"/>
      <c r="EW63" s="9"/>
      <c r="EX63" s="9"/>
      <c r="EY63" s="9"/>
      <c r="EZ63" s="9"/>
      <c r="FA63" s="9"/>
      <c r="FB63" s="8"/>
      <c r="FC63" s="8"/>
      <c r="FD63" s="8"/>
      <c r="FE63" s="8"/>
      <c r="FF63" s="9"/>
      <c r="FG63" s="9"/>
      <c r="FH63" s="9"/>
      <c r="FI63" s="9"/>
      <c r="FJ63" s="9"/>
      <c r="FK63" s="9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9"/>
      <c r="GA63" s="9"/>
      <c r="GB63" s="9"/>
      <c r="GC63" s="9"/>
      <c r="GD63" s="9"/>
      <c r="GE63" s="9"/>
      <c r="GF63" s="9"/>
      <c r="GG63" s="9"/>
      <c r="GH63" s="9"/>
      <c r="GI63" s="9"/>
    </row>
    <row r="64" spans="1:191" ht="15" customHeight="1" x14ac:dyDescent="0.25">
      <c r="A64" s="344">
        <v>544254600510</v>
      </c>
      <c r="B64" s="10">
        <f t="shared" si="3"/>
        <v>0</v>
      </c>
      <c r="C64" s="10">
        <v>0</v>
      </c>
      <c r="D64" s="10" t="b">
        <f t="shared" si="1"/>
        <v>1</v>
      </c>
      <c r="E64" s="10">
        <f t="shared" si="2"/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  <c r="Y64" s="9"/>
      <c r="Z64" s="8"/>
      <c r="AA64" s="8"/>
      <c r="AB64" s="8"/>
      <c r="AC64" s="8"/>
      <c r="AD64" s="8"/>
      <c r="AE64" s="9"/>
      <c r="AF64" s="9"/>
      <c r="AG64" s="9"/>
      <c r="AH64" s="9"/>
      <c r="AI64" s="9"/>
      <c r="AJ64" s="8"/>
      <c r="AK64" s="8"/>
      <c r="AL64" s="8"/>
      <c r="AM64" s="8"/>
      <c r="AN64" s="8"/>
      <c r="AO64" s="9"/>
      <c r="AP64" s="9"/>
      <c r="AQ64" s="9"/>
      <c r="AR64" s="9"/>
      <c r="AS64" s="9"/>
      <c r="AT64" s="8"/>
      <c r="AU64" s="8"/>
      <c r="AV64" s="8"/>
      <c r="AW64" s="8"/>
      <c r="AX64" s="8"/>
      <c r="AY64" s="8"/>
      <c r="AZ64" s="9"/>
      <c r="BA64" s="9"/>
      <c r="BB64" s="9"/>
      <c r="BC64" s="9"/>
      <c r="BD64" s="9"/>
      <c r="BE64" s="9"/>
      <c r="BF64" s="9"/>
      <c r="BG64" s="8"/>
      <c r="BH64" s="8"/>
      <c r="BI64" s="8"/>
      <c r="BJ64" s="8"/>
      <c r="BK64" s="8"/>
      <c r="BL64" s="8"/>
      <c r="BM64" s="9"/>
      <c r="BN64" s="9"/>
      <c r="BO64" s="9"/>
      <c r="BP64" s="9"/>
      <c r="BQ64" s="9"/>
      <c r="BR64" s="8"/>
      <c r="BS64" s="8"/>
      <c r="BT64" s="8"/>
      <c r="BU64" s="8"/>
      <c r="BV64" s="8"/>
      <c r="BW64" s="8"/>
      <c r="BX64" s="8"/>
      <c r="BY64" s="8"/>
      <c r="BZ64" s="9"/>
      <c r="CA64" s="9"/>
      <c r="CB64" s="9"/>
      <c r="CC64" s="9"/>
      <c r="CD64" s="9"/>
      <c r="CE64" s="8"/>
      <c r="CF64" s="8"/>
      <c r="CG64" s="8"/>
      <c r="CH64" s="8"/>
      <c r="CI64" s="8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8"/>
      <c r="CX64" s="8"/>
      <c r="CY64" s="8"/>
      <c r="CZ64" s="8"/>
      <c r="DA64" s="8"/>
      <c r="DB64" s="9"/>
      <c r="DC64" s="9"/>
      <c r="DD64" s="9"/>
      <c r="DE64" s="9"/>
      <c r="DF64" s="9"/>
      <c r="DG64" s="9"/>
      <c r="DH64" s="9"/>
      <c r="DI64" s="8"/>
      <c r="DJ64" s="8"/>
      <c r="DK64" s="8"/>
      <c r="DL64" s="8"/>
      <c r="DM64" s="8"/>
      <c r="DN64" s="8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8"/>
      <c r="DZ64" s="8"/>
      <c r="EA64" s="8"/>
      <c r="EB64" s="8"/>
      <c r="EC64" s="8"/>
      <c r="ED64" s="9"/>
      <c r="EE64" s="9"/>
      <c r="EF64" s="9"/>
      <c r="EG64" s="9"/>
      <c r="EH64" s="9"/>
      <c r="EI64" s="9"/>
      <c r="EJ64" s="9"/>
      <c r="EK64" s="8"/>
      <c r="EL64" s="8"/>
      <c r="EM64" s="8"/>
      <c r="EN64" s="8"/>
      <c r="EO64" s="8"/>
      <c r="EP64" s="8"/>
      <c r="EQ64" s="8"/>
      <c r="ER64" s="8"/>
      <c r="ES64" s="8"/>
      <c r="ET64" s="9"/>
      <c r="EU64" s="9"/>
      <c r="EV64" s="9"/>
      <c r="EW64" s="9"/>
      <c r="EX64" s="9"/>
      <c r="EY64" s="9"/>
      <c r="EZ64" s="9"/>
      <c r="FA64" s="9"/>
      <c r="FB64" s="8"/>
      <c r="FC64" s="8"/>
      <c r="FD64" s="8"/>
      <c r="FE64" s="8"/>
      <c r="FF64" s="9"/>
      <c r="FG64" s="9"/>
      <c r="FH64" s="9"/>
      <c r="FI64" s="9"/>
      <c r="FJ64" s="9"/>
      <c r="FK64" s="9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9"/>
      <c r="GA64" s="9"/>
      <c r="GB64" s="9"/>
      <c r="GC64" s="9"/>
      <c r="GD64" s="9"/>
      <c r="GE64" s="9"/>
      <c r="GF64" s="9"/>
      <c r="GG64" s="9"/>
      <c r="GH64" s="9"/>
      <c r="GI64" s="9"/>
    </row>
    <row r="65" spans="1:191" ht="15" customHeight="1" x14ac:dyDescent="0.25">
      <c r="A65" s="345">
        <v>544554600569</v>
      </c>
      <c r="B65" s="10">
        <f t="shared" si="3"/>
        <v>0</v>
      </c>
      <c r="C65" s="10">
        <v>0</v>
      </c>
      <c r="D65" s="10" t="b">
        <f t="shared" si="1"/>
        <v>1</v>
      </c>
      <c r="E65" s="10">
        <f t="shared" si="2"/>
        <v>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  <c r="Y65" s="9"/>
      <c r="Z65" s="8"/>
      <c r="AA65" s="8"/>
      <c r="AB65" s="8"/>
      <c r="AC65" s="8"/>
      <c r="AD65" s="8"/>
      <c r="AE65" s="9"/>
      <c r="AF65" s="9"/>
      <c r="AG65" s="9"/>
      <c r="AH65" s="9"/>
      <c r="AI65" s="9"/>
      <c r="AJ65" s="8"/>
      <c r="AK65" s="8"/>
      <c r="AL65" s="8"/>
      <c r="AM65" s="8"/>
      <c r="AN65" s="8"/>
      <c r="AO65" s="9"/>
      <c r="AP65" s="9"/>
      <c r="AQ65" s="9"/>
      <c r="AR65" s="9"/>
      <c r="AS65" s="9"/>
      <c r="AT65" s="8"/>
      <c r="AU65" s="8"/>
      <c r="AV65" s="8"/>
      <c r="AW65" s="8"/>
      <c r="AX65" s="8"/>
      <c r="AY65" s="8"/>
      <c r="AZ65" s="9"/>
      <c r="BA65" s="9"/>
      <c r="BB65" s="9"/>
      <c r="BC65" s="9"/>
      <c r="BD65" s="9"/>
      <c r="BE65" s="9"/>
      <c r="BF65" s="9"/>
      <c r="BG65" s="8"/>
      <c r="BH65" s="8"/>
      <c r="BI65" s="8"/>
      <c r="BJ65" s="8"/>
      <c r="BK65" s="8"/>
      <c r="BL65" s="8"/>
      <c r="BM65" s="9"/>
      <c r="BN65" s="9"/>
      <c r="BO65" s="9"/>
      <c r="BP65" s="9"/>
      <c r="BQ65" s="9"/>
      <c r="BR65" s="8"/>
      <c r="BS65" s="8"/>
      <c r="BT65" s="8"/>
      <c r="BU65" s="8"/>
      <c r="BV65" s="8"/>
      <c r="BW65" s="8"/>
      <c r="BX65" s="8"/>
      <c r="BY65" s="8"/>
      <c r="BZ65" s="9"/>
      <c r="CA65" s="9"/>
      <c r="CB65" s="9"/>
      <c r="CC65" s="9"/>
      <c r="CD65" s="9"/>
      <c r="CE65" s="8"/>
      <c r="CF65" s="8"/>
      <c r="CG65" s="8"/>
      <c r="CH65" s="8"/>
      <c r="CI65" s="8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8"/>
      <c r="CX65" s="8"/>
      <c r="CY65" s="8"/>
      <c r="CZ65" s="8"/>
      <c r="DA65" s="8"/>
      <c r="DB65" s="9"/>
      <c r="DC65" s="9"/>
      <c r="DD65" s="9"/>
      <c r="DE65" s="9"/>
      <c r="DF65" s="9"/>
      <c r="DG65" s="9"/>
      <c r="DH65" s="9"/>
      <c r="DI65" s="8"/>
      <c r="DJ65" s="8"/>
      <c r="DK65" s="8"/>
      <c r="DL65" s="8"/>
      <c r="DM65" s="8"/>
      <c r="DN65" s="8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8"/>
      <c r="DZ65" s="8"/>
      <c r="EA65" s="8"/>
      <c r="EB65" s="8"/>
      <c r="EC65" s="8"/>
      <c r="ED65" s="9"/>
      <c r="EE65" s="9"/>
      <c r="EF65" s="9"/>
      <c r="EG65" s="9"/>
      <c r="EH65" s="9"/>
      <c r="EI65" s="9"/>
      <c r="EJ65" s="9"/>
      <c r="EK65" s="8"/>
      <c r="EL65" s="8"/>
      <c r="EM65" s="8"/>
      <c r="EN65" s="8"/>
      <c r="EO65" s="8"/>
      <c r="EP65" s="8"/>
      <c r="EQ65" s="8"/>
      <c r="ER65" s="8"/>
      <c r="ES65" s="8"/>
      <c r="ET65" s="9"/>
      <c r="EU65" s="9"/>
      <c r="EV65" s="9"/>
      <c r="EW65" s="9"/>
      <c r="EX65" s="9"/>
      <c r="EY65" s="9"/>
      <c r="EZ65" s="9"/>
      <c r="FA65" s="9"/>
      <c r="FB65" s="8"/>
      <c r="FC65" s="8"/>
      <c r="FD65" s="8"/>
      <c r="FE65" s="8"/>
      <c r="FF65" s="9"/>
      <c r="FG65" s="9"/>
      <c r="FH65" s="9"/>
      <c r="FI65" s="9"/>
      <c r="FJ65" s="9"/>
      <c r="FK65" s="9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9"/>
      <c r="GA65" s="9"/>
      <c r="GB65" s="9"/>
      <c r="GC65" s="9"/>
      <c r="GD65" s="9"/>
      <c r="GE65" s="9"/>
      <c r="GF65" s="9"/>
      <c r="GG65" s="9"/>
      <c r="GH65" s="9"/>
      <c r="GI65" s="9"/>
    </row>
    <row r="66" spans="1:191" ht="15" customHeight="1" x14ac:dyDescent="0.25">
      <c r="A66" s="346">
        <v>544554600573</v>
      </c>
      <c r="B66" s="10">
        <f t="shared" si="3"/>
        <v>0</v>
      </c>
      <c r="C66" s="10">
        <v>0</v>
      </c>
      <c r="D66" s="10" t="b">
        <f t="shared" si="1"/>
        <v>1</v>
      </c>
      <c r="E66" s="10">
        <f t="shared" si="2"/>
        <v>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  <c r="Y66" s="9"/>
      <c r="Z66" s="8"/>
      <c r="AA66" s="8"/>
      <c r="AB66" s="8"/>
      <c r="AC66" s="8"/>
      <c r="AD66" s="8"/>
      <c r="AE66" s="9"/>
      <c r="AF66" s="9"/>
      <c r="AG66" s="9"/>
      <c r="AH66" s="9"/>
      <c r="AI66" s="9"/>
      <c r="AJ66" s="8"/>
      <c r="AK66" s="8"/>
      <c r="AL66" s="8"/>
      <c r="AM66" s="8"/>
      <c r="AN66" s="8"/>
      <c r="AO66" s="9"/>
      <c r="AP66" s="9"/>
      <c r="AQ66" s="9"/>
      <c r="AR66" s="9"/>
      <c r="AS66" s="9"/>
      <c r="AT66" s="8"/>
      <c r="AU66" s="8"/>
      <c r="AV66" s="8"/>
      <c r="AW66" s="8"/>
      <c r="AX66" s="8"/>
      <c r="AY66" s="8"/>
      <c r="AZ66" s="9"/>
      <c r="BA66" s="9"/>
      <c r="BB66" s="9"/>
      <c r="BC66" s="9"/>
      <c r="BD66" s="9"/>
      <c r="BE66" s="9"/>
      <c r="BF66" s="9"/>
      <c r="BG66" s="8"/>
      <c r="BH66" s="8"/>
      <c r="BI66" s="8"/>
      <c r="BJ66" s="8"/>
      <c r="BK66" s="8"/>
      <c r="BL66" s="8"/>
      <c r="BM66" s="9"/>
      <c r="BN66" s="9"/>
      <c r="BO66" s="9"/>
      <c r="BP66" s="9"/>
      <c r="BQ66" s="9"/>
      <c r="BR66" s="8"/>
      <c r="BS66" s="8"/>
      <c r="BT66" s="8"/>
      <c r="BU66" s="8"/>
      <c r="BV66" s="8"/>
      <c r="BW66" s="8"/>
      <c r="BX66" s="8"/>
      <c r="BY66" s="8"/>
      <c r="BZ66" s="9"/>
      <c r="CA66" s="9"/>
      <c r="CB66" s="9"/>
      <c r="CC66" s="9"/>
      <c r="CD66" s="9"/>
      <c r="CE66" s="8"/>
      <c r="CF66" s="8"/>
      <c r="CG66" s="8"/>
      <c r="CH66" s="8"/>
      <c r="CI66" s="8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8"/>
      <c r="CX66" s="8"/>
      <c r="CY66" s="8"/>
      <c r="CZ66" s="8"/>
      <c r="DA66" s="8"/>
      <c r="DB66" s="9"/>
      <c r="DC66" s="9"/>
      <c r="DD66" s="9"/>
      <c r="DE66" s="9"/>
      <c r="DF66" s="9"/>
      <c r="DG66" s="9"/>
      <c r="DH66" s="9"/>
      <c r="DI66" s="8"/>
      <c r="DJ66" s="8"/>
      <c r="DK66" s="8"/>
      <c r="DL66" s="8"/>
      <c r="DM66" s="8"/>
      <c r="DN66" s="8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8"/>
      <c r="DZ66" s="8"/>
      <c r="EA66" s="8"/>
      <c r="EB66" s="8"/>
      <c r="EC66" s="8"/>
      <c r="ED66" s="9"/>
      <c r="EE66" s="9"/>
      <c r="EF66" s="9"/>
      <c r="EG66" s="9"/>
      <c r="EH66" s="9"/>
      <c r="EI66" s="9"/>
      <c r="EJ66" s="9"/>
      <c r="EK66" s="8"/>
      <c r="EL66" s="8"/>
      <c r="EM66" s="8"/>
      <c r="EN66" s="8"/>
      <c r="EO66" s="8"/>
      <c r="EP66" s="8"/>
      <c r="EQ66" s="8"/>
      <c r="ER66" s="8"/>
      <c r="ES66" s="8"/>
      <c r="ET66" s="9"/>
      <c r="EU66" s="9"/>
      <c r="EV66" s="9"/>
      <c r="EW66" s="9"/>
      <c r="EX66" s="9"/>
      <c r="EY66" s="9"/>
      <c r="EZ66" s="9"/>
      <c r="FA66" s="9"/>
      <c r="FB66" s="8"/>
      <c r="FC66" s="8"/>
      <c r="FD66" s="8"/>
      <c r="FE66" s="8"/>
      <c r="FF66" s="9"/>
      <c r="FG66" s="9"/>
      <c r="FH66" s="9"/>
      <c r="FI66" s="9"/>
      <c r="FJ66" s="9"/>
      <c r="FK66" s="9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9"/>
      <c r="GA66" s="9"/>
      <c r="GB66" s="9"/>
      <c r="GC66" s="9"/>
      <c r="GD66" s="9"/>
      <c r="GE66" s="9"/>
      <c r="GF66" s="9"/>
      <c r="GG66" s="9"/>
      <c r="GH66" s="9"/>
      <c r="GI66" s="9"/>
    </row>
    <row r="67" spans="1:191" ht="15" customHeight="1" x14ac:dyDescent="0.25">
      <c r="A67" s="345">
        <v>544554600570</v>
      </c>
      <c r="B67" s="10">
        <f t="shared" si="3"/>
        <v>0</v>
      </c>
      <c r="C67" s="10">
        <v>0</v>
      </c>
      <c r="D67" s="10" t="b">
        <f t="shared" si="1"/>
        <v>1</v>
      </c>
      <c r="E67" s="10">
        <f t="shared" si="2"/>
        <v>0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  <c r="Y67" s="9"/>
      <c r="Z67" s="8"/>
      <c r="AA67" s="8"/>
      <c r="AB67" s="8"/>
      <c r="AC67" s="8"/>
      <c r="AD67" s="8"/>
      <c r="AE67" s="9"/>
      <c r="AF67" s="9"/>
      <c r="AG67" s="9"/>
      <c r="AH67" s="9"/>
      <c r="AI67" s="9"/>
      <c r="AJ67" s="8"/>
      <c r="AK67" s="8"/>
      <c r="AL67" s="8"/>
      <c r="AM67" s="8"/>
      <c r="AN67" s="8"/>
      <c r="AO67" s="9"/>
      <c r="AP67" s="9"/>
      <c r="AQ67" s="9"/>
      <c r="AR67" s="9"/>
      <c r="AS67" s="9"/>
      <c r="AT67" s="8"/>
      <c r="AU67" s="8"/>
      <c r="AV67" s="8"/>
      <c r="AW67" s="8"/>
      <c r="AX67" s="8"/>
      <c r="AY67" s="8"/>
      <c r="AZ67" s="9"/>
      <c r="BA67" s="9"/>
      <c r="BB67" s="9"/>
      <c r="BC67" s="9"/>
      <c r="BD67" s="9"/>
      <c r="BE67" s="9"/>
      <c r="BF67" s="9"/>
      <c r="BG67" s="8"/>
      <c r="BH67" s="8"/>
      <c r="BI67" s="8"/>
      <c r="BJ67" s="8"/>
      <c r="BK67" s="8"/>
      <c r="BL67" s="8"/>
      <c r="BM67" s="9"/>
      <c r="BN67" s="9"/>
      <c r="BO67" s="9"/>
      <c r="BP67" s="9"/>
      <c r="BQ67" s="9"/>
      <c r="BR67" s="8"/>
      <c r="BS67" s="8"/>
      <c r="BT67" s="8"/>
      <c r="BU67" s="8"/>
      <c r="BV67" s="8"/>
      <c r="BW67" s="8"/>
      <c r="BX67" s="8"/>
      <c r="BY67" s="8"/>
      <c r="BZ67" s="9"/>
      <c r="CA67" s="9"/>
      <c r="CB67" s="9"/>
      <c r="CC67" s="9"/>
      <c r="CD67" s="9"/>
      <c r="CE67" s="8"/>
      <c r="CF67" s="8"/>
      <c r="CG67" s="8"/>
      <c r="CH67" s="8"/>
      <c r="CI67" s="8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8"/>
      <c r="CX67" s="8"/>
      <c r="CY67" s="8"/>
      <c r="CZ67" s="8"/>
      <c r="DA67" s="8"/>
      <c r="DB67" s="9"/>
      <c r="DC67" s="9"/>
      <c r="DD67" s="9"/>
      <c r="DE67" s="9"/>
      <c r="DF67" s="9"/>
      <c r="DG67" s="9"/>
      <c r="DH67" s="9"/>
      <c r="DI67" s="8"/>
      <c r="DJ67" s="8"/>
      <c r="DK67" s="8"/>
      <c r="DL67" s="8"/>
      <c r="DM67" s="8"/>
      <c r="DN67" s="8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8"/>
      <c r="DZ67" s="8"/>
      <c r="EA67" s="8"/>
      <c r="EB67" s="8"/>
      <c r="EC67" s="8"/>
      <c r="ED67" s="9"/>
      <c r="EE67" s="9"/>
      <c r="EF67" s="9"/>
      <c r="EG67" s="9"/>
      <c r="EH67" s="9"/>
      <c r="EI67" s="9"/>
      <c r="EJ67" s="9"/>
      <c r="EK67" s="8"/>
      <c r="EL67" s="8"/>
      <c r="EM67" s="8"/>
      <c r="EN67" s="8"/>
      <c r="EO67" s="8"/>
      <c r="EP67" s="8"/>
      <c r="EQ67" s="8"/>
      <c r="ER67" s="8"/>
      <c r="ES67" s="8"/>
      <c r="ET67" s="9"/>
      <c r="EU67" s="9"/>
      <c r="EV67" s="9"/>
      <c r="EW67" s="9"/>
      <c r="EX67" s="9"/>
      <c r="EY67" s="9"/>
      <c r="EZ67" s="9"/>
      <c r="FA67" s="9"/>
      <c r="FB67" s="8"/>
      <c r="FC67" s="8"/>
      <c r="FD67" s="8"/>
      <c r="FE67" s="8"/>
      <c r="FF67" s="9"/>
      <c r="FG67" s="9"/>
      <c r="FH67" s="9"/>
      <c r="FI67" s="9"/>
      <c r="FJ67" s="9"/>
      <c r="FK67" s="9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9"/>
      <c r="GA67" s="9"/>
      <c r="GB67" s="9"/>
      <c r="GC67" s="9"/>
      <c r="GD67" s="9"/>
      <c r="GE67" s="9"/>
      <c r="GF67" s="9"/>
      <c r="GG67" s="9"/>
      <c r="GH67" s="9"/>
      <c r="GI67" s="9"/>
    </row>
    <row r="68" spans="1:191" ht="15" customHeight="1" x14ac:dyDescent="0.25">
      <c r="A68" s="345">
        <v>544554600576</v>
      </c>
      <c r="B68" s="10">
        <f t="shared" si="3"/>
        <v>0</v>
      </c>
      <c r="C68" s="10">
        <v>0</v>
      </c>
      <c r="D68" s="10" t="b">
        <f t="shared" si="1"/>
        <v>1</v>
      </c>
      <c r="E68" s="10">
        <f t="shared" si="2"/>
        <v>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  <c r="Y68" s="9"/>
      <c r="Z68" s="8"/>
      <c r="AA68" s="8"/>
      <c r="AB68" s="8"/>
      <c r="AC68" s="8"/>
      <c r="AD68" s="8"/>
      <c r="AE68" s="9"/>
      <c r="AF68" s="9"/>
      <c r="AG68" s="9"/>
      <c r="AH68" s="9"/>
      <c r="AI68" s="9"/>
      <c r="AJ68" s="8"/>
      <c r="AK68" s="8"/>
      <c r="AL68" s="8"/>
      <c r="AM68" s="8"/>
      <c r="AN68" s="8"/>
      <c r="AO68" s="9"/>
      <c r="AP68" s="9"/>
      <c r="AQ68" s="9"/>
      <c r="AR68" s="9"/>
      <c r="AS68" s="9"/>
      <c r="AT68" s="8"/>
      <c r="AU68" s="8"/>
      <c r="AV68" s="8"/>
      <c r="AW68" s="8"/>
      <c r="AX68" s="8"/>
      <c r="AY68" s="8"/>
      <c r="AZ68" s="9"/>
      <c r="BA68" s="9"/>
      <c r="BB68" s="9"/>
      <c r="BC68" s="9"/>
      <c r="BD68" s="9"/>
      <c r="BE68" s="9"/>
      <c r="BF68" s="9"/>
      <c r="BG68" s="8"/>
      <c r="BH68" s="8"/>
      <c r="BI68" s="8"/>
      <c r="BJ68" s="8"/>
      <c r="BK68" s="8"/>
      <c r="BL68" s="8"/>
      <c r="BM68" s="9"/>
      <c r="BN68" s="9"/>
      <c r="BO68" s="9"/>
      <c r="BP68" s="9"/>
      <c r="BQ68" s="9"/>
      <c r="BR68" s="8"/>
      <c r="BS68" s="8"/>
      <c r="BT68" s="8"/>
      <c r="BU68" s="8"/>
      <c r="BV68" s="8"/>
      <c r="BW68" s="8"/>
      <c r="BX68" s="8"/>
      <c r="BY68" s="8"/>
      <c r="BZ68" s="9"/>
      <c r="CA68" s="9"/>
      <c r="CB68" s="9"/>
      <c r="CC68" s="9"/>
      <c r="CD68" s="9"/>
      <c r="CE68" s="8"/>
      <c r="CF68" s="8"/>
      <c r="CG68" s="8"/>
      <c r="CH68" s="8"/>
      <c r="CI68" s="8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8"/>
      <c r="CX68" s="8"/>
      <c r="CY68" s="8"/>
      <c r="CZ68" s="8"/>
      <c r="DA68" s="8"/>
      <c r="DB68" s="9"/>
      <c r="DC68" s="9"/>
      <c r="DD68" s="9"/>
      <c r="DE68" s="9"/>
      <c r="DF68" s="9"/>
      <c r="DG68" s="9"/>
      <c r="DH68" s="9"/>
      <c r="DI68" s="8"/>
      <c r="DJ68" s="8"/>
      <c r="DK68" s="8"/>
      <c r="DL68" s="8"/>
      <c r="DM68" s="8"/>
      <c r="DN68" s="8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8"/>
      <c r="DZ68" s="8"/>
      <c r="EA68" s="8"/>
      <c r="EB68" s="8"/>
      <c r="EC68" s="8"/>
      <c r="ED68" s="9"/>
      <c r="EE68" s="9"/>
      <c r="EF68" s="9"/>
      <c r="EG68" s="9"/>
      <c r="EH68" s="9"/>
      <c r="EI68" s="9"/>
      <c r="EJ68" s="9"/>
      <c r="EK68" s="8"/>
      <c r="EL68" s="8"/>
      <c r="EM68" s="8"/>
      <c r="EN68" s="8"/>
      <c r="EO68" s="8"/>
      <c r="EP68" s="8"/>
      <c r="EQ68" s="8"/>
      <c r="ER68" s="8"/>
      <c r="ES68" s="8"/>
      <c r="ET68" s="9"/>
      <c r="EU68" s="9"/>
      <c r="EV68" s="9"/>
      <c r="EW68" s="9"/>
      <c r="EX68" s="9"/>
      <c r="EY68" s="9"/>
      <c r="EZ68" s="9"/>
      <c r="FA68" s="9"/>
      <c r="FB68" s="8"/>
      <c r="FC68" s="8"/>
      <c r="FD68" s="8"/>
      <c r="FE68" s="8"/>
      <c r="FF68" s="9"/>
      <c r="FG68" s="9"/>
      <c r="FH68" s="9"/>
      <c r="FI68" s="9"/>
      <c r="FJ68" s="9"/>
      <c r="FK68" s="9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9"/>
      <c r="GA68" s="9"/>
      <c r="GB68" s="9"/>
      <c r="GC68" s="9"/>
      <c r="GD68" s="9"/>
      <c r="GE68" s="9"/>
      <c r="GF68" s="9"/>
      <c r="GG68" s="9"/>
      <c r="GH68" s="9"/>
      <c r="GI68" s="9"/>
    </row>
    <row r="69" spans="1:191" ht="15" customHeight="1" x14ac:dyDescent="0.25">
      <c r="A69" s="345">
        <v>544554600574</v>
      </c>
      <c r="B69" s="10">
        <f t="shared" ref="B69:B100" si="4">SUM(F69:GI69)</f>
        <v>0</v>
      </c>
      <c r="C69" s="10">
        <v>0</v>
      </c>
      <c r="D69" s="10" t="b">
        <f t="shared" si="1"/>
        <v>1</v>
      </c>
      <c r="E69" s="10">
        <f t="shared" si="2"/>
        <v>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/>
      <c r="Y69" s="9"/>
      <c r="Z69" s="8"/>
      <c r="AA69" s="8"/>
      <c r="AB69" s="8"/>
      <c r="AC69" s="8"/>
      <c r="AD69" s="8"/>
      <c r="AE69" s="9"/>
      <c r="AF69" s="9"/>
      <c r="AG69" s="9"/>
      <c r="AH69" s="9"/>
      <c r="AI69" s="9"/>
      <c r="AJ69" s="8"/>
      <c r="AK69" s="8"/>
      <c r="AL69" s="8"/>
      <c r="AM69" s="8"/>
      <c r="AN69" s="8"/>
      <c r="AO69" s="9"/>
      <c r="AP69" s="9"/>
      <c r="AQ69" s="9"/>
      <c r="AR69" s="9"/>
      <c r="AS69" s="9"/>
      <c r="AT69" s="8"/>
      <c r="AU69" s="8"/>
      <c r="AV69" s="8"/>
      <c r="AW69" s="8"/>
      <c r="AX69" s="8"/>
      <c r="AY69" s="8"/>
      <c r="AZ69" s="9"/>
      <c r="BA69" s="9"/>
      <c r="BB69" s="9"/>
      <c r="BC69" s="9"/>
      <c r="BD69" s="9"/>
      <c r="BE69" s="9"/>
      <c r="BF69" s="9"/>
      <c r="BG69" s="8"/>
      <c r="BH69" s="8"/>
      <c r="BI69" s="8"/>
      <c r="BJ69" s="8"/>
      <c r="BK69" s="8"/>
      <c r="BL69" s="8"/>
      <c r="BM69" s="9"/>
      <c r="BN69" s="9"/>
      <c r="BO69" s="9"/>
      <c r="BP69" s="9"/>
      <c r="BQ69" s="9"/>
      <c r="BR69" s="8"/>
      <c r="BS69" s="8"/>
      <c r="BT69" s="8"/>
      <c r="BU69" s="8"/>
      <c r="BV69" s="8"/>
      <c r="BW69" s="8"/>
      <c r="BX69" s="8"/>
      <c r="BY69" s="8"/>
      <c r="BZ69" s="9"/>
      <c r="CA69" s="9"/>
      <c r="CB69" s="9"/>
      <c r="CC69" s="9"/>
      <c r="CD69" s="9"/>
      <c r="CE69" s="8"/>
      <c r="CF69" s="8"/>
      <c r="CG69" s="8"/>
      <c r="CH69" s="8"/>
      <c r="CI69" s="8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8"/>
      <c r="CX69" s="8"/>
      <c r="CY69" s="8"/>
      <c r="CZ69" s="8"/>
      <c r="DA69" s="8"/>
      <c r="DB69" s="9"/>
      <c r="DC69" s="9"/>
      <c r="DD69" s="9"/>
      <c r="DE69" s="9"/>
      <c r="DF69" s="9"/>
      <c r="DG69" s="9"/>
      <c r="DH69" s="9"/>
      <c r="DI69" s="8"/>
      <c r="DJ69" s="8"/>
      <c r="DK69" s="8"/>
      <c r="DL69" s="8"/>
      <c r="DM69" s="8"/>
      <c r="DN69" s="8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8"/>
      <c r="DZ69" s="8"/>
      <c r="EA69" s="8"/>
      <c r="EB69" s="8"/>
      <c r="EC69" s="8"/>
      <c r="ED69" s="9"/>
      <c r="EE69" s="9"/>
      <c r="EF69" s="9"/>
      <c r="EG69" s="9"/>
      <c r="EH69" s="9"/>
      <c r="EI69" s="9"/>
      <c r="EJ69" s="9"/>
      <c r="EK69" s="8"/>
      <c r="EL69" s="8"/>
      <c r="EM69" s="8"/>
      <c r="EN69" s="8"/>
      <c r="EO69" s="8"/>
      <c r="EP69" s="8"/>
      <c r="EQ69" s="8"/>
      <c r="ER69" s="8"/>
      <c r="ES69" s="8"/>
      <c r="ET69" s="9"/>
      <c r="EU69" s="9"/>
      <c r="EV69" s="9"/>
      <c r="EW69" s="9"/>
      <c r="EX69" s="9"/>
      <c r="EY69" s="9"/>
      <c r="EZ69" s="9"/>
      <c r="FA69" s="9"/>
      <c r="FB69" s="8"/>
      <c r="FC69" s="8"/>
      <c r="FD69" s="8"/>
      <c r="FE69" s="8"/>
      <c r="FF69" s="9"/>
      <c r="FG69" s="9"/>
      <c r="FH69" s="9"/>
      <c r="FI69" s="9"/>
      <c r="FJ69" s="9"/>
      <c r="FK69" s="9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9"/>
      <c r="GA69" s="9"/>
      <c r="GB69" s="9"/>
      <c r="GC69" s="9"/>
      <c r="GD69" s="9"/>
      <c r="GE69" s="9"/>
      <c r="GF69" s="9"/>
      <c r="GG69" s="9"/>
      <c r="GH69" s="9"/>
      <c r="GI69" s="9"/>
    </row>
    <row r="70" spans="1:191" ht="15" customHeight="1" x14ac:dyDescent="0.25">
      <c r="A70" s="345">
        <v>544554600575</v>
      </c>
      <c r="B70" s="10">
        <f t="shared" si="4"/>
        <v>0</v>
      </c>
      <c r="C70" s="10">
        <v>0</v>
      </c>
      <c r="D70" s="10" t="b">
        <f t="shared" ref="D70:D117" si="5">B70=C70</f>
        <v>1</v>
      </c>
      <c r="E70" s="10">
        <f t="shared" ref="E70:E133" si="6">C70-B70</f>
        <v>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/>
      <c r="Y70" s="9"/>
      <c r="Z70" s="8"/>
      <c r="AA70" s="8"/>
      <c r="AB70" s="8"/>
      <c r="AC70" s="8"/>
      <c r="AD70" s="8"/>
      <c r="AE70" s="9"/>
      <c r="AF70" s="9"/>
      <c r="AG70" s="9"/>
      <c r="AH70" s="9"/>
      <c r="AI70" s="9"/>
      <c r="AJ70" s="8"/>
      <c r="AK70" s="8"/>
      <c r="AL70" s="8"/>
      <c r="AM70" s="8"/>
      <c r="AN70" s="8"/>
      <c r="AO70" s="9"/>
      <c r="AP70" s="9"/>
      <c r="AQ70" s="9"/>
      <c r="AR70" s="9"/>
      <c r="AS70" s="9"/>
      <c r="AT70" s="8"/>
      <c r="AU70" s="8"/>
      <c r="AV70" s="8"/>
      <c r="AW70" s="8"/>
      <c r="AX70" s="8"/>
      <c r="AY70" s="8"/>
      <c r="AZ70" s="9"/>
      <c r="BA70" s="9"/>
      <c r="BB70" s="9"/>
      <c r="BC70" s="9"/>
      <c r="BD70" s="9"/>
      <c r="BE70" s="9"/>
      <c r="BF70" s="9"/>
      <c r="BG70" s="8"/>
      <c r="BH70" s="8"/>
      <c r="BI70" s="8"/>
      <c r="BJ70" s="8"/>
      <c r="BK70" s="8"/>
      <c r="BL70" s="8"/>
      <c r="BM70" s="9"/>
      <c r="BN70" s="9"/>
      <c r="BO70" s="9"/>
      <c r="BP70" s="9"/>
      <c r="BQ70" s="9"/>
      <c r="BR70" s="8"/>
      <c r="BS70" s="8"/>
      <c r="BT70" s="8"/>
      <c r="BU70" s="8"/>
      <c r="BV70" s="8"/>
      <c r="BW70" s="8"/>
      <c r="BX70" s="8"/>
      <c r="BY70" s="8"/>
      <c r="BZ70" s="9"/>
      <c r="CA70" s="9"/>
      <c r="CB70" s="9"/>
      <c r="CC70" s="9"/>
      <c r="CD70" s="9"/>
      <c r="CE70" s="8"/>
      <c r="CF70" s="8"/>
      <c r="CG70" s="8"/>
      <c r="CH70" s="8"/>
      <c r="CI70" s="8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8"/>
      <c r="CX70" s="8"/>
      <c r="CY70" s="8"/>
      <c r="CZ70" s="8"/>
      <c r="DA70" s="8"/>
      <c r="DB70" s="9"/>
      <c r="DC70" s="9"/>
      <c r="DD70" s="9"/>
      <c r="DE70" s="9"/>
      <c r="DF70" s="9"/>
      <c r="DG70" s="9"/>
      <c r="DH70" s="9"/>
      <c r="DI70" s="8"/>
      <c r="DJ70" s="8"/>
      <c r="DK70" s="8"/>
      <c r="DL70" s="8"/>
      <c r="DM70" s="8"/>
      <c r="DN70" s="8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8"/>
      <c r="DZ70" s="8"/>
      <c r="EA70" s="8"/>
      <c r="EB70" s="8"/>
      <c r="EC70" s="8"/>
      <c r="ED70" s="9"/>
      <c r="EE70" s="9"/>
      <c r="EF70" s="9"/>
      <c r="EG70" s="9"/>
      <c r="EH70" s="9"/>
      <c r="EI70" s="9"/>
      <c r="EJ70" s="9"/>
      <c r="EK70" s="8"/>
      <c r="EL70" s="8"/>
      <c r="EM70" s="8"/>
      <c r="EN70" s="8"/>
      <c r="EO70" s="8"/>
      <c r="EP70" s="8"/>
      <c r="EQ70" s="8"/>
      <c r="ER70" s="8"/>
      <c r="ES70" s="8"/>
      <c r="ET70" s="9"/>
      <c r="EU70" s="9"/>
      <c r="EV70" s="9"/>
      <c r="EW70" s="9"/>
      <c r="EX70" s="9"/>
      <c r="EY70" s="9"/>
      <c r="EZ70" s="9"/>
      <c r="FA70" s="9"/>
      <c r="FB70" s="8"/>
      <c r="FC70" s="8"/>
      <c r="FD70" s="8"/>
      <c r="FE70" s="8"/>
      <c r="FF70" s="9"/>
      <c r="FG70" s="9"/>
      <c r="FH70" s="9"/>
      <c r="FI70" s="9"/>
      <c r="FJ70" s="9"/>
      <c r="FK70" s="9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9"/>
      <c r="GA70" s="9"/>
      <c r="GB70" s="9"/>
      <c r="GC70" s="9"/>
      <c r="GD70" s="9"/>
      <c r="GE70" s="9"/>
      <c r="GF70" s="9"/>
      <c r="GG70" s="9"/>
      <c r="GH70" s="9"/>
      <c r="GI70" s="9"/>
    </row>
    <row r="71" spans="1:191" ht="15" customHeight="1" x14ac:dyDescent="0.25">
      <c r="A71" s="346">
        <v>544554600568</v>
      </c>
      <c r="B71" s="10">
        <f t="shared" si="4"/>
        <v>0</v>
      </c>
      <c r="C71" s="10">
        <v>0</v>
      </c>
      <c r="D71" s="10" t="b">
        <f t="shared" si="5"/>
        <v>1</v>
      </c>
      <c r="E71" s="10">
        <f t="shared" si="6"/>
        <v>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  <c r="Y71" s="9"/>
      <c r="Z71" s="8"/>
      <c r="AA71" s="8"/>
      <c r="AB71" s="8"/>
      <c r="AC71" s="8"/>
      <c r="AD71" s="8"/>
      <c r="AE71" s="9"/>
      <c r="AF71" s="9"/>
      <c r="AG71" s="9"/>
      <c r="AH71" s="9"/>
      <c r="AI71" s="9"/>
      <c r="AJ71" s="8"/>
      <c r="AK71" s="8"/>
      <c r="AL71" s="8"/>
      <c r="AM71" s="8"/>
      <c r="AN71" s="8"/>
      <c r="AO71" s="9"/>
      <c r="AP71" s="9"/>
      <c r="AQ71" s="9"/>
      <c r="AR71" s="9"/>
      <c r="AS71" s="9"/>
      <c r="AT71" s="8"/>
      <c r="AU71" s="8"/>
      <c r="AV71" s="8"/>
      <c r="AW71" s="8"/>
      <c r="AX71" s="8"/>
      <c r="AY71" s="8"/>
      <c r="AZ71" s="9"/>
      <c r="BA71" s="9"/>
      <c r="BB71" s="9"/>
      <c r="BC71" s="9"/>
      <c r="BD71" s="9"/>
      <c r="BE71" s="9"/>
      <c r="BF71" s="9"/>
      <c r="BG71" s="8"/>
      <c r="BH71" s="8"/>
      <c r="BI71" s="8"/>
      <c r="BJ71" s="8"/>
      <c r="BK71" s="8"/>
      <c r="BL71" s="8"/>
      <c r="BM71" s="9"/>
      <c r="BN71" s="9"/>
      <c r="BO71" s="9"/>
      <c r="BP71" s="9"/>
      <c r="BQ71" s="9"/>
      <c r="BR71" s="8"/>
      <c r="BS71" s="8"/>
      <c r="BT71" s="8"/>
      <c r="BU71" s="8"/>
      <c r="BV71" s="8"/>
      <c r="BW71" s="8"/>
      <c r="BX71" s="8"/>
      <c r="BY71" s="8"/>
      <c r="BZ71" s="9"/>
      <c r="CA71" s="9"/>
      <c r="CB71" s="9"/>
      <c r="CC71" s="9"/>
      <c r="CD71" s="9"/>
      <c r="CE71" s="8"/>
      <c r="CF71" s="8"/>
      <c r="CG71" s="8"/>
      <c r="CH71" s="8"/>
      <c r="CI71" s="8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8"/>
      <c r="CX71" s="8"/>
      <c r="CY71" s="8"/>
      <c r="CZ71" s="8"/>
      <c r="DA71" s="8"/>
      <c r="DB71" s="9"/>
      <c r="DC71" s="9"/>
      <c r="DD71" s="9"/>
      <c r="DE71" s="9"/>
      <c r="DF71" s="9"/>
      <c r="DG71" s="9"/>
      <c r="DH71" s="9"/>
      <c r="DI71" s="8"/>
      <c r="DJ71" s="8"/>
      <c r="DK71" s="8"/>
      <c r="DL71" s="8"/>
      <c r="DM71" s="8"/>
      <c r="DN71" s="8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8"/>
      <c r="DZ71" s="8"/>
      <c r="EA71" s="8"/>
      <c r="EB71" s="8"/>
      <c r="EC71" s="8"/>
      <c r="ED71" s="9"/>
      <c r="EE71" s="9"/>
      <c r="EF71" s="9"/>
      <c r="EG71" s="9"/>
      <c r="EH71" s="9"/>
      <c r="EI71" s="9"/>
      <c r="EJ71" s="9"/>
      <c r="EK71" s="8"/>
      <c r="EL71" s="8"/>
      <c r="EM71" s="8"/>
      <c r="EN71" s="8"/>
      <c r="EO71" s="8"/>
      <c r="EP71" s="8"/>
      <c r="EQ71" s="8"/>
      <c r="ER71" s="8"/>
      <c r="ES71" s="8"/>
      <c r="ET71" s="9"/>
      <c r="EU71" s="9"/>
      <c r="EV71" s="9"/>
      <c r="EW71" s="9"/>
      <c r="EX71" s="9"/>
      <c r="EY71" s="9"/>
      <c r="EZ71" s="9"/>
      <c r="FA71" s="9"/>
      <c r="FB71" s="8"/>
      <c r="FC71" s="8"/>
      <c r="FD71" s="8"/>
      <c r="FE71" s="8"/>
      <c r="FF71" s="9"/>
      <c r="FG71" s="9"/>
      <c r="FH71" s="9"/>
      <c r="FI71" s="9"/>
      <c r="FJ71" s="9"/>
      <c r="FK71" s="9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9"/>
      <c r="GA71" s="9"/>
      <c r="GB71" s="9"/>
      <c r="GC71" s="9"/>
      <c r="GD71" s="9"/>
      <c r="GE71" s="9"/>
      <c r="GF71" s="9"/>
      <c r="GG71" s="9"/>
      <c r="GH71" s="9"/>
      <c r="GI71" s="9"/>
    </row>
    <row r="72" spans="1:191" ht="15" customHeight="1" x14ac:dyDescent="0.25">
      <c r="A72" s="347">
        <v>544554600561</v>
      </c>
      <c r="B72" s="10">
        <f t="shared" si="4"/>
        <v>0</v>
      </c>
      <c r="C72" s="10">
        <v>0</v>
      </c>
      <c r="D72" s="10" t="b">
        <f t="shared" si="5"/>
        <v>1</v>
      </c>
      <c r="E72" s="10">
        <f t="shared" si="6"/>
        <v>0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  <c r="Y72" s="9"/>
      <c r="Z72" s="8"/>
      <c r="AA72" s="8"/>
      <c r="AB72" s="8"/>
      <c r="AC72" s="8"/>
      <c r="AD72" s="8"/>
      <c r="AE72" s="9"/>
      <c r="AF72" s="9"/>
      <c r="AG72" s="9"/>
      <c r="AH72" s="9"/>
      <c r="AI72" s="9"/>
      <c r="AJ72" s="8"/>
      <c r="AK72" s="8"/>
      <c r="AL72" s="8"/>
      <c r="AM72" s="8"/>
      <c r="AN72" s="8"/>
      <c r="AO72" s="9"/>
      <c r="AP72" s="9"/>
      <c r="AQ72" s="9"/>
      <c r="AR72" s="9"/>
      <c r="AS72" s="9"/>
      <c r="AT72" s="8"/>
      <c r="AU72" s="8"/>
      <c r="AV72" s="8"/>
      <c r="AW72" s="8"/>
      <c r="AX72" s="8"/>
      <c r="AY72" s="8"/>
      <c r="AZ72" s="9"/>
      <c r="BA72" s="9"/>
      <c r="BB72" s="9"/>
      <c r="BC72" s="9"/>
      <c r="BD72" s="9"/>
      <c r="BE72" s="9"/>
      <c r="BF72" s="9"/>
      <c r="BG72" s="8"/>
      <c r="BH72" s="8"/>
      <c r="BI72" s="8"/>
      <c r="BJ72" s="8"/>
      <c r="BK72" s="8"/>
      <c r="BL72" s="8"/>
      <c r="BM72" s="9"/>
      <c r="BN72" s="9"/>
      <c r="BO72" s="9"/>
      <c r="BP72" s="9"/>
      <c r="BQ72" s="9"/>
      <c r="BR72" s="8"/>
      <c r="BS72" s="8"/>
      <c r="BT72" s="8"/>
      <c r="BU72" s="8"/>
      <c r="BV72" s="8"/>
      <c r="BW72" s="8"/>
      <c r="BX72" s="8"/>
      <c r="BY72" s="8"/>
      <c r="BZ72" s="9"/>
      <c r="CA72" s="9"/>
      <c r="CB72" s="9"/>
      <c r="CC72" s="9"/>
      <c r="CD72" s="9"/>
      <c r="CE72" s="8"/>
      <c r="CF72" s="8"/>
      <c r="CG72" s="8"/>
      <c r="CH72" s="8"/>
      <c r="CI72" s="8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8"/>
      <c r="CX72" s="8"/>
      <c r="CY72" s="8"/>
      <c r="CZ72" s="8"/>
      <c r="DA72" s="8"/>
      <c r="DB72" s="9"/>
      <c r="DC72" s="9"/>
      <c r="DD72" s="9"/>
      <c r="DE72" s="9"/>
      <c r="DF72" s="9"/>
      <c r="DG72" s="9"/>
      <c r="DH72" s="9"/>
      <c r="DI72" s="8"/>
      <c r="DJ72" s="8"/>
      <c r="DK72" s="8"/>
      <c r="DL72" s="8"/>
      <c r="DM72" s="8"/>
      <c r="DN72" s="8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8"/>
      <c r="DZ72" s="8"/>
      <c r="EA72" s="8"/>
      <c r="EB72" s="8"/>
      <c r="EC72" s="8"/>
      <c r="ED72" s="9"/>
      <c r="EE72" s="9"/>
      <c r="EF72" s="9"/>
      <c r="EG72" s="9"/>
      <c r="EH72" s="9"/>
      <c r="EI72" s="9"/>
      <c r="EJ72" s="9"/>
      <c r="EK72" s="8"/>
      <c r="EL72" s="8"/>
      <c r="EM72" s="8"/>
      <c r="EN72" s="8"/>
      <c r="EO72" s="8"/>
      <c r="EP72" s="8"/>
      <c r="EQ72" s="8"/>
      <c r="ER72" s="8"/>
      <c r="ES72" s="8"/>
      <c r="ET72" s="9"/>
      <c r="EU72" s="9"/>
      <c r="EV72" s="9"/>
      <c r="EW72" s="9"/>
      <c r="EX72" s="9"/>
      <c r="EY72" s="9"/>
      <c r="EZ72" s="9"/>
      <c r="FA72" s="9"/>
      <c r="FB72" s="8"/>
      <c r="FC72" s="8"/>
      <c r="FD72" s="8"/>
      <c r="FE72" s="8"/>
      <c r="FF72" s="9"/>
      <c r="FG72" s="9"/>
      <c r="FH72" s="9"/>
      <c r="FI72" s="9"/>
      <c r="FJ72" s="9"/>
      <c r="FK72" s="9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9"/>
      <c r="GA72" s="9"/>
      <c r="GB72" s="9"/>
      <c r="GC72" s="9"/>
      <c r="GD72" s="9"/>
      <c r="GE72" s="9"/>
      <c r="GF72" s="9"/>
      <c r="GG72" s="9"/>
      <c r="GH72" s="9"/>
      <c r="GI72" s="9"/>
    </row>
    <row r="73" spans="1:191" ht="15" customHeight="1" x14ac:dyDescent="0.25">
      <c r="A73" s="347">
        <v>544554600562</v>
      </c>
      <c r="B73" s="10">
        <f t="shared" si="4"/>
        <v>0</v>
      </c>
      <c r="C73" s="10">
        <v>0</v>
      </c>
      <c r="D73" s="10" t="b">
        <f t="shared" si="5"/>
        <v>1</v>
      </c>
      <c r="E73" s="10">
        <f t="shared" si="6"/>
        <v>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  <c r="Y73" s="9"/>
      <c r="Z73" s="8"/>
      <c r="AA73" s="8"/>
      <c r="AB73" s="8"/>
      <c r="AC73" s="8"/>
      <c r="AD73" s="8"/>
      <c r="AE73" s="9"/>
      <c r="AF73" s="9"/>
      <c r="AG73" s="9"/>
      <c r="AH73" s="9"/>
      <c r="AI73" s="9"/>
      <c r="AJ73" s="8"/>
      <c r="AK73" s="8"/>
      <c r="AL73" s="8"/>
      <c r="AM73" s="8"/>
      <c r="AN73" s="8"/>
      <c r="AO73" s="9"/>
      <c r="AP73" s="9"/>
      <c r="AQ73" s="9"/>
      <c r="AR73" s="9"/>
      <c r="AS73" s="9"/>
      <c r="AT73" s="8"/>
      <c r="AU73" s="8"/>
      <c r="AV73" s="8"/>
      <c r="AW73" s="8"/>
      <c r="AX73" s="8"/>
      <c r="AY73" s="8"/>
      <c r="AZ73" s="9"/>
      <c r="BA73" s="9"/>
      <c r="BB73" s="9"/>
      <c r="BC73" s="9"/>
      <c r="BD73" s="9"/>
      <c r="BE73" s="9"/>
      <c r="BF73" s="9"/>
      <c r="BG73" s="8"/>
      <c r="BH73" s="8"/>
      <c r="BI73" s="8"/>
      <c r="BJ73" s="8"/>
      <c r="BK73" s="8"/>
      <c r="BL73" s="8"/>
      <c r="BM73" s="9"/>
      <c r="BN73" s="9"/>
      <c r="BO73" s="9"/>
      <c r="BP73" s="9"/>
      <c r="BQ73" s="9"/>
      <c r="BR73" s="8"/>
      <c r="BS73" s="8"/>
      <c r="BT73" s="8"/>
      <c r="BU73" s="8"/>
      <c r="BV73" s="8"/>
      <c r="BW73" s="8"/>
      <c r="BX73" s="8"/>
      <c r="BY73" s="8"/>
      <c r="BZ73" s="9"/>
      <c r="CA73" s="9"/>
      <c r="CB73" s="9"/>
      <c r="CC73" s="9"/>
      <c r="CD73" s="9"/>
      <c r="CE73" s="8"/>
      <c r="CF73" s="8"/>
      <c r="CG73" s="8"/>
      <c r="CH73" s="8"/>
      <c r="CI73" s="8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8"/>
      <c r="CX73" s="8"/>
      <c r="CY73" s="8"/>
      <c r="CZ73" s="8"/>
      <c r="DA73" s="8"/>
      <c r="DB73" s="9"/>
      <c r="DC73" s="9"/>
      <c r="DD73" s="9"/>
      <c r="DE73" s="9"/>
      <c r="DF73" s="9"/>
      <c r="DG73" s="9"/>
      <c r="DH73" s="9"/>
      <c r="DI73" s="8"/>
      <c r="DJ73" s="8"/>
      <c r="DK73" s="8"/>
      <c r="DL73" s="8"/>
      <c r="DM73" s="8"/>
      <c r="DN73" s="8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8"/>
      <c r="DZ73" s="8"/>
      <c r="EA73" s="8"/>
      <c r="EB73" s="8"/>
      <c r="EC73" s="8"/>
      <c r="ED73" s="9"/>
      <c r="EE73" s="9"/>
      <c r="EF73" s="9"/>
      <c r="EG73" s="9"/>
      <c r="EH73" s="9"/>
      <c r="EI73" s="9"/>
      <c r="EJ73" s="9"/>
      <c r="EK73" s="8"/>
      <c r="EL73" s="8"/>
      <c r="EM73" s="8"/>
      <c r="EN73" s="8"/>
      <c r="EO73" s="8"/>
      <c r="EP73" s="8"/>
      <c r="EQ73" s="8"/>
      <c r="ER73" s="8"/>
      <c r="ES73" s="8"/>
      <c r="ET73" s="9"/>
      <c r="EU73" s="9"/>
      <c r="EV73" s="9"/>
      <c r="EW73" s="9"/>
      <c r="EX73" s="9"/>
      <c r="EY73" s="9"/>
      <c r="EZ73" s="9"/>
      <c r="FA73" s="9"/>
      <c r="FB73" s="8"/>
      <c r="FC73" s="8"/>
      <c r="FD73" s="8"/>
      <c r="FE73" s="8"/>
      <c r="FF73" s="9"/>
      <c r="FG73" s="9"/>
      <c r="FH73" s="9"/>
      <c r="FI73" s="9"/>
      <c r="FJ73" s="9"/>
      <c r="FK73" s="9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9"/>
      <c r="GA73" s="9"/>
      <c r="GB73" s="9"/>
      <c r="GC73" s="9"/>
      <c r="GD73" s="9"/>
      <c r="GE73" s="9"/>
      <c r="GF73" s="9"/>
      <c r="GG73" s="9"/>
      <c r="GH73" s="9"/>
      <c r="GI73" s="9"/>
    </row>
    <row r="74" spans="1:191" ht="15" customHeight="1" x14ac:dyDescent="0.25">
      <c r="A74" s="347">
        <v>544554600563</v>
      </c>
      <c r="B74" s="10">
        <f t="shared" si="4"/>
        <v>0</v>
      </c>
      <c r="C74" s="10">
        <v>0</v>
      </c>
      <c r="D74" s="10" t="b">
        <f t="shared" si="5"/>
        <v>1</v>
      </c>
      <c r="E74" s="10">
        <f t="shared" si="6"/>
        <v>0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9"/>
      <c r="Z74" s="8"/>
      <c r="AA74" s="8"/>
      <c r="AB74" s="8"/>
      <c r="AC74" s="8"/>
      <c r="AD74" s="8"/>
      <c r="AE74" s="9"/>
      <c r="AF74" s="9"/>
      <c r="AG74" s="9"/>
      <c r="AH74" s="9"/>
      <c r="AI74" s="9"/>
      <c r="AJ74" s="8"/>
      <c r="AK74" s="8"/>
      <c r="AL74" s="8"/>
      <c r="AM74" s="8"/>
      <c r="AN74" s="8"/>
      <c r="AO74" s="9"/>
      <c r="AP74" s="9"/>
      <c r="AQ74" s="9"/>
      <c r="AR74" s="9"/>
      <c r="AS74" s="9"/>
      <c r="AT74" s="8"/>
      <c r="AU74" s="8"/>
      <c r="AV74" s="8"/>
      <c r="AW74" s="8"/>
      <c r="AX74" s="8"/>
      <c r="AY74" s="8"/>
      <c r="AZ74" s="9"/>
      <c r="BA74" s="9"/>
      <c r="BB74" s="9"/>
      <c r="BC74" s="9"/>
      <c r="BD74" s="9"/>
      <c r="BE74" s="9"/>
      <c r="BF74" s="9"/>
      <c r="BG74" s="8"/>
      <c r="BH74" s="8"/>
      <c r="BI74" s="8"/>
      <c r="BJ74" s="8"/>
      <c r="BK74" s="8"/>
      <c r="BL74" s="8"/>
      <c r="BM74" s="9"/>
      <c r="BN74" s="9"/>
      <c r="BO74" s="9"/>
      <c r="BP74" s="9"/>
      <c r="BQ74" s="9"/>
      <c r="BR74" s="8"/>
      <c r="BS74" s="8"/>
      <c r="BT74" s="8"/>
      <c r="BU74" s="8"/>
      <c r="BV74" s="8"/>
      <c r="BW74" s="8"/>
      <c r="BX74" s="8"/>
      <c r="BY74" s="8"/>
      <c r="BZ74" s="9"/>
      <c r="CA74" s="9"/>
      <c r="CB74" s="9"/>
      <c r="CC74" s="9"/>
      <c r="CD74" s="9"/>
      <c r="CE74" s="8"/>
      <c r="CF74" s="8"/>
      <c r="CG74" s="8"/>
      <c r="CH74" s="8"/>
      <c r="CI74" s="8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8"/>
      <c r="CX74" s="8"/>
      <c r="CY74" s="8"/>
      <c r="CZ74" s="8"/>
      <c r="DA74" s="8"/>
      <c r="DB74" s="9"/>
      <c r="DC74" s="9"/>
      <c r="DD74" s="9"/>
      <c r="DE74" s="9"/>
      <c r="DF74" s="9"/>
      <c r="DG74" s="9"/>
      <c r="DH74" s="9"/>
      <c r="DI74" s="8"/>
      <c r="DJ74" s="8"/>
      <c r="DK74" s="8"/>
      <c r="DL74" s="8"/>
      <c r="DM74" s="8"/>
      <c r="DN74" s="8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8"/>
      <c r="DZ74" s="8"/>
      <c r="EA74" s="8"/>
      <c r="EB74" s="8"/>
      <c r="EC74" s="8"/>
      <c r="ED74" s="9"/>
      <c r="EE74" s="9"/>
      <c r="EF74" s="9"/>
      <c r="EG74" s="9"/>
      <c r="EH74" s="9"/>
      <c r="EI74" s="9"/>
      <c r="EJ74" s="9"/>
      <c r="EK74" s="8"/>
      <c r="EL74" s="8"/>
      <c r="EM74" s="8"/>
      <c r="EN74" s="8"/>
      <c r="EO74" s="8"/>
      <c r="EP74" s="8"/>
      <c r="EQ74" s="8"/>
      <c r="ER74" s="8"/>
      <c r="ES74" s="8"/>
      <c r="ET74" s="9"/>
      <c r="EU74" s="9"/>
      <c r="EV74" s="9"/>
      <c r="EW74" s="9"/>
      <c r="EX74" s="9"/>
      <c r="EY74" s="9"/>
      <c r="EZ74" s="9"/>
      <c r="FA74" s="9"/>
      <c r="FB74" s="8"/>
      <c r="FC74" s="8"/>
      <c r="FD74" s="8"/>
      <c r="FE74" s="8"/>
      <c r="FF74" s="9"/>
      <c r="FG74" s="9"/>
      <c r="FH74" s="9"/>
      <c r="FI74" s="9"/>
      <c r="FJ74" s="9"/>
      <c r="FK74" s="9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9"/>
      <c r="GA74" s="9"/>
      <c r="GB74" s="9"/>
      <c r="GC74" s="9"/>
      <c r="GD74" s="9"/>
      <c r="GE74" s="9"/>
      <c r="GF74" s="9"/>
      <c r="GG74" s="9"/>
      <c r="GH74" s="9"/>
      <c r="GI74" s="9"/>
    </row>
    <row r="75" spans="1:191" ht="15" customHeight="1" x14ac:dyDescent="0.25">
      <c r="A75" s="347">
        <v>544554600564</v>
      </c>
      <c r="B75" s="10">
        <f t="shared" si="4"/>
        <v>0</v>
      </c>
      <c r="C75" s="10">
        <v>0</v>
      </c>
      <c r="D75" s="10" t="b">
        <f t="shared" si="5"/>
        <v>1</v>
      </c>
      <c r="E75" s="10">
        <f t="shared" si="6"/>
        <v>0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9"/>
      <c r="Z75" s="8"/>
      <c r="AA75" s="8"/>
      <c r="AB75" s="8"/>
      <c r="AC75" s="8"/>
      <c r="AD75" s="8"/>
      <c r="AE75" s="9"/>
      <c r="AF75" s="9"/>
      <c r="AG75" s="9"/>
      <c r="AH75" s="9"/>
      <c r="AI75" s="9"/>
      <c r="AJ75" s="8"/>
      <c r="AK75" s="8"/>
      <c r="AL75" s="8"/>
      <c r="AM75" s="8"/>
      <c r="AN75" s="8"/>
      <c r="AO75" s="9"/>
      <c r="AP75" s="9"/>
      <c r="AQ75" s="9"/>
      <c r="AR75" s="9"/>
      <c r="AS75" s="9"/>
      <c r="AT75" s="8"/>
      <c r="AU75" s="8"/>
      <c r="AV75" s="8"/>
      <c r="AW75" s="8"/>
      <c r="AX75" s="8"/>
      <c r="AY75" s="8"/>
      <c r="AZ75" s="9"/>
      <c r="BA75" s="9"/>
      <c r="BB75" s="9"/>
      <c r="BC75" s="9"/>
      <c r="BD75" s="9"/>
      <c r="BE75" s="9"/>
      <c r="BF75" s="9"/>
      <c r="BG75" s="8"/>
      <c r="BH75" s="8"/>
      <c r="BI75" s="8"/>
      <c r="BJ75" s="8"/>
      <c r="BK75" s="8"/>
      <c r="BL75" s="8"/>
      <c r="BM75" s="9"/>
      <c r="BN75" s="9"/>
      <c r="BO75" s="9"/>
      <c r="BP75" s="9"/>
      <c r="BQ75" s="9"/>
      <c r="BR75" s="8"/>
      <c r="BS75" s="8"/>
      <c r="BT75" s="8"/>
      <c r="BU75" s="8"/>
      <c r="BV75" s="8"/>
      <c r="BW75" s="8"/>
      <c r="BX75" s="8"/>
      <c r="BY75" s="8"/>
      <c r="BZ75" s="9"/>
      <c r="CA75" s="9"/>
      <c r="CB75" s="9"/>
      <c r="CC75" s="9"/>
      <c r="CD75" s="9"/>
      <c r="CE75" s="8"/>
      <c r="CF75" s="8"/>
      <c r="CG75" s="8"/>
      <c r="CH75" s="8"/>
      <c r="CI75" s="8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8"/>
      <c r="CX75" s="8"/>
      <c r="CY75" s="8"/>
      <c r="CZ75" s="8"/>
      <c r="DA75" s="8"/>
      <c r="DB75" s="9"/>
      <c r="DC75" s="9"/>
      <c r="DD75" s="9"/>
      <c r="DE75" s="9"/>
      <c r="DF75" s="9"/>
      <c r="DG75" s="9"/>
      <c r="DH75" s="9"/>
      <c r="DI75" s="8"/>
      <c r="DJ75" s="8"/>
      <c r="DK75" s="8"/>
      <c r="DL75" s="8"/>
      <c r="DM75" s="8"/>
      <c r="DN75" s="8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8"/>
      <c r="DZ75" s="8"/>
      <c r="EA75" s="8"/>
      <c r="EB75" s="8"/>
      <c r="EC75" s="8"/>
      <c r="ED75" s="9"/>
      <c r="EE75" s="9"/>
      <c r="EF75" s="9"/>
      <c r="EG75" s="9"/>
      <c r="EH75" s="9"/>
      <c r="EI75" s="9"/>
      <c r="EJ75" s="9"/>
      <c r="EK75" s="8"/>
      <c r="EL75" s="8"/>
      <c r="EM75" s="8"/>
      <c r="EN75" s="8"/>
      <c r="EO75" s="8"/>
      <c r="EP75" s="8"/>
      <c r="EQ75" s="8"/>
      <c r="ER75" s="8"/>
      <c r="ES75" s="8"/>
      <c r="ET75" s="9"/>
      <c r="EU75" s="9"/>
      <c r="EV75" s="9"/>
      <c r="EW75" s="9"/>
      <c r="EX75" s="9"/>
      <c r="EY75" s="9"/>
      <c r="EZ75" s="9"/>
      <c r="FA75" s="9"/>
      <c r="FB75" s="8"/>
      <c r="FC75" s="8"/>
      <c r="FD75" s="8"/>
      <c r="FE75" s="8"/>
      <c r="FF75" s="9"/>
      <c r="FG75" s="9"/>
      <c r="FH75" s="9"/>
      <c r="FI75" s="9"/>
      <c r="FJ75" s="9"/>
      <c r="FK75" s="9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9"/>
      <c r="GA75" s="9"/>
      <c r="GB75" s="9"/>
      <c r="GC75" s="9"/>
      <c r="GD75" s="9"/>
      <c r="GE75" s="9"/>
      <c r="GF75" s="9"/>
      <c r="GG75" s="9"/>
      <c r="GH75" s="9"/>
      <c r="GI75" s="9"/>
    </row>
    <row r="76" spans="1:191" ht="15" customHeight="1" x14ac:dyDescent="0.25">
      <c r="A76" s="347">
        <v>544554600565</v>
      </c>
      <c r="B76" s="10">
        <f t="shared" si="4"/>
        <v>0</v>
      </c>
      <c r="C76" s="10">
        <v>0</v>
      </c>
      <c r="D76" s="10" t="b">
        <f t="shared" si="5"/>
        <v>1</v>
      </c>
      <c r="E76" s="10">
        <f t="shared" si="6"/>
        <v>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9"/>
      <c r="Z76" s="8"/>
      <c r="AA76" s="8"/>
      <c r="AB76" s="8"/>
      <c r="AC76" s="8"/>
      <c r="AD76" s="8"/>
      <c r="AE76" s="9"/>
      <c r="AF76" s="9"/>
      <c r="AG76" s="9"/>
      <c r="AH76" s="9"/>
      <c r="AI76" s="9"/>
      <c r="AJ76" s="8"/>
      <c r="AK76" s="8"/>
      <c r="AL76" s="8"/>
      <c r="AM76" s="8"/>
      <c r="AN76" s="8"/>
      <c r="AO76" s="9"/>
      <c r="AP76" s="9"/>
      <c r="AQ76" s="9"/>
      <c r="AR76" s="9"/>
      <c r="AS76" s="9"/>
      <c r="AT76" s="8"/>
      <c r="AU76" s="8"/>
      <c r="AV76" s="8"/>
      <c r="AW76" s="8"/>
      <c r="AX76" s="8"/>
      <c r="AY76" s="8"/>
      <c r="AZ76" s="9"/>
      <c r="BA76" s="9"/>
      <c r="BB76" s="9"/>
      <c r="BC76" s="9"/>
      <c r="BD76" s="9"/>
      <c r="BE76" s="9"/>
      <c r="BF76" s="9"/>
      <c r="BG76" s="8"/>
      <c r="BH76" s="8"/>
      <c r="BI76" s="9"/>
      <c r="BJ76" s="8"/>
      <c r="BK76" s="8"/>
      <c r="BL76" s="8"/>
      <c r="BM76" s="9"/>
      <c r="BN76" s="9"/>
      <c r="BO76" s="9"/>
      <c r="BP76" s="9"/>
      <c r="BQ76" s="9"/>
      <c r="BR76" s="8"/>
      <c r="BS76" s="8"/>
      <c r="BT76" s="8"/>
      <c r="BU76" s="8"/>
      <c r="BV76" s="8"/>
      <c r="BW76" s="8"/>
      <c r="BX76" s="8"/>
      <c r="BY76" s="8"/>
      <c r="BZ76" s="9"/>
      <c r="CA76" s="9"/>
      <c r="CB76" s="9"/>
      <c r="CC76" s="9"/>
      <c r="CD76" s="9"/>
      <c r="CE76" s="8"/>
      <c r="CF76" s="8"/>
      <c r="CG76" s="8"/>
      <c r="CH76" s="8"/>
      <c r="CI76" s="8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8"/>
      <c r="CX76" s="8"/>
      <c r="CY76" s="8"/>
      <c r="CZ76" s="8"/>
      <c r="DA76" s="8"/>
      <c r="DB76" s="9"/>
      <c r="DC76" s="9"/>
      <c r="DD76" s="9"/>
      <c r="DE76" s="9"/>
      <c r="DF76" s="9"/>
      <c r="DG76" s="9"/>
      <c r="DH76" s="9"/>
      <c r="DI76" s="8"/>
      <c r="DJ76" s="8"/>
      <c r="DK76" s="8"/>
      <c r="DL76" s="8"/>
      <c r="DM76" s="8"/>
      <c r="DN76" s="8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8"/>
      <c r="DZ76" s="8"/>
      <c r="EA76" s="8"/>
      <c r="EB76" s="8"/>
      <c r="EC76" s="8"/>
      <c r="ED76" s="9"/>
      <c r="EE76" s="9"/>
      <c r="EF76" s="9"/>
      <c r="EG76" s="9"/>
      <c r="EH76" s="9"/>
      <c r="EI76" s="9"/>
      <c r="EJ76" s="9"/>
      <c r="EK76" s="8"/>
      <c r="EL76" s="8"/>
      <c r="EM76" s="8"/>
      <c r="EN76" s="8"/>
      <c r="EO76" s="8"/>
      <c r="EP76" s="8"/>
      <c r="EQ76" s="8"/>
      <c r="ER76" s="8"/>
      <c r="ES76" s="8"/>
      <c r="ET76" s="9"/>
      <c r="EU76" s="9"/>
      <c r="EV76" s="9"/>
      <c r="EW76" s="9"/>
      <c r="EX76" s="9"/>
      <c r="EY76" s="9"/>
      <c r="EZ76" s="9"/>
      <c r="FA76" s="9"/>
      <c r="FB76" s="8"/>
      <c r="FC76" s="8"/>
      <c r="FD76" s="8"/>
      <c r="FE76" s="8"/>
      <c r="FF76" s="9"/>
      <c r="FG76" s="9"/>
      <c r="FH76" s="9"/>
      <c r="FI76" s="9"/>
      <c r="FJ76" s="9"/>
      <c r="FK76" s="9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9"/>
      <c r="GA76" s="9"/>
      <c r="GB76" s="9"/>
      <c r="GC76" s="9"/>
      <c r="GD76" s="9"/>
      <c r="GE76" s="9"/>
      <c r="GF76" s="9"/>
      <c r="GG76" s="9"/>
      <c r="GH76" s="9"/>
      <c r="GI76" s="9"/>
    </row>
    <row r="77" spans="1:191" ht="15" customHeight="1" x14ac:dyDescent="0.25">
      <c r="A77" s="347">
        <v>544554600566</v>
      </c>
      <c r="B77" s="10">
        <f t="shared" si="4"/>
        <v>0</v>
      </c>
      <c r="C77" s="10">
        <v>0</v>
      </c>
      <c r="D77" s="10" t="b">
        <f t="shared" si="5"/>
        <v>1</v>
      </c>
      <c r="E77" s="10">
        <f t="shared" si="6"/>
        <v>0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9"/>
      <c r="Z77" s="8"/>
      <c r="AA77" s="8"/>
      <c r="AB77" s="8"/>
      <c r="AC77" s="8"/>
      <c r="AD77" s="8"/>
      <c r="AE77" s="9"/>
      <c r="AF77" s="9"/>
      <c r="AG77" s="9"/>
      <c r="AH77" s="9"/>
      <c r="AI77" s="9"/>
      <c r="AJ77" s="8"/>
      <c r="AK77" s="8"/>
      <c r="AL77" s="8"/>
      <c r="AM77" s="8"/>
      <c r="AN77" s="8"/>
      <c r="AO77" s="9"/>
      <c r="AP77" s="9"/>
      <c r="AQ77" s="9"/>
      <c r="AR77" s="9"/>
      <c r="AS77" s="9"/>
      <c r="AT77" s="8"/>
      <c r="AU77" s="8"/>
      <c r="AV77" s="8"/>
      <c r="AW77" s="8"/>
      <c r="AX77" s="8"/>
      <c r="AY77" s="8"/>
      <c r="AZ77" s="9"/>
      <c r="BA77" s="9"/>
      <c r="BB77" s="9"/>
      <c r="BC77" s="9"/>
      <c r="BD77" s="9"/>
      <c r="BE77" s="9"/>
      <c r="BF77" s="9"/>
      <c r="BG77" s="8"/>
      <c r="BH77" s="8"/>
      <c r="BI77" s="8"/>
      <c r="BJ77" s="8"/>
      <c r="BK77" s="8"/>
      <c r="BL77" s="8"/>
      <c r="BM77" s="9"/>
      <c r="BN77" s="9"/>
      <c r="BO77" s="9"/>
      <c r="BP77" s="9"/>
      <c r="BQ77" s="9"/>
      <c r="BR77" s="8"/>
      <c r="BS77" s="8"/>
      <c r="BT77" s="8"/>
      <c r="BU77" s="8"/>
      <c r="BV77" s="8"/>
      <c r="BW77" s="8"/>
      <c r="BX77" s="8"/>
      <c r="BY77" s="8"/>
      <c r="BZ77" s="9"/>
      <c r="CA77" s="9"/>
      <c r="CB77" s="9"/>
      <c r="CC77" s="9"/>
      <c r="CD77" s="9"/>
      <c r="CE77" s="8"/>
      <c r="CF77" s="8"/>
      <c r="CG77" s="8"/>
      <c r="CH77" s="8"/>
      <c r="CI77" s="8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8"/>
      <c r="CX77" s="8"/>
      <c r="CY77" s="8"/>
      <c r="CZ77" s="8"/>
      <c r="DA77" s="8"/>
      <c r="DB77" s="9"/>
      <c r="DC77" s="9"/>
      <c r="DD77" s="9"/>
      <c r="DE77" s="9"/>
      <c r="DF77" s="9"/>
      <c r="DG77" s="9"/>
      <c r="DH77" s="9"/>
      <c r="DI77" s="8"/>
      <c r="DJ77" s="8"/>
      <c r="DK77" s="8"/>
      <c r="DL77" s="8"/>
      <c r="DM77" s="8"/>
      <c r="DN77" s="8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8"/>
      <c r="DZ77" s="8"/>
      <c r="EA77" s="8"/>
      <c r="EB77" s="8"/>
      <c r="EC77" s="8"/>
      <c r="ED77" s="9"/>
      <c r="EE77" s="9"/>
      <c r="EF77" s="9"/>
      <c r="EG77" s="9"/>
      <c r="EH77" s="9"/>
      <c r="EI77" s="9"/>
      <c r="EJ77" s="9"/>
      <c r="EK77" s="8"/>
      <c r="EL77" s="8"/>
      <c r="EM77" s="8"/>
      <c r="EN77" s="8"/>
      <c r="EO77" s="8"/>
      <c r="EP77" s="8"/>
      <c r="EQ77" s="8"/>
      <c r="ER77" s="8"/>
      <c r="ES77" s="8"/>
      <c r="ET77" s="9"/>
      <c r="EU77" s="9"/>
      <c r="EV77" s="9"/>
      <c r="EW77" s="9"/>
      <c r="EX77" s="9"/>
      <c r="EY77" s="9"/>
      <c r="EZ77" s="9"/>
      <c r="FA77" s="9"/>
      <c r="FB77" s="8"/>
      <c r="FC77" s="8"/>
      <c r="FD77" s="8"/>
      <c r="FE77" s="8"/>
      <c r="FF77" s="9"/>
      <c r="FG77" s="9"/>
      <c r="FH77" s="9"/>
      <c r="FI77" s="9"/>
      <c r="FJ77" s="9"/>
      <c r="FK77" s="9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9"/>
      <c r="GA77" s="9"/>
      <c r="GB77" s="9"/>
      <c r="GC77" s="9"/>
      <c r="GD77" s="9"/>
      <c r="GE77" s="9"/>
      <c r="GF77" s="9"/>
      <c r="GG77" s="9"/>
      <c r="GH77" s="9"/>
      <c r="GI77" s="9"/>
    </row>
    <row r="78" spans="1:191" ht="15" customHeight="1" x14ac:dyDescent="0.25">
      <c r="A78" s="345">
        <v>544554600567</v>
      </c>
      <c r="B78" s="10">
        <f t="shared" si="4"/>
        <v>0</v>
      </c>
      <c r="C78" s="10">
        <v>0</v>
      </c>
      <c r="D78" s="10" t="b">
        <f t="shared" si="5"/>
        <v>1</v>
      </c>
      <c r="E78" s="10">
        <f t="shared" si="6"/>
        <v>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9"/>
      <c r="Z78" s="8"/>
      <c r="AA78" s="8"/>
      <c r="AB78" s="8"/>
      <c r="AC78" s="8"/>
      <c r="AD78" s="8"/>
      <c r="AE78" s="9"/>
      <c r="AF78" s="9"/>
      <c r="AG78" s="9"/>
      <c r="AH78" s="9"/>
      <c r="AI78" s="9"/>
      <c r="AJ78" s="8"/>
      <c r="AK78" s="8"/>
      <c r="AL78" s="8"/>
      <c r="AM78" s="8"/>
      <c r="AN78" s="8"/>
      <c r="AO78" s="9"/>
      <c r="AP78" s="9"/>
      <c r="AQ78" s="9"/>
      <c r="AR78" s="9"/>
      <c r="AS78" s="9"/>
      <c r="AT78" s="8"/>
      <c r="AU78" s="8"/>
      <c r="AV78" s="8"/>
      <c r="AW78" s="8"/>
      <c r="AX78" s="8"/>
      <c r="AY78" s="8"/>
      <c r="AZ78" s="9"/>
      <c r="BA78" s="9"/>
      <c r="BB78" s="9"/>
      <c r="BC78" s="9"/>
      <c r="BD78" s="9"/>
      <c r="BE78" s="9"/>
      <c r="BF78" s="9"/>
      <c r="BG78" s="8"/>
      <c r="BH78" s="8"/>
      <c r="BI78" s="8"/>
      <c r="BJ78" s="8"/>
      <c r="BK78" s="8"/>
      <c r="BL78" s="8"/>
      <c r="BM78" s="9"/>
      <c r="BN78" s="9"/>
      <c r="BO78" s="9"/>
      <c r="BP78" s="9"/>
      <c r="BQ78" s="9"/>
      <c r="BR78" s="8"/>
      <c r="BS78" s="8"/>
      <c r="BT78" s="8"/>
      <c r="BU78" s="8"/>
      <c r="BV78" s="8"/>
      <c r="BW78" s="8"/>
      <c r="BX78" s="8"/>
      <c r="BY78" s="8"/>
      <c r="BZ78" s="9"/>
      <c r="CA78" s="9"/>
      <c r="CB78" s="9"/>
      <c r="CC78" s="9"/>
      <c r="CD78" s="9"/>
      <c r="CE78" s="8"/>
      <c r="CF78" s="8"/>
      <c r="CG78" s="8"/>
      <c r="CH78" s="8"/>
      <c r="CI78" s="8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8"/>
      <c r="CX78" s="8"/>
      <c r="CY78" s="8"/>
      <c r="CZ78" s="8"/>
      <c r="DA78" s="8"/>
      <c r="DB78" s="9"/>
      <c r="DC78" s="9"/>
      <c r="DD78" s="9"/>
      <c r="DE78" s="9"/>
      <c r="DF78" s="9"/>
      <c r="DG78" s="9"/>
      <c r="DH78" s="9"/>
      <c r="DI78" s="8"/>
      <c r="DJ78" s="8"/>
      <c r="DK78" s="8"/>
      <c r="DL78" s="8"/>
      <c r="DM78" s="8"/>
      <c r="DN78" s="8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8"/>
      <c r="DZ78" s="8"/>
      <c r="EA78" s="8"/>
      <c r="EB78" s="8"/>
      <c r="EC78" s="8"/>
      <c r="ED78" s="9"/>
      <c r="EE78" s="9"/>
      <c r="EF78" s="9"/>
      <c r="EG78" s="9"/>
      <c r="EH78" s="9"/>
      <c r="EI78" s="9"/>
      <c r="EJ78" s="9"/>
      <c r="EK78" s="8"/>
      <c r="EL78" s="8"/>
      <c r="EM78" s="8"/>
      <c r="EN78" s="8"/>
      <c r="EO78" s="8"/>
      <c r="EP78" s="8"/>
      <c r="EQ78" s="8"/>
      <c r="ER78" s="8"/>
      <c r="ES78" s="8"/>
      <c r="ET78" s="9"/>
      <c r="EU78" s="9"/>
      <c r="EV78" s="9"/>
      <c r="EW78" s="9"/>
      <c r="EX78" s="9"/>
      <c r="EY78" s="9"/>
      <c r="EZ78" s="9"/>
      <c r="FA78" s="9"/>
      <c r="FB78" s="8"/>
      <c r="FC78" s="8"/>
      <c r="FD78" s="8"/>
      <c r="FE78" s="8"/>
      <c r="FF78" s="9"/>
      <c r="FG78" s="9"/>
      <c r="FH78" s="9"/>
      <c r="FI78" s="9"/>
      <c r="FJ78" s="9"/>
      <c r="FK78" s="9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9"/>
      <c r="GA78" s="9"/>
      <c r="GB78" s="9"/>
      <c r="GC78" s="9"/>
      <c r="GD78" s="9"/>
      <c r="GE78" s="9"/>
      <c r="GF78" s="9"/>
      <c r="GG78" s="9"/>
      <c r="GH78" s="9"/>
      <c r="GI78" s="9"/>
    </row>
    <row r="79" spans="1:191" ht="15" customHeight="1" x14ac:dyDescent="0.25">
      <c r="A79" s="345">
        <v>544554600571</v>
      </c>
      <c r="B79" s="10">
        <f t="shared" si="4"/>
        <v>0</v>
      </c>
      <c r="C79" s="10">
        <v>0</v>
      </c>
      <c r="D79" s="10" t="b">
        <f t="shared" si="5"/>
        <v>1</v>
      </c>
      <c r="E79" s="10">
        <f t="shared" si="6"/>
        <v>0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9"/>
      <c r="Z79" s="8"/>
      <c r="AA79" s="8"/>
      <c r="AB79" s="8"/>
      <c r="AC79" s="8"/>
      <c r="AD79" s="8"/>
      <c r="AE79" s="9"/>
      <c r="AF79" s="9"/>
      <c r="AG79" s="9"/>
      <c r="AH79" s="9"/>
      <c r="AI79" s="9"/>
      <c r="AJ79" s="8"/>
      <c r="AK79" s="8"/>
      <c r="AL79" s="8"/>
      <c r="AM79" s="8"/>
      <c r="AN79" s="8"/>
      <c r="AO79" s="9"/>
      <c r="AP79" s="9"/>
      <c r="AQ79" s="9"/>
      <c r="AR79" s="9"/>
      <c r="AS79" s="9"/>
      <c r="AT79" s="8"/>
      <c r="AU79" s="8"/>
      <c r="AV79" s="8"/>
      <c r="AW79" s="8"/>
      <c r="AX79" s="8"/>
      <c r="AY79" s="8"/>
      <c r="AZ79" s="9"/>
      <c r="BA79" s="9"/>
      <c r="BB79" s="9"/>
      <c r="BC79" s="9"/>
      <c r="BD79" s="9"/>
      <c r="BE79" s="9"/>
      <c r="BF79" s="9"/>
      <c r="BG79" s="8"/>
      <c r="BH79" s="8"/>
      <c r="BI79" s="8"/>
      <c r="BJ79" s="8"/>
      <c r="BK79" s="8"/>
      <c r="BL79" s="8"/>
      <c r="BM79" s="9"/>
      <c r="BN79" s="9"/>
      <c r="BO79" s="9"/>
      <c r="BP79" s="9"/>
      <c r="BQ79" s="9"/>
      <c r="BR79" s="8"/>
      <c r="BS79" s="8"/>
      <c r="BT79" s="8"/>
      <c r="BU79" s="8"/>
      <c r="BV79" s="8"/>
      <c r="BW79" s="8"/>
      <c r="BX79" s="8"/>
      <c r="BY79" s="8"/>
      <c r="BZ79" s="9"/>
      <c r="CA79" s="9"/>
      <c r="CB79" s="9"/>
      <c r="CC79" s="9"/>
      <c r="CD79" s="9"/>
      <c r="CE79" s="8"/>
      <c r="CF79" s="8"/>
      <c r="CG79" s="8"/>
      <c r="CH79" s="8"/>
      <c r="CI79" s="8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8"/>
      <c r="CX79" s="8"/>
      <c r="CY79" s="8"/>
      <c r="CZ79" s="8"/>
      <c r="DA79" s="8"/>
      <c r="DB79" s="9"/>
      <c r="DC79" s="9"/>
      <c r="DD79" s="9"/>
      <c r="DE79" s="9"/>
      <c r="DF79" s="9"/>
      <c r="DG79" s="9"/>
      <c r="DH79" s="9"/>
      <c r="DI79" s="8"/>
      <c r="DJ79" s="8"/>
      <c r="DK79" s="8"/>
      <c r="DL79" s="8"/>
      <c r="DM79" s="8"/>
      <c r="DN79" s="8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8"/>
      <c r="DZ79" s="8"/>
      <c r="EA79" s="8"/>
      <c r="EB79" s="8"/>
      <c r="EC79" s="8"/>
      <c r="ED79" s="9"/>
      <c r="EE79" s="9"/>
      <c r="EF79" s="9"/>
      <c r="EG79" s="9"/>
      <c r="EH79" s="9"/>
      <c r="EI79" s="9"/>
      <c r="EJ79" s="9"/>
      <c r="EK79" s="8"/>
      <c r="EL79" s="8"/>
      <c r="EM79" s="8"/>
      <c r="EN79" s="8"/>
      <c r="EO79" s="8"/>
      <c r="EP79" s="8"/>
      <c r="EQ79" s="8"/>
      <c r="ER79" s="8"/>
      <c r="ES79" s="8"/>
      <c r="ET79" s="9"/>
      <c r="EU79" s="9"/>
      <c r="EV79" s="9"/>
      <c r="EW79" s="9"/>
      <c r="EX79" s="9"/>
      <c r="EY79" s="9"/>
      <c r="EZ79" s="9"/>
      <c r="FA79" s="9"/>
      <c r="FB79" s="8"/>
      <c r="FC79" s="8"/>
      <c r="FD79" s="8"/>
      <c r="FE79" s="8"/>
      <c r="FF79" s="9"/>
      <c r="FG79" s="9"/>
      <c r="FH79" s="9"/>
      <c r="FI79" s="9"/>
      <c r="FJ79" s="9"/>
      <c r="FK79" s="9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9"/>
      <c r="GA79" s="9"/>
      <c r="GB79" s="9"/>
      <c r="GC79" s="9"/>
      <c r="GD79" s="9"/>
      <c r="GE79" s="9"/>
      <c r="GF79" s="9"/>
      <c r="GG79" s="9"/>
      <c r="GH79" s="9"/>
      <c r="GI79" s="9"/>
    </row>
    <row r="80" spans="1:191" ht="15" customHeight="1" x14ac:dyDescent="0.25">
      <c r="A80" s="345">
        <v>544554600572</v>
      </c>
      <c r="B80" s="10">
        <f t="shared" si="4"/>
        <v>0</v>
      </c>
      <c r="C80" s="10">
        <v>0</v>
      </c>
      <c r="D80" s="10" t="b">
        <f t="shared" si="5"/>
        <v>1</v>
      </c>
      <c r="E80" s="10">
        <f t="shared" si="6"/>
        <v>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9"/>
      <c r="Z80" s="8"/>
      <c r="AA80" s="8"/>
      <c r="AB80" s="8"/>
      <c r="AC80" s="8"/>
      <c r="AD80" s="8"/>
      <c r="AE80" s="9"/>
      <c r="AF80" s="9"/>
      <c r="AG80" s="9"/>
      <c r="AH80" s="9"/>
      <c r="AI80" s="9"/>
      <c r="AJ80" s="8"/>
      <c r="AK80" s="8"/>
      <c r="AL80" s="8"/>
      <c r="AM80" s="8"/>
      <c r="AN80" s="8"/>
      <c r="AO80" s="9"/>
      <c r="AP80" s="9"/>
      <c r="AQ80" s="9"/>
      <c r="AR80" s="9"/>
      <c r="AS80" s="9"/>
      <c r="AT80" s="8"/>
      <c r="AU80" s="8"/>
      <c r="AV80" s="8"/>
      <c r="AW80" s="8"/>
      <c r="AX80" s="8"/>
      <c r="AY80" s="8"/>
      <c r="AZ80" s="9"/>
      <c r="BA80" s="9"/>
      <c r="BB80" s="9"/>
      <c r="BC80" s="9"/>
      <c r="BD80" s="9"/>
      <c r="BE80" s="9"/>
      <c r="BF80" s="9"/>
      <c r="BG80" s="8"/>
      <c r="BH80" s="8"/>
      <c r="BI80" s="8"/>
      <c r="BJ80" s="8"/>
      <c r="BK80" s="8"/>
      <c r="BL80" s="8"/>
      <c r="BM80" s="9"/>
      <c r="BN80" s="9"/>
      <c r="BO80" s="9"/>
      <c r="BP80" s="9"/>
      <c r="BQ80" s="9"/>
      <c r="BR80" s="8"/>
      <c r="BS80" s="8"/>
      <c r="BT80" s="8"/>
      <c r="BU80" s="8"/>
      <c r="BV80" s="8"/>
      <c r="BW80" s="8"/>
      <c r="BX80" s="8"/>
      <c r="BY80" s="8"/>
      <c r="BZ80" s="9"/>
      <c r="CA80" s="9"/>
      <c r="CB80" s="9"/>
      <c r="CC80" s="9"/>
      <c r="CD80" s="9"/>
      <c r="CE80" s="8"/>
      <c r="CF80" s="8"/>
      <c r="CG80" s="8"/>
      <c r="CH80" s="8"/>
      <c r="CI80" s="8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8"/>
      <c r="CX80" s="8"/>
      <c r="CY80" s="8"/>
      <c r="CZ80" s="8"/>
      <c r="DA80" s="8"/>
      <c r="DB80" s="9"/>
      <c r="DC80" s="9"/>
      <c r="DD80" s="9"/>
      <c r="DE80" s="9"/>
      <c r="DF80" s="9"/>
      <c r="DG80" s="9"/>
      <c r="DH80" s="9"/>
      <c r="DI80" s="8"/>
      <c r="DJ80" s="8"/>
      <c r="DK80" s="8"/>
      <c r="DL80" s="8"/>
      <c r="DM80" s="8"/>
      <c r="DN80" s="8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8"/>
      <c r="DZ80" s="8"/>
      <c r="EA80" s="8"/>
      <c r="EB80" s="8"/>
      <c r="EC80" s="8"/>
      <c r="ED80" s="9"/>
      <c r="EE80" s="9"/>
      <c r="EF80" s="9"/>
      <c r="EG80" s="9"/>
      <c r="EH80" s="9"/>
      <c r="EI80" s="9"/>
      <c r="EJ80" s="9"/>
      <c r="EK80" s="8"/>
      <c r="EL80" s="8"/>
      <c r="EM80" s="8"/>
      <c r="EN80" s="8"/>
      <c r="EO80" s="8"/>
      <c r="EP80" s="8"/>
      <c r="EQ80" s="8"/>
      <c r="ER80" s="8"/>
      <c r="ES80" s="8"/>
      <c r="ET80" s="9"/>
      <c r="EU80" s="9"/>
      <c r="EV80" s="9"/>
      <c r="EW80" s="9"/>
      <c r="EX80" s="9"/>
      <c r="EY80" s="9"/>
      <c r="EZ80" s="9"/>
      <c r="FA80" s="9"/>
      <c r="FB80" s="8"/>
      <c r="FC80" s="8"/>
      <c r="FD80" s="8"/>
      <c r="FE80" s="8"/>
      <c r="FF80" s="9"/>
      <c r="FG80" s="9"/>
      <c r="FH80" s="9"/>
      <c r="FI80" s="9"/>
      <c r="FJ80" s="9"/>
      <c r="FK80" s="9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9"/>
      <c r="GA80" s="9"/>
      <c r="GB80" s="9"/>
      <c r="GC80" s="9"/>
      <c r="GD80" s="9"/>
      <c r="GE80" s="9"/>
      <c r="GF80" s="9"/>
      <c r="GG80" s="9"/>
      <c r="GH80" s="9"/>
      <c r="GI80" s="9"/>
    </row>
    <row r="81" spans="1:191" ht="15" customHeight="1" x14ac:dyDescent="0.25">
      <c r="A81" s="348">
        <v>544254630611</v>
      </c>
      <c r="B81" s="10">
        <f t="shared" si="4"/>
        <v>0</v>
      </c>
      <c r="C81" s="10">
        <v>0</v>
      </c>
      <c r="D81" s="10" t="b">
        <f t="shared" si="5"/>
        <v>1</v>
      </c>
      <c r="E81" s="10">
        <f t="shared" si="6"/>
        <v>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9"/>
      <c r="Z81" s="8"/>
      <c r="AA81" s="8"/>
      <c r="AB81" s="8"/>
      <c r="AC81" s="8"/>
      <c r="AD81" s="8"/>
      <c r="AE81" s="9"/>
      <c r="AF81" s="9"/>
      <c r="AG81" s="9"/>
      <c r="AH81" s="9"/>
      <c r="AI81" s="9"/>
      <c r="AJ81" s="8"/>
      <c r="AK81" s="8"/>
      <c r="AL81" s="8"/>
      <c r="AM81" s="8"/>
      <c r="AN81" s="8"/>
      <c r="AO81" s="9"/>
      <c r="AP81" s="9"/>
      <c r="AQ81" s="9"/>
      <c r="AR81" s="9"/>
      <c r="AS81" s="9"/>
      <c r="AT81" s="8"/>
      <c r="AU81" s="8"/>
      <c r="AV81" s="8"/>
      <c r="AW81" s="8"/>
      <c r="AX81" s="8"/>
      <c r="AY81" s="8"/>
      <c r="AZ81" s="9"/>
      <c r="BA81" s="9"/>
      <c r="BB81" s="9"/>
      <c r="BC81" s="9"/>
      <c r="BD81" s="9"/>
      <c r="BE81" s="9"/>
      <c r="BF81" s="9"/>
      <c r="BG81" s="8"/>
      <c r="BH81" s="8"/>
      <c r="BI81" s="8"/>
      <c r="BJ81" s="8"/>
      <c r="BK81" s="8"/>
      <c r="BL81" s="8"/>
      <c r="BM81" s="9"/>
      <c r="BN81" s="9"/>
      <c r="BO81" s="9"/>
      <c r="BP81" s="9"/>
      <c r="BQ81" s="9"/>
      <c r="BR81" s="8"/>
      <c r="BS81" s="8"/>
      <c r="BT81" s="8"/>
      <c r="BU81" s="8"/>
      <c r="BV81" s="8"/>
      <c r="BW81" s="8"/>
      <c r="BX81" s="8"/>
      <c r="BY81" s="8"/>
      <c r="BZ81" s="9"/>
      <c r="CA81" s="9"/>
      <c r="CB81" s="9"/>
      <c r="CC81" s="9"/>
      <c r="CD81" s="9"/>
      <c r="CE81" s="8"/>
      <c r="CF81" s="8"/>
      <c r="CG81" s="8"/>
      <c r="CH81" s="8"/>
      <c r="CI81" s="8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8"/>
      <c r="CX81" s="8"/>
      <c r="CY81" s="8"/>
      <c r="CZ81" s="8"/>
      <c r="DA81" s="8"/>
      <c r="DB81" s="9"/>
      <c r="DC81" s="9"/>
      <c r="DD81" s="9"/>
      <c r="DE81" s="9"/>
      <c r="DF81" s="9"/>
      <c r="DG81" s="9"/>
      <c r="DH81" s="9"/>
      <c r="DI81" s="8"/>
      <c r="DJ81" s="8"/>
      <c r="DK81" s="8"/>
      <c r="DL81" s="8"/>
      <c r="DM81" s="8"/>
      <c r="DN81" s="8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8"/>
      <c r="DZ81" s="8"/>
      <c r="EA81" s="8"/>
      <c r="EB81" s="8"/>
      <c r="EC81" s="8"/>
      <c r="ED81" s="9"/>
      <c r="EE81" s="9"/>
      <c r="EF81" s="9"/>
      <c r="EG81" s="9"/>
      <c r="EH81" s="9"/>
      <c r="EI81" s="9"/>
      <c r="EJ81" s="9"/>
      <c r="EK81" s="8"/>
      <c r="EL81" s="8"/>
      <c r="EM81" s="8"/>
      <c r="EN81" s="8"/>
      <c r="EO81" s="8"/>
      <c r="EP81" s="8"/>
      <c r="EQ81" s="8"/>
      <c r="ER81" s="8"/>
      <c r="ES81" s="8"/>
      <c r="ET81" s="9"/>
      <c r="EU81" s="9"/>
      <c r="EV81" s="9"/>
      <c r="EW81" s="9"/>
      <c r="EX81" s="9"/>
      <c r="EY81" s="9"/>
      <c r="EZ81" s="9"/>
      <c r="FA81" s="9"/>
      <c r="FB81" s="8"/>
      <c r="FC81" s="8"/>
      <c r="FD81" s="8"/>
      <c r="FE81" s="8"/>
      <c r="FF81" s="9"/>
      <c r="FG81" s="9"/>
      <c r="FH81" s="9"/>
      <c r="FI81" s="9"/>
      <c r="FJ81" s="9"/>
      <c r="FK81" s="9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9"/>
      <c r="GA81" s="9"/>
      <c r="GB81" s="9"/>
      <c r="GC81" s="9"/>
      <c r="GD81" s="9"/>
      <c r="GE81" s="9"/>
      <c r="GF81" s="9"/>
      <c r="GG81" s="9"/>
      <c r="GH81" s="9"/>
      <c r="GI81" s="9"/>
    </row>
    <row r="82" spans="1:191" ht="15" customHeight="1" x14ac:dyDescent="0.25">
      <c r="A82" s="348">
        <v>544254630601</v>
      </c>
      <c r="B82" s="10">
        <f t="shared" si="4"/>
        <v>0</v>
      </c>
      <c r="C82" s="10">
        <v>0</v>
      </c>
      <c r="D82" s="10" t="b">
        <f t="shared" si="5"/>
        <v>1</v>
      </c>
      <c r="E82" s="10">
        <f t="shared" si="6"/>
        <v>0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9"/>
      <c r="Z82" s="8"/>
      <c r="AA82" s="8"/>
      <c r="AB82" s="8"/>
      <c r="AC82" s="8"/>
      <c r="AD82" s="8"/>
      <c r="AE82" s="9"/>
      <c r="AF82" s="9"/>
      <c r="AG82" s="9"/>
      <c r="AH82" s="9"/>
      <c r="AI82" s="9"/>
      <c r="AJ82" s="8"/>
      <c r="AK82" s="8"/>
      <c r="AL82" s="8"/>
      <c r="AM82" s="8"/>
      <c r="AN82" s="8"/>
      <c r="AO82" s="9"/>
      <c r="AP82" s="9"/>
      <c r="AQ82" s="9"/>
      <c r="AR82" s="9"/>
      <c r="AS82" s="9"/>
      <c r="AT82" s="8"/>
      <c r="AU82" s="8"/>
      <c r="AV82" s="8"/>
      <c r="AW82" s="8"/>
      <c r="AX82" s="8"/>
      <c r="AY82" s="8"/>
      <c r="AZ82" s="9"/>
      <c r="BA82" s="9"/>
      <c r="BB82" s="9"/>
      <c r="BC82" s="9"/>
      <c r="BD82" s="9"/>
      <c r="BE82" s="9"/>
      <c r="BF82" s="9"/>
      <c r="BG82" s="8"/>
      <c r="BH82" s="8"/>
      <c r="BI82" s="8"/>
      <c r="BJ82" s="8"/>
      <c r="BK82" s="8"/>
      <c r="BL82" s="8"/>
      <c r="BM82" s="9"/>
      <c r="BN82" s="9"/>
      <c r="BO82" s="9"/>
      <c r="BP82" s="9"/>
      <c r="BQ82" s="9"/>
      <c r="BR82" s="8"/>
      <c r="BS82" s="8"/>
      <c r="BT82" s="8"/>
      <c r="BU82" s="8"/>
      <c r="BV82" s="8"/>
      <c r="BW82" s="8"/>
      <c r="BX82" s="8"/>
      <c r="BY82" s="8"/>
      <c r="BZ82" s="9"/>
      <c r="CA82" s="9"/>
      <c r="CB82" s="9"/>
      <c r="CC82" s="9"/>
      <c r="CD82" s="9"/>
      <c r="CE82" s="8"/>
      <c r="CF82" s="8"/>
      <c r="CG82" s="8"/>
      <c r="CH82" s="8"/>
      <c r="CI82" s="8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8"/>
      <c r="CX82" s="8"/>
      <c r="CY82" s="8"/>
      <c r="CZ82" s="8"/>
      <c r="DA82" s="8"/>
      <c r="DB82" s="9"/>
      <c r="DC82" s="9"/>
      <c r="DD82" s="9"/>
      <c r="DE82" s="9"/>
      <c r="DF82" s="9"/>
      <c r="DG82" s="9"/>
      <c r="DH82" s="9"/>
      <c r="DI82" s="8"/>
      <c r="DJ82" s="8"/>
      <c r="DK82" s="8"/>
      <c r="DL82" s="8"/>
      <c r="DM82" s="8"/>
      <c r="DN82" s="8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8"/>
      <c r="DZ82" s="8"/>
      <c r="EA82" s="8"/>
      <c r="EB82" s="8"/>
      <c r="EC82" s="8"/>
      <c r="ED82" s="9"/>
      <c r="EE82" s="9"/>
      <c r="EF82" s="9"/>
      <c r="EG82" s="9"/>
      <c r="EH82" s="9"/>
      <c r="EI82" s="9"/>
      <c r="EJ82" s="9"/>
      <c r="EK82" s="8"/>
      <c r="EL82" s="8"/>
      <c r="EM82" s="8"/>
      <c r="EN82" s="8"/>
      <c r="EO82" s="8"/>
      <c r="EP82" s="8"/>
      <c r="EQ82" s="8"/>
      <c r="ER82" s="8"/>
      <c r="ES82" s="8"/>
      <c r="ET82" s="9"/>
      <c r="EU82" s="9"/>
      <c r="EV82" s="9"/>
      <c r="EW82" s="9"/>
      <c r="EX82" s="9"/>
      <c r="EY82" s="9"/>
      <c r="EZ82" s="9"/>
      <c r="FA82" s="9"/>
      <c r="FB82" s="8"/>
      <c r="FC82" s="8"/>
      <c r="FD82" s="8"/>
      <c r="FE82" s="8"/>
      <c r="FF82" s="9"/>
      <c r="FG82" s="9"/>
      <c r="FH82" s="9"/>
      <c r="FI82" s="9"/>
      <c r="FJ82" s="9"/>
      <c r="FK82" s="9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9"/>
      <c r="GA82" s="9"/>
      <c r="GB82" s="9"/>
      <c r="GC82" s="9"/>
      <c r="GD82" s="9"/>
      <c r="GE82" s="9"/>
      <c r="GF82" s="9"/>
      <c r="GG82" s="9"/>
      <c r="GH82" s="9"/>
      <c r="GI82" s="9"/>
    </row>
    <row r="83" spans="1:191" ht="15" customHeight="1" x14ac:dyDescent="0.25">
      <c r="A83" s="348">
        <v>544254630705</v>
      </c>
      <c r="B83" s="10">
        <f t="shared" si="4"/>
        <v>0</v>
      </c>
      <c r="C83" s="10">
        <v>0</v>
      </c>
      <c r="D83" s="10" t="b">
        <f t="shared" si="5"/>
        <v>1</v>
      </c>
      <c r="E83" s="10">
        <f t="shared" si="6"/>
        <v>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9"/>
      <c r="Z83" s="8"/>
      <c r="AA83" s="8"/>
      <c r="AB83" s="8"/>
      <c r="AC83" s="8"/>
      <c r="AD83" s="8"/>
      <c r="AE83" s="9"/>
      <c r="AF83" s="9"/>
      <c r="AG83" s="9"/>
      <c r="AH83" s="9"/>
      <c r="AI83" s="9"/>
      <c r="AJ83" s="8"/>
      <c r="AK83" s="8"/>
      <c r="AL83" s="8"/>
      <c r="AM83" s="8"/>
      <c r="AN83" s="8"/>
      <c r="AO83" s="9"/>
      <c r="AP83" s="9"/>
      <c r="AQ83" s="9"/>
      <c r="AR83" s="9"/>
      <c r="AS83" s="9"/>
      <c r="AT83" s="8"/>
      <c r="AU83" s="8"/>
      <c r="AV83" s="8"/>
      <c r="AW83" s="8"/>
      <c r="AX83" s="8"/>
      <c r="AY83" s="8"/>
      <c r="AZ83" s="9"/>
      <c r="BA83" s="9"/>
      <c r="BB83" s="9"/>
      <c r="BC83" s="9"/>
      <c r="BD83" s="9"/>
      <c r="BE83" s="9"/>
      <c r="BF83" s="9"/>
      <c r="BG83" s="8"/>
      <c r="BH83" s="8"/>
      <c r="BI83" s="8"/>
      <c r="BJ83" s="8"/>
      <c r="BK83" s="8"/>
      <c r="BL83" s="8"/>
      <c r="BM83" s="9"/>
      <c r="BN83" s="9"/>
      <c r="BO83" s="9"/>
      <c r="BP83" s="9"/>
      <c r="BQ83" s="9"/>
      <c r="BR83" s="8"/>
      <c r="BS83" s="8"/>
      <c r="BT83" s="8"/>
      <c r="BU83" s="8"/>
      <c r="BV83" s="8"/>
      <c r="BW83" s="8"/>
      <c r="BX83" s="8"/>
      <c r="BY83" s="8"/>
      <c r="BZ83" s="9"/>
      <c r="CA83" s="9"/>
      <c r="CB83" s="9"/>
      <c r="CC83" s="9"/>
      <c r="CD83" s="9"/>
      <c r="CE83" s="8"/>
      <c r="CF83" s="8"/>
      <c r="CG83" s="8"/>
      <c r="CH83" s="8"/>
      <c r="CI83" s="8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8"/>
      <c r="CX83" s="8"/>
      <c r="CY83" s="8"/>
      <c r="CZ83" s="8"/>
      <c r="DA83" s="8"/>
      <c r="DB83" s="9"/>
      <c r="DC83" s="9"/>
      <c r="DD83" s="9"/>
      <c r="DE83" s="9"/>
      <c r="DF83" s="9"/>
      <c r="DG83" s="9"/>
      <c r="DH83" s="9"/>
      <c r="DI83" s="8"/>
      <c r="DJ83" s="8"/>
      <c r="DK83" s="8"/>
      <c r="DL83" s="8"/>
      <c r="DM83" s="8"/>
      <c r="DN83" s="8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8"/>
      <c r="DZ83" s="8"/>
      <c r="EA83" s="8"/>
      <c r="EB83" s="8"/>
      <c r="EC83" s="8"/>
      <c r="ED83" s="9"/>
      <c r="EE83" s="9"/>
      <c r="EF83" s="9"/>
      <c r="EG83" s="9"/>
      <c r="EH83" s="9"/>
      <c r="EI83" s="9"/>
      <c r="EJ83" s="9"/>
      <c r="EK83" s="8"/>
      <c r="EL83" s="8"/>
      <c r="EM83" s="8"/>
      <c r="EN83" s="8"/>
      <c r="EO83" s="8"/>
      <c r="EP83" s="8"/>
      <c r="EQ83" s="8"/>
      <c r="ER83" s="8"/>
      <c r="ES83" s="8"/>
      <c r="ET83" s="9"/>
      <c r="EU83" s="9"/>
      <c r="EV83" s="9"/>
      <c r="EW83" s="9"/>
      <c r="EX83" s="9"/>
      <c r="EY83" s="9"/>
      <c r="EZ83" s="9"/>
      <c r="FA83" s="9"/>
      <c r="FB83" s="8"/>
      <c r="FC83" s="8"/>
      <c r="FD83" s="8"/>
      <c r="FE83" s="8"/>
      <c r="FF83" s="9"/>
      <c r="FG83" s="9"/>
      <c r="FH83" s="9"/>
      <c r="FI83" s="9"/>
      <c r="FJ83" s="9"/>
      <c r="FK83" s="9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9"/>
      <c r="GA83" s="9"/>
      <c r="GB83" s="9"/>
      <c r="GC83" s="9"/>
      <c r="GD83" s="9"/>
      <c r="GE83" s="9"/>
      <c r="GF83" s="9"/>
      <c r="GG83" s="9"/>
      <c r="GH83" s="9"/>
      <c r="GI83" s="9"/>
    </row>
    <row r="84" spans="1:191" ht="15" customHeight="1" x14ac:dyDescent="0.25">
      <c r="A84" s="348">
        <v>544254630600</v>
      </c>
      <c r="B84" s="10">
        <f t="shared" si="4"/>
        <v>0</v>
      </c>
      <c r="C84" s="10">
        <v>0</v>
      </c>
      <c r="D84" s="10" t="b">
        <f t="shared" si="5"/>
        <v>1</v>
      </c>
      <c r="E84" s="10">
        <f t="shared" si="6"/>
        <v>0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9"/>
      <c r="Z84" s="8"/>
      <c r="AA84" s="8"/>
      <c r="AB84" s="8"/>
      <c r="AC84" s="8"/>
      <c r="AD84" s="8"/>
      <c r="AE84" s="9"/>
      <c r="AF84" s="9"/>
      <c r="AG84" s="9"/>
      <c r="AH84" s="9"/>
      <c r="AI84" s="9"/>
      <c r="AJ84" s="8"/>
      <c r="AK84" s="8"/>
      <c r="AL84" s="8"/>
      <c r="AM84" s="8"/>
      <c r="AN84" s="8"/>
      <c r="AO84" s="9"/>
      <c r="AP84" s="9"/>
      <c r="AQ84" s="9"/>
      <c r="AR84" s="9"/>
      <c r="AS84" s="9"/>
      <c r="AT84" s="8"/>
      <c r="AU84" s="8"/>
      <c r="AV84" s="8"/>
      <c r="AW84" s="8"/>
      <c r="AX84" s="8"/>
      <c r="AY84" s="8"/>
      <c r="AZ84" s="9"/>
      <c r="BA84" s="9"/>
      <c r="BB84" s="9"/>
      <c r="BC84" s="9"/>
      <c r="BD84" s="9"/>
      <c r="BE84" s="9"/>
      <c r="BF84" s="9"/>
      <c r="BG84" s="8"/>
      <c r="BH84" s="8"/>
      <c r="BI84" s="8"/>
      <c r="BJ84" s="8"/>
      <c r="BK84" s="8"/>
      <c r="BL84" s="8"/>
      <c r="BM84" s="9"/>
      <c r="BN84" s="9"/>
      <c r="BO84" s="9"/>
      <c r="BP84" s="9"/>
      <c r="BQ84" s="9"/>
      <c r="BR84" s="8"/>
      <c r="BS84" s="8"/>
      <c r="BT84" s="8"/>
      <c r="BU84" s="8"/>
      <c r="BV84" s="8"/>
      <c r="BW84" s="8"/>
      <c r="BX84" s="8"/>
      <c r="BY84" s="8"/>
      <c r="BZ84" s="9"/>
      <c r="CA84" s="9"/>
      <c r="CB84" s="9"/>
      <c r="CC84" s="9"/>
      <c r="CD84" s="9"/>
      <c r="CE84" s="8"/>
      <c r="CF84" s="8"/>
      <c r="CG84" s="8"/>
      <c r="CH84" s="8"/>
      <c r="CI84" s="8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8"/>
      <c r="CX84" s="8"/>
      <c r="CY84" s="8"/>
      <c r="CZ84" s="8"/>
      <c r="DA84" s="8"/>
      <c r="DB84" s="9"/>
      <c r="DC84" s="9"/>
      <c r="DD84" s="9"/>
      <c r="DE84" s="9"/>
      <c r="DF84" s="9"/>
      <c r="DG84" s="9"/>
      <c r="DH84" s="9"/>
      <c r="DI84" s="8"/>
      <c r="DJ84" s="8"/>
      <c r="DK84" s="8"/>
      <c r="DL84" s="8"/>
      <c r="DM84" s="8"/>
      <c r="DN84" s="8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8"/>
      <c r="DZ84" s="8"/>
      <c r="EA84" s="8"/>
      <c r="EB84" s="8"/>
      <c r="EC84" s="8"/>
      <c r="ED84" s="9"/>
      <c r="EE84" s="9"/>
      <c r="EF84" s="9"/>
      <c r="EG84" s="9"/>
      <c r="EH84" s="9"/>
      <c r="EI84" s="9"/>
      <c r="EJ84" s="9"/>
      <c r="EK84" s="8"/>
      <c r="EL84" s="8"/>
      <c r="EM84" s="8"/>
      <c r="EN84" s="8"/>
      <c r="EO84" s="8"/>
      <c r="EP84" s="8"/>
      <c r="EQ84" s="8"/>
      <c r="ER84" s="8"/>
      <c r="ES84" s="8"/>
      <c r="ET84" s="9"/>
      <c r="EU84" s="9"/>
      <c r="EV84" s="9"/>
      <c r="EW84" s="9"/>
      <c r="EX84" s="9"/>
      <c r="EY84" s="9"/>
      <c r="EZ84" s="9"/>
      <c r="FA84" s="9"/>
      <c r="FB84" s="8"/>
      <c r="FC84" s="8"/>
      <c r="FD84" s="8"/>
      <c r="FE84" s="8"/>
      <c r="FF84" s="9"/>
      <c r="FG84" s="9"/>
      <c r="FH84" s="9"/>
      <c r="FI84" s="9"/>
      <c r="FJ84" s="9"/>
      <c r="FK84" s="9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9"/>
      <c r="GA84" s="9"/>
      <c r="GB84" s="9"/>
      <c r="GC84" s="9"/>
      <c r="GD84" s="9"/>
      <c r="GE84" s="9"/>
      <c r="GF84" s="9"/>
      <c r="GG84" s="9"/>
      <c r="GH84" s="9"/>
      <c r="GI84" s="9"/>
    </row>
    <row r="85" spans="1:191" ht="15" customHeight="1" x14ac:dyDescent="0.25">
      <c r="A85" s="348">
        <v>544254630610</v>
      </c>
      <c r="B85" s="10">
        <f t="shared" si="4"/>
        <v>0</v>
      </c>
      <c r="C85" s="10">
        <v>0</v>
      </c>
      <c r="D85" s="10" t="b">
        <f t="shared" si="5"/>
        <v>1</v>
      </c>
      <c r="E85" s="10">
        <f t="shared" si="6"/>
        <v>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9"/>
      <c r="Z85" s="8"/>
      <c r="AA85" s="8"/>
      <c r="AB85" s="8"/>
      <c r="AC85" s="8"/>
      <c r="AD85" s="8"/>
      <c r="AE85" s="9"/>
      <c r="AF85" s="9"/>
      <c r="AG85" s="9"/>
      <c r="AH85" s="9"/>
      <c r="AI85" s="9"/>
      <c r="AJ85" s="8"/>
      <c r="AK85" s="9"/>
      <c r="AL85" s="8"/>
      <c r="AM85" s="8"/>
      <c r="AN85" s="8"/>
      <c r="AO85" s="9"/>
      <c r="AP85" s="9"/>
      <c r="AQ85" s="9"/>
      <c r="AR85" s="9"/>
      <c r="AS85" s="9"/>
      <c r="AT85" s="8"/>
      <c r="AU85" s="8"/>
      <c r="AV85" s="8"/>
      <c r="AW85" s="8"/>
      <c r="AX85" s="8"/>
      <c r="AY85" s="8"/>
      <c r="AZ85" s="9"/>
      <c r="BA85" s="9"/>
      <c r="BB85" s="9"/>
      <c r="BC85" s="9"/>
      <c r="BD85" s="9"/>
      <c r="BE85" s="9"/>
      <c r="BF85" s="9"/>
      <c r="BG85" s="8"/>
      <c r="BH85" s="8"/>
      <c r="BI85" s="8"/>
      <c r="BJ85" s="8"/>
      <c r="BK85" s="8"/>
      <c r="BL85" s="8"/>
      <c r="BM85" s="9"/>
      <c r="BN85" s="9"/>
      <c r="BO85" s="9"/>
      <c r="BP85" s="9"/>
      <c r="BQ85" s="9"/>
      <c r="BR85" s="8"/>
      <c r="BS85" s="8"/>
      <c r="BT85" s="8"/>
      <c r="BU85" s="8"/>
      <c r="BV85" s="8"/>
      <c r="BW85" s="8"/>
      <c r="BX85" s="8"/>
      <c r="BY85" s="8"/>
      <c r="BZ85" s="9"/>
      <c r="CA85" s="9"/>
      <c r="CB85" s="9"/>
      <c r="CC85" s="9"/>
      <c r="CD85" s="9"/>
      <c r="CE85" s="8"/>
      <c r="CF85" s="8"/>
      <c r="CG85" s="8"/>
      <c r="CH85" s="8"/>
      <c r="CI85" s="8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8"/>
      <c r="CX85" s="8"/>
      <c r="CY85" s="8"/>
      <c r="CZ85" s="8"/>
      <c r="DA85" s="8"/>
      <c r="DB85" s="9"/>
      <c r="DC85" s="9"/>
      <c r="DD85" s="9"/>
      <c r="DE85" s="9"/>
      <c r="DF85" s="9"/>
      <c r="DG85" s="9"/>
      <c r="DH85" s="9"/>
      <c r="DI85" s="8"/>
      <c r="DJ85" s="8"/>
      <c r="DK85" s="8"/>
      <c r="DL85" s="8"/>
      <c r="DM85" s="8"/>
      <c r="DN85" s="8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8"/>
      <c r="DZ85" s="8"/>
      <c r="EA85" s="8"/>
      <c r="EB85" s="8"/>
      <c r="EC85" s="8"/>
      <c r="ED85" s="9"/>
      <c r="EE85" s="9"/>
      <c r="EF85" s="9"/>
      <c r="EG85" s="9"/>
      <c r="EH85" s="9"/>
      <c r="EI85" s="9"/>
      <c r="EJ85" s="9"/>
      <c r="EK85" s="8"/>
      <c r="EL85" s="8"/>
      <c r="EM85" s="8"/>
      <c r="EN85" s="8"/>
      <c r="EO85" s="8"/>
      <c r="EP85" s="8"/>
      <c r="EQ85" s="8"/>
      <c r="ER85" s="8"/>
      <c r="ES85" s="8"/>
      <c r="ET85" s="9"/>
      <c r="EU85" s="9"/>
      <c r="EV85" s="9"/>
      <c r="EW85" s="9"/>
      <c r="EX85" s="9"/>
      <c r="EY85" s="9"/>
      <c r="EZ85" s="9"/>
      <c r="FA85" s="9"/>
      <c r="FB85" s="8"/>
      <c r="FC85" s="8"/>
      <c r="FD85" s="8"/>
      <c r="FE85" s="8"/>
      <c r="FF85" s="9"/>
      <c r="FG85" s="9"/>
      <c r="FH85" s="9"/>
      <c r="FI85" s="9"/>
      <c r="FJ85" s="9"/>
      <c r="FK85" s="9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9"/>
      <c r="GA85" s="9"/>
      <c r="GB85" s="9"/>
      <c r="GC85" s="9"/>
      <c r="GD85" s="9"/>
      <c r="GE85" s="9"/>
      <c r="GF85" s="9"/>
      <c r="GG85" s="9"/>
      <c r="GH85" s="9"/>
      <c r="GI85" s="9"/>
    </row>
    <row r="86" spans="1:191" ht="15" customHeight="1" x14ac:dyDescent="0.25">
      <c r="A86" s="348">
        <v>544254630703</v>
      </c>
      <c r="B86" s="10">
        <f t="shared" si="4"/>
        <v>0</v>
      </c>
      <c r="C86" s="10">
        <v>0</v>
      </c>
      <c r="D86" s="10" t="b">
        <f t="shared" si="5"/>
        <v>1</v>
      </c>
      <c r="E86" s="10">
        <f t="shared" si="6"/>
        <v>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9"/>
      <c r="Z86" s="8"/>
      <c r="AA86" s="8"/>
      <c r="AB86" s="8"/>
      <c r="AC86" s="8"/>
      <c r="AD86" s="8"/>
      <c r="AE86" s="9"/>
      <c r="AF86" s="9"/>
      <c r="AG86" s="9"/>
      <c r="AH86" s="9"/>
      <c r="AI86" s="9"/>
      <c r="AJ86" s="8"/>
      <c r="AK86" s="8"/>
      <c r="AL86" s="8"/>
      <c r="AM86" s="8"/>
      <c r="AN86" s="8"/>
      <c r="AO86" s="9"/>
      <c r="AP86" s="9"/>
      <c r="AQ86" s="9"/>
      <c r="AR86" s="9"/>
      <c r="AS86" s="9"/>
      <c r="AT86" s="8"/>
      <c r="AU86" s="8"/>
      <c r="AV86" s="8"/>
      <c r="AW86" s="8"/>
      <c r="AX86" s="8"/>
      <c r="AY86" s="8"/>
      <c r="AZ86" s="9"/>
      <c r="BA86" s="9"/>
      <c r="BB86" s="9"/>
      <c r="BC86" s="9"/>
      <c r="BD86" s="9"/>
      <c r="BE86" s="9"/>
      <c r="BF86" s="9"/>
      <c r="BG86" s="8"/>
      <c r="BH86" s="8"/>
      <c r="BI86" s="8"/>
      <c r="BJ86" s="8"/>
      <c r="BK86" s="8"/>
      <c r="BL86" s="8"/>
      <c r="BM86" s="9"/>
      <c r="BN86" s="9"/>
      <c r="BO86" s="9"/>
      <c r="BP86" s="9"/>
      <c r="BQ86" s="9"/>
      <c r="BR86" s="8"/>
      <c r="BS86" s="8"/>
      <c r="BT86" s="8"/>
      <c r="BU86" s="8"/>
      <c r="BV86" s="8"/>
      <c r="BW86" s="8"/>
      <c r="BX86" s="8"/>
      <c r="BY86" s="8"/>
      <c r="BZ86" s="9"/>
      <c r="CA86" s="9"/>
      <c r="CB86" s="9"/>
      <c r="CC86" s="9"/>
      <c r="CD86" s="9"/>
      <c r="CE86" s="8"/>
      <c r="CF86" s="8"/>
      <c r="CG86" s="8"/>
      <c r="CH86" s="8"/>
      <c r="CI86" s="8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8"/>
      <c r="CX86" s="8"/>
      <c r="CY86" s="8"/>
      <c r="CZ86" s="8"/>
      <c r="DA86" s="8"/>
      <c r="DB86" s="9"/>
      <c r="DC86" s="9"/>
      <c r="DD86" s="9"/>
      <c r="DE86" s="9"/>
      <c r="DF86" s="9"/>
      <c r="DG86" s="9"/>
      <c r="DH86" s="9"/>
      <c r="DI86" s="8"/>
      <c r="DJ86" s="8"/>
      <c r="DK86" s="8"/>
      <c r="DL86" s="8"/>
      <c r="DM86" s="8"/>
      <c r="DN86" s="8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8"/>
      <c r="DZ86" s="8"/>
      <c r="EA86" s="8"/>
      <c r="EB86" s="8"/>
      <c r="EC86" s="8"/>
      <c r="ED86" s="9"/>
      <c r="EE86" s="9"/>
      <c r="EF86" s="9"/>
      <c r="EG86" s="9"/>
      <c r="EH86" s="9"/>
      <c r="EI86" s="9"/>
      <c r="EJ86" s="9"/>
      <c r="EK86" s="8"/>
      <c r="EL86" s="8"/>
      <c r="EM86" s="8"/>
      <c r="EN86" s="8"/>
      <c r="EO86" s="8"/>
      <c r="EP86" s="8"/>
      <c r="EQ86" s="8"/>
      <c r="ER86" s="8"/>
      <c r="ES86" s="8"/>
      <c r="ET86" s="9"/>
      <c r="EU86" s="9"/>
      <c r="EV86" s="9"/>
      <c r="EW86" s="9"/>
      <c r="EX86" s="9"/>
      <c r="EY86" s="9"/>
      <c r="EZ86" s="9"/>
      <c r="FA86" s="9"/>
      <c r="FB86" s="8"/>
      <c r="FC86" s="8"/>
      <c r="FD86" s="8"/>
      <c r="FE86" s="8"/>
      <c r="FF86" s="9"/>
      <c r="FG86" s="9"/>
      <c r="FH86" s="9"/>
      <c r="FI86" s="9"/>
      <c r="FJ86" s="9"/>
      <c r="FK86" s="9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9"/>
      <c r="GA86" s="9"/>
      <c r="GB86" s="9"/>
      <c r="GC86" s="9"/>
      <c r="GD86" s="9"/>
      <c r="GE86" s="9"/>
      <c r="GF86" s="9"/>
      <c r="GG86" s="9"/>
      <c r="GH86" s="9"/>
      <c r="GI86" s="9"/>
    </row>
    <row r="87" spans="1:191" ht="15" customHeight="1" x14ac:dyDescent="0.25">
      <c r="A87" s="348">
        <v>544254630812</v>
      </c>
      <c r="B87" s="10">
        <f t="shared" si="4"/>
        <v>0</v>
      </c>
      <c r="C87" s="10">
        <v>0</v>
      </c>
      <c r="D87" s="10" t="b">
        <f t="shared" si="5"/>
        <v>1</v>
      </c>
      <c r="E87" s="10">
        <f t="shared" si="6"/>
        <v>0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9"/>
      <c r="Z87" s="8"/>
      <c r="AA87" s="8"/>
      <c r="AB87" s="8"/>
      <c r="AC87" s="8"/>
      <c r="AD87" s="8"/>
      <c r="AE87" s="9"/>
      <c r="AF87" s="9"/>
      <c r="AG87" s="9"/>
      <c r="AH87" s="9"/>
      <c r="AI87" s="9"/>
      <c r="AJ87" s="8"/>
      <c r="AK87" s="8"/>
      <c r="AL87" s="8"/>
      <c r="AM87" s="8"/>
      <c r="AN87" s="8"/>
      <c r="AO87" s="9"/>
      <c r="AP87" s="9"/>
      <c r="AQ87" s="9"/>
      <c r="AR87" s="9"/>
      <c r="AS87" s="9"/>
      <c r="AT87" s="8"/>
      <c r="AU87" s="8"/>
      <c r="AV87" s="8"/>
      <c r="AW87" s="8"/>
      <c r="AX87" s="8"/>
      <c r="AY87" s="8"/>
      <c r="AZ87" s="9"/>
      <c r="BA87" s="9"/>
      <c r="BB87" s="9"/>
      <c r="BC87" s="9"/>
      <c r="BD87" s="9"/>
      <c r="BE87" s="9"/>
      <c r="BF87" s="9"/>
      <c r="BG87" s="8"/>
      <c r="BH87" s="8"/>
      <c r="BI87" s="8"/>
      <c r="BJ87" s="8"/>
      <c r="BK87" s="8"/>
      <c r="BL87" s="8"/>
      <c r="BM87" s="9"/>
      <c r="BN87" s="9"/>
      <c r="BO87" s="9"/>
      <c r="BP87" s="9"/>
      <c r="BQ87" s="9"/>
      <c r="BR87" s="8"/>
      <c r="BS87" s="8"/>
      <c r="BT87" s="8"/>
      <c r="BU87" s="8"/>
      <c r="BV87" s="8"/>
      <c r="BW87" s="8"/>
      <c r="BX87" s="8"/>
      <c r="BY87" s="8"/>
      <c r="BZ87" s="9"/>
      <c r="CA87" s="9"/>
      <c r="CB87" s="9"/>
      <c r="CC87" s="9"/>
      <c r="CD87" s="9"/>
      <c r="CE87" s="8"/>
      <c r="CF87" s="8"/>
      <c r="CG87" s="8"/>
      <c r="CH87" s="8"/>
      <c r="CI87" s="8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8"/>
      <c r="CX87" s="8"/>
      <c r="CY87" s="8"/>
      <c r="CZ87" s="8"/>
      <c r="DA87" s="8"/>
      <c r="DB87" s="9"/>
      <c r="DC87" s="9"/>
      <c r="DD87" s="9"/>
      <c r="DE87" s="9"/>
      <c r="DF87" s="9"/>
      <c r="DG87" s="9"/>
      <c r="DH87" s="9"/>
      <c r="DI87" s="8"/>
      <c r="DJ87" s="8"/>
      <c r="DK87" s="8"/>
      <c r="DL87" s="8"/>
      <c r="DM87" s="8"/>
      <c r="DN87" s="8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8"/>
      <c r="DZ87" s="8"/>
      <c r="EA87" s="8"/>
      <c r="EB87" s="8"/>
      <c r="EC87" s="8"/>
      <c r="ED87" s="9"/>
      <c r="EE87" s="9"/>
      <c r="EF87" s="9"/>
      <c r="EG87" s="9"/>
      <c r="EH87" s="9"/>
      <c r="EI87" s="9"/>
      <c r="EJ87" s="9"/>
      <c r="EK87" s="8"/>
      <c r="EL87" s="8"/>
      <c r="EM87" s="8"/>
      <c r="EN87" s="8"/>
      <c r="EO87" s="8"/>
      <c r="EP87" s="8"/>
      <c r="EQ87" s="8"/>
      <c r="ER87" s="8"/>
      <c r="ES87" s="8"/>
      <c r="ET87" s="9"/>
      <c r="EU87" s="9"/>
      <c r="EV87" s="9"/>
      <c r="EW87" s="9"/>
      <c r="EX87" s="9"/>
      <c r="EY87" s="9"/>
      <c r="EZ87" s="9"/>
      <c r="FA87" s="9"/>
      <c r="FB87" s="8"/>
      <c r="FC87" s="8"/>
      <c r="FD87" s="8"/>
      <c r="FE87" s="8"/>
      <c r="FF87" s="9"/>
      <c r="FG87" s="9"/>
      <c r="FH87" s="9"/>
      <c r="FI87" s="9"/>
      <c r="FJ87" s="9"/>
      <c r="FK87" s="9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9"/>
      <c r="GA87" s="9"/>
      <c r="GB87" s="9"/>
      <c r="GC87" s="9"/>
      <c r="GD87" s="9"/>
      <c r="GE87" s="9"/>
      <c r="GF87" s="9"/>
      <c r="GG87" s="9"/>
      <c r="GH87" s="9"/>
      <c r="GI87" s="9"/>
    </row>
    <row r="88" spans="1:191" ht="15" customHeight="1" x14ac:dyDescent="0.25">
      <c r="A88" s="348">
        <v>544254630455</v>
      </c>
      <c r="B88" s="10">
        <f t="shared" si="4"/>
        <v>0</v>
      </c>
      <c r="C88" s="10">
        <v>0</v>
      </c>
      <c r="D88" s="10" t="b">
        <f t="shared" si="5"/>
        <v>1</v>
      </c>
      <c r="E88" s="10">
        <f t="shared" si="6"/>
        <v>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9"/>
      <c r="Z88" s="8"/>
      <c r="AA88" s="8"/>
      <c r="AB88" s="8"/>
      <c r="AC88" s="8"/>
      <c r="AD88" s="8"/>
      <c r="AE88" s="9"/>
      <c r="AF88" s="9"/>
      <c r="AG88" s="9"/>
      <c r="AH88" s="9"/>
      <c r="AI88" s="9"/>
      <c r="AJ88" s="8"/>
      <c r="AK88" s="8"/>
      <c r="AL88" s="8"/>
      <c r="AM88" s="8"/>
      <c r="AN88" s="8"/>
      <c r="AO88" s="9"/>
      <c r="AP88" s="9"/>
      <c r="AQ88" s="9"/>
      <c r="AR88" s="9"/>
      <c r="AS88" s="9"/>
      <c r="AT88" s="8"/>
      <c r="AU88" s="8"/>
      <c r="AV88" s="8"/>
      <c r="AW88" s="8"/>
      <c r="AX88" s="8"/>
      <c r="AY88" s="8"/>
      <c r="AZ88" s="9"/>
      <c r="BA88" s="9"/>
      <c r="BB88" s="9"/>
      <c r="BC88" s="9"/>
      <c r="BD88" s="9"/>
      <c r="BE88" s="9"/>
      <c r="BF88" s="9"/>
      <c r="BG88" s="8"/>
      <c r="BH88" s="8"/>
      <c r="BI88" s="8"/>
      <c r="BJ88" s="8"/>
      <c r="BK88" s="8"/>
      <c r="BL88" s="8"/>
      <c r="BM88" s="9"/>
      <c r="BN88" s="9"/>
      <c r="BO88" s="9"/>
      <c r="BP88" s="9"/>
      <c r="BQ88" s="9"/>
      <c r="BR88" s="8"/>
      <c r="BS88" s="8"/>
      <c r="BT88" s="8"/>
      <c r="BU88" s="8"/>
      <c r="BV88" s="8"/>
      <c r="BW88" s="8"/>
      <c r="BX88" s="8"/>
      <c r="BY88" s="8"/>
      <c r="BZ88" s="9"/>
      <c r="CA88" s="9"/>
      <c r="CB88" s="9"/>
      <c r="CC88" s="9"/>
      <c r="CD88" s="9"/>
      <c r="CE88" s="8"/>
      <c r="CF88" s="8"/>
      <c r="CG88" s="8"/>
      <c r="CH88" s="8"/>
      <c r="CI88" s="8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8"/>
      <c r="CX88" s="8"/>
      <c r="CY88" s="8"/>
      <c r="CZ88" s="8"/>
      <c r="DA88" s="8"/>
      <c r="DB88" s="9"/>
      <c r="DC88" s="9"/>
      <c r="DD88" s="9"/>
      <c r="DE88" s="9"/>
      <c r="DF88" s="9"/>
      <c r="DG88" s="9"/>
      <c r="DH88" s="9"/>
      <c r="DI88" s="8"/>
      <c r="DJ88" s="8"/>
      <c r="DK88" s="8"/>
      <c r="DL88" s="8"/>
      <c r="DM88" s="8"/>
      <c r="DN88" s="8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8"/>
      <c r="DZ88" s="8"/>
      <c r="EA88" s="8"/>
      <c r="EB88" s="8"/>
      <c r="EC88" s="8"/>
      <c r="ED88" s="9"/>
      <c r="EE88" s="9"/>
      <c r="EF88" s="9"/>
      <c r="EG88" s="9"/>
      <c r="EH88" s="9"/>
      <c r="EI88" s="9"/>
      <c r="EJ88" s="9"/>
      <c r="EK88" s="8"/>
      <c r="EL88" s="8"/>
      <c r="EM88" s="8"/>
      <c r="EN88" s="8"/>
      <c r="EO88" s="8"/>
      <c r="EP88" s="8"/>
      <c r="EQ88" s="8"/>
      <c r="ER88" s="8"/>
      <c r="ES88" s="8"/>
      <c r="ET88" s="9"/>
      <c r="EU88" s="9"/>
      <c r="EV88" s="9"/>
      <c r="EW88" s="9"/>
      <c r="EX88" s="9"/>
      <c r="EY88" s="9"/>
      <c r="EZ88" s="9"/>
      <c r="FA88" s="9"/>
      <c r="FB88" s="8"/>
      <c r="FC88" s="8"/>
      <c r="FD88" s="8"/>
      <c r="FE88" s="8"/>
      <c r="FF88" s="9"/>
      <c r="FG88" s="9"/>
      <c r="FH88" s="9"/>
      <c r="FI88" s="9"/>
      <c r="FJ88" s="9"/>
      <c r="FK88" s="9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9"/>
      <c r="GA88" s="9"/>
      <c r="GB88" s="9"/>
      <c r="GC88" s="9"/>
      <c r="GD88" s="9"/>
      <c r="GE88" s="9"/>
      <c r="GF88" s="9"/>
      <c r="GG88" s="9"/>
      <c r="GH88" s="9"/>
      <c r="GI88" s="9"/>
    </row>
    <row r="89" spans="1:191" ht="15" customHeight="1" x14ac:dyDescent="0.25">
      <c r="A89" s="348">
        <v>544254630811</v>
      </c>
      <c r="B89" s="10">
        <f t="shared" si="4"/>
        <v>0</v>
      </c>
      <c r="C89" s="10">
        <v>0</v>
      </c>
      <c r="D89" s="10" t="b">
        <f t="shared" si="5"/>
        <v>1</v>
      </c>
      <c r="E89" s="10">
        <f t="shared" si="6"/>
        <v>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9"/>
      <c r="Z89" s="8"/>
      <c r="AA89" s="8"/>
      <c r="AB89" s="8"/>
      <c r="AC89" s="8"/>
      <c r="AD89" s="8"/>
      <c r="AE89" s="9"/>
      <c r="AF89" s="9"/>
      <c r="AG89" s="9"/>
      <c r="AH89" s="9"/>
      <c r="AI89" s="9"/>
      <c r="AJ89" s="8"/>
      <c r="AK89" s="8"/>
      <c r="AL89" s="8"/>
      <c r="AM89" s="8"/>
      <c r="AN89" s="8"/>
      <c r="AO89" s="9"/>
      <c r="AP89" s="9"/>
      <c r="AQ89" s="9"/>
      <c r="AR89" s="9"/>
      <c r="AS89" s="9"/>
      <c r="AT89" s="8"/>
      <c r="AU89" s="8"/>
      <c r="AV89" s="8"/>
      <c r="AW89" s="8"/>
      <c r="AX89" s="8"/>
      <c r="AY89" s="8"/>
      <c r="AZ89" s="9"/>
      <c r="BA89" s="9"/>
      <c r="BB89" s="9"/>
      <c r="BC89" s="9"/>
      <c r="BD89" s="9"/>
      <c r="BE89" s="9"/>
      <c r="BF89" s="9"/>
      <c r="BG89" s="8"/>
      <c r="BH89" s="8"/>
      <c r="BI89" s="8"/>
      <c r="BJ89" s="8"/>
      <c r="BK89" s="8"/>
      <c r="BL89" s="8"/>
      <c r="BM89" s="9"/>
      <c r="BN89" s="9"/>
      <c r="BO89" s="9"/>
      <c r="BP89" s="9"/>
      <c r="BQ89" s="9"/>
      <c r="BR89" s="8"/>
      <c r="BS89" s="8"/>
      <c r="BT89" s="8"/>
      <c r="BU89" s="8"/>
      <c r="BV89" s="8"/>
      <c r="BW89" s="8"/>
      <c r="BX89" s="8"/>
      <c r="BY89" s="8"/>
      <c r="BZ89" s="9"/>
      <c r="CA89" s="9"/>
      <c r="CB89" s="9"/>
      <c r="CC89" s="9"/>
      <c r="CD89" s="9"/>
      <c r="CE89" s="8"/>
      <c r="CF89" s="8"/>
      <c r="CG89" s="8"/>
      <c r="CH89" s="8"/>
      <c r="CI89" s="8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8"/>
      <c r="CX89" s="8"/>
      <c r="CY89" s="8"/>
      <c r="CZ89" s="8"/>
      <c r="DA89" s="8"/>
      <c r="DB89" s="9"/>
      <c r="DC89" s="9"/>
      <c r="DD89" s="9"/>
      <c r="DE89" s="9"/>
      <c r="DF89" s="9"/>
      <c r="DG89" s="9"/>
      <c r="DH89" s="9"/>
      <c r="DI89" s="8"/>
      <c r="DJ89" s="8"/>
      <c r="DK89" s="8"/>
      <c r="DL89" s="8"/>
      <c r="DM89" s="8"/>
      <c r="DN89" s="8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8"/>
      <c r="DZ89" s="8"/>
      <c r="EA89" s="8"/>
      <c r="EB89" s="8"/>
      <c r="EC89" s="8"/>
      <c r="ED89" s="9"/>
      <c r="EE89" s="9"/>
      <c r="EF89" s="9"/>
      <c r="EG89" s="9"/>
      <c r="EH89" s="9"/>
      <c r="EI89" s="9"/>
      <c r="EJ89" s="9"/>
      <c r="EK89" s="8"/>
      <c r="EL89" s="8"/>
      <c r="EM89" s="8"/>
      <c r="EN89" s="8"/>
      <c r="EO89" s="8"/>
      <c r="EP89" s="8"/>
      <c r="EQ89" s="8"/>
      <c r="ER89" s="8"/>
      <c r="ES89" s="8"/>
      <c r="ET89" s="9"/>
      <c r="EU89" s="9"/>
      <c r="EV89" s="9"/>
      <c r="EW89" s="9"/>
      <c r="EX89" s="9"/>
      <c r="EY89" s="9"/>
      <c r="EZ89" s="9"/>
      <c r="FA89" s="9"/>
      <c r="FB89" s="8"/>
      <c r="FC89" s="8"/>
      <c r="FD89" s="8"/>
      <c r="FE89" s="8"/>
      <c r="FF89" s="9"/>
      <c r="FG89" s="9"/>
      <c r="FH89" s="9"/>
      <c r="FI89" s="9"/>
      <c r="FJ89" s="9"/>
      <c r="FK89" s="9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9"/>
      <c r="GA89" s="9"/>
      <c r="GB89" s="9"/>
      <c r="GC89" s="9"/>
      <c r="GD89" s="9"/>
      <c r="GE89" s="9"/>
      <c r="GF89" s="9"/>
      <c r="GG89" s="9"/>
      <c r="GH89" s="9"/>
      <c r="GI89" s="9"/>
    </row>
    <row r="90" spans="1:191" ht="15" customHeight="1" x14ac:dyDescent="0.25">
      <c r="A90" s="257">
        <v>544254630808</v>
      </c>
      <c r="B90" s="10">
        <f t="shared" si="4"/>
        <v>0</v>
      </c>
      <c r="C90" s="10">
        <v>0</v>
      </c>
      <c r="D90" s="10" t="b">
        <f t="shared" si="5"/>
        <v>1</v>
      </c>
      <c r="E90" s="10">
        <f t="shared" si="6"/>
        <v>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9"/>
      <c r="Z90" s="8"/>
      <c r="AA90" s="8"/>
      <c r="AB90" s="8"/>
      <c r="AC90" s="8"/>
      <c r="AD90" s="8"/>
      <c r="AE90" s="9"/>
      <c r="AF90" s="9"/>
      <c r="AG90" s="9"/>
      <c r="AH90" s="9"/>
      <c r="AI90" s="9"/>
      <c r="AJ90" s="8"/>
      <c r="AK90" s="8"/>
      <c r="AL90" s="8"/>
      <c r="AM90" s="8"/>
      <c r="AN90" s="8"/>
      <c r="AO90" s="9"/>
      <c r="AP90" s="9"/>
      <c r="AQ90" s="9"/>
      <c r="AR90" s="9"/>
      <c r="AS90" s="9"/>
      <c r="AT90" s="8"/>
      <c r="AU90" s="8"/>
      <c r="AV90" s="8"/>
      <c r="AW90" s="8"/>
      <c r="AX90" s="8"/>
      <c r="AY90" s="8"/>
      <c r="AZ90" s="9"/>
      <c r="BA90" s="9"/>
      <c r="BB90" s="9"/>
      <c r="BC90" s="9"/>
      <c r="BD90" s="9"/>
      <c r="BE90" s="9"/>
      <c r="BF90" s="9"/>
      <c r="BG90" s="8"/>
      <c r="BH90" s="8"/>
      <c r="BI90" s="8"/>
      <c r="BJ90" s="8"/>
      <c r="BK90" s="8"/>
      <c r="BL90" s="8"/>
      <c r="BM90" s="9"/>
      <c r="BN90" s="9"/>
      <c r="BO90" s="9"/>
      <c r="BP90" s="9"/>
      <c r="BQ90" s="9"/>
      <c r="BR90" s="8"/>
      <c r="BS90" s="8"/>
      <c r="BT90" s="8"/>
      <c r="BU90" s="8"/>
      <c r="BV90" s="8"/>
      <c r="BW90" s="8"/>
      <c r="BX90" s="8"/>
      <c r="BY90" s="8"/>
      <c r="BZ90" s="9"/>
      <c r="CA90" s="9"/>
      <c r="CB90" s="9"/>
      <c r="CC90" s="9"/>
      <c r="CD90" s="9"/>
      <c r="CE90" s="8"/>
      <c r="CF90" s="8"/>
      <c r="CG90" s="8"/>
      <c r="CH90" s="8"/>
      <c r="CI90" s="8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8"/>
      <c r="CX90" s="8"/>
      <c r="CY90" s="8"/>
      <c r="CZ90" s="8"/>
      <c r="DA90" s="8"/>
      <c r="DB90" s="9"/>
      <c r="DC90" s="9"/>
      <c r="DD90" s="9"/>
      <c r="DE90" s="9"/>
      <c r="DF90" s="9"/>
      <c r="DG90" s="9"/>
      <c r="DH90" s="9"/>
      <c r="DI90" s="8"/>
      <c r="DJ90" s="8"/>
      <c r="DK90" s="8"/>
      <c r="DL90" s="8"/>
      <c r="DM90" s="8"/>
      <c r="DN90" s="8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8"/>
      <c r="DZ90" s="8"/>
      <c r="EA90" s="8"/>
      <c r="EB90" s="8"/>
      <c r="EC90" s="8"/>
      <c r="ED90" s="9"/>
      <c r="EE90" s="9"/>
      <c r="EF90" s="9"/>
      <c r="EG90" s="9"/>
      <c r="EH90" s="9"/>
      <c r="EI90" s="9"/>
      <c r="EJ90" s="9"/>
      <c r="EK90" s="8"/>
      <c r="EL90" s="8"/>
      <c r="EM90" s="8"/>
      <c r="EN90" s="8"/>
      <c r="EO90" s="8"/>
      <c r="EP90" s="8"/>
      <c r="EQ90" s="8"/>
      <c r="ER90" s="8"/>
      <c r="ES90" s="8"/>
      <c r="ET90" s="9"/>
      <c r="EU90" s="9"/>
      <c r="EV90" s="9"/>
      <c r="EW90" s="9"/>
      <c r="EX90" s="9"/>
      <c r="EY90" s="9"/>
      <c r="EZ90" s="9"/>
      <c r="FA90" s="9"/>
      <c r="FB90" s="8"/>
      <c r="FC90" s="8"/>
      <c r="FD90" s="8"/>
      <c r="FE90" s="8"/>
      <c r="FF90" s="9"/>
      <c r="FG90" s="9"/>
      <c r="FH90" s="9"/>
      <c r="FI90" s="9"/>
      <c r="FJ90" s="9"/>
      <c r="FK90" s="9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9"/>
      <c r="GA90" s="9"/>
      <c r="GB90" s="9"/>
      <c r="GC90" s="9"/>
      <c r="GD90" s="9"/>
      <c r="GE90" s="9"/>
      <c r="GF90" s="9"/>
      <c r="GG90" s="9"/>
      <c r="GH90" s="9"/>
      <c r="GI90" s="9"/>
    </row>
    <row r="91" spans="1:191" ht="15" customHeight="1" x14ac:dyDescent="0.25">
      <c r="A91" s="257">
        <v>544254630810</v>
      </c>
      <c r="B91" s="10">
        <f t="shared" si="4"/>
        <v>0</v>
      </c>
      <c r="C91" s="10">
        <v>0</v>
      </c>
      <c r="D91" s="10" t="b">
        <f t="shared" si="5"/>
        <v>1</v>
      </c>
      <c r="E91" s="10">
        <f t="shared" si="6"/>
        <v>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9"/>
      <c r="Z91" s="8"/>
      <c r="AA91" s="8"/>
      <c r="AB91" s="8"/>
      <c r="AC91" s="8"/>
      <c r="AD91" s="8"/>
      <c r="AE91" s="9"/>
      <c r="AF91" s="9"/>
      <c r="AG91" s="9"/>
      <c r="AH91" s="9"/>
      <c r="AI91" s="9"/>
      <c r="AJ91" s="8"/>
      <c r="AK91" s="8"/>
      <c r="AL91" s="8"/>
      <c r="AM91" s="8"/>
      <c r="AN91" s="8"/>
      <c r="AO91" s="9"/>
      <c r="AP91" s="9"/>
      <c r="AQ91" s="9"/>
      <c r="AR91" s="9"/>
      <c r="AS91" s="9"/>
      <c r="AT91" s="8"/>
      <c r="AU91" s="8"/>
      <c r="AV91" s="8"/>
      <c r="AW91" s="8"/>
      <c r="AX91" s="8"/>
      <c r="AY91" s="8"/>
      <c r="AZ91" s="9"/>
      <c r="BA91" s="9"/>
      <c r="BB91" s="9"/>
      <c r="BC91" s="9"/>
      <c r="BD91" s="9"/>
      <c r="BE91" s="9"/>
      <c r="BF91" s="9"/>
      <c r="BG91" s="8"/>
      <c r="BH91" s="8"/>
      <c r="BI91" s="8"/>
      <c r="BJ91" s="8"/>
      <c r="BK91" s="8"/>
      <c r="BL91" s="8"/>
      <c r="BM91" s="9"/>
      <c r="BN91" s="9"/>
      <c r="BO91" s="9"/>
      <c r="BP91" s="9"/>
      <c r="BQ91" s="9"/>
      <c r="BR91" s="8"/>
      <c r="BS91" s="8"/>
      <c r="BT91" s="8"/>
      <c r="BU91" s="8"/>
      <c r="BV91" s="8"/>
      <c r="BW91" s="8"/>
      <c r="BX91" s="8"/>
      <c r="BY91" s="8"/>
      <c r="BZ91" s="9"/>
      <c r="CA91" s="9"/>
      <c r="CB91" s="9"/>
      <c r="CC91" s="9"/>
      <c r="CD91" s="9"/>
      <c r="CE91" s="8"/>
      <c r="CF91" s="8"/>
      <c r="CG91" s="8"/>
      <c r="CH91" s="8"/>
      <c r="CI91" s="8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8"/>
      <c r="CX91" s="8"/>
      <c r="CY91" s="8"/>
      <c r="CZ91" s="8"/>
      <c r="DA91" s="8"/>
      <c r="DB91" s="9"/>
      <c r="DC91" s="9"/>
      <c r="DD91" s="9"/>
      <c r="DE91" s="9"/>
      <c r="DF91" s="9"/>
      <c r="DG91" s="9"/>
      <c r="DH91" s="9"/>
      <c r="DI91" s="8"/>
      <c r="DJ91" s="8"/>
      <c r="DK91" s="8"/>
      <c r="DL91" s="8"/>
      <c r="DM91" s="8"/>
      <c r="DN91" s="8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8"/>
      <c r="DZ91" s="8"/>
      <c r="EA91" s="8"/>
      <c r="EB91" s="8"/>
      <c r="EC91" s="8"/>
      <c r="ED91" s="9"/>
      <c r="EE91" s="9"/>
      <c r="EF91" s="9"/>
      <c r="EG91" s="9"/>
      <c r="EH91" s="9"/>
      <c r="EI91" s="9"/>
      <c r="EJ91" s="9"/>
      <c r="EK91" s="8"/>
      <c r="EL91" s="8"/>
      <c r="EM91" s="8"/>
      <c r="EN91" s="8"/>
      <c r="EO91" s="8"/>
      <c r="EP91" s="8"/>
      <c r="EQ91" s="8"/>
      <c r="ER91" s="8"/>
      <c r="ES91" s="8"/>
      <c r="ET91" s="9"/>
      <c r="EU91" s="9"/>
      <c r="EV91" s="9"/>
      <c r="EW91" s="9"/>
      <c r="EX91" s="9"/>
      <c r="EY91" s="9"/>
      <c r="EZ91" s="9"/>
      <c r="FA91" s="9"/>
      <c r="FB91" s="8"/>
      <c r="FC91" s="8"/>
      <c r="FD91" s="8"/>
      <c r="FE91" s="8"/>
      <c r="FF91" s="9"/>
      <c r="FG91" s="9"/>
      <c r="FH91" s="9"/>
      <c r="FI91" s="9"/>
      <c r="FJ91" s="9"/>
      <c r="FK91" s="9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9"/>
      <c r="GA91" s="9"/>
      <c r="GB91" s="9"/>
      <c r="GC91" s="9"/>
      <c r="GD91" s="9"/>
      <c r="GE91" s="9"/>
      <c r="GF91" s="9"/>
      <c r="GG91" s="9"/>
      <c r="GH91" s="9"/>
      <c r="GI91" s="9"/>
    </row>
    <row r="92" spans="1:191" ht="15" customHeight="1" x14ac:dyDescent="0.25">
      <c r="A92" s="257">
        <v>544254630809</v>
      </c>
      <c r="B92" s="10">
        <f t="shared" si="4"/>
        <v>0</v>
      </c>
      <c r="C92" s="10">
        <v>0</v>
      </c>
      <c r="D92" s="10" t="b">
        <f t="shared" si="5"/>
        <v>1</v>
      </c>
      <c r="E92" s="10">
        <f t="shared" si="6"/>
        <v>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9"/>
      <c r="Z92" s="8"/>
      <c r="AA92" s="8"/>
      <c r="AB92" s="8"/>
      <c r="AC92" s="8"/>
      <c r="AD92" s="8"/>
      <c r="AE92" s="9"/>
      <c r="AF92" s="9"/>
      <c r="AG92" s="9"/>
      <c r="AH92" s="9"/>
      <c r="AI92" s="9"/>
      <c r="AJ92" s="8"/>
      <c r="AK92" s="8"/>
      <c r="AL92" s="8"/>
      <c r="AM92" s="8"/>
      <c r="AN92" s="8"/>
      <c r="AO92" s="9"/>
      <c r="AP92" s="9"/>
      <c r="AQ92" s="9"/>
      <c r="AR92" s="9"/>
      <c r="AS92" s="9"/>
      <c r="AT92" s="8"/>
      <c r="AU92" s="8"/>
      <c r="AV92" s="8"/>
      <c r="AW92" s="8"/>
      <c r="AX92" s="8"/>
      <c r="AY92" s="8"/>
      <c r="AZ92" s="9"/>
      <c r="BA92" s="9"/>
      <c r="BB92" s="9"/>
      <c r="BC92" s="9"/>
      <c r="BD92" s="9"/>
      <c r="BE92" s="9"/>
      <c r="BF92" s="9"/>
      <c r="BG92" s="8"/>
      <c r="BH92" s="8"/>
      <c r="BI92" s="8"/>
      <c r="BJ92" s="8"/>
      <c r="BK92" s="8"/>
      <c r="BL92" s="8"/>
      <c r="BM92" s="9"/>
      <c r="BN92" s="9"/>
      <c r="BO92" s="9"/>
      <c r="BP92" s="9"/>
      <c r="BQ92" s="9"/>
      <c r="BR92" s="8"/>
      <c r="BS92" s="8"/>
      <c r="BT92" s="8"/>
      <c r="BU92" s="8"/>
      <c r="BV92" s="8"/>
      <c r="BW92" s="8"/>
      <c r="BX92" s="8"/>
      <c r="BY92" s="8"/>
      <c r="BZ92" s="9"/>
      <c r="CA92" s="9"/>
      <c r="CB92" s="9"/>
      <c r="CC92" s="9"/>
      <c r="CD92" s="9"/>
      <c r="CE92" s="8"/>
      <c r="CF92" s="8"/>
      <c r="CG92" s="8"/>
      <c r="CH92" s="8"/>
      <c r="CI92" s="8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8"/>
      <c r="CX92" s="8"/>
      <c r="CY92" s="8"/>
      <c r="CZ92" s="8"/>
      <c r="DA92" s="8"/>
      <c r="DB92" s="9"/>
      <c r="DC92" s="9"/>
      <c r="DD92" s="9"/>
      <c r="DE92" s="9"/>
      <c r="DF92" s="9"/>
      <c r="DG92" s="9"/>
      <c r="DH92" s="9"/>
      <c r="DI92" s="8"/>
      <c r="DJ92" s="8"/>
      <c r="DK92" s="8"/>
      <c r="DL92" s="8"/>
      <c r="DM92" s="8"/>
      <c r="DN92" s="8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8"/>
      <c r="DZ92" s="8"/>
      <c r="EA92" s="8"/>
      <c r="EB92" s="8"/>
      <c r="EC92" s="8"/>
      <c r="ED92" s="9"/>
      <c r="EE92" s="9"/>
      <c r="EF92" s="9"/>
      <c r="EG92" s="9"/>
      <c r="EH92" s="9"/>
      <c r="EI92" s="9"/>
      <c r="EJ92" s="9"/>
      <c r="EK92" s="8"/>
      <c r="EL92" s="8"/>
      <c r="EM92" s="8"/>
      <c r="EN92" s="8"/>
      <c r="EO92" s="8"/>
      <c r="EP92" s="8"/>
      <c r="EQ92" s="8"/>
      <c r="ER92" s="8"/>
      <c r="ES92" s="8"/>
      <c r="ET92" s="9"/>
      <c r="EU92" s="9"/>
      <c r="EV92" s="9"/>
      <c r="EW92" s="9"/>
      <c r="EX92" s="9"/>
      <c r="EY92" s="9"/>
      <c r="EZ92" s="9"/>
      <c r="FA92" s="9"/>
      <c r="FB92" s="8"/>
      <c r="FC92" s="8"/>
      <c r="FD92" s="8"/>
      <c r="FE92" s="8"/>
      <c r="FF92" s="9"/>
      <c r="FG92" s="9"/>
      <c r="FH92" s="9"/>
      <c r="FI92" s="9"/>
      <c r="FJ92" s="9"/>
      <c r="FK92" s="9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9"/>
      <c r="GA92" s="9"/>
      <c r="GB92" s="9"/>
      <c r="GC92" s="9"/>
      <c r="GD92" s="9"/>
      <c r="GE92" s="9"/>
      <c r="GF92" s="9"/>
      <c r="GG92" s="9"/>
      <c r="GH92" s="9"/>
      <c r="GI92" s="9"/>
    </row>
    <row r="93" spans="1:191" ht="15" customHeight="1" x14ac:dyDescent="0.25">
      <c r="A93" s="349">
        <v>544554630373</v>
      </c>
      <c r="B93" s="10">
        <f t="shared" si="4"/>
        <v>0</v>
      </c>
      <c r="C93" s="10">
        <v>47</v>
      </c>
      <c r="D93" s="10" t="b">
        <f t="shared" si="5"/>
        <v>0</v>
      </c>
      <c r="E93" s="10">
        <f t="shared" si="6"/>
        <v>47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9"/>
      <c r="Z93" s="8"/>
      <c r="AA93" s="8"/>
      <c r="AB93" s="8"/>
      <c r="AC93" s="8"/>
      <c r="AD93" s="8"/>
      <c r="AE93" s="9"/>
      <c r="AF93" s="9"/>
      <c r="AG93" s="9"/>
      <c r="AH93" s="9"/>
      <c r="AI93" s="9"/>
      <c r="AJ93" s="8"/>
      <c r="AK93" s="8"/>
      <c r="AL93" s="8"/>
      <c r="AM93" s="8"/>
      <c r="AN93" s="8"/>
      <c r="AO93" s="9"/>
      <c r="AP93" s="9"/>
      <c r="AQ93" s="9"/>
      <c r="AR93" s="9"/>
      <c r="AS93" s="9"/>
      <c r="AT93" s="8"/>
      <c r="AU93" s="8"/>
      <c r="AV93" s="8"/>
      <c r="AW93" s="8"/>
      <c r="AX93" s="8"/>
      <c r="AY93" s="8"/>
      <c r="AZ93" s="9"/>
      <c r="BA93" s="9"/>
      <c r="BB93" s="9"/>
      <c r="BC93" s="9"/>
      <c r="BD93" s="9"/>
      <c r="BE93" s="9"/>
      <c r="BF93" s="9"/>
      <c r="BG93" s="8"/>
      <c r="BH93" s="8"/>
      <c r="BI93" s="8"/>
      <c r="BJ93" s="8"/>
      <c r="BK93" s="8"/>
      <c r="BL93" s="8"/>
      <c r="BM93" s="9"/>
      <c r="BN93" s="9"/>
      <c r="BO93" s="9"/>
      <c r="BP93" s="9"/>
      <c r="BQ93" s="9"/>
      <c r="BR93" s="8"/>
      <c r="BS93" s="8"/>
      <c r="BT93" s="8"/>
      <c r="BU93" s="8"/>
      <c r="BV93" s="8"/>
      <c r="BW93" s="8"/>
      <c r="BX93" s="8"/>
      <c r="BY93" s="8"/>
      <c r="BZ93" s="9"/>
      <c r="CA93" s="9"/>
      <c r="CB93" s="9"/>
      <c r="CC93" s="9"/>
      <c r="CD93" s="9"/>
      <c r="CE93" s="8"/>
      <c r="CF93" s="8"/>
      <c r="CG93" s="8"/>
      <c r="CH93" s="8"/>
      <c r="CI93" s="8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8"/>
      <c r="CX93" s="8"/>
      <c r="CY93" s="8"/>
      <c r="CZ93" s="8"/>
      <c r="DA93" s="8"/>
      <c r="DB93" s="9"/>
      <c r="DC93" s="9"/>
      <c r="DD93" s="9"/>
      <c r="DE93" s="9"/>
      <c r="DF93" s="9"/>
      <c r="DG93" s="9"/>
      <c r="DH93" s="9"/>
      <c r="DI93" s="8"/>
      <c r="DJ93" s="8"/>
      <c r="DK93" s="8"/>
      <c r="DL93" s="8"/>
      <c r="DM93" s="8"/>
      <c r="DN93" s="8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8"/>
      <c r="DZ93" s="8"/>
      <c r="EA93" s="8"/>
      <c r="EB93" s="8"/>
      <c r="EC93" s="8"/>
      <c r="ED93" s="9"/>
      <c r="EE93" s="9"/>
      <c r="EF93" s="9"/>
      <c r="EG93" s="9"/>
      <c r="EH93" s="9"/>
      <c r="EI93" s="9"/>
      <c r="EJ93" s="9"/>
      <c r="EK93" s="8"/>
      <c r="EL93" s="8"/>
      <c r="EM93" s="8"/>
      <c r="EN93" s="8"/>
      <c r="EO93" s="8"/>
      <c r="EP93" s="8"/>
      <c r="EQ93" s="8"/>
      <c r="ER93" s="8"/>
      <c r="ES93" s="8"/>
      <c r="ET93" s="9"/>
      <c r="EU93" s="9"/>
      <c r="EV93" s="9"/>
      <c r="EW93" s="9"/>
      <c r="EX93" s="9"/>
      <c r="EY93" s="9"/>
      <c r="EZ93" s="9"/>
      <c r="FA93" s="9"/>
      <c r="FB93" s="8"/>
      <c r="FC93" s="8"/>
      <c r="FD93" s="8"/>
      <c r="FE93" s="8"/>
      <c r="FF93" s="9"/>
      <c r="FG93" s="9"/>
      <c r="FH93" s="9"/>
      <c r="FI93" s="9"/>
      <c r="FJ93" s="9"/>
      <c r="FK93" s="9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9"/>
      <c r="GA93" s="9"/>
      <c r="GB93" s="9"/>
      <c r="GC93" s="9"/>
      <c r="GD93" s="9"/>
      <c r="GE93" s="9"/>
      <c r="GF93" s="9"/>
      <c r="GG93" s="9"/>
      <c r="GH93" s="9"/>
      <c r="GI93" s="9"/>
    </row>
    <row r="94" spans="1:191" ht="15" customHeight="1" x14ac:dyDescent="0.25">
      <c r="A94" s="349">
        <v>544554630380</v>
      </c>
      <c r="B94" s="10">
        <f t="shared" si="4"/>
        <v>0</v>
      </c>
      <c r="C94" s="10">
        <v>77</v>
      </c>
      <c r="D94" s="121" t="b">
        <f t="shared" si="5"/>
        <v>0</v>
      </c>
      <c r="E94" s="10">
        <f t="shared" si="6"/>
        <v>77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9"/>
      <c r="Z94" s="8"/>
      <c r="AA94" s="8"/>
      <c r="AB94" s="8"/>
      <c r="AC94" s="8"/>
      <c r="AD94" s="8"/>
      <c r="AE94" s="9"/>
      <c r="AF94" s="9"/>
      <c r="AG94" s="9"/>
      <c r="AH94" s="9"/>
      <c r="AI94" s="9"/>
      <c r="AJ94" s="8"/>
      <c r="AK94" s="8"/>
      <c r="AL94" s="8"/>
      <c r="AM94" s="8"/>
      <c r="AN94" s="8"/>
      <c r="AO94" s="9"/>
      <c r="AP94" s="9"/>
      <c r="AQ94" s="9"/>
      <c r="AR94" s="9"/>
      <c r="AS94" s="9"/>
      <c r="AT94" s="8"/>
      <c r="AU94" s="8"/>
      <c r="AV94" s="8"/>
      <c r="AW94" s="8"/>
      <c r="AX94" s="8"/>
      <c r="AY94" s="8"/>
      <c r="AZ94" s="9"/>
      <c r="BA94" s="9"/>
      <c r="BB94" s="9"/>
      <c r="BC94" s="9"/>
      <c r="BD94" s="9"/>
      <c r="BE94" s="9"/>
      <c r="BF94" s="9"/>
      <c r="BG94" s="8"/>
      <c r="BH94" s="8"/>
      <c r="BI94" s="8"/>
      <c r="BJ94" s="8"/>
      <c r="BK94" s="8"/>
      <c r="BL94" s="8"/>
      <c r="BM94" s="9"/>
      <c r="BN94" s="9"/>
      <c r="BO94" s="9"/>
      <c r="BP94" s="9"/>
      <c r="BQ94" s="9"/>
      <c r="BR94" s="8"/>
      <c r="BS94" s="8"/>
      <c r="BT94" s="8"/>
      <c r="BU94" s="8"/>
      <c r="BV94" s="8"/>
      <c r="BW94" s="8"/>
      <c r="BX94" s="8"/>
      <c r="BY94" s="8"/>
      <c r="BZ94" s="9"/>
      <c r="CA94" s="9"/>
      <c r="CB94" s="9"/>
      <c r="CC94" s="9"/>
      <c r="CD94" s="9"/>
      <c r="CE94" s="8"/>
      <c r="CF94" s="8"/>
      <c r="CG94" s="8"/>
      <c r="CH94" s="8"/>
      <c r="CI94" s="8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8"/>
      <c r="CX94" s="8"/>
      <c r="CY94" s="8"/>
      <c r="CZ94" s="8"/>
      <c r="DA94" s="8"/>
      <c r="DB94" s="9"/>
      <c r="DC94" s="9"/>
      <c r="DD94" s="9"/>
      <c r="DE94" s="9"/>
      <c r="DF94" s="9"/>
      <c r="DG94" s="9"/>
      <c r="DH94" s="9"/>
      <c r="DI94" s="8"/>
      <c r="DJ94" s="8"/>
      <c r="DK94" s="8"/>
      <c r="DL94" s="8"/>
      <c r="DM94" s="8"/>
      <c r="DN94" s="8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8"/>
      <c r="DZ94" s="8"/>
      <c r="EA94" s="8"/>
      <c r="EB94" s="8"/>
      <c r="EC94" s="8"/>
      <c r="ED94" s="9"/>
      <c r="EE94" s="9"/>
      <c r="EF94" s="9"/>
      <c r="EG94" s="9"/>
      <c r="EH94" s="9"/>
      <c r="EI94" s="9"/>
      <c r="EJ94" s="9"/>
      <c r="EK94" s="8"/>
      <c r="EL94" s="8"/>
      <c r="EM94" s="8"/>
      <c r="EN94" s="8"/>
      <c r="EO94" s="8"/>
      <c r="EP94" s="8"/>
      <c r="EQ94" s="8"/>
      <c r="ER94" s="8"/>
      <c r="ES94" s="8"/>
      <c r="ET94" s="9"/>
      <c r="EU94" s="9"/>
      <c r="EV94" s="9"/>
      <c r="EW94" s="9"/>
      <c r="EX94" s="9"/>
      <c r="EY94" s="9"/>
      <c r="EZ94" s="9"/>
      <c r="FA94" s="9"/>
      <c r="FB94" s="8"/>
      <c r="FC94" s="8"/>
      <c r="FD94" s="8"/>
      <c r="FE94" s="8"/>
      <c r="FF94" s="9"/>
      <c r="FG94" s="9"/>
      <c r="FH94" s="9"/>
      <c r="FI94" s="9"/>
      <c r="FJ94" s="9"/>
      <c r="FK94" s="9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9"/>
      <c r="GA94" s="9"/>
      <c r="GB94" s="9"/>
      <c r="GC94" s="9"/>
      <c r="GD94" s="9"/>
      <c r="GE94" s="9"/>
      <c r="GF94" s="9"/>
      <c r="GG94" s="9"/>
      <c r="GH94" s="9"/>
      <c r="GI94" s="9"/>
    </row>
    <row r="95" spans="1:191" ht="15" customHeight="1" x14ac:dyDescent="0.25">
      <c r="A95" s="349">
        <v>544554630379</v>
      </c>
      <c r="B95" s="10">
        <f t="shared" si="4"/>
        <v>0</v>
      </c>
      <c r="C95" s="10">
        <v>49</v>
      </c>
      <c r="D95" s="10" t="b">
        <f t="shared" si="5"/>
        <v>0</v>
      </c>
      <c r="E95" s="10">
        <f t="shared" si="6"/>
        <v>49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9"/>
      <c r="Z95" s="8"/>
      <c r="AA95" s="8"/>
      <c r="AB95" s="8"/>
      <c r="AC95" s="8"/>
      <c r="AD95" s="8"/>
      <c r="AE95" s="9"/>
      <c r="AF95" s="9"/>
      <c r="AG95" s="9"/>
      <c r="AH95" s="9"/>
      <c r="AI95" s="9"/>
      <c r="AJ95" s="8"/>
      <c r="AK95" s="8"/>
      <c r="AL95" s="8"/>
      <c r="AM95" s="8"/>
      <c r="AN95" s="8"/>
      <c r="AO95" s="9"/>
      <c r="AP95" s="9"/>
      <c r="AQ95" s="9"/>
      <c r="AR95" s="9"/>
      <c r="AS95" s="9"/>
      <c r="AT95" s="8"/>
      <c r="AU95" s="8"/>
      <c r="AV95" s="8"/>
      <c r="AW95" s="8"/>
      <c r="AX95" s="8"/>
      <c r="AY95" s="8"/>
      <c r="AZ95" s="9"/>
      <c r="BA95" s="9"/>
      <c r="BB95" s="9"/>
      <c r="BC95" s="9"/>
      <c r="BD95" s="9"/>
      <c r="BE95" s="9"/>
      <c r="BF95" s="9"/>
      <c r="BG95" s="8"/>
      <c r="BH95" s="8"/>
      <c r="BI95" s="8"/>
      <c r="BJ95" s="8"/>
      <c r="BK95" s="8"/>
      <c r="BL95" s="8"/>
      <c r="BM95" s="9"/>
      <c r="BN95" s="9"/>
      <c r="BO95" s="9"/>
      <c r="BP95" s="9"/>
      <c r="BQ95" s="9"/>
      <c r="BR95" s="8"/>
      <c r="BS95" s="8"/>
      <c r="BT95" s="8"/>
      <c r="BU95" s="8"/>
      <c r="BV95" s="8"/>
      <c r="BW95" s="8"/>
      <c r="BX95" s="8"/>
      <c r="BY95" s="8"/>
      <c r="BZ95" s="9"/>
      <c r="CA95" s="9"/>
      <c r="CB95" s="9"/>
      <c r="CC95" s="9"/>
      <c r="CD95" s="9"/>
      <c r="CE95" s="8"/>
      <c r="CF95" s="8"/>
      <c r="CG95" s="8"/>
      <c r="CH95" s="8"/>
      <c r="CI95" s="8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8"/>
      <c r="CX95" s="8"/>
      <c r="CY95" s="8"/>
      <c r="CZ95" s="8"/>
      <c r="DA95" s="8"/>
      <c r="DB95" s="9"/>
      <c r="DC95" s="9"/>
      <c r="DD95" s="9"/>
      <c r="DE95" s="9"/>
      <c r="DF95" s="9"/>
      <c r="DG95" s="9"/>
      <c r="DH95" s="9"/>
      <c r="DI95" s="8"/>
      <c r="DJ95" s="8"/>
      <c r="DK95" s="8"/>
      <c r="DL95" s="8"/>
      <c r="DM95" s="8"/>
      <c r="DN95" s="8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8"/>
      <c r="DZ95" s="8"/>
      <c r="EA95" s="8"/>
      <c r="EB95" s="8"/>
      <c r="EC95" s="8"/>
      <c r="ED95" s="9"/>
      <c r="EE95" s="9"/>
      <c r="EF95" s="9"/>
      <c r="EG95" s="9"/>
      <c r="EH95" s="9"/>
      <c r="EI95" s="9"/>
      <c r="EJ95" s="9"/>
      <c r="EK95" s="8"/>
      <c r="EL95" s="8"/>
      <c r="EM95" s="8"/>
      <c r="EN95" s="8"/>
      <c r="EO95" s="8"/>
      <c r="EP95" s="8"/>
      <c r="EQ95" s="8"/>
      <c r="ER95" s="8"/>
      <c r="ES95" s="8"/>
      <c r="ET95" s="9"/>
      <c r="EU95" s="9"/>
      <c r="EV95" s="9"/>
      <c r="EW95" s="9"/>
      <c r="EX95" s="9"/>
      <c r="EY95" s="9"/>
      <c r="EZ95" s="9"/>
      <c r="FA95" s="9"/>
      <c r="FB95" s="8"/>
      <c r="FC95" s="8"/>
      <c r="FD95" s="8"/>
      <c r="FE95" s="8"/>
      <c r="FF95" s="9"/>
      <c r="FG95" s="9"/>
      <c r="FH95" s="9"/>
      <c r="FI95" s="9"/>
      <c r="FJ95" s="9"/>
      <c r="FK95" s="9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9"/>
      <c r="GA95" s="9"/>
      <c r="GB95" s="9"/>
      <c r="GC95" s="9"/>
      <c r="GD95" s="9"/>
      <c r="GE95" s="9"/>
      <c r="GF95" s="9"/>
      <c r="GG95" s="9"/>
      <c r="GH95" s="9"/>
      <c r="GI95" s="9"/>
    </row>
    <row r="96" spans="1:191" ht="15" customHeight="1" x14ac:dyDescent="0.25">
      <c r="A96" s="349">
        <v>544554630371</v>
      </c>
      <c r="B96" s="10">
        <f t="shared" si="4"/>
        <v>0</v>
      </c>
      <c r="C96" s="10">
        <v>223</v>
      </c>
      <c r="D96" s="10" t="b">
        <f t="shared" si="5"/>
        <v>0</v>
      </c>
      <c r="E96" s="10">
        <f t="shared" si="6"/>
        <v>223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9"/>
      <c r="Z96" s="8"/>
      <c r="AA96" s="8"/>
      <c r="AB96" s="8"/>
      <c r="AC96" s="8"/>
      <c r="AD96" s="8"/>
      <c r="AE96" s="9"/>
      <c r="AF96" s="9"/>
      <c r="AG96" s="9"/>
      <c r="AH96" s="9"/>
      <c r="AI96" s="9"/>
      <c r="AJ96" s="8"/>
      <c r="AK96" s="8"/>
      <c r="AL96" s="8"/>
      <c r="AM96" s="8"/>
      <c r="AN96" s="8"/>
      <c r="AO96" s="9"/>
      <c r="AP96" s="9"/>
      <c r="AQ96" s="9"/>
      <c r="AR96" s="9"/>
      <c r="AS96" s="9"/>
      <c r="AT96" s="8"/>
      <c r="AU96" s="8"/>
      <c r="AV96" s="8"/>
      <c r="AW96" s="8"/>
      <c r="AX96" s="8"/>
      <c r="AY96" s="8"/>
      <c r="AZ96" s="9"/>
      <c r="BA96" s="9"/>
      <c r="BB96" s="9"/>
      <c r="BC96" s="9"/>
      <c r="BD96" s="9"/>
      <c r="BE96" s="9"/>
      <c r="BF96" s="9"/>
      <c r="BG96" s="8"/>
      <c r="BH96" s="8"/>
      <c r="BI96" s="8"/>
      <c r="BJ96" s="8"/>
      <c r="BK96" s="8"/>
      <c r="BL96" s="8"/>
      <c r="BM96" s="9"/>
      <c r="BN96" s="9"/>
      <c r="BO96" s="9"/>
      <c r="BP96" s="9"/>
      <c r="BQ96" s="9"/>
      <c r="BR96" s="8"/>
      <c r="BS96" s="8"/>
      <c r="BT96" s="8"/>
      <c r="BU96" s="8"/>
      <c r="BV96" s="8"/>
      <c r="BW96" s="8"/>
      <c r="BX96" s="8"/>
      <c r="BY96" s="8"/>
      <c r="BZ96" s="9"/>
      <c r="CA96" s="9"/>
      <c r="CB96" s="9"/>
      <c r="CC96" s="9"/>
      <c r="CD96" s="9"/>
      <c r="CE96" s="8"/>
      <c r="CF96" s="8"/>
      <c r="CG96" s="8"/>
      <c r="CH96" s="8"/>
      <c r="CI96" s="8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8"/>
      <c r="CX96" s="8"/>
      <c r="CY96" s="8"/>
      <c r="CZ96" s="8"/>
      <c r="DA96" s="8"/>
      <c r="DB96" s="9"/>
      <c r="DC96" s="9"/>
      <c r="DD96" s="9"/>
      <c r="DE96" s="9"/>
      <c r="DF96" s="9"/>
      <c r="DG96" s="9"/>
      <c r="DH96" s="9"/>
      <c r="DI96" s="8"/>
      <c r="DJ96" s="8"/>
      <c r="DK96" s="8"/>
      <c r="DL96" s="8"/>
      <c r="DM96" s="8"/>
      <c r="DN96" s="8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8"/>
      <c r="DZ96" s="8"/>
      <c r="EA96" s="8"/>
      <c r="EB96" s="8"/>
      <c r="EC96" s="8"/>
      <c r="ED96" s="9"/>
      <c r="EE96" s="9"/>
      <c r="EF96" s="9"/>
      <c r="EG96" s="9"/>
      <c r="EH96" s="9"/>
      <c r="EI96" s="9"/>
      <c r="EJ96" s="9"/>
      <c r="EK96" s="8"/>
      <c r="EL96" s="8"/>
      <c r="EM96" s="8"/>
      <c r="EN96" s="8"/>
      <c r="EO96" s="8"/>
      <c r="EP96" s="8"/>
      <c r="EQ96" s="8"/>
      <c r="ER96" s="8"/>
      <c r="ES96" s="8"/>
      <c r="ET96" s="9"/>
      <c r="EU96" s="9"/>
      <c r="EV96" s="9"/>
      <c r="EW96" s="9"/>
      <c r="EX96" s="9"/>
      <c r="EY96" s="9"/>
      <c r="EZ96" s="9"/>
      <c r="FA96" s="9"/>
      <c r="FB96" s="8"/>
      <c r="FC96" s="8"/>
      <c r="FD96" s="8"/>
      <c r="FE96" s="8"/>
      <c r="FF96" s="9"/>
      <c r="FG96" s="9"/>
      <c r="FH96" s="9"/>
      <c r="FI96" s="9"/>
      <c r="FJ96" s="9"/>
      <c r="FK96" s="9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9"/>
      <c r="GA96" s="9"/>
      <c r="GB96" s="9"/>
      <c r="GC96" s="9"/>
      <c r="GD96" s="9"/>
      <c r="GE96" s="9"/>
      <c r="GF96" s="9"/>
      <c r="GG96" s="9"/>
      <c r="GH96" s="9"/>
      <c r="GI96" s="9"/>
    </row>
    <row r="97" spans="1:191" ht="15" customHeight="1" x14ac:dyDescent="0.25">
      <c r="A97" s="349">
        <v>544554630381</v>
      </c>
      <c r="B97" s="10">
        <f t="shared" si="4"/>
        <v>0</v>
      </c>
      <c r="C97" s="10">
        <v>22</v>
      </c>
      <c r="D97" s="10" t="b">
        <f t="shared" si="5"/>
        <v>0</v>
      </c>
      <c r="E97" s="10">
        <f t="shared" si="6"/>
        <v>22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9"/>
      <c r="Z97" s="8"/>
      <c r="AA97" s="8"/>
      <c r="AB97" s="8"/>
      <c r="AC97" s="8"/>
      <c r="AD97" s="8"/>
      <c r="AE97" s="9"/>
      <c r="AF97" s="9"/>
      <c r="AG97" s="9"/>
      <c r="AH97" s="9"/>
      <c r="AI97" s="9"/>
      <c r="AJ97" s="8"/>
      <c r="AK97" s="8"/>
      <c r="AL97" s="8"/>
      <c r="AM97" s="8"/>
      <c r="AN97" s="8"/>
      <c r="AO97" s="9"/>
      <c r="AP97" s="9"/>
      <c r="AQ97" s="9"/>
      <c r="AR97" s="9"/>
      <c r="AS97" s="9"/>
      <c r="AT97" s="8"/>
      <c r="AU97" s="8"/>
      <c r="AV97" s="8"/>
      <c r="AW97" s="8"/>
      <c r="AX97" s="8"/>
      <c r="AY97" s="8"/>
      <c r="AZ97" s="9"/>
      <c r="BA97" s="9"/>
      <c r="BB97" s="9"/>
      <c r="BC97" s="9"/>
      <c r="BD97" s="9"/>
      <c r="BE97" s="9"/>
      <c r="BF97" s="9"/>
      <c r="BG97" s="8"/>
      <c r="BH97" s="8"/>
      <c r="BI97" s="8"/>
      <c r="BJ97" s="8"/>
      <c r="BK97" s="8"/>
      <c r="BL97" s="8"/>
      <c r="BM97" s="9"/>
      <c r="BN97" s="9"/>
      <c r="BO97" s="9"/>
      <c r="BP97" s="9"/>
      <c r="BQ97" s="9"/>
      <c r="BR97" s="8"/>
      <c r="BS97" s="8"/>
      <c r="BT97" s="8"/>
      <c r="BU97" s="8"/>
      <c r="BV97" s="8"/>
      <c r="BW97" s="8"/>
      <c r="BX97" s="8"/>
      <c r="BY97" s="8"/>
      <c r="BZ97" s="9"/>
      <c r="CA97" s="9"/>
      <c r="CB97" s="9"/>
      <c r="CC97" s="9"/>
      <c r="CD97" s="9"/>
      <c r="CE97" s="8"/>
      <c r="CF97" s="8"/>
      <c r="CG97" s="8"/>
      <c r="CH97" s="8"/>
      <c r="CI97" s="8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8"/>
      <c r="CX97" s="8"/>
      <c r="CY97" s="8"/>
      <c r="CZ97" s="8"/>
      <c r="DA97" s="8"/>
      <c r="DB97" s="9"/>
      <c r="DC97" s="9"/>
      <c r="DD97" s="9"/>
      <c r="DE97" s="9"/>
      <c r="DF97" s="9"/>
      <c r="DG97" s="9"/>
      <c r="DH97" s="9"/>
      <c r="DI97" s="8"/>
      <c r="DJ97" s="8"/>
      <c r="DK97" s="8"/>
      <c r="DL97" s="8"/>
      <c r="DM97" s="8"/>
      <c r="DN97" s="8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8"/>
      <c r="DZ97" s="8"/>
      <c r="EA97" s="8"/>
      <c r="EB97" s="8"/>
      <c r="EC97" s="8"/>
      <c r="ED97" s="9"/>
      <c r="EE97" s="9"/>
      <c r="EF97" s="9"/>
      <c r="EG97" s="9"/>
      <c r="EH97" s="9"/>
      <c r="EI97" s="9"/>
      <c r="EJ97" s="9"/>
      <c r="EK97" s="8"/>
      <c r="EL97" s="8"/>
      <c r="EM97" s="8"/>
      <c r="EN97" s="8"/>
      <c r="EO97" s="8"/>
      <c r="EP97" s="8"/>
      <c r="EQ97" s="8"/>
      <c r="ER97" s="8"/>
      <c r="ES97" s="8"/>
      <c r="ET97" s="9"/>
      <c r="EU97" s="9"/>
      <c r="EV97" s="9"/>
      <c r="EW97" s="9"/>
      <c r="EX97" s="9"/>
      <c r="EY97" s="9"/>
      <c r="EZ97" s="9"/>
      <c r="FA97" s="9"/>
      <c r="FB97" s="8"/>
      <c r="FC97" s="8"/>
      <c r="FD97" s="8"/>
      <c r="FE97" s="8"/>
      <c r="FF97" s="9"/>
      <c r="FG97" s="9"/>
      <c r="FH97" s="9"/>
      <c r="FI97" s="9"/>
      <c r="FJ97" s="9"/>
      <c r="FK97" s="9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9"/>
      <c r="GA97" s="9"/>
      <c r="GB97" s="9"/>
      <c r="GC97" s="9"/>
      <c r="GD97" s="9"/>
      <c r="GE97" s="9"/>
      <c r="GF97" s="9"/>
      <c r="GG97" s="9"/>
      <c r="GH97" s="9"/>
      <c r="GI97" s="9"/>
    </row>
    <row r="98" spans="1:191" ht="15" customHeight="1" x14ac:dyDescent="0.25">
      <c r="A98" s="349">
        <v>544554630374</v>
      </c>
      <c r="B98" s="10">
        <f t="shared" si="4"/>
        <v>0</v>
      </c>
      <c r="C98" s="10">
        <v>31</v>
      </c>
      <c r="D98" s="10" t="b">
        <f t="shared" si="5"/>
        <v>0</v>
      </c>
      <c r="E98" s="10">
        <f t="shared" si="6"/>
        <v>31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9"/>
      <c r="Z98" s="8"/>
      <c r="AA98" s="8"/>
      <c r="AB98" s="8"/>
      <c r="AC98" s="8"/>
      <c r="AD98" s="8"/>
      <c r="AE98" s="9"/>
      <c r="AF98" s="9"/>
      <c r="AG98" s="9"/>
      <c r="AH98" s="9"/>
      <c r="AI98" s="9"/>
      <c r="AJ98" s="8"/>
      <c r="AK98" s="8"/>
      <c r="AL98" s="8"/>
      <c r="AM98" s="8"/>
      <c r="AN98" s="8"/>
      <c r="AO98" s="9"/>
      <c r="AP98" s="9"/>
      <c r="AQ98" s="9"/>
      <c r="AR98" s="9"/>
      <c r="AS98" s="9"/>
      <c r="AT98" s="8"/>
      <c r="AU98" s="8"/>
      <c r="AV98" s="8"/>
      <c r="AW98" s="8"/>
      <c r="AX98" s="8"/>
      <c r="AY98" s="8"/>
      <c r="AZ98" s="9"/>
      <c r="BA98" s="9"/>
      <c r="BB98" s="9"/>
      <c r="BC98" s="9"/>
      <c r="BD98" s="9"/>
      <c r="BE98" s="9"/>
      <c r="BF98" s="9"/>
      <c r="BG98" s="8"/>
      <c r="BH98" s="8"/>
      <c r="BI98" s="8"/>
      <c r="BJ98" s="8"/>
      <c r="BK98" s="8"/>
      <c r="BL98" s="8"/>
      <c r="BM98" s="9"/>
      <c r="BN98" s="9"/>
      <c r="BO98" s="9"/>
      <c r="BP98" s="9"/>
      <c r="BQ98" s="9"/>
      <c r="BR98" s="8"/>
      <c r="BS98" s="8"/>
      <c r="BT98" s="8"/>
      <c r="BU98" s="8"/>
      <c r="BV98" s="8"/>
      <c r="BW98" s="8"/>
      <c r="BX98" s="8"/>
      <c r="BY98" s="8"/>
      <c r="BZ98" s="9"/>
      <c r="CA98" s="9"/>
      <c r="CB98" s="9"/>
      <c r="CC98" s="9"/>
      <c r="CD98" s="9"/>
      <c r="CE98" s="8"/>
      <c r="CF98" s="8"/>
      <c r="CG98" s="8"/>
      <c r="CH98" s="8"/>
      <c r="CI98" s="8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8"/>
      <c r="CX98" s="8"/>
      <c r="CY98" s="8"/>
      <c r="CZ98" s="8"/>
      <c r="DA98" s="8"/>
      <c r="DB98" s="9"/>
      <c r="DC98" s="9"/>
      <c r="DD98" s="9"/>
      <c r="DE98" s="9"/>
      <c r="DF98" s="9"/>
      <c r="DG98" s="9"/>
      <c r="DH98" s="9"/>
      <c r="DI98" s="8"/>
      <c r="DJ98" s="8"/>
      <c r="DK98" s="8"/>
      <c r="DL98" s="8"/>
      <c r="DM98" s="8"/>
      <c r="DN98" s="8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8"/>
      <c r="DZ98" s="8"/>
      <c r="EA98" s="8"/>
      <c r="EB98" s="8"/>
      <c r="EC98" s="8"/>
      <c r="ED98" s="9"/>
      <c r="EE98" s="9"/>
      <c r="EF98" s="9"/>
      <c r="EG98" s="9"/>
      <c r="EH98" s="9"/>
      <c r="EI98" s="9"/>
      <c r="EJ98" s="9"/>
      <c r="EK98" s="8"/>
      <c r="EL98" s="8"/>
      <c r="EM98" s="8"/>
      <c r="EN98" s="8"/>
      <c r="EO98" s="8"/>
      <c r="EP98" s="8"/>
      <c r="EQ98" s="8"/>
      <c r="ER98" s="8"/>
      <c r="ES98" s="8"/>
      <c r="ET98" s="9"/>
      <c r="EU98" s="9"/>
      <c r="EV98" s="9"/>
      <c r="EW98" s="9"/>
      <c r="EX98" s="9"/>
      <c r="EY98" s="9"/>
      <c r="EZ98" s="9"/>
      <c r="FA98" s="9"/>
      <c r="FB98" s="8"/>
      <c r="FC98" s="8"/>
      <c r="FD98" s="8"/>
      <c r="FE98" s="8"/>
      <c r="FF98" s="9"/>
      <c r="FG98" s="9"/>
      <c r="FH98" s="9"/>
      <c r="FI98" s="9"/>
      <c r="FJ98" s="9"/>
      <c r="FK98" s="9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9"/>
      <c r="GA98" s="9"/>
      <c r="GB98" s="9"/>
      <c r="GC98" s="9"/>
      <c r="GD98" s="9"/>
      <c r="GE98" s="9"/>
      <c r="GF98" s="9"/>
      <c r="GG98" s="9"/>
      <c r="GH98" s="9"/>
      <c r="GI98" s="9"/>
    </row>
    <row r="99" spans="1:191" ht="15" customHeight="1" x14ac:dyDescent="0.25">
      <c r="A99" s="349">
        <v>544554630372</v>
      </c>
      <c r="B99" s="10">
        <f t="shared" si="4"/>
        <v>0</v>
      </c>
      <c r="C99" s="10">
        <v>331</v>
      </c>
      <c r="D99" s="10" t="b">
        <f t="shared" si="5"/>
        <v>0</v>
      </c>
      <c r="E99" s="10">
        <f t="shared" si="6"/>
        <v>331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9"/>
      <c r="Z99" s="8"/>
      <c r="AA99" s="8"/>
      <c r="AB99" s="8"/>
      <c r="AC99" s="8"/>
      <c r="AD99" s="8"/>
      <c r="AE99" s="9"/>
      <c r="AF99" s="9"/>
      <c r="AG99" s="9"/>
      <c r="AH99" s="9"/>
      <c r="AI99" s="9"/>
      <c r="AJ99" s="8"/>
      <c r="AK99" s="8"/>
      <c r="AL99" s="8"/>
      <c r="AM99" s="8"/>
      <c r="AN99" s="8"/>
      <c r="AO99" s="9"/>
      <c r="AP99" s="9"/>
      <c r="AQ99" s="9"/>
      <c r="AR99" s="9"/>
      <c r="AS99" s="9"/>
      <c r="AT99" s="8"/>
      <c r="AU99" s="8"/>
      <c r="AV99" s="8"/>
      <c r="AW99" s="8"/>
      <c r="AX99" s="8"/>
      <c r="AY99" s="8"/>
      <c r="AZ99" s="9"/>
      <c r="BA99" s="9"/>
      <c r="BB99" s="9"/>
      <c r="BC99" s="9"/>
      <c r="BD99" s="9"/>
      <c r="BE99" s="9"/>
      <c r="BF99" s="9"/>
      <c r="BG99" s="8"/>
      <c r="BH99" s="8"/>
      <c r="BI99" s="8"/>
      <c r="BJ99" s="8"/>
      <c r="BK99" s="8"/>
      <c r="BL99" s="8"/>
      <c r="BM99" s="9"/>
      <c r="BN99" s="9"/>
      <c r="BO99" s="9"/>
      <c r="BP99" s="9"/>
      <c r="BQ99" s="9"/>
      <c r="BR99" s="8"/>
      <c r="BS99" s="8"/>
      <c r="BT99" s="8"/>
      <c r="BU99" s="8"/>
      <c r="BV99" s="8"/>
      <c r="BW99" s="8"/>
      <c r="BX99" s="8"/>
      <c r="BY99" s="8"/>
      <c r="BZ99" s="9"/>
      <c r="CA99" s="9"/>
      <c r="CB99" s="9"/>
      <c r="CC99" s="9"/>
      <c r="CD99" s="9"/>
      <c r="CE99" s="8"/>
      <c r="CF99" s="8"/>
      <c r="CG99" s="8"/>
      <c r="CH99" s="8"/>
      <c r="CI99" s="8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8"/>
      <c r="CX99" s="8"/>
      <c r="CY99" s="8"/>
      <c r="CZ99" s="8"/>
      <c r="DA99" s="8"/>
      <c r="DB99" s="9"/>
      <c r="DC99" s="9"/>
      <c r="DD99" s="9"/>
      <c r="DE99" s="9"/>
      <c r="DF99" s="9"/>
      <c r="DG99" s="9"/>
      <c r="DH99" s="9"/>
      <c r="DI99" s="8"/>
      <c r="DJ99" s="8"/>
      <c r="DK99" s="8"/>
      <c r="DL99" s="8"/>
      <c r="DM99" s="8"/>
      <c r="DN99" s="8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8"/>
      <c r="DZ99" s="8"/>
      <c r="EA99" s="8"/>
      <c r="EB99" s="8"/>
      <c r="EC99" s="8"/>
      <c r="ED99" s="9"/>
      <c r="EE99" s="9"/>
      <c r="EF99" s="9"/>
      <c r="EG99" s="9"/>
      <c r="EH99" s="9"/>
      <c r="EI99" s="9"/>
      <c r="EJ99" s="9"/>
      <c r="EK99" s="169"/>
      <c r="EL99" s="8"/>
      <c r="EM99" s="8"/>
      <c r="EN99" s="8"/>
      <c r="EO99" s="8"/>
      <c r="EP99" s="8"/>
      <c r="EQ99" s="8"/>
      <c r="ER99" s="8"/>
      <c r="ES99" s="8"/>
      <c r="ET99" s="9"/>
      <c r="EU99" s="9"/>
      <c r="EV99" s="9"/>
      <c r="EW99" s="9"/>
      <c r="EX99" s="9"/>
      <c r="EY99" s="9"/>
      <c r="EZ99" s="9"/>
      <c r="FA99" s="9"/>
      <c r="FB99" s="8"/>
      <c r="FC99" s="8"/>
      <c r="FD99" s="8"/>
      <c r="FE99" s="8"/>
      <c r="FF99" s="9"/>
      <c r="FG99" s="9"/>
      <c r="FH99" s="9"/>
      <c r="FI99" s="9"/>
      <c r="FJ99" s="9"/>
      <c r="FK99" s="9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9"/>
      <c r="GA99" s="9"/>
      <c r="GB99" s="9"/>
      <c r="GC99" s="9"/>
      <c r="GD99" s="9"/>
      <c r="GE99" s="9"/>
      <c r="GF99" s="9"/>
      <c r="GG99" s="9"/>
      <c r="GH99" s="9"/>
      <c r="GI99" s="9"/>
    </row>
    <row r="100" spans="1:191" ht="15" customHeight="1" x14ac:dyDescent="0.25">
      <c r="A100" s="349">
        <v>544554630378</v>
      </c>
      <c r="B100" s="10">
        <f t="shared" si="4"/>
        <v>0</v>
      </c>
      <c r="C100" s="10">
        <v>19</v>
      </c>
      <c r="D100" s="121" t="b">
        <f t="shared" si="5"/>
        <v>0</v>
      </c>
      <c r="E100" s="10">
        <f t="shared" si="6"/>
        <v>19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9"/>
      <c r="Z100" s="8"/>
      <c r="AA100" s="8"/>
      <c r="AB100" s="8"/>
      <c r="AC100" s="8"/>
      <c r="AD100" s="8"/>
      <c r="AE100" s="9"/>
      <c r="AF100" s="9"/>
      <c r="AG100" s="9"/>
      <c r="AH100" s="9"/>
      <c r="AI100" s="9"/>
      <c r="AJ100" s="8"/>
      <c r="AK100" s="8"/>
      <c r="AL100" s="8"/>
      <c r="AM100" s="8"/>
      <c r="AN100" s="8"/>
      <c r="AO100" s="9"/>
      <c r="AP100" s="9"/>
      <c r="AQ100" s="9"/>
      <c r="AR100" s="9"/>
      <c r="AS100" s="9"/>
      <c r="AT100" s="8"/>
      <c r="AU100" s="8"/>
      <c r="AV100" s="8"/>
      <c r="AW100" s="8"/>
      <c r="AX100" s="8"/>
      <c r="AY100" s="8"/>
      <c r="AZ100" s="9"/>
      <c r="BA100" s="9"/>
      <c r="BB100" s="9"/>
      <c r="BC100" s="9"/>
      <c r="BD100" s="9"/>
      <c r="BE100" s="9"/>
      <c r="BF100" s="9"/>
      <c r="BG100" s="8"/>
      <c r="BH100" s="8"/>
      <c r="BI100" s="8"/>
      <c r="BJ100" s="8"/>
      <c r="BK100" s="8"/>
      <c r="BL100" s="8"/>
      <c r="BM100" s="9"/>
      <c r="BN100" s="9"/>
      <c r="BO100" s="9"/>
      <c r="BP100" s="9"/>
      <c r="BQ100" s="9"/>
      <c r="BR100" s="8"/>
      <c r="BS100" s="8"/>
      <c r="BT100" s="8"/>
      <c r="BU100" s="8"/>
      <c r="BV100" s="8"/>
      <c r="BW100" s="8"/>
      <c r="BX100" s="8"/>
      <c r="BY100" s="8"/>
      <c r="BZ100" s="9"/>
      <c r="CA100" s="9"/>
      <c r="CB100" s="9"/>
      <c r="CC100" s="9"/>
      <c r="CD100" s="9"/>
      <c r="CE100" s="8"/>
      <c r="CF100" s="8"/>
      <c r="CG100" s="8"/>
      <c r="CH100" s="8"/>
      <c r="CI100" s="8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8"/>
      <c r="CX100" s="8"/>
      <c r="CY100" s="8"/>
      <c r="CZ100" s="8"/>
      <c r="DA100" s="8"/>
      <c r="DB100" s="9"/>
      <c r="DC100" s="9"/>
      <c r="DD100" s="9"/>
      <c r="DE100" s="9"/>
      <c r="DF100" s="9"/>
      <c r="DG100" s="9"/>
      <c r="DH100" s="9"/>
      <c r="DI100" s="8"/>
      <c r="DJ100" s="8"/>
      <c r="DK100" s="8"/>
      <c r="DL100" s="8"/>
      <c r="DM100" s="8"/>
      <c r="DN100" s="8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8"/>
      <c r="DZ100" s="8"/>
      <c r="EA100" s="8"/>
      <c r="EB100" s="8"/>
      <c r="EC100" s="8"/>
      <c r="ED100" s="9"/>
      <c r="EE100" s="9"/>
      <c r="EF100" s="9"/>
      <c r="EG100" s="9"/>
      <c r="EH100" s="9"/>
      <c r="EI100" s="9"/>
      <c r="EJ100" s="9"/>
      <c r="EK100" s="8"/>
      <c r="EL100" s="8"/>
      <c r="EM100" s="8"/>
      <c r="EN100" s="8"/>
      <c r="EO100" s="8"/>
      <c r="EP100" s="8"/>
      <c r="EQ100" s="8"/>
      <c r="ER100" s="8"/>
      <c r="ES100" s="8"/>
      <c r="ET100" s="9"/>
      <c r="EU100" s="9"/>
      <c r="EV100" s="9"/>
      <c r="EW100" s="9"/>
      <c r="EX100" s="9"/>
      <c r="EY100" s="9"/>
      <c r="EZ100" s="9"/>
      <c r="FA100" s="9"/>
      <c r="FB100" s="8"/>
      <c r="FC100" s="8"/>
      <c r="FD100" s="8"/>
      <c r="FE100" s="8"/>
      <c r="FF100" s="9"/>
      <c r="FG100" s="9"/>
      <c r="FH100" s="9"/>
      <c r="FI100" s="9"/>
      <c r="FJ100" s="9"/>
      <c r="FK100" s="9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9"/>
      <c r="GA100" s="9"/>
      <c r="GB100" s="9"/>
      <c r="GC100" s="9"/>
      <c r="GD100" s="9"/>
      <c r="GE100" s="9"/>
      <c r="GF100" s="9"/>
      <c r="GG100" s="9"/>
      <c r="GH100" s="9"/>
      <c r="GI100" s="9"/>
    </row>
    <row r="101" spans="1:191" ht="15" customHeight="1" x14ac:dyDescent="0.25">
      <c r="A101" s="349">
        <v>544554630394</v>
      </c>
      <c r="B101" s="10">
        <f t="shared" ref="B101:B132" si="7">SUM(F101:GI101)</f>
        <v>0</v>
      </c>
      <c r="C101" s="10">
        <v>21</v>
      </c>
      <c r="D101" s="10" t="b">
        <f t="shared" si="5"/>
        <v>0</v>
      </c>
      <c r="E101" s="10">
        <f t="shared" si="6"/>
        <v>21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9"/>
      <c r="Z101" s="8"/>
      <c r="AA101" s="8"/>
      <c r="AB101" s="8"/>
      <c r="AC101" s="8"/>
      <c r="AD101" s="8"/>
      <c r="AE101" s="9"/>
      <c r="AF101" s="9"/>
      <c r="AG101" s="9"/>
      <c r="AH101" s="9"/>
      <c r="AI101" s="9"/>
      <c r="AJ101" s="8"/>
      <c r="AK101" s="8"/>
      <c r="AL101" s="8"/>
      <c r="AM101" s="8"/>
      <c r="AN101" s="8"/>
      <c r="AO101" s="9"/>
      <c r="AP101" s="9"/>
      <c r="AQ101" s="9"/>
      <c r="AR101" s="9"/>
      <c r="AS101" s="9"/>
      <c r="AT101" s="8"/>
      <c r="AU101" s="8"/>
      <c r="AV101" s="8"/>
      <c r="AW101" s="8"/>
      <c r="AX101" s="8"/>
      <c r="AY101" s="8"/>
      <c r="AZ101" s="9"/>
      <c r="BA101" s="9"/>
      <c r="BB101" s="9"/>
      <c r="BC101" s="9"/>
      <c r="BD101" s="9"/>
      <c r="BE101" s="9"/>
      <c r="BF101" s="9"/>
      <c r="BG101" s="8"/>
      <c r="BH101" s="8"/>
      <c r="BI101" s="8"/>
      <c r="BJ101" s="8"/>
      <c r="BK101" s="8"/>
      <c r="BL101" s="8"/>
      <c r="BM101" s="9"/>
      <c r="BN101" s="9"/>
      <c r="BO101" s="9"/>
      <c r="BP101" s="9"/>
      <c r="BQ101" s="9"/>
      <c r="BR101" s="8"/>
      <c r="BS101" s="8"/>
      <c r="BT101" s="8"/>
      <c r="BU101" s="8"/>
      <c r="BV101" s="8"/>
      <c r="BW101" s="8"/>
      <c r="BX101" s="8"/>
      <c r="BY101" s="8"/>
      <c r="BZ101" s="9"/>
      <c r="CA101" s="9"/>
      <c r="CB101" s="9"/>
      <c r="CC101" s="9"/>
      <c r="CD101" s="9"/>
      <c r="CE101" s="8"/>
      <c r="CF101" s="8"/>
      <c r="CG101" s="8"/>
      <c r="CH101" s="8"/>
      <c r="CI101" s="8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8"/>
      <c r="CX101" s="8"/>
      <c r="CY101" s="8"/>
      <c r="CZ101" s="8"/>
      <c r="DA101" s="8"/>
      <c r="DB101" s="9"/>
      <c r="DC101" s="9"/>
      <c r="DD101" s="9"/>
      <c r="DE101" s="9"/>
      <c r="DF101" s="9"/>
      <c r="DG101" s="9"/>
      <c r="DH101" s="9"/>
      <c r="DI101" s="8"/>
      <c r="DJ101" s="8"/>
      <c r="DK101" s="8"/>
      <c r="DL101" s="8"/>
      <c r="DM101" s="8"/>
      <c r="DN101" s="8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8"/>
      <c r="DZ101" s="8"/>
      <c r="EA101" s="8"/>
      <c r="EB101" s="8"/>
      <c r="EC101" s="8"/>
      <c r="ED101" s="9"/>
      <c r="EE101" s="9"/>
      <c r="EF101" s="9"/>
      <c r="EG101" s="9"/>
      <c r="EH101" s="9"/>
      <c r="EI101" s="9"/>
      <c r="EJ101" s="9"/>
      <c r="EK101" s="8"/>
      <c r="EL101" s="8"/>
      <c r="EM101" s="8"/>
      <c r="EN101" s="8"/>
      <c r="EO101" s="8"/>
      <c r="EP101" s="8"/>
      <c r="EQ101" s="8"/>
      <c r="ER101" s="8"/>
      <c r="ES101" s="8"/>
      <c r="ET101" s="9"/>
      <c r="EU101" s="9"/>
      <c r="EV101" s="9"/>
      <c r="EW101" s="9"/>
      <c r="EX101" s="9"/>
      <c r="EY101" s="9"/>
      <c r="EZ101" s="9"/>
      <c r="FA101" s="9"/>
      <c r="FB101" s="8"/>
      <c r="FC101" s="8"/>
      <c r="FD101" s="8"/>
      <c r="FE101" s="8"/>
      <c r="FF101" s="9"/>
      <c r="FG101" s="9"/>
      <c r="FH101" s="9"/>
      <c r="FI101" s="9"/>
      <c r="FJ101" s="9"/>
      <c r="FK101" s="9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9"/>
      <c r="GA101" s="9"/>
      <c r="GB101" s="9"/>
      <c r="GC101" s="9"/>
      <c r="GD101" s="9"/>
      <c r="GE101" s="9"/>
      <c r="GF101" s="9"/>
      <c r="GG101" s="9"/>
      <c r="GH101" s="9"/>
      <c r="GI101" s="9"/>
    </row>
    <row r="102" spans="1:191" ht="15" customHeight="1" x14ac:dyDescent="0.25">
      <c r="A102" s="349">
        <v>544554630382</v>
      </c>
      <c r="B102" s="10">
        <f t="shared" si="7"/>
        <v>0</v>
      </c>
      <c r="C102" s="10">
        <v>105</v>
      </c>
      <c r="D102" s="10" t="b">
        <f t="shared" si="5"/>
        <v>0</v>
      </c>
      <c r="E102" s="10">
        <f t="shared" si="6"/>
        <v>105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9"/>
      <c r="Z102" s="8"/>
      <c r="AA102" s="8"/>
      <c r="AB102" s="8"/>
      <c r="AC102" s="8"/>
      <c r="AD102" s="8"/>
      <c r="AE102" s="9"/>
      <c r="AF102" s="9"/>
      <c r="AG102" s="9"/>
      <c r="AH102" s="9"/>
      <c r="AI102" s="9"/>
      <c r="AJ102" s="8"/>
      <c r="AK102" s="8"/>
      <c r="AL102" s="8"/>
      <c r="AM102" s="8"/>
      <c r="AN102" s="8"/>
      <c r="AO102" s="9"/>
      <c r="AP102" s="9"/>
      <c r="AQ102" s="9"/>
      <c r="AR102" s="9"/>
      <c r="AS102" s="9"/>
      <c r="AT102" s="8"/>
      <c r="AU102" s="8"/>
      <c r="AV102" s="8"/>
      <c r="AW102" s="8"/>
      <c r="AX102" s="8"/>
      <c r="AY102" s="8"/>
      <c r="AZ102" s="9"/>
      <c r="BA102" s="9"/>
      <c r="BB102" s="9"/>
      <c r="BC102" s="9"/>
      <c r="BD102" s="9"/>
      <c r="BE102" s="9"/>
      <c r="BF102" s="9"/>
      <c r="BG102" s="8"/>
      <c r="BH102" s="8"/>
      <c r="BI102" s="8"/>
      <c r="BJ102" s="8"/>
      <c r="BK102" s="8"/>
      <c r="BL102" s="8"/>
      <c r="BM102" s="9"/>
      <c r="BN102" s="9"/>
      <c r="BO102" s="9"/>
      <c r="BP102" s="9"/>
      <c r="BQ102" s="9"/>
      <c r="BR102" s="8"/>
      <c r="BS102" s="8"/>
      <c r="BT102" s="8"/>
      <c r="BU102" s="8"/>
      <c r="BV102" s="8"/>
      <c r="BW102" s="8"/>
      <c r="BX102" s="8"/>
      <c r="BY102" s="8"/>
      <c r="BZ102" s="9"/>
      <c r="CA102" s="9"/>
      <c r="CB102" s="9"/>
      <c r="CC102" s="9"/>
      <c r="CD102" s="9"/>
      <c r="CE102" s="8"/>
      <c r="CF102" s="8"/>
      <c r="CG102" s="8"/>
      <c r="CH102" s="8"/>
      <c r="CI102" s="8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8"/>
      <c r="CX102" s="8"/>
      <c r="CY102" s="8"/>
      <c r="CZ102" s="8"/>
      <c r="DA102" s="8"/>
      <c r="DB102" s="9"/>
      <c r="DC102" s="9"/>
      <c r="DD102" s="9"/>
      <c r="DE102" s="9"/>
      <c r="DF102" s="9"/>
      <c r="DG102" s="9"/>
      <c r="DH102" s="9"/>
      <c r="DI102" s="8"/>
      <c r="DJ102" s="8"/>
      <c r="DK102" s="8"/>
      <c r="DL102" s="8"/>
      <c r="DM102" s="8"/>
      <c r="DN102" s="8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8"/>
      <c r="DZ102" s="8"/>
      <c r="EA102" s="8"/>
      <c r="EB102" s="8"/>
      <c r="EC102" s="8"/>
      <c r="ED102" s="9"/>
      <c r="EE102" s="9"/>
      <c r="EF102" s="9"/>
      <c r="EG102" s="9"/>
      <c r="EH102" s="9"/>
      <c r="EI102" s="9"/>
      <c r="EJ102" s="9"/>
      <c r="EK102" s="8"/>
      <c r="EL102" s="8"/>
      <c r="EM102" s="8"/>
      <c r="EN102" s="8"/>
      <c r="EO102" s="8"/>
      <c r="EP102" s="8"/>
      <c r="EQ102" s="8"/>
      <c r="ER102" s="8"/>
      <c r="ES102" s="8"/>
      <c r="ET102" s="9"/>
      <c r="EU102" s="9"/>
      <c r="EV102" s="9"/>
      <c r="EW102" s="9"/>
      <c r="EX102" s="9"/>
      <c r="EY102" s="9"/>
      <c r="EZ102" s="9"/>
      <c r="FA102" s="9"/>
      <c r="FB102" s="8"/>
      <c r="FC102" s="8"/>
      <c r="FD102" s="8"/>
      <c r="FE102" s="8"/>
      <c r="FF102" s="9"/>
      <c r="FG102" s="9"/>
      <c r="FH102" s="9"/>
      <c r="FI102" s="9"/>
      <c r="FJ102" s="9"/>
      <c r="FK102" s="9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9"/>
      <c r="GA102" s="9"/>
      <c r="GB102" s="9"/>
      <c r="GC102" s="9"/>
      <c r="GD102" s="9"/>
      <c r="GE102" s="9"/>
      <c r="GF102" s="9"/>
      <c r="GG102" s="9"/>
      <c r="GH102" s="9"/>
      <c r="GI102" s="9"/>
    </row>
    <row r="103" spans="1:191" ht="15" customHeight="1" x14ac:dyDescent="0.25">
      <c r="A103" s="349">
        <v>544554630385</v>
      </c>
      <c r="B103" s="10">
        <f t="shared" si="7"/>
        <v>0</v>
      </c>
      <c r="C103" s="10">
        <v>40</v>
      </c>
      <c r="D103" s="10" t="b">
        <f t="shared" si="5"/>
        <v>0</v>
      </c>
      <c r="E103" s="10">
        <f t="shared" si="6"/>
        <v>40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/>
      <c r="Y103" s="9"/>
      <c r="Z103" s="8"/>
      <c r="AA103" s="8"/>
      <c r="AB103" s="8"/>
      <c r="AC103" s="8"/>
      <c r="AD103" s="8"/>
      <c r="AE103" s="9"/>
      <c r="AF103" s="9"/>
      <c r="AG103" s="9"/>
      <c r="AH103" s="9"/>
      <c r="AI103" s="9"/>
      <c r="AJ103" s="8"/>
      <c r="AK103" s="8"/>
      <c r="AL103" s="8"/>
      <c r="AM103" s="8"/>
      <c r="AN103" s="8"/>
      <c r="AO103" s="9"/>
      <c r="AP103" s="9"/>
      <c r="AQ103" s="9"/>
      <c r="AR103" s="9"/>
      <c r="AS103" s="9"/>
      <c r="AT103" s="8"/>
      <c r="AU103" s="8"/>
      <c r="AV103" s="8"/>
      <c r="AW103" s="8"/>
      <c r="AX103" s="8"/>
      <c r="AY103" s="8"/>
      <c r="AZ103" s="9"/>
      <c r="BA103" s="9"/>
      <c r="BB103" s="9"/>
      <c r="BC103" s="9"/>
      <c r="BD103" s="9"/>
      <c r="BE103" s="9"/>
      <c r="BF103" s="9"/>
      <c r="BG103" s="8"/>
      <c r="BH103" s="8"/>
      <c r="BI103" s="8"/>
      <c r="BJ103" s="8"/>
      <c r="BK103" s="8"/>
      <c r="BL103" s="8"/>
      <c r="BM103" s="9"/>
      <c r="BN103" s="9"/>
      <c r="BO103" s="9"/>
      <c r="BP103" s="9"/>
      <c r="BQ103" s="9"/>
      <c r="BR103" s="8"/>
      <c r="BS103" s="8"/>
      <c r="BT103" s="8"/>
      <c r="BU103" s="8"/>
      <c r="BV103" s="8"/>
      <c r="BW103" s="8"/>
      <c r="BX103" s="8"/>
      <c r="BY103" s="8"/>
      <c r="BZ103" s="9"/>
      <c r="CA103" s="9"/>
      <c r="CB103" s="9"/>
      <c r="CC103" s="9"/>
      <c r="CD103" s="9"/>
      <c r="CE103" s="8"/>
      <c r="CF103" s="8"/>
      <c r="CG103" s="8"/>
      <c r="CH103" s="8"/>
      <c r="CI103" s="8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8"/>
      <c r="CX103" s="8"/>
      <c r="CY103" s="8"/>
      <c r="CZ103" s="8"/>
      <c r="DA103" s="8"/>
      <c r="DB103" s="9"/>
      <c r="DC103" s="9"/>
      <c r="DD103" s="9"/>
      <c r="DE103" s="9"/>
      <c r="DF103" s="9"/>
      <c r="DG103" s="9"/>
      <c r="DH103" s="9"/>
      <c r="DI103" s="8"/>
      <c r="DJ103" s="8"/>
      <c r="DK103" s="8"/>
      <c r="DL103" s="8"/>
      <c r="DM103" s="8"/>
      <c r="DN103" s="8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8"/>
      <c r="DZ103" s="8"/>
      <c r="EA103" s="8"/>
      <c r="EB103" s="8"/>
      <c r="EC103" s="8"/>
      <c r="ED103" s="9"/>
      <c r="EE103" s="9"/>
      <c r="EF103" s="9"/>
      <c r="EG103" s="9"/>
      <c r="EH103" s="9"/>
      <c r="EI103" s="9"/>
      <c r="EJ103" s="9"/>
      <c r="EK103" s="8"/>
      <c r="EL103" s="8"/>
      <c r="EM103" s="8"/>
      <c r="EN103" s="8"/>
      <c r="EO103" s="8"/>
      <c r="EP103" s="8"/>
      <c r="EQ103" s="8"/>
      <c r="ER103" s="8"/>
      <c r="ES103" s="8"/>
      <c r="ET103" s="9"/>
      <c r="EU103" s="9"/>
      <c r="EV103" s="9"/>
      <c r="EW103" s="9"/>
      <c r="EX103" s="9"/>
      <c r="EY103" s="9"/>
      <c r="EZ103" s="9"/>
      <c r="FA103" s="9"/>
      <c r="FB103" s="8"/>
      <c r="FC103" s="8"/>
      <c r="FD103" s="8"/>
      <c r="FE103" s="8"/>
      <c r="FF103" s="9"/>
      <c r="FG103" s="9"/>
      <c r="FH103" s="9"/>
      <c r="FI103" s="9"/>
      <c r="FJ103" s="9"/>
      <c r="FK103" s="9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9"/>
      <c r="GA103" s="9"/>
      <c r="GB103" s="9"/>
      <c r="GC103" s="9"/>
      <c r="GD103" s="9"/>
      <c r="GE103" s="9"/>
      <c r="GF103" s="9"/>
      <c r="GG103" s="9"/>
      <c r="GH103" s="9"/>
      <c r="GI103" s="9"/>
    </row>
    <row r="104" spans="1:191" ht="15" customHeight="1" x14ac:dyDescent="0.25">
      <c r="A104" s="349">
        <v>544554630370</v>
      </c>
      <c r="B104" s="10">
        <f t="shared" si="7"/>
        <v>0</v>
      </c>
      <c r="C104" s="10">
        <v>25</v>
      </c>
      <c r="D104" s="10" t="b">
        <f t="shared" si="5"/>
        <v>0</v>
      </c>
      <c r="E104" s="10">
        <f t="shared" si="6"/>
        <v>25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9"/>
      <c r="Y104" s="9"/>
      <c r="Z104" s="8"/>
      <c r="AA104" s="8"/>
      <c r="AB104" s="8"/>
      <c r="AC104" s="8"/>
      <c r="AD104" s="8"/>
      <c r="AE104" s="9"/>
      <c r="AF104" s="9"/>
      <c r="AG104" s="9"/>
      <c r="AH104" s="9"/>
      <c r="AI104" s="9"/>
      <c r="AJ104" s="8"/>
      <c r="AK104" s="8"/>
      <c r="AL104" s="8"/>
      <c r="AM104" s="8"/>
      <c r="AN104" s="8"/>
      <c r="AO104" s="9"/>
      <c r="AP104" s="9"/>
      <c r="AQ104" s="9"/>
      <c r="AR104" s="9"/>
      <c r="AS104" s="9"/>
      <c r="AT104" s="8"/>
      <c r="AU104" s="8"/>
      <c r="AV104" s="8"/>
      <c r="AW104" s="8"/>
      <c r="AX104" s="8"/>
      <c r="AY104" s="8"/>
      <c r="AZ104" s="9"/>
      <c r="BA104" s="9"/>
      <c r="BB104" s="9"/>
      <c r="BC104" s="9"/>
      <c r="BD104" s="9"/>
      <c r="BE104" s="9"/>
      <c r="BF104" s="9"/>
      <c r="BG104" s="8"/>
      <c r="BH104" s="8"/>
      <c r="BI104" s="8"/>
      <c r="BJ104" s="8"/>
      <c r="BK104" s="8"/>
      <c r="BL104" s="8"/>
      <c r="BM104" s="9"/>
      <c r="BN104" s="9"/>
      <c r="BO104" s="9"/>
      <c r="BP104" s="9"/>
      <c r="BQ104" s="9"/>
      <c r="BR104" s="8"/>
      <c r="BS104" s="8"/>
      <c r="BT104" s="8"/>
      <c r="BU104" s="8"/>
      <c r="BV104" s="8"/>
      <c r="BW104" s="8"/>
      <c r="BX104" s="8"/>
      <c r="BY104" s="8"/>
      <c r="BZ104" s="9"/>
      <c r="CA104" s="9"/>
      <c r="CB104" s="9"/>
      <c r="CC104" s="9"/>
      <c r="CD104" s="9"/>
      <c r="CE104" s="8"/>
      <c r="CF104" s="8"/>
      <c r="CG104" s="8"/>
      <c r="CH104" s="8"/>
      <c r="CI104" s="8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8"/>
      <c r="CX104" s="8"/>
      <c r="CY104" s="8"/>
      <c r="CZ104" s="8"/>
      <c r="DA104" s="8"/>
      <c r="DB104" s="9"/>
      <c r="DC104" s="9"/>
      <c r="DD104" s="9"/>
      <c r="DE104" s="9"/>
      <c r="DF104" s="9"/>
      <c r="DG104" s="9"/>
      <c r="DH104" s="9"/>
      <c r="DI104" s="8"/>
      <c r="DJ104" s="8"/>
      <c r="DK104" s="8"/>
      <c r="DL104" s="8"/>
      <c r="DM104" s="8"/>
      <c r="DN104" s="8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8"/>
      <c r="DZ104" s="8"/>
      <c r="EA104" s="8"/>
      <c r="EB104" s="8"/>
      <c r="EC104" s="8"/>
      <c r="ED104" s="9"/>
      <c r="EE104" s="9"/>
      <c r="EF104" s="9"/>
      <c r="EG104" s="9"/>
      <c r="EH104" s="9"/>
      <c r="EI104" s="9"/>
      <c r="EJ104" s="9"/>
      <c r="EK104" s="8"/>
      <c r="EL104" s="8"/>
      <c r="EM104" s="8"/>
      <c r="EN104" s="8"/>
      <c r="EO104" s="8"/>
      <c r="EP104" s="8"/>
      <c r="EQ104" s="8"/>
      <c r="ER104" s="8"/>
      <c r="ES104" s="8"/>
      <c r="ET104" s="9"/>
      <c r="EU104" s="9"/>
      <c r="EV104" s="9"/>
      <c r="EW104" s="9"/>
      <c r="EX104" s="9"/>
      <c r="EY104" s="9"/>
      <c r="EZ104" s="9"/>
      <c r="FA104" s="9"/>
      <c r="FB104" s="8"/>
      <c r="FC104" s="8"/>
      <c r="FD104" s="8"/>
      <c r="FE104" s="8"/>
      <c r="FF104" s="9"/>
      <c r="FG104" s="9"/>
      <c r="FH104" s="9"/>
      <c r="FI104" s="9"/>
      <c r="FJ104" s="9"/>
      <c r="FK104" s="9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9"/>
      <c r="GA104" s="9"/>
      <c r="GB104" s="9"/>
      <c r="GC104" s="9"/>
      <c r="GD104" s="9"/>
      <c r="GE104" s="9"/>
      <c r="GF104" s="9"/>
      <c r="GG104" s="9"/>
      <c r="GH104" s="9"/>
      <c r="GI104" s="9"/>
    </row>
    <row r="105" spans="1:191" ht="16.5" customHeight="1" x14ac:dyDescent="0.25">
      <c r="A105" s="349">
        <v>544554630383</v>
      </c>
      <c r="B105" s="10">
        <f t="shared" si="7"/>
        <v>0</v>
      </c>
      <c r="C105" s="10">
        <v>0</v>
      </c>
      <c r="D105" s="10" t="b">
        <f t="shared" si="5"/>
        <v>1</v>
      </c>
      <c r="E105" s="10">
        <f t="shared" si="6"/>
        <v>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9"/>
      <c r="Y105" s="9"/>
      <c r="Z105" s="8"/>
      <c r="AA105" s="8"/>
      <c r="AB105" s="8"/>
      <c r="AC105" s="8"/>
      <c r="AD105" s="8"/>
      <c r="AE105" s="9"/>
      <c r="AF105" s="9"/>
      <c r="AG105" s="9"/>
      <c r="AH105" s="9"/>
      <c r="AI105" s="9"/>
      <c r="AJ105" s="8"/>
      <c r="AK105" s="8"/>
      <c r="AL105" s="8"/>
      <c r="AM105" s="8"/>
      <c r="AN105" s="8"/>
      <c r="AO105" s="9"/>
      <c r="AP105" s="9"/>
      <c r="AQ105" s="9"/>
      <c r="AR105" s="9"/>
      <c r="AS105" s="9"/>
      <c r="AT105" s="8"/>
      <c r="AU105" s="8"/>
      <c r="AV105" s="8"/>
      <c r="AW105" s="8"/>
      <c r="AX105" s="8"/>
      <c r="AY105" s="8"/>
      <c r="AZ105" s="9"/>
      <c r="BA105" s="9"/>
      <c r="BB105" s="9"/>
      <c r="BC105" s="9"/>
      <c r="BD105" s="9"/>
      <c r="BE105" s="9"/>
      <c r="BF105" s="9"/>
      <c r="BG105" s="8"/>
      <c r="BH105" s="8"/>
      <c r="BI105" s="8"/>
      <c r="BJ105" s="8"/>
      <c r="BK105" s="8"/>
      <c r="BL105" s="8"/>
      <c r="BM105" s="9"/>
      <c r="BN105" s="9"/>
      <c r="BO105" s="9"/>
      <c r="BP105" s="9"/>
      <c r="BQ105" s="9"/>
      <c r="BR105" s="8"/>
      <c r="BS105" s="8"/>
      <c r="BT105" s="8"/>
      <c r="BU105" s="8"/>
      <c r="BV105" s="8"/>
      <c r="BW105" s="8"/>
      <c r="BX105" s="8"/>
      <c r="BY105" s="8"/>
      <c r="BZ105" s="9"/>
      <c r="CA105" s="9"/>
      <c r="CB105" s="9"/>
      <c r="CC105" s="9"/>
      <c r="CD105" s="9"/>
      <c r="CE105" s="8"/>
      <c r="CF105" s="8"/>
      <c r="CG105" s="8"/>
      <c r="CH105" s="8"/>
      <c r="CI105" s="8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8"/>
      <c r="CX105" s="8"/>
      <c r="CY105" s="8"/>
      <c r="CZ105" s="8"/>
      <c r="DA105" s="8"/>
      <c r="DB105" s="9"/>
      <c r="DC105" s="9"/>
      <c r="DD105" s="9"/>
      <c r="DE105" s="9"/>
      <c r="DF105" s="9"/>
      <c r="DG105" s="9"/>
      <c r="DH105" s="9"/>
      <c r="DI105" s="8"/>
      <c r="DJ105" s="8"/>
      <c r="DK105" s="8"/>
      <c r="DL105" s="8"/>
      <c r="DM105" s="8"/>
      <c r="DN105" s="8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8"/>
      <c r="DZ105" s="8"/>
      <c r="EA105" s="8"/>
      <c r="EB105" s="8"/>
      <c r="EC105" s="8"/>
      <c r="ED105" s="9"/>
      <c r="EE105" s="9"/>
      <c r="EF105" s="9"/>
      <c r="EG105" s="9"/>
      <c r="EH105" s="9"/>
      <c r="EI105" s="9"/>
      <c r="EJ105" s="9"/>
      <c r="EK105" s="8"/>
      <c r="EL105" s="8"/>
      <c r="EM105" s="8"/>
      <c r="EN105" s="8"/>
      <c r="EO105" s="8"/>
      <c r="EP105" s="8"/>
      <c r="EQ105" s="8"/>
      <c r="ER105" s="8"/>
      <c r="ES105" s="8"/>
      <c r="ET105" s="9"/>
      <c r="EU105" s="9"/>
      <c r="EV105" s="9"/>
      <c r="EW105" s="9"/>
      <c r="EX105" s="9"/>
      <c r="EY105" s="9"/>
      <c r="EZ105" s="9"/>
      <c r="FA105" s="9"/>
      <c r="FB105" s="8"/>
      <c r="FC105" s="8"/>
      <c r="FD105" s="8"/>
      <c r="FE105" s="8"/>
      <c r="FF105" s="9"/>
      <c r="FG105" s="9"/>
      <c r="FH105" s="9"/>
      <c r="FI105" s="9"/>
      <c r="FJ105" s="9"/>
      <c r="FK105" s="9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9"/>
      <c r="GA105" s="9"/>
      <c r="GB105" s="9"/>
      <c r="GC105" s="9"/>
      <c r="GD105" s="9"/>
      <c r="GE105" s="9"/>
      <c r="GF105" s="9"/>
      <c r="GG105" s="9"/>
      <c r="GH105" s="9"/>
      <c r="GI105" s="9"/>
    </row>
    <row r="106" spans="1:191" ht="15" customHeight="1" x14ac:dyDescent="0.25">
      <c r="A106" s="349">
        <v>544554630384</v>
      </c>
      <c r="B106" s="10">
        <f t="shared" si="7"/>
        <v>0</v>
      </c>
      <c r="C106" s="10">
        <v>0</v>
      </c>
      <c r="D106" s="10" t="b">
        <f t="shared" si="5"/>
        <v>1</v>
      </c>
      <c r="E106" s="10">
        <f t="shared" si="6"/>
        <v>0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9"/>
      <c r="Y106" s="9"/>
      <c r="Z106" s="8"/>
      <c r="AA106" s="8"/>
      <c r="AB106" s="8"/>
      <c r="AC106" s="8"/>
      <c r="AD106" s="8"/>
      <c r="AE106" s="9"/>
      <c r="AF106" s="9"/>
      <c r="AG106" s="9"/>
      <c r="AH106" s="9"/>
      <c r="AI106" s="9"/>
      <c r="AJ106" s="8"/>
      <c r="AK106" s="8"/>
      <c r="AL106" s="8"/>
      <c r="AM106" s="8"/>
      <c r="AN106" s="8"/>
      <c r="AO106" s="9"/>
      <c r="AP106" s="9"/>
      <c r="AQ106" s="9"/>
      <c r="AR106" s="9"/>
      <c r="AS106" s="9"/>
      <c r="AT106" s="8"/>
      <c r="AU106" s="8"/>
      <c r="AV106" s="8"/>
      <c r="AW106" s="8"/>
      <c r="AX106" s="8"/>
      <c r="AY106" s="8"/>
      <c r="AZ106" s="9"/>
      <c r="BA106" s="9"/>
      <c r="BB106" s="9"/>
      <c r="BC106" s="9"/>
      <c r="BD106" s="9"/>
      <c r="BE106" s="9"/>
      <c r="BF106" s="9"/>
      <c r="BG106" s="8"/>
      <c r="BH106" s="8"/>
      <c r="BI106" s="8"/>
      <c r="BJ106" s="8"/>
      <c r="BK106" s="8"/>
      <c r="BL106" s="8"/>
      <c r="BM106" s="9"/>
      <c r="BN106" s="9"/>
      <c r="BO106" s="9"/>
      <c r="BP106" s="9"/>
      <c r="BQ106" s="9"/>
      <c r="BR106" s="8"/>
      <c r="BS106" s="8"/>
      <c r="BT106" s="8"/>
      <c r="BU106" s="8"/>
      <c r="BV106" s="8"/>
      <c r="BW106" s="8"/>
      <c r="BX106" s="8"/>
      <c r="BY106" s="8"/>
      <c r="BZ106" s="9"/>
      <c r="CA106" s="9"/>
      <c r="CB106" s="9"/>
      <c r="CC106" s="9"/>
      <c r="CD106" s="9"/>
      <c r="CE106" s="8"/>
      <c r="CF106" s="8"/>
      <c r="CG106" s="8"/>
      <c r="CH106" s="8"/>
      <c r="CI106" s="8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8"/>
      <c r="CX106" s="8"/>
      <c r="CY106" s="8"/>
      <c r="CZ106" s="8"/>
      <c r="DA106" s="8"/>
      <c r="DB106" s="9"/>
      <c r="DC106" s="9"/>
      <c r="DD106" s="9"/>
      <c r="DE106" s="9"/>
      <c r="DF106" s="9"/>
      <c r="DG106" s="9"/>
      <c r="DH106" s="9"/>
      <c r="DI106" s="8"/>
      <c r="DJ106" s="8"/>
      <c r="DK106" s="8"/>
      <c r="DL106" s="8"/>
      <c r="DM106" s="8"/>
      <c r="DN106" s="8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8"/>
      <c r="DZ106" s="8"/>
      <c r="EA106" s="8"/>
      <c r="EB106" s="8"/>
      <c r="EC106" s="8"/>
      <c r="ED106" s="9"/>
      <c r="EE106" s="9"/>
      <c r="EF106" s="9"/>
      <c r="EG106" s="9"/>
      <c r="EH106" s="9"/>
      <c r="EI106" s="9"/>
      <c r="EJ106" s="9"/>
      <c r="EK106" s="8"/>
      <c r="EL106" s="8"/>
      <c r="EM106" s="8"/>
      <c r="EN106" s="8"/>
      <c r="EO106" s="8"/>
      <c r="EP106" s="8"/>
      <c r="EQ106" s="8"/>
      <c r="ER106" s="8"/>
      <c r="ES106" s="8"/>
      <c r="ET106" s="9"/>
      <c r="EU106" s="9"/>
      <c r="EV106" s="9"/>
      <c r="EW106" s="9"/>
      <c r="EX106" s="9"/>
      <c r="EY106" s="9"/>
      <c r="EZ106" s="9"/>
      <c r="FA106" s="9"/>
      <c r="FB106" s="8"/>
      <c r="FC106" s="8"/>
      <c r="FD106" s="8"/>
      <c r="FE106" s="8"/>
      <c r="FF106" s="9"/>
      <c r="FG106" s="9"/>
      <c r="FH106" s="9"/>
      <c r="FI106" s="9"/>
      <c r="FJ106" s="9"/>
      <c r="FK106" s="9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9"/>
      <c r="GA106" s="9"/>
      <c r="GB106" s="9"/>
      <c r="GC106" s="9"/>
      <c r="GD106" s="9"/>
      <c r="GE106" s="9"/>
      <c r="GF106" s="9"/>
      <c r="GG106" s="9"/>
      <c r="GH106" s="9"/>
      <c r="GI106" s="9"/>
    </row>
    <row r="107" spans="1:191" ht="15" customHeight="1" x14ac:dyDescent="0.25">
      <c r="A107" s="349">
        <v>544554630386</v>
      </c>
      <c r="B107" s="10">
        <f t="shared" si="7"/>
        <v>0</v>
      </c>
      <c r="C107" s="10">
        <v>0</v>
      </c>
      <c r="D107" s="10" t="b">
        <f t="shared" si="5"/>
        <v>1</v>
      </c>
      <c r="E107" s="10">
        <f t="shared" si="6"/>
        <v>0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9"/>
      <c r="Y107" s="9"/>
      <c r="Z107" s="8"/>
      <c r="AA107" s="8"/>
      <c r="AB107" s="8"/>
      <c r="AC107" s="8"/>
      <c r="AD107" s="8"/>
      <c r="AE107" s="9"/>
      <c r="AF107" s="9"/>
      <c r="AG107" s="9"/>
      <c r="AH107" s="9"/>
      <c r="AI107" s="9"/>
      <c r="AJ107" s="8"/>
      <c r="AK107" s="8"/>
      <c r="AL107" s="8"/>
      <c r="AM107" s="8"/>
      <c r="AN107" s="8"/>
      <c r="AO107" s="9"/>
      <c r="AP107" s="9"/>
      <c r="AQ107" s="9"/>
      <c r="AR107" s="9"/>
      <c r="AS107" s="9"/>
      <c r="AT107" s="8"/>
      <c r="AU107" s="8"/>
      <c r="AV107" s="8"/>
      <c r="AW107" s="8"/>
      <c r="AX107" s="8"/>
      <c r="AY107" s="8"/>
      <c r="AZ107" s="9"/>
      <c r="BA107" s="9"/>
      <c r="BB107" s="9"/>
      <c r="BC107" s="9"/>
      <c r="BD107" s="9"/>
      <c r="BE107" s="9"/>
      <c r="BF107" s="9"/>
      <c r="BG107" s="8"/>
      <c r="BH107" s="8"/>
      <c r="BI107" s="8"/>
      <c r="BJ107" s="8"/>
      <c r="BK107" s="8"/>
      <c r="BL107" s="8"/>
      <c r="BM107" s="9"/>
      <c r="BN107" s="9"/>
      <c r="BO107" s="9"/>
      <c r="BP107" s="9"/>
      <c r="BQ107" s="9"/>
      <c r="BR107" s="8"/>
      <c r="BS107" s="8"/>
      <c r="BT107" s="8"/>
      <c r="BU107" s="8"/>
      <c r="BV107" s="8"/>
      <c r="BW107" s="8"/>
      <c r="BX107" s="8"/>
      <c r="BY107" s="8"/>
      <c r="BZ107" s="9"/>
      <c r="CA107" s="9"/>
      <c r="CB107" s="9"/>
      <c r="CC107" s="9"/>
      <c r="CD107" s="9"/>
      <c r="CE107" s="8"/>
      <c r="CF107" s="8"/>
      <c r="CG107" s="8"/>
      <c r="CH107" s="8"/>
      <c r="CI107" s="8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8"/>
      <c r="CX107" s="8"/>
      <c r="CY107" s="8"/>
      <c r="CZ107" s="8"/>
      <c r="DA107" s="8"/>
      <c r="DB107" s="9"/>
      <c r="DC107" s="9"/>
      <c r="DD107" s="9"/>
      <c r="DE107" s="9"/>
      <c r="DF107" s="9"/>
      <c r="DG107" s="9"/>
      <c r="DH107" s="9"/>
      <c r="DI107" s="8"/>
      <c r="DJ107" s="8"/>
      <c r="DK107" s="8"/>
      <c r="DL107" s="8"/>
      <c r="DM107" s="8"/>
      <c r="DN107" s="8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8"/>
      <c r="DZ107" s="8"/>
      <c r="EA107" s="8"/>
      <c r="EB107" s="8"/>
      <c r="EC107" s="8"/>
      <c r="ED107" s="9"/>
      <c r="EE107" s="9"/>
      <c r="EF107" s="9"/>
      <c r="EG107" s="9"/>
      <c r="EH107" s="9"/>
      <c r="EI107" s="9"/>
      <c r="EJ107" s="9"/>
      <c r="EK107" s="8"/>
      <c r="EL107" s="8"/>
      <c r="EM107" s="8"/>
      <c r="EN107" s="8"/>
      <c r="EO107" s="8"/>
      <c r="EP107" s="8"/>
      <c r="EQ107" s="8"/>
      <c r="ER107" s="8"/>
      <c r="ES107" s="8"/>
      <c r="ET107" s="9"/>
      <c r="EU107" s="9"/>
      <c r="EV107" s="9"/>
      <c r="EW107" s="9"/>
      <c r="EX107" s="9"/>
      <c r="EY107" s="9"/>
      <c r="EZ107" s="9"/>
      <c r="FA107" s="9"/>
      <c r="FB107" s="8"/>
      <c r="FC107" s="8"/>
      <c r="FD107" s="8"/>
      <c r="FE107" s="8"/>
      <c r="FF107" s="9"/>
      <c r="FG107" s="9"/>
      <c r="FH107" s="9"/>
      <c r="FI107" s="9"/>
      <c r="FJ107" s="9"/>
      <c r="FK107" s="9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9"/>
      <c r="GA107" s="9"/>
      <c r="GB107" s="9"/>
      <c r="GC107" s="9"/>
      <c r="GD107" s="9"/>
      <c r="GE107" s="9"/>
      <c r="GF107" s="9"/>
      <c r="GG107" s="9"/>
      <c r="GH107" s="9"/>
      <c r="GI107" s="9"/>
    </row>
    <row r="108" spans="1:191" ht="18" customHeight="1" x14ac:dyDescent="0.25">
      <c r="A108" s="349">
        <v>544554630387</v>
      </c>
      <c r="B108" s="10">
        <f t="shared" si="7"/>
        <v>0</v>
      </c>
      <c r="C108" s="10">
        <v>0</v>
      </c>
      <c r="D108" s="10" t="b">
        <f t="shared" si="5"/>
        <v>1</v>
      </c>
      <c r="E108" s="10">
        <f t="shared" si="6"/>
        <v>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9"/>
      <c r="Y108" s="9"/>
      <c r="Z108" s="8"/>
      <c r="AA108" s="8"/>
      <c r="AB108" s="8"/>
      <c r="AC108" s="8"/>
      <c r="AD108" s="8"/>
      <c r="AE108" s="9"/>
      <c r="AF108" s="9"/>
      <c r="AG108" s="9"/>
      <c r="AH108" s="9"/>
      <c r="AI108" s="9"/>
      <c r="AJ108" s="8"/>
      <c r="AK108" s="8"/>
      <c r="AL108" s="8"/>
      <c r="AM108" s="8"/>
      <c r="AN108" s="8"/>
      <c r="AO108" s="9"/>
      <c r="AP108" s="9"/>
      <c r="AQ108" s="9"/>
      <c r="AR108" s="9"/>
      <c r="AS108" s="9"/>
      <c r="AT108" s="8"/>
      <c r="AU108" s="8"/>
      <c r="AV108" s="8"/>
      <c r="AW108" s="8"/>
      <c r="AX108" s="8"/>
      <c r="AY108" s="8"/>
      <c r="AZ108" s="9"/>
      <c r="BA108" s="9"/>
      <c r="BB108" s="9"/>
      <c r="BC108" s="9"/>
      <c r="BD108" s="9"/>
      <c r="BE108" s="9"/>
      <c r="BF108" s="9"/>
      <c r="BG108" s="8"/>
      <c r="BH108" s="8"/>
      <c r="BI108" s="8"/>
      <c r="BJ108" s="8"/>
      <c r="BK108" s="8"/>
      <c r="BL108" s="8"/>
      <c r="BM108" s="9"/>
      <c r="BN108" s="9"/>
      <c r="BO108" s="9"/>
      <c r="BP108" s="9"/>
      <c r="BQ108" s="9"/>
      <c r="BR108" s="8"/>
      <c r="BS108" s="8"/>
      <c r="BT108" s="8"/>
      <c r="BU108" s="8"/>
      <c r="BV108" s="8"/>
      <c r="BW108" s="8"/>
      <c r="BX108" s="8"/>
      <c r="BY108" s="8"/>
      <c r="BZ108" s="9"/>
      <c r="CA108" s="9"/>
      <c r="CB108" s="9"/>
      <c r="CC108" s="9"/>
      <c r="CD108" s="9"/>
      <c r="CE108" s="8"/>
      <c r="CF108" s="8"/>
      <c r="CG108" s="8"/>
      <c r="CH108" s="8"/>
      <c r="CI108" s="8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8"/>
      <c r="CX108" s="8"/>
      <c r="CY108" s="8"/>
      <c r="CZ108" s="8"/>
      <c r="DA108" s="8"/>
      <c r="DB108" s="9"/>
      <c r="DC108" s="9"/>
      <c r="DD108" s="9"/>
      <c r="DE108" s="9"/>
      <c r="DF108" s="9"/>
      <c r="DG108" s="9"/>
      <c r="DH108" s="9"/>
      <c r="DI108" s="8"/>
      <c r="DJ108" s="8"/>
      <c r="DK108" s="8"/>
      <c r="DL108" s="8"/>
      <c r="DM108" s="8"/>
      <c r="DN108" s="8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8"/>
      <c r="DZ108" s="8"/>
      <c r="EA108" s="8"/>
      <c r="EB108" s="8"/>
      <c r="EC108" s="8"/>
      <c r="ED108" s="9"/>
      <c r="EE108" s="9"/>
      <c r="EF108" s="9"/>
      <c r="EG108" s="9"/>
      <c r="EH108" s="9"/>
      <c r="EI108" s="9"/>
      <c r="EJ108" s="9"/>
      <c r="EK108" s="8"/>
      <c r="EL108" s="8"/>
      <c r="EM108" s="8"/>
      <c r="EN108" s="8"/>
      <c r="EO108" s="8"/>
      <c r="EP108" s="8"/>
      <c r="EQ108" s="8"/>
      <c r="ER108" s="8"/>
      <c r="ES108" s="8"/>
      <c r="ET108" s="9"/>
      <c r="EU108" s="9"/>
      <c r="EV108" s="9"/>
      <c r="EW108" s="9"/>
      <c r="EX108" s="9"/>
      <c r="EY108" s="9"/>
      <c r="EZ108" s="9"/>
      <c r="FA108" s="9"/>
      <c r="FB108" s="8"/>
      <c r="FC108" s="8"/>
      <c r="FD108" s="8"/>
      <c r="FE108" s="8"/>
      <c r="FF108" s="9"/>
      <c r="FG108" s="9"/>
      <c r="FH108" s="9"/>
      <c r="FI108" s="9"/>
      <c r="FJ108" s="9"/>
      <c r="FK108" s="9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9"/>
      <c r="GA108" s="9"/>
      <c r="GB108" s="9"/>
      <c r="GC108" s="9"/>
      <c r="GD108" s="9"/>
      <c r="GE108" s="9"/>
      <c r="GF108" s="9"/>
      <c r="GG108" s="9"/>
      <c r="GH108" s="9"/>
      <c r="GI108" s="9"/>
    </row>
    <row r="109" spans="1:191" ht="15" customHeight="1" x14ac:dyDescent="0.25">
      <c r="A109" s="349">
        <v>544554630388</v>
      </c>
      <c r="B109" s="10">
        <f t="shared" si="7"/>
        <v>0</v>
      </c>
      <c r="C109" s="10">
        <v>0</v>
      </c>
      <c r="D109" s="10" t="b">
        <f t="shared" si="5"/>
        <v>1</v>
      </c>
      <c r="E109" s="10">
        <f t="shared" si="6"/>
        <v>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9"/>
      <c r="Y109" s="9"/>
      <c r="Z109" s="8"/>
      <c r="AA109" s="8"/>
      <c r="AB109" s="8"/>
      <c r="AC109" s="8"/>
      <c r="AD109" s="8"/>
      <c r="AE109" s="9"/>
      <c r="AF109" s="9"/>
      <c r="AG109" s="9"/>
      <c r="AH109" s="9"/>
      <c r="AI109" s="9"/>
      <c r="AJ109" s="8"/>
      <c r="AK109" s="8"/>
      <c r="AL109" s="8"/>
      <c r="AM109" s="8"/>
      <c r="AN109" s="8"/>
      <c r="AO109" s="9"/>
      <c r="AP109" s="9"/>
      <c r="AQ109" s="9"/>
      <c r="AR109" s="9"/>
      <c r="AS109" s="9"/>
      <c r="AT109" s="8"/>
      <c r="AU109" s="8"/>
      <c r="AV109" s="8"/>
      <c r="AW109" s="8"/>
      <c r="AX109" s="8"/>
      <c r="AY109" s="8"/>
      <c r="AZ109" s="9"/>
      <c r="BA109" s="9"/>
      <c r="BB109" s="9"/>
      <c r="BC109" s="9"/>
      <c r="BD109" s="9"/>
      <c r="BE109" s="9"/>
      <c r="BF109" s="9"/>
      <c r="BG109" s="8"/>
      <c r="BH109" s="8"/>
      <c r="BI109" s="8"/>
      <c r="BJ109" s="8"/>
      <c r="BK109" s="8"/>
      <c r="BL109" s="8"/>
      <c r="BM109" s="9"/>
      <c r="BN109" s="9"/>
      <c r="BO109" s="9"/>
      <c r="BP109" s="9"/>
      <c r="BQ109" s="9"/>
      <c r="BR109" s="8"/>
      <c r="BS109" s="8"/>
      <c r="BT109" s="8"/>
      <c r="BU109" s="8"/>
      <c r="BV109" s="8"/>
      <c r="BW109" s="8"/>
      <c r="BX109" s="8"/>
      <c r="BY109" s="8"/>
      <c r="BZ109" s="9"/>
      <c r="CA109" s="9"/>
      <c r="CB109" s="9"/>
      <c r="CC109" s="9"/>
      <c r="CD109" s="9"/>
      <c r="CE109" s="8"/>
      <c r="CF109" s="8"/>
      <c r="CG109" s="8"/>
      <c r="CH109" s="8"/>
      <c r="CI109" s="8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8"/>
      <c r="CX109" s="8"/>
      <c r="CY109" s="8"/>
      <c r="CZ109" s="8"/>
      <c r="DA109" s="8"/>
      <c r="DB109" s="9"/>
      <c r="DC109" s="9"/>
      <c r="DD109" s="9"/>
      <c r="DE109" s="9"/>
      <c r="DF109" s="9"/>
      <c r="DG109" s="9"/>
      <c r="DH109" s="9"/>
      <c r="DI109" s="8"/>
      <c r="DJ109" s="8"/>
      <c r="DK109" s="8"/>
      <c r="DL109" s="8"/>
      <c r="DM109" s="8"/>
      <c r="DN109" s="8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8"/>
      <c r="DZ109" s="8"/>
      <c r="EA109" s="8"/>
      <c r="EB109" s="8"/>
      <c r="EC109" s="8"/>
      <c r="ED109" s="9"/>
      <c r="EE109" s="9"/>
      <c r="EF109" s="9"/>
      <c r="EG109" s="9"/>
      <c r="EH109" s="9"/>
      <c r="EI109" s="9"/>
      <c r="EJ109" s="9"/>
      <c r="EK109" s="8"/>
      <c r="EL109" s="8"/>
      <c r="EM109" s="8"/>
      <c r="EN109" s="8"/>
      <c r="EO109" s="8"/>
      <c r="EP109" s="8"/>
      <c r="EQ109" s="8"/>
      <c r="ER109" s="8"/>
      <c r="ES109" s="8"/>
      <c r="ET109" s="9"/>
      <c r="EU109" s="9"/>
      <c r="EV109" s="9"/>
      <c r="EW109" s="9"/>
      <c r="EX109" s="9"/>
      <c r="EY109" s="9"/>
      <c r="EZ109" s="9"/>
      <c r="FA109" s="9"/>
      <c r="FB109" s="8"/>
      <c r="FC109" s="8"/>
      <c r="FD109" s="8"/>
      <c r="FE109" s="8"/>
      <c r="FF109" s="9"/>
      <c r="FG109" s="9"/>
      <c r="FH109" s="9"/>
      <c r="FI109" s="9"/>
      <c r="FJ109" s="9"/>
      <c r="FK109" s="9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9"/>
      <c r="GA109" s="9"/>
      <c r="GB109" s="9"/>
      <c r="GC109" s="9"/>
      <c r="GD109" s="9"/>
      <c r="GE109" s="9"/>
      <c r="GF109" s="9"/>
      <c r="GG109" s="9"/>
      <c r="GH109" s="9"/>
      <c r="GI109" s="9"/>
    </row>
    <row r="110" spans="1:191" ht="15" customHeight="1" x14ac:dyDescent="0.25">
      <c r="A110" s="349">
        <v>544554630389</v>
      </c>
      <c r="B110" s="10">
        <f t="shared" si="7"/>
        <v>0</v>
      </c>
      <c r="C110" s="10">
        <v>0</v>
      </c>
      <c r="D110" s="10" t="b">
        <f t="shared" si="5"/>
        <v>1</v>
      </c>
      <c r="E110" s="10">
        <f t="shared" si="6"/>
        <v>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9"/>
      <c r="Y110" s="9"/>
      <c r="Z110" s="8"/>
      <c r="AA110" s="8"/>
      <c r="AB110" s="8"/>
      <c r="AC110" s="8"/>
      <c r="AD110" s="8"/>
      <c r="AE110" s="9"/>
      <c r="AF110" s="9"/>
      <c r="AG110" s="9"/>
      <c r="AH110" s="9"/>
      <c r="AI110" s="9"/>
      <c r="AJ110" s="8"/>
      <c r="AK110" s="8"/>
      <c r="AL110" s="8"/>
      <c r="AM110" s="8"/>
      <c r="AN110" s="8"/>
      <c r="AO110" s="9"/>
      <c r="AP110" s="9"/>
      <c r="AQ110" s="9"/>
      <c r="AR110" s="9"/>
      <c r="AS110" s="9"/>
      <c r="AT110" s="8"/>
      <c r="AU110" s="8"/>
      <c r="AV110" s="8"/>
      <c r="AW110" s="8"/>
      <c r="AX110" s="8"/>
      <c r="AY110" s="8"/>
      <c r="AZ110" s="9"/>
      <c r="BA110" s="9"/>
      <c r="BB110" s="9"/>
      <c r="BC110" s="9"/>
      <c r="BD110" s="9"/>
      <c r="BE110" s="9"/>
      <c r="BF110" s="9"/>
      <c r="BG110" s="8"/>
      <c r="BH110" s="8"/>
      <c r="BI110" s="8"/>
      <c r="BJ110" s="8"/>
      <c r="BK110" s="8"/>
      <c r="BL110" s="8"/>
      <c r="BM110" s="9"/>
      <c r="BN110" s="9"/>
      <c r="BO110" s="9"/>
      <c r="BP110" s="9"/>
      <c r="BQ110" s="9"/>
      <c r="BR110" s="8"/>
      <c r="BS110" s="8"/>
      <c r="BT110" s="8"/>
      <c r="BU110" s="8"/>
      <c r="BV110" s="8"/>
      <c r="BW110" s="8"/>
      <c r="BX110" s="8"/>
      <c r="BY110" s="8"/>
      <c r="BZ110" s="9"/>
      <c r="CA110" s="9"/>
      <c r="CB110" s="9"/>
      <c r="CC110" s="9"/>
      <c r="CD110" s="9"/>
      <c r="CE110" s="8"/>
      <c r="CF110" s="8"/>
      <c r="CG110" s="8"/>
      <c r="CH110" s="8"/>
      <c r="CI110" s="8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8"/>
      <c r="CX110" s="8"/>
      <c r="CY110" s="8"/>
      <c r="CZ110" s="8"/>
      <c r="DA110" s="8"/>
      <c r="DB110" s="9"/>
      <c r="DC110" s="9"/>
      <c r="DD110" s="9"/>
      <c r="DE110" s="9"/>
      <c r="DF110" s="9"/>
      <c r="DG110" s="9"/>
      <c r="DH110" s="9"/>
      <c r="DI110" s="8"/>
      <c r="DJ110" s="8"/>
      <c r="DK110" s="8"/>
      <c r="DL110" s="8"/>
      <c r="DM110" s="8"/>
      <c r="DN110" s="8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8"/>
      <c r="DZ110" s="8"/>
      <c r="EA110" s="8"/>
      <c r="EB110" s="8"/>
      <c r="EC110" s="8"/>
      <c r="ED110" s="9"/>
      <c r="EE110" s="9"/>
      <c r="EF110" s="9"/>
      <c r="EG110" s="9"/>
      <c r="EH110" s="9"/>
      <c r="EI110" s="9"/>
      <c r="EJ110" s="9"/>
      <c r="EK110" s="8"/>
      <c r="EL110" s="8"/>
      <c r="EM110" s="8"/>
      <c r="EN110" s="8"/>
      <c r="EO110" s="8"/>
      <c r="EP110" s="8"/>
      <c r="EQ110" s="8"/>
      <c r="ER110" s="8"/>
      <c r="ES110" s="8"/>
      <c r="ET110" s="9"/>
      <c r="EU110" s="9"/>
      <c r="EV110" s="9"/>
      <c r="EW110" s="9"/>
      <c r="EX110" s="9"/>
      <c r="EY110" s="9"/>
      <c r="EZ110" s="9"/>
      <c r="FA110" s="9"/>
      <c r="FB110" s="8"/>
      <c r="FC110" s="8"/>
      <c r="FD110" s="8"/>
      <c r="FE110" s="8"/>
      <c r="FF110" s="9"/>
      <c r="FG110" s="9"/>
      <c r="FH110" s="9"/>
      <c r="FI110" s="9"/>
      <c r="FJ110" s="9"/>
      <c r="FK110" s="9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9"/>
      <c r="GA110" s="9"/>
      <c r="GB110" s="9"/>
      <c r="GC110" s="9"/>
      <c r="GD110" s="9"/>
      <c r="GE110" s="9"/>
      <c r="GF110" s="9"/>
      <c r="GG110" s="9"/>
      <c r="GH110" s="9"/>
      <c r="GI110" s="9"/>
    </row>
    <row r="111" spans="1:191" ht="15" customHeight="1" x14ac:dyDescent="0.25">
      <c r="A111" s="349">
        <v>544554630390</v>
      </c>
      <c r="B111" s="10">
        <f t="shared" si="7"/>
        <v>0</v>
      </c>
      <c r="C111" s="10">
        <v>0</v>
      </c>
      <c r="D111" s="10" t="b">
        <f t="shared" si="5"/>
        <v>1</v>
      </c>
      <c r="E111" s="10">
        <f t="shared" si="6"/>
        <v>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9"/>
      <c r="Y111" s="9"/>
      <c r="Z111" s="8"/>
      <c r="AA111" s="8"/>
      <c r="AB111" s="8"/>
      <c r="AC111" s="8"/>
      <c r="AD111" s="8"/>
      <c r="AE111" s="9"/>
      <c r="AF111" s="9"/>
      <c r="AG111" s="9"/>
      <c r="AH111" s="9"/>
      <c r="AI111" s="9"/>
      <c r="AJ111" s="8"/>
      <c r="AK111" s="8"/>
      <c r="AL111" s="8"/>
      <c r="AM111" s="8"/>
      <c r="AN111" s="8"/>
      <c r="AO111" s="9"/>
      <c r="AP111" s="9"/>
      <c r="AQ111" s="9"/>
      <c r="AR111" s="9"/>
      <c r="AS111" s="9"/>
      <c r="AT111" s="8"/>
      <c r="AU111" s="8"/>
      <c r="AV111" s="8"/>
      <c r="AW111" s="8"/>
      <c r="AX111" s="8"/>
      <c r="AY111" s="8"/>
      <c r="AZ111" s="9"/>
      <c r="BA111" s="9"/>
      <c r="BB111" s="9"/>
      <c r="BC111" s="9"/>
      <c r="BD111" s="9"/>
      <c r="BE111" s="9"/>
      <c r="BF111" s="9"/>
      <c r="BG111" s="8"/>
      <c r="BH111" s="8"/>
      <c r="BI111" s="8"/>
      <c r="BJ111" s="8"/>
      <c r="BK111" s="8"/>
      <c r="BL111" s="8"/>
      <c r="BM111" s="9"/>
      <c r="BN111" s="9"/>
      <c r="BO111" s="9"/>
      <c r="BP111" s="9"/>
      <c r="BQ111" s="9"/>
      <c r="BR111" s="8"/>
      <c r="BS111" s="8"/>
      <c r="BT111" s="8"/>
      <c r="BU111" s="8"/>
      <c r="BV111" s="8"/>
      <c r="BW111" s="8"/>
      <c r="BX111" s="8"/>
      <c r="BY111" s="8"/>
      <c r="BZ111" s="9"/>
      <c r="CA111" s="9"/>
      <c r="CB111" s="9"/>
      <c r="CC111" s="9"/>
      <c r="CD111" s="9"/>
      <c r="CE111" s="8"/>
      <c r="CF111" s="8"/>
      <c r="CG111" s="8"/>
      <c r="CH111" s="8"/>
      <c r="CI111" s="8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8"/>
      <c r="CX111" s="8"/>
      <c r="CY111" s="8"/>
      <c r="CZ111" s="8"/>
      <c r="DA111" s="8"/>
      <c r="DB111" s="9"/>
      <c r="DC111" s="9"/>
      <c r="DD111" s="9"/>
      <c r="DE111" s="9"/>
      <c r="DF111" s="9"/>
      <c r="DG111" s="9"/>
      <c r="DH111" s="9"/>
      <c r="DI111" s="8"/>
      <c r="DJ111" s="8"/>
      <c r="DK111" s="8"/>
      <c r="DL111" s="8"/>
      <c r="DM111" s="8"/>
      <c r="DN111" s="8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8"/>
      <c r="DZ111" s="8"/>
      <c r="EA111" s="8"/>
      <c r="EB111" s="8"/>
      <c r="EC111" s="8"/>
      <c r="ED111" s="9"/>
      <c r="EE111" s="9"/>
      <c r="EF111" s="9"/>
      <c r="EG111" s="9"/>
      <c r="EH111" s="9"/>
      <c r="EI111" s="9"/>
      <c r="EJ111" s="9"/>
      <c r="EK111" s="8"/>
      <c r="EL111" s="8"/>
      <c r="EM111" s="8"/>
      <c r="EN111" s="8"/>
      <c r="EO111" s="8"/>
      <c r="EP111" s="8"/>
      <c r="EQ111" s="8"/>
      <c r="ER111" s="8"/>
      <c r="ES111" s="8"/>
      <c r="ET111" s="9"/>
      <c r="EU111" s="9"/>
      <c r="EV111" s="9"/>
      <c r="EW111" s="9"/>
      <c r="EX111" s="9"/>
      <c r="EY111" s="9"/>
      <c r="EZ111" s="9"/>
      <c r="FA111" s="9"/>
      <c r="FB111" s="8"/>
      <c r="FC111" s="8"/>
      <c r="FD111" s="8"/>
      <c r="FE111" s="8"/>
      <c r="FF111" s="9"/>
      <c r="FG111" s="9"/>
      <c r="FH111" s="9"/>
      <c r="FI111" s="9"/>
      <c r="FJ111" s="9"/>
      <c r="FK111" s="9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9"/>
      <c r="GA111" s="9"/>
      <c r="GB111" s="9"/>
      <c r="GC111" s="9"/>
      <c r="GD111" s="9"/>
      <c r="GE111" s="9"/>
      <c r="GF111" s="9"/>
      <c r="GG111" s="9"/>
      <c r="GH111" s="9"/>
      <c r="GI111" s="9"/>
    </row>
    <row r="112" spans="1:191" ht="15.75" customHeight="1" x14ac:dyDescent="0.25">
      <c r="A112" s="349">
        <v>544554630391</v>
      </c>
      <c r="B112" s="10">
        <f t="shared" si="7"/>
        <v>0</v>
      </c>
      <c r="C112" s="10">
        <v>0</v>
      </c>
      <c r="D112" s="10" t="b">
        <f t="shared" si="5"/>
        <v>1</v>
      </c>
      <c r="E112" s="10">
        <f t="shared" si="6"/>
        <v>0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9"/>
      <c r="Y112" s="9"/>
      <c r="Z112" s="8"/>
      <c r="AA112" s="8"/>
      <c r="AB112" s="8"/>
      <c r="AC112" s="8"/>
      <c r="AD112" s="8"/>
      <c r="AE112" s="9"/>
      <c r="AF112" s="9"/>
      <c r="AG112" s="9"/>
      <c r="AH112" s="9"/>
      <c r="AI112" s="9"/>
      <c r="AJ112" s="8"/>
      <c r="AK112" s="8"/>
      <c r="AL112" s="8"/>
      <c r="AM112" s="8"/>
      <c r="AN112" s="8"/>
      <c r="AO112" s="9"/>
      <c r="AP112" s="9"/>
      <c r="AQ112" s="9"/>
      <c r="AR112" s="9"/>
      <c r="AS112" s="9"/>
      <c r="AT112" s="8"/>
      <c r="AU112" s="8"/>
      <c r="AV112" s="8"/>
      <c r="AW112" s="8"/>
      <c r="AX112" s="8"/>
      <c r="AY112" s="8"/>
      <c r="AZ112" s="9"/>
      <c r="BA112" s="9"/>
      <c r="BB112" s="9"/>
      <c r="BC112" s="9"/>
      <c r="BD112" s="9"/>
      <c r="BE112" s="9"/>
      <c r="BF112" s="9"/>
      <c r="BG112" s="8"/>
      <c r="BH112" s="8"/>
      <c r="BI112" s="8"/>
      <c r="BJ112" s="8"/>
      <c r="BK112" s="8"/>
      <c r="BL112" s="8"/>
      <c r="BM112" s="9"/>
      <c r="BN112" s="9"/>
      <c r="BO112" s="9"/>
      <c r="BP112" s="9"/>
      <c r="BQ112" s="9"/>
      <c r="BR112" s="8"/>
      <c r="BS112" s="8"/>
      <c r="BT112" s="8"/>
      <c r="BU112" s="8"/>
      <c r="BV112" s="8"/>
      <c r="BW112" s="8"/>
      <c r="BX112" s="8"/>
      <c r="BY112" s="8"/>
      <c r="BZ112" s="9"/>
      <c r="CA112" s="9"/>
      <c r="CB112" s="9"/>
      <c r="CC112" s="9"/>
      <c r="CD112" s="9"/>
      <c r="CE112" s="8"/>
      <c r="CF112" s="8"/>
      <c r="CG112" s="8"/>
      <c r="CH112" s="8"/>
      <c r="CI112" s="8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8"/>
      <c r="CX112" s="8"/>
      <c r="CY112" s="8"/>
      <c r="CZ112" s="8"/>
      <c r="DA112" s="8"/>
      <c r="DB112" s="9"/>
      <c r="DC112" s="9"/>
      <c r="DD112" s="9"/>
      <c r="DE112" s="9"/>
      <c r="DF112" s="9"/>
      <c r="DG112" s="9"/>
      <c r="DH112" s="9"/>
      <c r="DI112" s="8"/>
      <c r="DJ112" s="8"/>
      <c r="DK112" s="8"/>
      <c r="DL112" s="8"/>
      <c r="DM112" s="8"/>
      <c r="DN112" s="8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8"/>
      <c r="DZ112" s="8"/>
      <c r="EA112" s="8"/>
      <c r="EB112" s="8"/>
      <c r="EC112" s="8"/>
      <c r="ED112" s="9"/>
      <c r="EE112" s="9"/>
      <c r="EF112" s="9"/>
      <c r="EG112" s="9"/>
      <c r="EH112" s="9"/>
      <c r="EI112" s="9"/>
      <c r="EJ112" s="9"/>
      <c r="EK112" s="8"/>
      <c r="EL112" s="8"/>
      <c r="EM112" s="8"/>
      <c r="EN112" s="8"/>
      <c r="EO112" s="8"/>
      <c r="EP112" s="8"/>
      <c r="EQ112" s="8"/>
      <c r="ER112" s="8"/>
      <c r="ES112" s="8"/>
      <c r="ET112" s="9"/>
      <c r="EU112" s="9"/>
      <c r="EV112" s="9"/>
      <c r="EW112" s="9"/>
      <c r="EX112" s="9"/>
      <c r="EY112" s="9"/>
      <c r="EZ112" s="9"/>
      <c r="FA112" s="9"/>
      <c r="FB112" s="8"/>
      <c r="FC112" s="8"/>
      <c r="FD112" s="8"/>
      <c r="FE112" s="8"/>
      <c r="FF112" s="9"/>
      <c r="FG112" s="9"/>
      <c r="FH112" s="9"/>
      <c r="FI112" s="9"/>
      <c r="FJ112" s="9"/>
      <c r="FK112" s="9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9"/>
      <c r="GA112" s="9"/>
      <c r="GB112" s="9"/>
      <c r="GC112" s="9"/>
      <c r="GD112" s="9"/>
      <c r="GE112" s="9"/>
      <c r="GF112" s="9"/>
      <c r="GG112" s="9"/>
      <c r="GH112" s="9"/>
      <c r="GI112" s="9"/>
    </row>
    <row r="113" spans="1:191" ht="15" customHeight="1" x14ac:dyDescent="0.25">
      <c r="A113" s="349">
        <v>544554630392</v>
      </c>
      <c r="B113" s="10">
        <f t="shared" si="7"/>
        <v>0</v>
      </c>
      <c r="C113" s="10">
        <v>0</v>
      </c>
      <c r="D113" s="10" t="b">
        <f t="shared" si="5"/>
        <v>1</v>
      </c>
      <c r="E113" s="10">
        <f t="shared" si="6"/>
        <v>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9"/>
      <c r="Y113" s="9"/>
      <c r="Z113" s="8"/>
      <c r="AA113" s="8"/>
      <c r="AB113" s="8"/>
      <c r="AC113" s="8"/>
      <c r="AD113" s="8"/>
      <c r="AE113" s="9"/>
      <c r="AF113" s="9"/>
      <c r="AG113" s="9"/>
      <c r="AH113" s="9"/>
      <c r="AI113" s="9"/>
      <c r="AJ113" s="8"/>
      <c r="AK113" s="8"/>
      <c r="AL113" s="8"/>
      <c r="AM113" s="8"/>
      <c r="AN113" s="8"/>
      <c r="AO113" s="9"/>
      <c r="AP113" s="9"/>
      <c r="AQ113" s="9"/>
      <c r="AR113" s="9"/>
      <c r="AS113" s="9"/>
      <c r="AT113" s="8"/>
      <c r="AU113" s="8"/>
      <c r="AV113" s="8"/>
      <c r="AW113" s="8"/>
      <c r="AX113" s="8"/>
      <c r="AY113" s="8"/>
      <c r="AZ113" s="9"/>
      <c r="BA113" s="9"/>
      <c r="BB113" s="9"/>
      <c r="BC113" s="9"/>
      <c r="BD113" s="9"/>
      <c r="BE113" s="9"/>
      <c r="BF113" s="9"/>
      <c r="BG113" s="8"/>
      <c r="BH113" s="8"/>
      <c r="BI113" s="8"/>
      <c r="BJ113" s="8"/>
      <c r="BK113" s="8"/>
      <c r="BL113" s="8"/>
      <c r="BM113" s="9"/>
      <c r="BN113" s="9"/>
      <c r="BO113" s="9"/>
      <c r="BP113" s="9"/>
      <c r="BQ113" s="9"/>
      <c r="BR113" s="8"/>
      <c r="BS113" s="8"/>
      <c r="BT113" s="8"/>
      <c r="BU113" s="8"/>
      <c r="BV113" s="8"/>
      <c r="BW113" s="8"/>
      <c r="BX113" s="8"/>
      <c r="BY113" s="8"/>
      <c r="BZ113" s="9"/>
      <c r="CA113" s="9"/>
      <c r="CB113" s="9"/>
      <c r="CC113" s="9"/>
      <c r="CD113" s="9"/>
      <c r="CE113" s="8"/>
      <c r="CF113" s="8"/>
      <c r="CG113" s="8"/>
      <c r="CH113" s="8"/>
      <c r="CI113" s="8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8"/>
      <c r="CX113" s="8"/>
      <c r="CY113" s="8"/>
      <c r="CZ113" s="8"/>
      <c r="DA113" s="8"/>
      <c r="DB113" s="9"/>
      <c r="DC113" s="9"/>
      <c r="DD113" s="9"/>
      <c r="DE113" s="9"/>
      <c r="DF113" s="9"/>
      <c r="DG113" s="9"/>
      <c r="DH113" s="9"/>
      <c r="DI113" s="8"/>
      <c r="DJ113" s="8"/>
      <c r="DK113" s="8"/>
      <c r="DL113" s="8"/>
      <c r="DM113" s="8"/>
      <c r="DN113" s="8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8"/>
      <c r="DZ113" s="8"/>
      <c r="EA113" s="8"/>
      <c r="EB113" s="8"/>
      <c r="EC113" s="8"/>
      <c r="ED113" s="9"/>
      <c r="EE113" s="9"/>
      <c r="EF113" s="9"/>
      <c r="EG113" s="9"/>
      <c r="EH113" s="9"/>
      <c r="EI113" s="9"/>
      <c r="EJ113" s="9"/>
      <c r="EK113" s="8"/>
      <c r="EL113" s="8"/>
      <c r="EM113" s="8"/>
      <c r="EN113" s="8"/>
      <c r="EO113" s="8"/>
      <c r="EP113" s="8"/>
      <c r="EQ113" s="8"/>
      <c r="ER113" s="8"/>
      <c r="ES113" s="8"/>
      <c r="ET113" s="9"/>
      <c r="EU113" s="9"/>
      <c r="EV113" s="9"/>
      <c r="EW113" s="9"/>
      <c r="EX113" s="9"/>
      <c r="EY113" s="9"/>
      <c r="EZ113" s="9"/>
      <c r="FA113" s="9"/>
      <c r="FB113" s="8"/>
      <c r="FC113" s="8"/>
      <c r="FD113" s="8"/>
      <c r="FE113" s="8"/>
      <c r="FF113" s="9"/>
      <c r="FG113" s="9"/>
      <c r="FH113" s="9"/>
      <c r="FI113" s="9"/>
      <c r="FJ113" s="9"/>
      <c r="FK113" s="9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9"/>
      <c r="GA113" s="9"/>
      <c r="GB113" s="9"/>
      <c r="GC113" s="9"/>
      <c r="GD113" s="9"/>
      <c r="GE113" s="9"/>
      <c r="GF113" s="9"/>
      <c r="GG113" s="9"/>
      <c r="GH113" s="9"/>
      <c r="GI113" s="9"/>
    </row>
    <row r="114" spans="1:191" ht="15" customHeight="1" x14ac:dyDescent="0.25">
      <c r="A114" s="349">
        <v>544554630393</v>
      </c>
      <c r="B114" s="10">
        <f t="shared" si="7"/>
        <v>0</v>
      </c>
      <c r="C114" s="10">
        <v>0</v>
      </c>
      <c r="D114" s="10" t="b">
        <f t="shared" si="5"/>
        <v>1</v>
      </c>
      <c r="E114" s="10">
        <f t="shared" si="6"/>
        <v>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9"/>
      <c r="Y114" s="9"/>
      <c r="Z114" s="8"/>
      <c r="AA114" s="8"/>
      <c r="AB114" s="8"/>
      <c r="AC114" s="8"/>
      <c r="AD114" s="8"/>
      <c r="AE114" s="9"/>
      <c r="AF114" s="9"/>
      <c r="AG114" s="9"/>
      <c r="AH114" s="9"/>
      <c r="AI114" s="9"/>
      <c r="AJ114" s="8"/>
      <c r="AK114" s="8"/>
      <c r="AL114" s="8"/>
      <c r="AM114" s="8"/>
      <c r="AN114" s="8"/>
      <c r="AO114" s="9"/>
      <c r="AP114" s="9"/>
      <c r="AQ114" s="9"/>
      <c r="AR114" s="9"/>
      <c r="AS114" s="9"/>
      <c r="AT114" s="8"/>
      <c r="AU114" s="8"/>
      <c r="AV114" s="8"/>
      <c r="AW114" s="8"/>
      <c r="AX114" s="8"/>
      <c r="AY114" s="8"/>
      <c r="AZ114" s="9"/>
      <c r="BA114" s="9"/>
      <c r="BB114" s="9"/>
      <c r="BC114" s="9"/>
      <c r="BD114" s="9"/>
      <c r="BE114" s="9"/>
      <c r="BF114" s="9"/>
      <c r="BG114" s="8"/>
      <c r="BH114" s="8"/>
      <c r="BI114" s="8"/>
      <c r="BJ114" s="8"/>
      <c r="BK114" s="8"/>
      <c r="BL114" s="8"/>
      <c r="BM114" s="9"/>
      <c r="BN114" s="9"/>
      <c r="BO114" s="9"/>
      <c r="BP114" s="9"/>
      <c r="BQ114" s="9"/>
      <c r="BR114" s="8"/>
      <c r="BS114" s="8"/>
      <c r="BT114" s="8"/>
      <c r="BU114" s="8"/>
      <c r="BV114" s="8"/>
      <c r="BW114" s="8"/>
      <c r="BX114" s="8"/>
      <c r="BY114" s="8"/>
      <c r="BZ114" s="9"/>
      <c r="CA114" s="9"/>
      <c r="CB114" s="9"/>
      <c r="CC114" s="9"/>
      <c r="CD114" s="9"/>
      <c r="CE114" s="8"/>
      <c r="CF114" s="8"/>
      <c r="CG114" s="8"/>
      <c r="CH114" s="8"/>
      <c r="CI114" s="8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8"/>
      <c r="CX114" s="8"/>
      <c r="CY114" s="8"/>
      <c r="CZ114" s="8"/>
      <c r="DA114" s="8"/>
      <c r="DB114" s="9"/>
      <c r="DC114" s="9"/>
      <c r="DD114" s="9"/>
      <c r="DE114" s="9"/>
      <c r="DF114" s="9"/>
      <c r="DG114" s="9"/>
      <c r="DH114" s="9"/>
      <c r="DI114" s="8"/>
      <c r="DJ114" s="8"/>
      <c r="DK114" s="8"/>
      <c r="DL114" s="8"/>
      <c r="DM114" s="8"/>
      <c r="DN114" s="8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8"/>
      <c r="DZ114" s="8"/>
      <c r="EA114" s="8"/>
      <c r="EB114" s="8"/>
      <c r="EC114" s="8"/>
      <c r="ED114" s="9"/>
      <c r="EE114" s="9"/>
      <c r="EF114" s="9"/>
      <c r="EG114" s="9"/>
      <c r="EH114" s="9"/>
      <c r="EI114" s="9"/>
      <c r="EJ114" s="9"/>
      <c r="EK114" s="8"/>
      <c r="EL114" s="8"/>
      <c r="EM114" s="8"/>
      <c r="EN114" s="8"/>
      <c r="EO114" s="8"/>
      <c r="EP114" s="8"/>
      <c r="EQ114" s="8"/>
      <c r="ER114" s="8"/>
      <c r="ES114" s="8"/>
      <c r="ET114" s="9"/>
      <c r="EU114" s="9"/>
      <c r="EV114" s="9"/>
      <c r="EW114" s="9"/>
      <c r="EX114" s="9"/>
      <c r="EY114" s="9"/>
      <c r="EZ114" s="9"/>
      <c r="FA114" s="9"/>
      <c r="FB114" s="8"/>
      <c r="FC114" s="8"/>
      <c r="FD114" s="8"/>
      <c r="FE114" s="8"/>
      <c r="FF114" s="9"/>
      <c r="FG114" s="9"/>
      <c r="FH114" s="9"/>
      <c r="FI114" s="9"/>
      <c r="FJ114" s="9"/>
      <c r="FK114" s="9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9"/>
      <c r="GA114" s="9"/>
      <c r="GB114" s="9"/>
      <c r="GC114" s="9"/>
      <c r="GD114" s="9"/>
      <c r="GE114" s="9"/>
      <c r="GF114" s="9"/>
      <c r="GG114" s="9"/>
      <c r="GH114" s="9"/>
      <c r="GI114" s="9"/>
    </row>
    <row r="115" spans="1:191" ht="15" customHeight="1" x14ac:dyDescent="0.25">
      <c r="A115" s="349">
        <v>544554630395</v>
      </c>
      <c r="B115" s="10">
        <f t="shared" si="7"/>
        <v>0</v>
      </c>
      <c r="C115" s="10">
        <v>5</v>
      </c>
      <c r="D115" s="121" t="b">
        <f t="shared" si="5"/>
        <v>0</v>
      </c>
      <c r="E115" s="10">
        <f t="shared" si="6"/>
        <v>5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9"/>
      <c r="Y115" s="9"/>
      <c r="Z115" s="8"/>
      <c r="AA115" s="8"/>
      <c r="AB115" s="8"/>
      <c r="AC115" s="8"/>
      <c r="AD115" s="8"/>
      <c r="AE115" s="9"/>
      <c r="AF115" s="9"/>
      <c r="AG115" s="9"/>
      <c r="AH115" s="9"/>
      <c r="AI115" s="9"/>
      <c r="AJ115" s="8"/>
      <c r="AK115" s="8"/>
      <c r="AL115" s="8"/>
      <c r="AM115" s="8"/>
      <c r="AN115" s="8"/>
      <c r="AO115" s="9"/>
      <c r="AP115" s="9"/>
      <c r="AQ115" s="9"/>
      <c r="AR115" s="9"/>
      <c r="AS115" s="9"/>
      <c r="AT115" s="8"/>
      <c r="AU115" s="8"/>
      <c r="AV115" s="8"/>
      <c r="AW115" s="8"/>
      <c r="AX115" s="8"/>
      <c r="AY115" s="8"/>
      <c r="AZ115" s="9"/>
      <c r="BA115" s="9"/>
      <c r="BB115" s="9"/>
      <c r="BC115" s="9"/>
      <c r="BD115" s="9"/>
      <c r="BE115" s="9"/>
      <c r="BF115" s="9"/>
      <c r="BG115" s="8"/>
      <c r="BH115" s="8"/>
      <c r="BI115" s="8"/>
      <c r="BJ115" s="8"/>
      <c r="BK115" s="8"/>
      <c r="BL115" s="8"/>
      <c r="BM115" s="9"/>
      <c r="BN115" s="9"/>
      <c r="BO115" s="9"/>
      <c r="BP115" s="9"/>
      <c r="BQ115" s="9"/>
      <c r="BR115" s="8"/>
      <c r="BS115" s="8"/>
      <c r="BT115" s="8"/>
      <c r="BU115" s="8"/>
      <c r="BV115" s="8"/>
      <c r="BW115" s="8"/>
      <c r="BX115" s="8"/>
      <c r="BY115" s="8"/>
      <c r="BZ115" s="9"/>
      <c r="CA115" s="9"/>
      <c r="CB115" s="9"/>
      <c r="CC115" s="9"/>
      <c r="CD115" s="9"/>
      <c r="CE115" s="8"/>
      <c r="CF115" s="8"/>
      <c r="CG115" s="8"/>
      <c r="CH115" s="8"/>
      <c r="CI115" s="8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8"/>
      <c r="CX115" s="8"/>
      <c r="CY115" s="8"/>
      <c r="CZ115" s="8"/>
      <c r="DA115" s="8"/>
      <c r="DB115" s="9"/>
      <c r="DC115" s="9"/>
      <c r="DD115" s="9"/>
      <c r="DE115" s="9"/>
      <c r="DF115" s="9"/>
      <c r="DG115" s="9"/>
      <c r="DH115" s="9"/>
      <c r="DI115" s="8"/>
      <c r="DJ115" s="8"/>
      <c r="DK115" s="8"/>
      <c r="DL115" s="8"/>
      <c r="DM115" s="8"/>
      <c r="DN115" s="8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8"/>
      <c r="DZ115" s="8"/>
      <c r="EA115" s="8"/>
      <c r="EB115" s="8"/>
      <c r="EC115" s="8"/>
      <c r="ED115" s="9"/>
      <c r="EE115" s="9"/>
      <c r="EF115" s="9"/>
      <c r="EG115" s="9"/>
      <c r="EH115" s="9"/>
      <c r="EI115" s="9"/>
      <c r="EJ115" s="9"/>
      <c r="EK115" s="8"/>
      <c r="EL115" s="8"/>
      <c r="EM115" s="8"/>
      <c r="EN115" s="8"/>
      <c r="EO115" s="8"/>
      <c r="EP115" s="8"/>
      <c r="EQ115" s="8"/>
      <c r="ER115" s="8"/>
      <c r="ES115" s="8"/>
      <c r="ET115" s="9"/>
      <c r="EU115" s="9"/>
      <c r="EV115" s="9"/>
      <c r="EW115" s="9"/>
      <c r="EX115" s="9"/>
      <c r="EY115" s="9"/>
      <c r="EZ115" s="9"/>
      <c r="FA115" s="9"/>
      <c r="FB115" s="8"/>
      <c r="FC115" s="8"/>
      <c r="FD115" s="8"/>
      <c r="FE115" s="8"/>
      <c r="FF115" s="9"/>
      <c r="FG115" s="9"/>
      <c r="FH115" s="9"/>
      <c r="FI115" s="9"/>
      <c r="FJ115" s="9"/>
      <c r="FK115" s="9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9"/>
      <c r="GA115" s="9"/>
      <c r="GB115" s="9"/>
      <c r="GC115" s="9"/>
      <c r="GD115" s="9"/>
      <c r="GE115" s="9"/>
      <c r="GF115" s="9"/>
      <c r="GG115" s="9"/>
      <c r="GH115" s="9"/>
      <c r="GI115" s="9"/>
    </row>
    <row r="116" spans="1:191" ht="19.5" customHeight="1" x14ac:dyDescent="0.25">
      <c r="A116" s="349">
        <v>544554630396</v>
      </c>
      <c r="B116" s="10">
        <f t="shared" si="7"/>
        <v>0</v>
      </c>
      <c r="C116" s="10">
        <v>0</v>
      </c>
      <c r="D116" s="10" t="b">
        <f t="shared" si="5"/>
        <v>1</v>
      </c>
      <c r="E116" s="10">
        <f t="shared" si="6"/>
        <v>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/>
      <c r="Y116" s="9"/>
      <c r="Z116" s="8"/>
      <c r="AA116" s="8"/>
      <c r="AB116" s="8"/>
      <c r="AC116" s="8"/>
      <c r="AD116" s="8"/>
      <c r="AE116" s="9"/>
      <c r="AF116" s="9"/>
      <c r="AG116" s="9"/>
      <c r="AH116" s="9"/>
      <c r="AI116" s="9"/>
      <c r="AJ116" s="8"/>
      <c r="AK116" s="8"/>
      <c r="AL116" s="8"/>
      <c r="AM116" s="8"/>
      <c r="AN116" s="8"/>
      <c r="AO116" s="9"/>
      <c r="AP116" s="9"/>
      <c r="AQ116" s="9"/>
      <c r="AR116" s="9"/>
      <c r="AS116" s="9"/>
      <c r="AT116" s="8"/>
      <c r="AU116" s="8"/>
      <c r="AV116" s="8"/>
      <c r="AW116" s="8"/>
      <c r="AX116" s="8"/>
      <c r="AY116" s="8"/>
      <c r="AZ116" s="9"/>
      <c r="BA116" s="9"/>
      <c r="BB116" s="9"/>
      <c r="BC116" s="9"/>
      <c r="BD116" s="9"/>
      <c r="BE116" s="9"/>
      <c r="BF116" s="9"/>
      <c r="BG116" s="8"/>
      <c r="BH116" s="8"/>
      <c r="BI116" s="8"/>
      <c r="BJ116" s="8"/>
      <c r="BK116" s="8"/>
      <c r="BL116" s="8"/>
      <c r="BM116" s="9"/>
      <c r="BN116" s="9"/>
      <c r="BO116" s="9"/>
      <c r="BP116" s="9"/>
      <c r="BQ116" s="9"/>
      <c r="BR116" s="8"/>
      <c r="BS116" s="8"/>
      <c r="BT116" s="8"/>
      <c r="BU116" s="8"/>
      <c r="BV116" s="8"/>
      <c r="BW116" s="8"/>
      <c r="BX116" s="8"/>
      <c r="BY116" s="8"/>
      <c r="BZ116" s="9"/>
      <c r="CA116" s="9"/>
      <c r="CB116" s="9"/>
      <c r="CC116" s="9"/>
      <c r="CD116" s="9"/>
      <c r="CE116" s="8"/>
      <c r="CF116" s="8"/>
      <c r="CG116" s="8"/>
      <c r="CH116" s="8"/>
      <c r="CI116" s="8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8"/>
      <c r="CX116" s="8"/>
      <c r="CY116" s="8"/>
      <c r="CZ116" s="8"/>
      <c r="DA116" s="8"/>
      <c r="DB116" s="9"/>
      <c r="DC116" s="9"/>
      <c r="DD116" s="9"/>
      <c r="DE116" s="9"/>
      <c r="DF116" s="9"/>
      <c r="DG116" s="9"/>
      <c r="DH116" s="9"/>
      <c r="DI116" s="8"/>
      <c r="DJ116" s="8"/>
      <c r="DK116" s="8"/>
      <c r="DL116" s="8"/>
      <c r="DM116" s="8"/>
      <c r="DN116" s="8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8"/>
      <c r="DZ116" s="8"/>
      <c r="EA116" s="8"/>
      <c r="EB116" s="8"/>
      <c r="EC116" s="8"/>
      <c r="ED116" s="9"/>
      <c r="EE116" s="9"/>
      <c r="EF116" s="9"/>
      <c r="EG116" s="9"/>
      <c r="EH116" s="9"/>
      <c r="EI116" s="9"/>
      <c r="EJ116" s="9"/>
      <c r="EK116" s="8"/>
      <c r="EL116" s="8"/>
      <c r="EM116" s="8"/>
      <c r="EN116" s="8"/>
      <c r="EO116" s="8"/>
      <c r="EP116" s="8"/>
      <c r="EQ116" s="8"/>
      <c r="ER116" s="8"/>
      <c r="ES116" s="8"/>
      <c r="ET116" s="9"/>
      <c r="EU116" s="9"/>
      <c r="EV116" s="9"/>
      <c r="EW116" s="9"/>
      <c r="EX116" s="9"/>
      <c r="EY116" s="9"/>
      <c r="EZ116" s="9"/>
      <c r="FA116" s="9"/>
      <c r="FB116" s="8"/>
      <c r="FC116" s="8"/>
      <c r="FD116" s="8"/>
      <c r="FE116" s="8"/>
      <c r="FF116" s="9"/>
      <c r="FG116" s="9"/>
      <c r="FH116" s="9"/>
      <c r="FI116" s="9"/>
      <c r="FJ116" s="9"/>
      <c r="FK116" s="9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9"/>
      <c r="GA116" s="9"/>
      <c r="GB116" s="9"/>
      <c r="GC116" s="9"/>
      <c r="GD116" s="9"/>
      <c r="GE116" s="9"/>
      <c r="GF116" s="9"/>
      <c r="GG116" s="9"/>
      <c r="GH116" s="9"/>
      <c r="GI116" s="9"/>
    </row>
    <row r="117" spans="1:191" ht="15" customHeight="1" x14ac:dyDescent="0.25">
      <c r="A117" s="349">
        <v>544554630397</v>
      </c>
      <c r="B117" s="10">
        <f t="shared" si="7"/>
        <v>0</v>
      </c>
      <c r="C117" s="10">
        <v>0</v>
      </c>
      <c r="D117" s="10" t="b">
        <f t="shared" si="5"/>
        <v>1</v>
      </c>
      <c r="E117" s="10">
        <f t="shared" si="6"/>
        <v>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/>
      <c r="Y117" s="9"/>
      <c r="Z117" s="8"/>
      <c r="AA117" s="8"/>
      <c r="AB117" s="8"/>
      <c r="AC117" s="8"/>
      <c r="AD117" s="8"/>
      <c r="AE117" s="9"/>
      <c r="AF117" s="9"/>
      <c r="AG117" s="9"/>
      <c r="AH117" s="9"/>
      <c r="AI117" s="9"/>
      <c r="AJ117" s="8"/>
      <c r="AK117" s="8"/>
      <c r="AL117" s="8"/>
      <c r="AM117" s="8"/>
      <c r="AN117" s="8"/>
      <c r="AO117" s="9"/>
      <c r="AP117" s="9"/>
      <c r="AQ117" s="9"/>
      <c r="AR117" s="9"/>
      <c r="AS117" s="9"/>
      <c r="AT117" s="8"/>
      <c r="AU117" s="8"/>
      <c r="AV117" s="8"/>
      <c r="AW117" s="8"/>
      <c r="AX117" s="8"/>
      <c r="AY117" s="8"/>
      <c r="AZ117" s="9"/>
      <c r="BA117" s="9"/>
      <c r="BB117" s="9"/>
      <c r="BC117" s="9"/>
      <c r="BD117" s="9"/>
      <c r="BE117" s="9"/>
      <c r="BF117" s="9"/>
      <c r="BG117" s="8"/>
      <c r="BH117" s="8"/>
      <c r="BI117" s="8"/>
      <c r="BJ117" s="8"/>
      <c r="BK117" s="8"/>
      <c r="BL117" s="8"/>
      <c r="BM117" s="9"/>
      <c r="BN117" s="9"/>
      <c r="BO117" s="9"/>
      <c r="BP117" s="9"/>
      <c r="BQ117" s="9"/>
      <c r="BR117" s="8"/>
      <c r="BS117" s="8"/>
      <c r="BT117" s="8"/>
      <c r="BU117" s="8"/>
      <c r="BV117" s="8"/>
      <c r="BW117" s="8"/>
      <c r="BX117" s="8"/>
      <c r="BY117" s="8"/>
      <c r="BZ117" s="9"/>
      <c r="CA117" s="9"/>
      <c r="CB117" s="9"/>
      <c r="CC117" s="9"/>
      <c r="CD117" s="9"/>
      <c r="CE117" s="8"/>
      <c r="CF117" s="8"/>
      <c r="CG117" s="8"/>
      <c r="CH117" s="8"/>
      <c r="CI117" s="8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8"/>
      <c r="CX117" s="8"/>
      <c r="CY117" s="8"/>
      <c r="CZ117" s="8"/>
      <c r="DA117" s="8"/>
      <c r="DB117" s="9"/>
      <c r="DC117" s="9"/>
      <c r="DD117" s="9"/>
      <c r="DE117" s="9"/>
      <c r="DF117" s="9"/>
      <c r="DG117" s="9"/>
      <c r="DH117" s="9"/>
      <c r="DI117" s="8"/>
      <c r="DJ117" s="8"/>
      <c r="DK117" s="8"/>
      <c r="DL117" s="8"/>
      <c r="DM117" s="8"/>
      <c r="DN117" s="8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8"/>
      <c r="DZ117" s="8"/>
      <c r="EA117" s="8"/>
      <c r="EB117" s="8"/>
      <c r="EC117" s="8"/>
      <c r="ED117" s="9"/>
      <c r="EE117" s="9"/>
      <c r="EF117" s="9"/>
      <c r="EG117" s="9"/>
      <c r="EH117" s="9"/>
      <c r="EI117" s="9"/>
      <c r="EJ117" s="9"/>
      <c r="EK117" s="8"/>
      <c r="EL117" s="8"/>
      <c r="EM117" s="8"/>
      <c r="EN117" s="8"/>
      <c r="EO117" s="8"/>
      <c r="EP117" s="8"/>
      <c r="EQ117" s="8"/>
      <c r="ER117" s="8"/>
      <c r="ES117" s="8"/>
      <c r="ET117" s="9"/>
      <c r="EU117" s="9"/>
      <c r="EV117" s="9"/>
      <c r="EW117" s="9"/>
      <c r="EX117" s="9"/>
      <c r="EY117" s="9"/>
      <c r="EZ117" s="9"/>
      <c r="FA117" s="9"/>
      <c r="FB117" s="8"/>
      <c r="FC117" s="8"/>
      <c r="FD117" s="8"/>
      <c r="FE117" s="8"/>
      <c r="FF117" s="9"/>
      <c r="FG117" s="9"/>
      <c r="FH117" s="9"/>
      <c r="FI117" s="9"/>
      <c r="FJ117" s="9"/>
      <c r="FK117" s="9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9"/>
      <c r="GA117" s="9"/>
      <c r="GB117" s="9"/>
      <c r="GC117" s="9"/>
      <c r="GD117" s="9"/>
      <c r="GE117" s="9"/>
      <c r="GF117" s="9"/>
      <c r="GG117" s="9"/>
      <c r="GH117" s="9"/>
      <c r="GI117" s="9"/>
    </row>
    <row r="118" spans="1:191" ht="15" customHeight="1" x14ac:dyDescent="0.25">
      <c r="A118" s="256">
        <v>544554640104</v>
      </c>
      <c r="B118" s="10">
        <f t="shared" si="7"/>
        <v>132</v>
      </c>
      <c r="C118" s="10">
        <v>0</v>
      </c>
      <c r="D118" s="10"/>
      <c r="E118" s="10">
        <f t="shared" si="6"/>
        <v>-132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>
        <v>70</v>
      </c>
      <c r="V118" s="8"/>
      <c r="W118" s="8"/>
      <c r="X118" s="9"/>
      <c r="Y118" s="9"/>
      <c r="Z118" s="8"/>
      <c r="AA118" s="8"/>
      <c r="AB118" s="8"/>
      <c r="AC118" s="8"/>
      <c r="AD118" s="8"/>
      <c r="AE118" s="9"/>
      <c r="AF118" s="9"/>
      <c r="AG118" s="9"/>
      <c r="AH118" s="9"/>
      <c r="AI118" s="9"/>
      <c r="AJ118" s="8">
        <v>60</v>
      </c>
      <c r="AK118" s="8"/>
      <c r="AL118" s="8"/>
      <c r="AM118" s="8"/>
      <c r="AN118" s="8"/>
      <c r="AO118" s="9"/>
      <c r="AP118" s="9"/>
      <c r="AQ118" s="9"/>
      <c r="AR118" s="9"/>
      <c r="AS118" s="9"/>
      <c r="AT118" s="8"/>
      <c r="AU118" s="8"/>
      <c r="AV118" s="8"/>
      <c r="AW118" s="8"/>
      <c r="AX118" s="8"/>
      <c r="AY118" s="8"/>
      <c r="AZ118" s="9"/>
      <c r="BA118" s="9"/>
      <c r="BB118" s="9"/>
      <c r="BC118" s="9"/>
      <c r="BD118" s="9"/>
      <c r="BE118" s="9"/>
      <c r="BF118" s="9"/>
      <c r="BG118" s="8"/>
      <c r="BH118" s="8"/>
      <c r="BI118" s="8"/>
      <c r="BJ118" s="8"/>
      <c r="BK118" s="8"/>
      <c r="BL118" s="8"/>
      <c r="BM118" s="9"/>
      <c r="BN118" s="9"/>
      <c r="BO118" s="9"/>
      <c r="BP118" s="9"/>
      <c r="BQ118" s="9"/>
      <c r="BR118" s="8"/>
      <c r="BS118" s="8"/>
      <c r="BT118" s="8"/>
      <c r="BU118" s="8"/>
      <c r="BV118" s="8"/>
      <c r="BW118" s="8"/>
      <c r="BX118" s="8"/>
      <c r="BY118" s="8"/>
      <c r="BZ118" s="9"/>
      <c r="CA118" s="9"/>
      <c r="CB118" s="9"/>
      <c r="CC118" s="9"/>
      <c r="CD118" s="9"/>
      <c r="CE118" s="8">
        <v>2</v>
      </c>
      <c r="CF118" s="8"/>
      <c r="CG118" s="8"/>
      <c r="CH118" s="8"/>
      <c r="CI118" s="8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8"/>
      <c r="CX118" s="8"/>
      <c r="CY118" s="8"/>
      <c r="CZ118" s="8"/>
      <c r="DA118" s="8"/>
      <c r="DB118" s="9"/>
      <c r="DC118" s="9"/>
      <c r="DD118" s="9"/>
      <c r="DE118" s="9"/>
      <c r="DF118" s="9"/>
      <c r="DG118" s="9"/>
      <c r="DH118" s="9"/>
      <c r="DI118" s="8"/>
      <c r="DJ118" s="8"/>
      <c r="DK118" s="8"/>
      <c r="DL118" s="8"/>
      <c r="DM118" s="8"/>
      <c r="DN118" s="8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8"/>
      <c r="DZ118" s="8"/>
      <c r="EA118" s="8"/>
      <c r="EB118" s="8"/>
      <c r="EC118" s="8"/>
      <c r="ED118" s="9"/>
      <c r="EE118" s="9"/>
      <c r="EF118" s="9"/>
      <c r="EG118" s="9"/>
      <c r="EH118" s="9"/>
      <c r="EI118" s="9"/>
      <c r="EJ118" s="9"/>
      <c r="EK118" s="8"/>
      <c r="EL118" s="8"/>
      <c r="EM118" s="8"/>
      <c r="EN118" s="8"/>
      <c r="EO118" s="8"/>
      <c r="EP118" s="8"/>
      <c r="EQ118" s="8"/>
      <c r="ER118" s="8"/>
      <c r="ES118" s="8"/>
      <c r="ET118" s="9"/>
      <c r="EU118" s="9"/>
      <c r="EV118" s="9"/>
      <c r="EW118" s="9"/>
      <c r="EX118" s="9"/>
      <c r="EY118" s="9"/>
      <c r="EZ118" s="9"/>
      <c r="FA118" s="9"/>
      <c r="FB118" s="8"/>
      <c r="FC118" s="8"/>
      <c r="FD118" s="8"/>
      <c r="FE118" s="8"/>
      <c r="FF118" s="9"/>
      <c r="FG118" s="9"/>
      <c r="FH118" s="9"/>
      <c r="FI118" s="9"/>
      <c r="FJ118" s="9"/>
      <c r="FK118" s="9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9"/>
      <c r="GA118" s="9"/>
      <c r="GB118" s="9"/>
      <c r="GC118" s="9"/>
      <c r="GD118" s="9"/>
      <c r="GE118" s="9"/>
      <c r="GF118" s="9"/>
      <c r="GG118" s="9"/>
      <c r="GH118" s="9"/>
      <c r="GI118" s="9"/>
    </row>
    <row r="119" spans="1:191" ht="15" customHeight="1" x14ac:dyDescent="0.25">
      <c r="A119" s="256">
        <v>544554640106</v>
      </c>
      <c r="B119" s="10">
        <f t="shared" si="7"/>
        <v>0</v>
      </c>
      <c r="C119" s="10">
        <v>0</v>
      </c>
      <c r="D119" s="10"/>
      <c r="E119" s="10">
        <f t="shared" si="6"/>
        <v>0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9"/>
      <c r="Y119" s="9"/>
      <c r="Z119" s="8"/>
      <c r="AA119" s="8"/>
      <c r="AB119" s="8"/>
      <c r="AC119" s="8"/>
      <c r="AD119" s="8"/>
      <c r="AE119" s="9"/>
      <c r="AF119" s="9"/>
      <c r="AG119" s="9"/>
      <c r="AH119" s="9"/>
      <c r="AI119" s="9"/>
      <c r="AJ119" s="8"/>
      <c r="AK119" s="8"/>
      <c r="AL119" s="8"/>
      <c r="AM119" s="8"/>
      <c r="AN119" s="8"/>
      <c r="AO119" s="9"/>
      <c r="AP119" s="9"/>
      <c r="AQ119" s="9"/>
      <c r="AR119" s="9"/>
      <c r="AS119" s="9"/>
      <c r="AT119" s="8"/>
      <c r="AU119" s="8"/>
      <c r="AV119" s="8"/>
      <c r="AW119" s="8"/>
      <c r="AX119" s="8"/>
      <c r="AY119" s="8"/>
      <c r="AZ119" s="9"/>
      <c r="BA119" s="9"/>
      <c r="BB119" s="9"/>
      <c r="BC119" s="9"/>
      <c r="BD119" s="9"/>
      <c r="BE119" s="9"/>
      <c r="BF119" s="9"/>
      <c r="BG119" s="8"/>
      <c r="BH119" s="8"/>
      <c r="BI119" s="8"/>
      <c r="BJ119" s="8"/>
      <c r="BK119" s="8"/>
      <c r="BL119" s="8"/>
      <c r="BM119" s="9"/>
      <c r="BN119" s="9"/>
      <c r="BO119" s="9"/>
      <c r="BP119" s="9"/>
      <c r="BQ119" s="9"/>
      <c r="BR119" s="8"/>
      <c r="BS119" s="8"/>
      <c r="BT119" s="8"/>
      <c r="BU119" s="8"/>
      <c r="BV119" s="8"/>
      <c r="BW119" s="8"/>
      <c r="BX119" s="8"/>
      <c r="BY119" s="8"/>
      <c r="BZ119" s="9"/>
      <c r="CA119" s="9"/>
      <c r="CB119" s="9"/>
      <c r="CC119" s="9"/>
      <c r="CD119" s="9"/>
      <c r="CE119" s="8"/>
      <c r="CF119" s="8"/>
      <c r="CG119" s="8"/>
      <c r="CH119" s="8"/>
      <c r="CI119" s="8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8"/>
      <c r="CX119" s="8"/>
      <c r="CY119" s="8"/>
      <c r="CZ119" s="8"/>
      <c r="DA119" s="8"/>
      <c r="DB119" s="9"/>
      <c r="DC119" s="9"/>
      <c r="DD119" s="9"/>
      <c r="DE119" s="9"/>
      <c r="DF119" s="9"/>
      <c r="DG119" s="9"/>
      <c r="DH119" s="9"/>
      <c r="DI119" s="8"/>
      <c r="DJ119" s="8"/>
      <c r="DK119" s="8"/>
      <c r="DL119" s="8"/>
      <c r="DM119" s="8"/>
      <c r="DN119" s="8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8"/>
      <c r="DZ119" s="8"/>
      <c r="EA119" s="8"/>
      <c r="EB119" s="8"/>
      <c r="EC119" s="8"/>
      <c r="ED119" s="9"/>
      <c r="EE119" s="9"/>
      <c r="EF119" s="9"/>
      <c r="EG119" s="9"/>
      <c r="EH119" s="9"/>
      <c r="EI119" s="9"/>
      <c r="EJ119" s="9"/>
      <c r="EK119" s="8"/>
      <c r="EL119" s="8"/>
      <c r="EM119" s="8"/>
      <c r="EN119" s="8"/>
      <c r="EO119" s="8"/>
      <c r="EP119" s="8"/>
      <c r="EQ119" s="8"/>
      <c r="ER119" s="8"/>
      <c r="ES119" s="8"/>
      <c r="ET119" s="9"/>
      <c r="EU119" s="9"/>
      <c r="EV119" s="9"/>
      <c r="EW119" s="9"/>
      <c r="EX119" s="9"/>
      <c r="EY119" s="9"/>
      <c r="EZ119" s="9"/>
      <c r="FA119" s="9"/>
      <c r="FB119" s="8"/>
      <c r="FC119" s="8"/>
      <c r="FD119" s="8"/>
      <c r="FE119" s="8"/>
      <c r="FF119" s="9"/>
      <c r="FG119" s="9"/>
      <c r="FH119" s="9"/>
      <c r="FI119" s="9"/>
      <c r="FJ119" s="9"/>
      <c r="FK119" s="9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9"/>
      <c r="GA119" s="9"/>
      <c r="GB119" s="9"/>
      <c r="GC119" s="9"/>
      <c r="GD119" s="9"/>
      <c r="GE119" s="9"/>
      <c r="GF119" s="9"/>
      <c r="GG119" s="9"/>
      <c r="GH119" s="9"/>
      <c r="GI119" s="9"/>
    </row>
    <row r="120" spans="1:191" ht="15" customHeight="1" x14ac:dyDescent="0.25">
      <c r="A120" s="256">
        <v>544554640107</v>
      </c>
      <c r="B120" s="10">
        <f t="shared" si="7"/>
        <v>0</v>
      </c>
      <c r="C120" s="10">
        <v>0</v>
      </c>
      <c r="D120" s="10"/>
      <c r="E120" s="10">
        <f t="shared" si="6"/>
        <v>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9"/>
      <c r="Y120" s="9"/>
      <c r="Z120" s="8"/>
      <c r="AA120" s="8"/>
      <c r="AB120" s="8"/>
      <c r="AC120" s="8"/>
      <c r="AD120" s="8"/>
      <c r="AE120" s="9"/>
      <c r="AF120" s="9"/>
      <c r="AG120" s="9"/>
      <c r="AH120" s="9"/>
      <c r="AI120" s="9"/>
      <c r="AJ120" s="8"/>
      <c r="AK120" s="8"/>
      <c r="AL120" s="8"/>
      <c r="AM120" s="8"/>
      <c r="AN120" s="8"/>
      <c r="AO120" s="9"/>
      <c r="AP120" s="9"/>
      <c r="AQ120" s="9"/>
      <c r="AR120" s="9"/>
      <c r="AS120" s="9"/>
      <c r="AT120" s="8"/>
      <c r="AU120" s="8"/>
      <c r="AV120" s="8"/>
      <c r="AW120" s="8"/>
      <c r="AX120" s="8"/>
      <c r="AY120" s="8"/>
      <c r="AZ120" s="9"/>
      <c r="BA120" s="9"/>
      <c r="BB120" s="9"/>
      <c r="BC120" s="9"/>
      <c r="BD120" s="9"/>
      <c r="BE120" s="9"/>
      <c r="BF120" s="9"/>
      <c r="BG120" s="8"/>
      <c r="BH120" s="8"/>
      <c r="BI120" s="8"/>
      <c r="BJ120" s="8"/>
      <c r="BK120" s="8"/>
      <c r="BL120" s="8"/>
      <c r="BM120" s="9"/>
      <c r="BN120" s="9"/>
      <c r="BO120" s="9"/>
      <c r="BP120" s="9"/>
      <c r="BQ120" s="9"/>
      <c r="BR120" s="8"/>
      <c r="BS120" s="8"/>
      <c r="BT120" s="8"/>
      <c r="BU120" s="8"/>
      <c r="BV120" s="8"/>
      <c r="BW120" s="8"/>
      <c r="BX120" s="8"/>
      <c r="BY120" s="8"/>
      <c r="BZ120" s="9"/>
      <c r="CA120" s="9"/>
      <c r="CB120" s="9"/>
      <c r="CC120" s="9"/>
      <c r="CD120" s="9"/>
      <c r="CE120" s="8"/>
      <c r="CF120" s="8"/>
      <c r="CG120" s="8"/>
      <c r="CH120" s="8"/>
      <c r="CI120" s="8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8"/>
      <c r="CX120" s="8"/>
      <c r="CY120" s="8"/>
      <c r="CZ120" s="8"/>
      <c r="DA120" s="8"/>
      <c r="DB120" s="9"/>
      <c r="DC120" s="9"/>
      <c r="DD120" s="9"/>
      <c r="DE120" s="9"/>
      <c r="DF120" s="9"/>
      <c r="DG120" s="9"/>
      <c r="DH120" s="9"/>
      <c r="DI120" s="8"/>
      <c r="DJ120" s="8"/>
      <c r="DK120" s="8"/>
      <c r="DL120" s="8"/>
      <c r="DM120" s="8"/>
      <c r="DN120" s="8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8"/>
      <c r="DZ120" s="8"/>
      <c r="EA120" s="8"/>
      <c r="EB120" s="8"/>
      <c r="EC120" s="8"/>
      <c r="ED120" s="9"/>
      <c r="EE120" s="9"/>
      <c r="EF120" s="9"/>
      <c r="EG120" s="9"/>
      <c r="EH120" s="9"/>
      <c r="EI120" s="9"/>
      <c r="EJ120" s="9"/>
      <c r="EK120" s="8"/>
      <c r="EL120" s="8"/>
      <c r="EM120" s="8"/>
      <c r="EN120" s="8"/>
      <c r="EO120" s="8"/>
      <c r="EP120" s="8"/>
      <c r="EQ120" s="8"/>
      <c r="ER120" s="8"/>
      <c r="ES120" s="8"/>
      <c r="ET120" s="9"/>
      <c r="EU120" s="9"/>
      <c r="EV120" s="9"/>
      <c r="EW120" s="9"/>
      <c r="EX120" s="9"/>
      <c r="EY120" s="9"/>
      <c r="EZ120" s="9"/>
      <c r="FA120" s="9"/>
      <c r="FB120" s="8"/>
      <c r="FC120" s="8"/>
      <c r="FD120" s="8"/>
      <c r="FE120" s="8"/>
      <c r="FF120" s="9"/>
      <c r="FG120" s="9"/>
      <c r="FH120" s="9"/>
      <c r="FI120" s="9"/>
      <c r="FJ120" s="9"/>
      <c r="FK120" s="9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9"/>
      <c r="GA120" s="9"/>
      <c r="GB120" s="9"/>
      <c r="GC120" s="9"/>
      <c r="GD120" s="9"/>
      <c r="GE120" s="9"/>
      <c r="GF120" s="9"/>
      <c r="GG120" s="9"/>
      <c r="GH120" s="9"/>
      <c r="GI120" s="9"/>
    </row>
    <row r="121" spans="1:191" ht="15" customHeight="1" x14ac:dyDescent="0.25">
      <c r="A121" s="256">
        <v>544554640109</v>
      </c>
      <c r="B121" s="10">
        <f t="shared" si="7"/>
        <v>0</v>
      </c>
      <c r="C121" s="10">
        <v>0</v>
      </c>
      <c r="D121" s="10"/>
      <c r="E121" s="10">
        <f t="shared" si="6"/>
        <v>0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9"/>
      <c r="Y121" s="9"/>
      <c r="Z121" s="8"/>
      <c r="AA121" s="8"/>
      <c r="AB121" s="8"/>
      <c r="AC121" s="8"/>
      <c r="AD121" s="8"/>
      <c r="AE121" s="9"/>
      <c r="AF121" s="9"/>
      <c r="AG121" s="9"/>
      <c r="AH121" s="9"/>
      <c r="AI121" s="9"/>
      <c r="AJ121" s="8"/>
      <c r="AK121" s="8"/>
      <c r="AL121" s="8"/>
      <c r="AM121" s="8"/>
      <c r="AN121" s="8"/>
      <c r="AO121" s="9"/>
      <c r="AP121" s="9"/>
      <c r="AQ121" s="9"/>
      <c r="AR121" s="9"/>
      <c r="AS121" s="9"/>
      <c r="AT121" s="8"/>
      <c r="AU121" s="8"/>
      <c r="AV121" s="8"/>
      <c r="AW121" s="8"/>
      <c r="AX121" s="8"/>
      <c r="AY121" s="8"/>
      <c r="AZ121" s="9"/>
      <c r="BA121" s="9"/>
      <c r="BB121" s="9"/>
      <c r="BC121" s="9"/>
      <c r="BD121" s="9"/>
      <c r="BE121" s="9"/>
      <c r="BF121" s="9"/>
      <c r="BG121" s="8"/>
      <c r="BH121" s="8"/>
      <c r="BI121" s="8"/>
      <c r="BJ121" s="8"/>
      <c r="BK121" s="8"/>
      <c r="BL121" s="8"/>
      <c r="BM121" s="9"/>
      <c r="BN121" s="9"/>
      <c r="BO121" s="9"/>
      <c r="BP121" s="9"/>
      <c r="BQ121" s="9"/>
      <c r="BR121" s="8"/>
      <c r="BS121" s="8"/>
      <c r="BT121" s="8"/>
      <c r="BU121" s="8"/>
      <c r="BV121" s="8"/>
      <c r="BW121" s="8"/>
      <c r="BX121" s="8"/>
      <c r="BY121" s="8"/>
      <c r="BZ121" s="9"/>
      <c r="CA121" s="9"/>
      <c r="CB121" s="9"/>
      <c r="CC121" s="9"/>
      <c r="CD121" s="9"/>
      <c r="CE121" s="8"/>
      <c r="CF121" s="8"/>
      <c r="CG121" s="8"/>
      <c r="CH121" s="8"/>
      <c r="CI121" s="8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8"/>
      <c r="CX121" s="8"/>
      <c r="CY121" s="8"/>
      <c r="CZ121" s="8"/>
      <c r="DA121" s="8"/>
      <c r="DB121" s="9"/>
      <c r="DC121" s="9"/>
      <c r="DD121" s="9"/>
      <c r="DE121" s="9"/>
      <c r="DF121" s="9"/>
      <c r="DG121" s="9"/>
      <c r="DH121" s="9"/>
      <c r="DI121" s="8"/>
      <c r="DJ121" s="8"/>
      <c r="DK121" s="8"/>
      <c r="DL121" s="8"/>
      <c r="DM121" s="8"/>
      <c r="DN121" s="8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8"/>
      <c r="DZ121" s="8"/>
      <c r="EA121" s="8"/>
      <c r="EB121" s="8"/>
      <c r="EC121" s="8"/>
      <c r="ED121" s="9"/>
      <c r="EE121" s="9"/>
      <c r="EF121" s="9"/>
      <c r="EG121" s="9"/>
      <c r="EH121" s="9"/>
      <c r="EI121" s="9"/>
      <c r="EJ121" s="9"/>
      <c r="EK121" s="8"/>
      <c r="EL121" s="8"/>
      <c r="EM121" s="8"/>
      <c r="EN121" s="8"/>
      <c r="EO121" s="8"/>
      <c r="EP121" s="8"/>
      <c r="EQ121" s="8"/>
      <c r="ER121" s="8"/>
      <c r="ES121" s="8"/>
      <c r="ET121" s="9"/>
      <c r="EU121" s="9"/>
      <c r="EV121" s="9"/>
      <c r="EW121" s="9"/>
      <c r="EX121" s="9"/>
      <c r="EY121" s="9"/>
      <c r="EZ121" s="9"/>
      <c r="FA121" s="9"/>
      <c r="FB121" s="8"/>
      <c r="FC121" s="8"/>
      <c r="FD121" s="8"/>
      <c r="FE121" s="8"/>
      <c r="FF121" s="9"/>
      <c r="FG121" s="9"/>
      <c r="FH121" s="9"/>
      <c r="FI121" s="9"/>
      <c r="FJ121" s="9"/>
      <c r="FK121" s="9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9"/>
      <c r="GA121" s="9"/>
      <c r="GB121" s="9"/>
      <c r="GC121" s="9"/>
      <c r="GD121" s="9"/>
      <c r="GE121" s="9"/>
      <c r="GF121" s="9"/>
      <c r="GG121" s="9"/>
      <c r="GH121" s="9"/>
      <c r="GI121" s="9"/>
    </row>
    <row r="122" spans="1:191" ht="15" customHeight="1" x14ac:dyDescent="0.25">
      <c r="A122" s="255">
        <v>544554640105</v>
      </c>
      <c r="B122" s="10">
        <f t="shared" si="7"/>
        <v>0</v>
      </c>
      <c r="C122" s="10">
        <v>0</v>
      </c>
      <c r="D122" s="10"/>
      <c r="E122" s="10">
        <f t="shared" si="6"/>
        <v>0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9"/>
      <c r="Y122" s="9"/>
      <c r="Z122" s="8"/>
      <c r="AA122" s="8"/>
      <c r="AB122" s="8"/>
      <c r="AC122" s="8"/>
      <c r="AD122" s="8"/>
      <c r="AE122" s="9"/>
      <c r="AF122" s="9"/>
      <c r="AG122" s="9"/>
      <c r="AH122" s="9"/>
      <c r="AI122" s="9"/>
      <c r="AJ122" s="8"/>
      <c r="AK122" s="8"/>
      <c r="AL122" s="8"/>
      <c r="AM122" s="8"/>
      <c r="AN122" s="8"/>
      <c r="AO122" s="9"/>
      <c r="AP122" s="9"/>
      <c r="AQ122" s="9"/>
      <c r="AR122" s="9"/>
      <c r="AS122" s="9"/>
      <c r="AT122" s="8"/>
      <c r="AU122" s="8"/>
      <c r="AV122" s="8"/>
      <c r="AW122" s="8"/>
      <c r="AX122" s="8"/>
      <c r="AY122" s="8"/>
      <c r="AZ122" s="9"/>
      <c r="BA122" s="9"/>
      <c r="BB122" s="9"/>
      <c r="BC122" s="9"/>
      <c r="BD122" s="9"/>
      <c r="BE122" s="9"/>
      <c r="BF122" s="9"/>
      <c r="BG122" s="8"/>
      <c r="BH122" s="8"/>
      <c r="BI122" s="8"/>
      <c r="BJ122" s="8"/>
      <c r="BK122" s="8"/>
      <c r="BL122" s="8"/>
      <c r="BM122" s="9"/>
      <c r="BN122" s="9"/>
      <c r="BO122" s="9"/>
      <c r="BP122" s="9"/>
      <c r="BQ122" s="9"/>
      <c r="BR122" s="8"/>
      <c r="BS122" s="8"/>
      <c r="BT122" s="8"/>
      <c r="BU122" s="8"/>
      <c r="BV122" s="8"/>
      <c r="BW122" s="8"/>
      <c r="BX122" s="8"/>
      <c r="BY122" s="8"/>
      <c r="BZ122" s="9"/>
      <c r="CA122" s="9"/>
      <c r="CB122" s="9"/>
      <c r="CC122" s="9"/>
      <c r="CD122" s="9"/>
      <c r="CE122" s="8"/>
      <c r="CF122" s="8"/>
      <c r="CG122" s="8"/>
      <c r="CH122" s="8"/>
      <c r="CI122" s="8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8"/>
      <c r="CX122" s="8"/>
      <c r="CY122" s="8"/>
      <c r="CZ122" s="8"/>
      <c r="DA122" s="8"/>
      <c r="DB122" s="9"/>
      <c r="DC122" s="9"/>
      <c r="DD122" s="9"/>
      <c r="DE122" s="9"/>
      <c r="DF122" s="9"/>
      <c r="DG122" s="9"/>
      <c r="DH122" s="9"/>
      <c r="DI122" s="8"/>
      <c r="DJ122" s="8"/>
      <c r="DK122" s="8"/>
      <c r="DL122" s="8"/>
      <c r="DM122" s="8"/>
      <c r="DN122" s="8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8"/>
      <c r="DZ122" s="8"/>
      <c r="EA122" s="8"/>
      <c r="EB122" s="8"/>
      <c r="EC122" s="8"/>
      <c r="ED122" s="9"/>
      <c r="EE122" s="9"/>
      <c r="EF122" s="9"/>
      <c r="EG122" s="9"/>
      <c r="EH122" s="9"/>
      <c r="EI122" s="9"/>
      <c r="EJ122" s="9"/>
      <c r="EK122" s="8"/>
      <c r="EL122" s="8"/>
      <c r="EM122" s="8"/>
      <c r="EN122" s="8"/>
      <c r="EO122" s="8"/>
      <c r="EP122" s="8"/>
      <c r="EQ122" s="8"/>
      <c r="ER122" s="8"/>
      <c r="ES122" s="8"/>
      <c r="ET122" s="9"/>
      <c r="EU122" s="9"/>
      <c r="EV122" s="9"/>
      <c r="EW122" s="9"/>
      <c r="EX122" s="9"/>
      <c r="EY122" s="9"/>
      <c r="EZ122" s="9"/>
      <c r="FA122" s="9"/>
      <c r="FB122" s="8"/>
      <c r="FC122" s="8"/>
      <c r="FD122" s="8"/>
      <c r="FE122" s="8"/>
      <c r="FF122" s="9"/>
      <c r="FG122" s="9"/>
      <c r="FH122" s="9"/>
      <c r="FI122" s="9"/>
      <c r="FJ122" s="9"/>
      <c r="FK122" s="9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9"/>
      <c r="GA122" s="9"/>
      <c r="GB122" s="9"/>
      <c r="GC122" s="9"/>
      <c r="GD122" s="9"/>
      <c r="GE122" s="9"/>
      <c r="GF122" s="9"/>
      <c r="GG122" s="9"/>
      <c r="GH122" s="9"/>
      <c r="GI122" s="9"/>
    </row>
    <row r="123" spans="1:191" ht="15" customHeight="1" x14ac:dyDescent="0.25">
      <c r="A123" s="255">
        <v>544554640108</v>
      </c>
      <c r="B123" s="10">
        <f t="shared" si="7"/>
        <v>0</v>
      </c>
      <c r="C123" s="10">
        <v>0</v>
      </c>
      <c r="D123" s="10"/>
      <c r="E123" s="10">
        <f t="shared" si="6"/>
        <v>0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  <c r="Y123" s="9"/>
      <c r="Z123" s="8"/>
      <c r="AA123" s="8"/>
      <c r="AB123" s="8"/>
      <c r="AC123" s="8"/>
      <c r="AD123" s="8"/>
      <c r="AE123" s="9"/>
      <c r="AF123" s="9"/>
      <c r="AG123" s="9"/>
      <c r="AH123" s="9"/>
      <c r="AI123" s="9"/>
      <c r="AJ123" s="8"/>
      <c r="AK123" s="8"/>
      <c r="AL123" s="8"/>
      <c r="AM123" s="8"/>
      <c r="AN123" s="8"/>
      <c r="AO123" s="9"/>
      <c r="AP123" s="9"/>
      <c r="AQ123" s="9"/>
      <c r="AR123" s="9"/>
      <c r="AS123" s="9"/>
      <c r="AT123" s="8"/>
      <c r="AU123" s="8"/>
      <c r="AV123" s="8"/>
      <c r="AW123" s="8"/>
      <c r="AX123" s="8"/>
      <c r="AY123" s="8"/>
      <c r="AZ123" s="9"/>
      <c r="BA123" s="9"/>
      <c r="BB123" s="9"/>
      <c r="BC123" s="9"/>
      <c r="BD123" s="9"/>
      <c r="BE123" s="9"/>
      <c r="BF123" s="9"/>
      <c r="BG123" s="8"/>
      <c r="BH123" s="8"/>
      <c r="BI123" s="8"/>
      <c r="BJ123" s="8"/>
      <c r="BK123" s="8"/>
      <c r="BL123" s="8"/>
      <c r="BM123" s="9"/>
      <c r="BN123" s="9"/>
      <c r="BO123" s="9"/>
      <c r="BP123" s="9"/>
      <c r="BQ123" s="9"/>
      <c r="BR123" s="8"/>
      <c r="BS123" s="8"/>
      <c r="BT123" s="8"/>
      <c r="BU123" s="8"/>
      <c r="BV123" s="8"/>
      <c r="BW123" s="8"/>
      <c r="BX123" s="8"/>
      <c r="BY123" s="8"/>
      <c r="BZ123" s="9"/>
      <c r="CA123" s="9"/>
      <c r="CB123" s="9"/>
      <c r="CC123" s="9"/>
      <c r="CD123" s="9"/>
      <c r="CE123" s="8"/>
      <c r="CF123" s="8"/>
      <c r="CG123" s="8"/>
      <c r="CH123" s="8"/>
      <c r="CI123" s="8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8"/>
      <c r="CX123" s="8"/>
      <c r="CY123" s="8"/>
      <c r="CZ123" s="8"/>
      <c r="DA123" s="8"/>
      <c r="DB123" s="9"/>
      <c r="DC123" s="9"/>
      <c r="DD123" s="9"/>
      <c r="DE123" s="9"/>
      <c r="DF123" s="9"/>
      <c r="DG123" s="9"/>
      <c r="DH123" s="9"/>
      <c r="DI123" s="8"/>
      <c r="DJ123" s="8"/>
      <c r="DK123" s="8"/>
      <c r="DL123" s="8"/>
      <c r="DM123" s="8"/>
      <c r="DN123" s="8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8"/>
      <c r="DZ123" s="8"/>
      <c r="EA123" s="8"/>
      <c r="EB123" s="8"/>
      <c r="EC123" s="8"/>
      <c r="ED123" s="9"/>
      <c r="EE123" s="9"/>
      <c r="EF123" s="9"/>
      <c r="EG123" s="9"/>
      <c r="EH123" s="9"/>
      <c r="EI123" s="9"/>
      <c r="EJ123" s="9"/>
      <c r="EK123" s="8"/>
      <c r="EL123" s="8"/>
      <c r="EM123" s="8"/>
      <c r="EN123" s="8"/>
      <c r="EO123" s="8"/>
      <c r="EP123" s="8"/>
      <c r="EQ123" s="8"/>
      <c r="ER123" s="8"/>
      <c r="ES123" s="8"/>
      <c r="ET123" s="9"/>
      <c r="EU123" s="9"/>
      <c r="EV123" s="9"/>
      <c r="EW123" s="9"/>
      <c r="EX123" s="9"/>
      <c r="EY123" s="9"/>
      <c r="EZ123" s="9"/>
      <c r="FA123" s="9"/>
      <c r="FB123" s="8"/>
      <c r="FC123" s="8"/>
      <c r="FD123" s="8"/>
      <c r="FE123" s="8"/>
      <c r="FF123" s="9"/>
      <c r="FG123" s="9"/>
      <c r="FH123" s="9"/>
      <c r="FI123" s="9"/>
      <c r="FJ123" s="9"/>
      <c r="FK123" s="9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9"/>
      <c r="GA123" s="9"/>
      <c r="GB123" s="9"/>
      <c r="GC123" s="9"/>
      <c r="GD123" s="9"/>
      <c r="GE123" s="9"/>
      <c r="GF123" s="9"/>
      <c r="GG123" s="9"/>
      <c r="GH123" s="9"/>
      <c r="GI123" s="9"/>
    </row>
    <row r="124" spans="1:191" ht="15" customHeight="1" x14ac:dyDescent="0.25">
      <c r="A124" s="350">
        <v>544254600217</v>
      </c>
      <c r="B124" s="10">
        <f t="shared" si="7"/>
        <v>0</v>
      </c>
      <c r="C124" s="10">
        <v>0</v>
      </c>
      <c r="D124" s="10"/>
      <c r="E124" s="10">
        <f t="shared" si="6"/>
        <v>0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  <c r="Y124" s="9"/>
      <c r="Z124" s="8"/>
      <c r="AA124" s="8"/>
      <c r="AB124" s="8"/>
      <c r="AC124" s="8"/>
      <c r="AD124" s="8"/>
      <c r="AE124" s="9"/>
      <c r="AF124" s="9"/>
      <c r="AG124" s="9"/>
      <c r="AH124" s="9"/>
      <c r="AI124" s="9"/>
      <c r="AJ124" s="8"/>
      <c r="AK124" s="8"/>
      <c r="AL124" s="8"/>
      <c r="AM124" s="8"/>
      <c r="AN124" s="8"/>
      <c r="AO124" s="9"/>
      <c r="AP124" s="9"/>
      <c r="AQ124" s="9"/>
      <c r="AR124" s="9"/>
      <c r="AS124" s="9"/>
      <c r="AT124" s="8"/>
      <c r="AU124" s="8"/>
      <c r="AV124" s="8"/>
      <c r="AW124" s="8"/>
      <c r="AX124" s="8"/>
      <c r="AY124" s="8"/>
      <c r="AZ124" s="9"/>
      <c r="BA124" s="9"/>
      <c r="BB124" s="9"/>
      <c r="BC124" s="9"/>
      <c r="BD124" s="9"/>
      <c r="BE124" s="9"/>
      <c r="BF124" s="9"/>
      <c r="BG124" s="8"/>
      <c r="BH124" s="8"/>
      <c r="BI124" s="8"/>
      <c r="BJ124" s="8"/>
      <c r="BK124" s="8"/>
      <c r="BL124" s="8"/>
      <c r="BM124" s="9"/>
      <c r="BN124" s="9"/>
      <c r="BO124" s="9"/>
      <c r="BP124" s="9"/>
      <c r="BQ124" s="9"/>
      <c r="BR124" s="8"/>
      <c r="BS124" s="8"/>
      <c r="BT124" s="8"/>
      <c r="BU124" s="8"/>
      <c r="BV124" s="8"/>
      <c r="BW124" s="8"/>
      <c r="BX124" s="8"/>
      <c r="BY124" s="8"/>
      <c r="BZ124" s="9"/>
      <c r="CA124" s="9"/>
      <c r="CB124" s="9"/>
      <c r="CC124" s="9"/>
      <c r="CD124" s="9"/>
      <c r="CE124" s="8"/>
      <c r="CF124" s="8"/>
      <c r="CG124" s="8"/>
      <c r="CH124" s="8"/>
      <c r="CI124" s="8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8"/>
      <c r="CX124" s="8"/>
      <c r="CY124" s="8"/>
      <c r="CZ124" s="8"/>
      <c r="DA124" s="8"/>
      <c r="DB124" s="9"/>
      <c r="DC124" s="9"/>
      <c r="DD124" s="9"/>
      <c r="DE124" s="9"/>
      <c r="DF124" s="9"/>
      <c r="DG124" s="9"/>
      <c r="DH124" s="9"/>
      <c r="DI124" s="8"/>
      <c r="DJ124" s="8"/>
      <c r="DK124" s="8"/>
      <c r="DL124" s="8"/>
      <c r="DM124" s="8"/>
      <c r="DN124" s="8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8"/>
      <c r="DZ124" s="8"/>
      <c r="EA124" s="8"/>
      <c r="EB124" s="8"/>
      <c r="EC124" s="8"/>
      <c r="ED124" s="9"/>
      <c r="EE124" s="9"/>
      <c r="EF124" s="9"/>
      <c r="EG124" s="9"/>
      <c r="EH124" s="9"/>
      <c r="EI124" s="9"/>
      <c r="EJ124" s="9"/>
      <c r="EK124" s="8"/>
      <c r="EL124" s="8"/>
      <c r="EM124" s="8"/>
      <c r="EN124" s="8"/>
      <c r="EO124" s="8"/>
      <c r="EP124" s="8"/>
      <c r="EQ124" s="8"/>
      <c r="ER124" s="8"/>
      <c r="ES124" s="8"/>
      <c r="ET124" s="9"/>
      <c r="EU124" s="9"/>
      <c r="EV124" s="9"/>
      <c r="EW124" s="9"/>
      <c r="EX124" s="9"/>
      <c r="EY124" s="9"/>
      <c r="EZ124" s="9"/>
      <c r="FA124" s="9"/>
      <c r="FB124" s="8"/>
      <c r="FC124" s="8"/>
      <c r="FD124" s="8"/>
      <c r="FE124" s="8"/>
      <c r="FF124" s="9"/>
      <c r="FG124" s="9"/>
      <c r="FH124" s="9"/>
      <c r="FI124" s="9"/>
      <c r="FJ124" s="9"/>
      <c r="FK124" s="9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9"/>
      <c r="GA124" s="9"/>
      <c r="GB124" s="9"/>
      <c r="GC124" s="9"/>
      <c r="GD124" s="9"/>
      <c r="GE124" s="9"/>
      <c r="GF124" s="9"/>
      <c r="GG124" s="9"/>
      <c r="GH124" s="9"/>
      <c r="GI124" s="9"/>
    </row>
    <row r="125" spans="1:191" ht="15" customHeight="1" x14ac:dyDescent="0.25">
      <c r="A125" s="350">
        <v>544254600224</v>
      </c>
      <c r="B125" s="10">
        <f t="shared" si="7"/>
        <v>0</v>
      </c>
      <c r="C125" s="10">
        <v>0</v>
      </c>
      <c r="D125" s="10"/>
      <c r="E125" s="10">
        <f t="shared" si="6"/>
        <v>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9"/>
      <c r="Y125" s="9"/>
      <c r="Z125" s="8"/>
      <c r="AA125" s="8"/>
      <c r="AB125" s="8"/>
      <c r="AC125" s="8"/>
      <c r="AD125" s="8"/>
      <c r="AE125" s="9"/>
      <c r="AF125" s="9"/>
      <c r="AG125" s="9"/>
      <c r="AH125" s="9"/>
      <c r="AI125" s="9"/>
      <c r="AJ125" s="8"/>
      <c r="AK125" s="8"/>
      <c r="AL125" s="8"/>
      <c r="AM125" s="8"/>
      <c r="AN125" s="8"/>
      <c r="AO125" s="9"/>
      <c r="AP125" s="9"/>
      <c r="AQ125" s="9"/>
      <c r="AR125" s="9"/>
      <c r="AS125" s="9"/>
      <c r="AT125" s="8"/>
      <c r="AU125" s="8"/>
      <c r="AV125" s="8"/>
      <c r="AW125" s="8"/>
      <c r="AX125" s="8"/>
      <c r="AY125" s="8"/>
      <c r="AZ125" s="9"/>
      <c r="BA125" s="9"/>
      <c r="BB125" s="9"/>
      <c r="BC125" s="9"/>
      <c r="BD125" s="9"/>
      <c r="BE125" s="9"/>
      <c r="BF125" s="9"/>
      <c r="BG125" s="8"/>
      <c r="BH125" s="8"/>
      <c r="BI125" s="8"/>
      <c r="BJ125" s="8"/>
      <c r="BK125" s="8"/>
      <c r="BL125" s="8"/>
      <c r="BM125" s="9"/>
      <c r="BN125" s="9"/>
      <c r="BO125" s="9"/>
      <c r="BP125" s="9"/>
      <c r="BQ125" s="9"/>
      <c r="BR125" s="8"/>
      <c r="BS125" s="8"/>
      <c r="BT125" s="8"/>
      <c r="BU125" s="8"/>
      <c r="BV125" s="8"/>
      <c r="BW125" s="8"/>
      <c r="BX125" s="8"/>
      <c r="BY125" s="8"/>
      <c r="BZ125" s="9"/>
      <c r="CA125" s="9"/>
      <c r="CB125" s="9"/>
      <c r="CC125" s="9"/>
      <c r="CD125" s="9"/>
      <c r="CE125" s="8"/>
      <c r="CF125" s="8"/>
      <c r="CG125" s="8"/>
      <c r="CH125" s="8"/>
      <c r="CI125" s="8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8"/>
      <c r="CX125" s="8"/>
      <c r="CY125" s="8"/>
      <c r="CZ125" s="8"/>
      <c r="DA125" s="8"/>
      <c r="DB125" s="9"/>
      <c r="DC125" s="9"/>
      <c r="DD125" s="9"/>
      <c r="DE125" s="9"/>
      <c r="DF125" s="9"/>
      <c r="DG125" s="9"/>
      <c r="DH125" s="9"/>
      <c r="DI125" s="8"/>
      <c r="DJ125" s="8"/>
      <c r="DK125" s="8"/>
      <c r="DL125" s="8"/>
      <c r="DM125" s="8"/>
      <c r="DN125" s="8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8"/>
      <c r="DZ125" s="8"/>
      <c r="EA125" s="8"/>
      <c r="EB125" s="8"/>
      <c r="EC125" s="8"/>
      <c r="ED125" s="9"/>
      <c r="EE125" s="9"/>
      <c r="EF125" s="9"/>
      <c r="EG125" s="9"/>
      <c r="EH125" s="9"/>
      <c r="EI125" s="9"/>
      <c r="EJ125" s="9"/>
      <c r="EK125" s="8"/>
      <c r="EL125" s="8"/>
      <c r="EM125" s="8"/>
      <c r="EN125" s="8"/>
      <c r="EO125" s="8"/>
      <c r="EP125" s="8"/>
      <c r="EQ125" s="8"/>
      <c r="ER125" s="8"/>
      <c r="ES125" s="8"/>
      <c r="ET125" s="9"/>
      <c r="EU125" s="9"/>
      <c r="EV125" s="9"/>
      <c r="EW125" s="9"/>
      <c r="EX125" s="9"/>
      <c r="EY125" s="9"/>
      <c r="EZ125" s="9"/>
      <c r="FA125" s="9"/>
      <c r="FB125" s="8"/>
      <c r="FC125" s="8"/>
      <c r="FD125" s="8"/>
      <c r="FE125" s="8"/>
      <c r="FF125" s="9"/>
      <c r="FG125" s="9"/>
      <c r="FH125" s="9"/>
      <c r="FI125" s="9"/>
      <c r="FJ125" s="9"/>
      <c r="FK125" s="9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9"/>
      <c r="GA125" s="9"/>
      <c r="GB125" s="9"/>
      <c r="GC125" s="9"/>
      <c r="GD125" s="9"/>
      <c r="GE125" s="9"/>
      <c r="GF125" s="9"/>
      <c r="GG125" s="9"/>
      <c r="GH125" s="9"/>
      <c r="GI125" s="9"/>
    </row>
    <row r="126" spans="1:191" ht="15" customHeight="1" x14ac:dyDescent="0.25">
      <c r="A126" s="350">
        <v>544254600225</v>
      </c>
      <c r="B126" s="10">
        <f t="shared" si="7"/>
        <v>0</v>
      </c>
      <c r="C126" s="10">
        <v>0</v>
      </c>
      <c r="D126" s="10"/>
      <c r="E126" s="10">
        <f t="shared" si="6"/>
        <v>0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9"/>
      <c r="Y126" s="9"/>
      <c r="Z126" s="8"/>
      <c r="AA126" s="8"/>
      <c r="AB126" s="8"/>
      <c r="AC126" s="8"/>
      <c r="AD126" s="8"/>
      <c r="AE126" s="9"/>
      <c r="AF126" s="9"/>
      <c r="AG126" s="9"/>
      <c r="AH126" s="9"/>
      <c r="AI126" s="9"/>
      <c r="AJ126" s="8"/>
      <c r="AK126" s="8"/>
      <c r="AL126" s="8"/>
      <c r="AM126" s="8"/>
      <c r="AN126" s="8"/>
      <c r="AO126" s="9"/>
      <c r="AP126" s="9"/>
      <c r="AQ126" s="9"/>
      <c r="AR126" s="9"/>
      <c r="AS126" s="9"/>
      <c r="AT126" s="8"/>
      <c r="AU126" s="8"/>
      <c r="AV126" s="8"/>
      <c r="AW126" s="8"/>
      <c r="AX126" s="8"/>
      <c r="AY126" s="8"/>
      <c r="AZ126" s="9"/>
      <c r="BA126" s="9"/>
      <c r="BB126" s="9"/>
      <c r="BC126" s="9"/>
      <c r="BD126" s="9"/>
      <c r="BE126" s="9"/>
      <c r="BF126" s="9"/>
      <c r="BG126" s="8"/>
      <c r="BH126" s="8"/>
      <c r="BI126" s="8"/>
      <c r="BJ126" s="8"/>
      <c r="BK126" s="8"/>
      <c r="BL126" s="8"/>
      <c r="BM126" s="9"/>
      <c r="BN126" s="9"/>
      <c r="BO126" s="9"/>
      <c r="BP126" s="9"/>
      <c r="BQ126" s="9"/>
      <c r="BR126" s="8"/>
      <c r="BS126" s="8"/>
      <c r="BT126" s="8"/>
      <c r="BU126" s="8"/>
      <c r="BV126" s="8"/>
      <c r="BW126" s="8"/>
      <c r="BX126" s="8"/>
      <c r="BY126" s="8"/>
      <c r="BZ126" s="9"/>
      <c r="CA126" s="9"/>
      <c r="CB126" s="9"/>
      <c r="CC126" s="9"/>
      <c r="CD126" s="9"/>
      <c r="CE126" s="8"/>
      <c r="CF126" s="8"/>
      <c r="CG126" s="8"/>
      <c r="CH126" s="8"/>
      <c r="CI126" s="8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8"/>
      <c r="CX126" s="8"/>
      <c r="CY126" s="8"/>
      <c r="CZ126" s="8"/>
      <c r="DA126" s="8"/>
      <c r="DB126" s="9"/>
      <c r="DC126" s="9"/>
      <c r="DD126" s="9"/>
      <c r="DE126" s="9"/>
      <c r="DF126" s="9"/>
      <c r="DG126" s="9"/>
      <c r="DH126" s="9"/>
      <c r="DI126" s="8"/>
      <c r="DJ126" s="8"/>
      <c r="DK126" s="8"/>
      <c r="DL126" s="8"/>
      <c r="DM126" s="8"/>
      <c r="DN126" s="8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8"/>
      <c r="DZ126" s="8"/>
      <c r="EA126" s="8"/>
      <c r="EB126" s="8"/>
      <c r="EC126" s="8"/>
      <c r="ED126" s="9"/>
      <c r="EE126" s="9"/>
      <c r="EF126" s="9"/>
      <c r="EG126" s="9"/>
      <c r="EH126" s="9"/>
      <c r="EI126" s="9"/>
      <c r="EJ126" s="9"/>
      <c r="EK126" s="8"/>
      <c r="EL126" s="8"/>
      <c r="EM126" s="8"/>
      <c r="EN126" s="8"/>
      <c r="EO126" s="8"/>
      <c r="EP126" s="8"/>
      <c r="EQ126" s="8"/>
      <c r="ER126" s="8"/>
      <c r="ES126" s="8"/>
      <c r="ET126" s="9"/>
      <c r="EU126" s="9"/>
      <c r="EV126" s="9"/>
      <c r="EW126" s="9"/>
      <c r="EX126" s="9"/>
      <c r="EY126" s="9"/>
      <c r="EZ126" s="9"/>
      <c r="FA126" s="9"/>
      <c r="FB126" s="8"/>
      <c r="FC126" s="8"/>
      <c r="FD126" s="8"/>
      <c r="FE126" s="8"/>
      <c r="FF126" s="9"/>
      <c r="FG126" s="9"/>
      <c r="FH126" s="9"/>
      <c r="FI126" s="9"/>
      <c r="FJ126" s="9"/>
      <c r="FK126" s="9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9"/>
      <c r="GA126" s="9"/>
      <c r="GB126" s="9"/>
      <c r="GC126" s="9"/>
      <c r="GD126" s="9"/>
      <c r="GE126" s="9"/>
      <c r="GF126" s="9"/>
      <c r="GG126" s="9"/>
      <c r="GH126" s="9"/>
      <c r="GI126" s="9"/>
    </row>
    <row r="127" spans="1:191" ht="15" customHeight="1" x14ac:dyDescent="0.25">
      <c r="A127" s="351">
        <v>544254600108</v>
      </c>
      <c r="B127" s="10">
        <f t="shared" si="7"/>
        <v>0</v>
      </c>
      <c r="C127" s="10">
        <v>0</v>
      </c>
      <c r="D127" s="10"/>
      <c r="E127" s="10">
        <f t="shared" si="6"/>
        <v>0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  <c r="Y127" s="9"/>
      <c r="Z127" s="8"/>
      <c r="AA127" s="8"/>
      <c r="AB127" s="8"/>
      <c r="AC127" s="8"/>
      <c r="AD127" s="8"/>
      <c r="AE127" s="9"/>
      <c r="AF127" s="9"/>
      <c r="AG127" s="9"/>
      <c r="AH127" s="9"/>
      <c r="AI127" s="9"/>
      <c r="AJ127" s="8"/>
      <c r="AK127" s="8"/>
      <c r="AL127" s="8"/>
      <c r="AM127" s="8"/>
      <c r="AN127" s="8"/>
      <c r="AO127" s="9"/>
      <c r="AP127" s="9"/>
      <c r="AQ127" s="9"/>
      <c r="AR127" s="9"/>
      <c r="AS127" s="9"/>
      <c r="AT127" s="8"/>
      <c r="AU127" s="8"/>
      <c r="AV127" s="8"/>
      <c r="AW127" s="8"/>
      <c r="AX127" s="8"/>
      <c r="AY127" s="8"/>
      <c r="AZ127" s="9"/>
      <c r="BA127" s="9"/>
      <c r="BB127" s="9"/>
      <c r="BC127" s="9"/>
      <c r="BD127" s="9"/>
      <c r="BE127" s="9"/>
      <c r="BF127" s="9"/>
      <c r="BG127" s="8"/>
      <c r="BH127" s="8"/>
      <c r="BI127" s="8"/>
      <c r="BJ127" s="8"/>
      <c r="BK127" s="8"/>
      <c r="BL127" s="8"/>
      <c r="BM127" s="9"/>
      <c r="BN127" s="9"/>
      <c r="BO127" s="9"/>
      <c r="BP127" s="9"/>
      <c r="BQ127" s="9"/>
      <c r="BR127" s="8"/>
      <c r="BS127" s="8"/>
      <c r="BT127" s="8"/>
      <c r="BU127" s="8"/>
      <c r="BV127" s="8"/>
      <c r="BW127" s="8"/>
      <c r="BX127" s="8"/>
      <c r="BY127" s="8"/>
      <c r="BZ127" s="9"/>
      <c r="CA127" s="9"/>
      <c r="CB127" s="9"/>
      <c r="CC127" s="9"/>
      <c r="CD127" s="9"/>
      <c r="CE127" s="8"/>
      <c r="CF127" s="8"/>
      <c r="CG127" s="8"/>
      <c r="CH127" s="8"/>
      <c r="CI127" s="8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8"/>
      <c r="CX127" s="8"/>
      <c r="CY127" s="8"/>
      <c r="CZ127" s="8"/>
      <c r="DA127" s="8"/>
      <c r="DB127" s="9"/>
      <c r="DC127" s="9"/>
      <c r="DD127" s="9"/>
      <c r="DE127" s="9"/>
      <c r="DF127" s="9"/>
      <c r="DG127" s="9"/>
      <c r="DH127" s="9"/>
      <c r="DI127" s="8"/>
      <c r="DJ127" s="8"/>
      <c r="DK127" s="8"/>
      <c r="DL127" s="8"/>
      <c r="DM127" s="8"/>
      <c r="DN127" s="8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8"/>
      <c r="DZ127" s="8"/>
      <c r="EA127" s="8"/>
      <c r="EB127" s="8"/>
      <c r="EC127" s="8"/>
      <c r="ED127" s="9"/>
      <c r="EE127" s="9"/>
      <c r="EF127" s="9"/>
      <c r="EG127" s="9"/>
      <c r="EH127" s="9"/>
      <c r="EI127" s="9"/>
      <c r="EJ127" s="9"/>
      <c r="EK127" s="8"/>
      <c r="EL127" s="8"/>
      <c r="EM127" s="8"/>
      <c r="EN127" s="8"/>
      <c r="EO127" s="8"/>
      <c r="EP127" s="8"/>
      <c r="EQ127" s="8"/>
      <c r="ER127" s="8"/>
      <c r="ES127" s="8"/>
      <c r="ET127" s="9"/>
      <c r="EU127" s="9"/>
      <c r="EV127" s="9"/>
      <c r="EW127" s="9"/>
      <c r="EX127" s="9"/>
      <c r="EY127" s="9"/>
      <c r="EZ127" s="9"/>
      <c r="FA127" s="9"/>
      <c r="FB127" s="8"/>
      <c r="FC127" s="8"/>
      <c r="FD127" s="8"/>
      <c r="FE127" s="8"/>
      <c r="FF127" s="9"/>
      <c r="FG127" s="9"/>
      <c r="FH127" s="9"/>
      <c r="FI127" s="9"/>
      <c r="FJ127" s="9"/>
      <c r="FK127" s="9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9"/>
      <c r="GA127" s="9"/>
      <c r="GB127" s="9"/>
      <c r="GC127" s="9"/>
      <c r="GD127" s="9"/>
      <c r="GE127" s="9"/>
      <c r="GF127" s="9"/>
      <c r="GG127" s="9"/>
      <c r="GH127" s="9"/>
      <c r="GI127" s="9"/>
    </row>
    <row r="128" spans="1:191" ht="15" customHeight="1" x14ac:dyDescent="0.25">
      <c r="A128" s="352">
        <v>544254600109</v>
      </c>
      <c r="B128" s="10">
        <f t="shared" si="7"/>
        <v>0</v>
      </c>
      <c r="C128" s="10">
        <v>0</v>
      </c>
      <c r="D128" s="10"/>
      <c r="E128" s="10">
        <f t="shared" si="6"/>
        <v>0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  <c r="Y128" s="9"/>
      <c r="Z128" s="8"/>
      <c r="AA128" s="8"/>
      <c r="AB128" s="8"/>
      <c r="AC128" s="8"/>
      <c r="AD128" s="8"/>
      <c r="AE128" s="9"/>
      <c r="AF128" s="9"/>
      <c r="AG128" s="9"/>
      <c r="AH128" s="9"/>
      <c r="AI128" s="9"/>
      <c r="AJ128" s="8"/>
      <c r="AK128" s="8"/>
      <c r="AL128" s="8"/>
      <c r="AM128" s="8"/>
      <c r="AN128" s="8"/>
      <c r="AO128" s="9"/>
      <c r="AP128" s="9"/>
      <c r="AQ128" s="9"/>
      <c r="AR128" s="9"/>
      <c r="AS128" s="9"/>
      <c r="AT128" s="8"/>
      <c r="AU128" s="8"/>
      <c r="AV128" s="8"/>
      <c r="AW128" s="8"/>
      <c r="AX128" s="8"/>
      <c r="AY128" s="8"/>
      <c r="AZ128" s="9"/>
      <c r="BA128" s="9"/>
      <c r="BB128" s="9"/>
      <c r="BC128" s="9"/>
      <c r="BD128" s="9"/>
      <c r="BE128" s="9"/>
      <c r="BF128" s="9"/>
      <c r="BG128" s="8"/>
      <c r="BH128" s="8"/>
      <c r="BI128" s="8"/>
      <c r="BJ128" s="8"/>
      <c r="BK128" s="8"/>
      <c r="BL128" s="8"/>
      <c r="BM128" s="9"/>
      <c r="BN128" s="9"/>
      <c r="BO128" s="9"/>
      <c r="BP128" s="9"/>
      <c r="BQ128" s="9"/>
      <c r="BR128" s="8"/>
      <c r="BS128" s="8"/>
      <c r="BT128" s="8"/>
      <c r="BU128" s="8"/>
      <c r="BV128" s="8"/>
      <c r="BW128" s="8"/>
      <c r="BX128" s="8"/>
      <c r="BY128" s="8"/>
      <c r="BZ128" s="9"/>
      <c r="CA128" s="9"/>
      <c r="CB128" s="9"/>
      <c r="CC128" s="9"/>
      <c r="CD128" s="9"/>
      <c r="CE128" s="8"/>
      <c r="CF128" s="8"/>
      <c r="CG128" s="8"/>
      <c r="CH128" s="8"/>
      <c r="CI128" s="8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8"/>
      <c r="CX128" s="8"/>
      <c r="CY128" s="8"/>
      <c r="CZ128" s="8"/>
      <c r="DA128" s="8"/>
      <c r="DB128" s="9"/>
      <c r="DC128" s="9"/>
      <c r="DD128" s="9"/>
      <c r="DE128" s="9"/>
      <c r="DF128" s="9"/>
      <c r="DG128" s="9"/>
      <c r="DH128" s="9"/>
      <c r="DI128" s="8"/>
      <c r="DJ128" s="8"/>
      <c r="DK128" s="8"/>
      <c r="DL128" s="8"/>
      <c r="DM128" s="8"/>
      <c r="DN128" s="8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8"/>
      <c r="DZ128" s="8"/>
      <c r="EA128" s="8"/>
      <c r="EB128" s="8"/>
      <c r="EC128" s="8"/>
      <c r="ED128" s="9"/>
      <c r="EE128" s="9"/>
      <c r="EF128" s="9"/>
      <c r="EG128" s="9"/>
      <c r="EH128" s="9"/>
      <c r="EI128" s="9"/>
      <c r="EJ128" s="9"/>
      <c r="EK128" s="8"/>
      <c r="EL128" s="8"/>
      <c r="EM128" s="8"/>
      <c r="EN128" s="8"/>
      <c r="EO128" s="8"/>
      <c r="EP128" s="8"/>
      <c r="EQ128" s="8"/>
      <c r="ER128" s="8"/>
      <c r="ES128" s="8"/>
      <c r="ET128" s="9"/>
      <c r="EU128" s="9"/>
      <c r="EV128" s="9"/>
      <c r="EW128" s="9"/>
      <c r="EX128" s="9"/>
      <c r="EY128" s="9"/>
      <c r="EZ128" s="9"/>
      <c r="FA128" s="9"/>
      <c r="FB128" s="8"/>
      <c r="FC128" s="8"/>
      <c r="FD128" s="8"/>
      <c r="FE128" s="8"/>
      <c r="FF128" s="9"/>
      <c r="FG128" s="9"/>
      <c r="FH128" s="9"/>
      <c r="FI128" s="9"/>
      <c r="FJ128" s="9"/>
      <c r="FK128" s="9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9"/>
      <c r="GA128" s="9"/>
      <c r="GB128" s="9"/>
      <c r="GC128" s="9"/>
      <c r="GD128" s="9"/>
      <c r="GE128" s="9"/>
      <c r="GF128" s="9"/>
      <c r="GG128" s="9"/>
      <c r="GH128" s="9"/>
      <c r="GI128" s="9"/>
    </row>
    <row r="129" spans="1:191" ht="15" customHeight="1" x14ac:dyDescent="0.25">
      <c r="A129" s="352">
        <v>544254600110</v>
      </c>
      <c r="B129" s="10">
        <f t="shared" si="7"/>
        <v>0</v>
      </c>
      <c r="C129" s="10">
        <v>0</v>
      </c>
      <c r="D129" s="10"/>
      <c r="E129" s="10">
        <f t="shared" si="6"/>
        <v>0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  <c r="Y129" s="9"/>
      <c r="Z129" s="8"/>
      <c r="AA129" s="8"/>
      <c r="AB129" s="8"/>
      <c r="AC129" s="8"/>
      <c r="AD129" s="8"/>
      <c r="AE129" s="9"/>
      <c r="AF129" s="9"/>
      <c r="AG129" s="9"/>
      <c r="AH129" s="9"/>
      <c r="AI129" s="9"/>
      <c r="AJ129" s="8"/>
      <c r="AK129" s="8"/>
      <c r="AL129" s="8"/>
      <c r="AM129" s="8"/>
      <c r="AN129" s="8"/>
      <c r="AO129" s="9"/>
      <c r="AP129" s="9"/>
      <c r="AQ129" s="9"/>
      <c r="AR129" s="9"/>
      <c r="AS129" s="9"/>
      <c r="AT129" s="8"/>
      <c r="AU129" s="8"/>
      <c r="AV129" s="8"/>
      <c r="AW129" s="8"/>
      <c r="AX129" s="8"/>
      <c r="AY129" s="8"/>
      <c r="AZ129" s="9"/>
      <c r="BA129" s="9"/>
      <c r="BB129" s="9"/>
      <c r="BC129" s="9"/>
      <c r="BD129" s="9"/>
      <c r="BE129" s="9"/>
      <c r="BF129" s="9"/>
      <c r="BG129" s="8"/>
      <c r="BH129" s="8"/>
      <c r="BI129" s="8"/>
      <c r="BJ129" s="8"/>
      <c r="BK129" s="8"/>
      <c r="BL129" s="8"/>
      <c r="BM129" s="9"/>
      <c r="BN129" s="9"/>
      <c r="BO129" s="9"/>
      <c r="BP129" s="9"/>
      <c r="BQ129" s="9"/>
      <c r="BR129" s="8"/>
      <c r="BS129" s="8"/>
      <c r="BT129" s="8"/>
      <c r="BU129" s="8"/>
      <c r="BV129" s="8"/>
      <c r="BW129" s="8"/>
      <c r="BX129" s="8"/>
      <c r="BY129" s="8"/>
      <c r="BZ129" s="9"/>
      <c r="CA129" s="9"/>
      <c r="CB129" s="9"/>
      <c r="CC129" s="9"/>
      <c r="CD129" s="9"/>
      <c r="CE129" s="8"/>
      <c r="CF129" s="8"/>
      <c r="CG129" s="8"/>
      <c r="CH129" s="8"/>
      <c r="CI129" s="8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8"/>
      <c r="CX129" s="8"/>
      <c r="CY129" s="8"/>
      <c r="CZ129" s="8"/>
      <c r="DA129" s="8"/>
      <c r="DB129" s="9"/>
      <c r="DC129" s="9"/>
      <c r="DD129" s="9"/>
      <c r="DE129" s="9"/>
      <c r="DF129" s="9"/>
      <c r="DG129" s="9"/>
      <c r="DH129" s="9"/>
      <c r="DI129" s="8"/>
      <c r="DJ129" s="8"/>
      <c r="DK129" s="8"/>
      <c r="DL129" s="8"/>
      <c r="DM129" s="8"/>
      <c r="DN129" s="8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8"/>
      <c r="DZ129" s="8"/>
      <c r="EA129" s="8"/>
      <c r="EB129" s="8"/>
      <c r="EC129" s="8"/>
      <c r="ED129" s="9"/>
      <c r="EE129" s="9"/>
      <c r="EF129" s="9"/>
      <c r="EG129" s="9"/>
      <c r="EH129" s="9"/>
      <c r="EI129" s="9"/>
      <c r="EJ129" s="9"/>
      <c r="EK129" s="8"/>
      <c r="EL129" s="8"/>
      <c r="EM129" s="8"/>
      <c r="EN129" s="8"/>
      <c r="EO129" s="8"/>
      <c r="EP129" s="8"/>
      <c r="EQ129" s="8"/>
      <c r="ER129" s="8"/>
      <c r="ES129" s="8"/>
      <c r="ET129" s="9"/>
      <c r="EU129" s="9"/>
      <c r="EV129" s="9"/>
      <c r="EW129" s="9"/>
      <c r="EX129" s="9"/>
      <c r="EY129" s="9"/>
      <c r="EZ129" s="9"/>
      <c r="FA129" s="9"/>
      <c r="FB129" s="8"/>
      <c r="FC129" s="8"/>
      <c r="FD129" s="8"/>
      <c r="FE129" s="8"/>
      <c r="FF129" s="9"/>
      <c r="FG129" s="9"/>
      <c r="FH129" s="9"/>
      <c r="FI129" s="9"/>
      <c r="FJ129" s="9"/>
      <c r="FK129" s="9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9"/>
      <c r="GA129" s="9"/>
      <c r="GB129" s="9"/>
      <c r="GC129" s="9"/>
      <c r="GD129" s="9"/>
      <c r="GE129" s="9"/>
      <c r="GF129" s="9"/>
      <c r="GG129" s="9"/>
      <c r="GH129" s="9"/>
      <c r="GI129" s="9"/>
    </row>
    <row r="130" spans="1:191" ht="15" customHeight="1" x14ac:dyDescent="0.25">
      <c r="A130" s="351">
        <v>544254600111</v>
      </c>
      <c r="B130" s="10">
        <f t="shared" si="7"/>
        <v>0</v>
      </c>
      <c r="C130" s="10">
        <v>0</v>
      </c>
      <c r="D130" s="10"/>
      <c r="E130" s="10">
        <f t="shared" si="6"/>
        <v>0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9"/>
      <c r="Y130" s="9"/>
      <c r="Z130" s="8"/>
      <c r="AA130" s="8"/>
      <c r="AB130" s="8"/>
      <c r="AC130" s="8"/>
      <c r="AD130" s="8"/>
      <c r="AE130" s="9"/>
      <c r="AF130" s="9"/>
      <c r="AG130" s="9"/>
      <c r="AH130" s="9"/>
      <c r="AI130" s="9"/>
      <c r="AJ130" s="8"/>
      <c r="AK130" s="8"/>
      <c r="AL130" s="8"/>
      <c r="AM130" s="8"/>
      <c r="AN130" s="8"/>
      <c r="AO130" s="9"/>
      <c r="AP130" s="9"/>
      <c r="AQ130" s="9"/>
      <c r="AR130" s="9"/>
      <c r="AS130" s="9"/>
      <c r="AT130" s="8"/>
      <c r="AU130" s="8"/>
      <c r="AV130" s="8"/>
      <c r="AW130" s="8"/>
      <c r="AX130" s="8"/>
      <c r="AY130" s="8"/>
      <c r="AZ130" s="9"/>
      <c r="BA130" s="9"/>
      <c r="BB130" s="9"/>
      <c r="BC130" s="9"/>
      <c r="BD130" s="9"/>
      <c r="BE130" s="9"/>
      <c r="BF130" s="9"/>
      <c r="BG130" s="8"/>
      <c r="BH130" s="8"/>
      <c r="BI130" s="8"/>
      <c r="BJ130" s="8"/>
      <c r="BK130" s="8"/>
      <c r="BL130" s="8"/>
      <c r="BM130" s="9"/>
      <c r="BN130" s="9"/>
      <c r="BO130" s="9"/>
      <c r="BP130" s="9"/>
      <c r="BQ130" s="9"/>
      <c r="BR130" s="8"/>
      <c r="BS130" s="8"/>
      <c r="BT130" s="8"/>
      <c r="BU130" s="8"/>
      <c r="BV130" s="8"/>
      <c r="BW130" s="8"/>
      <c r="BX130" s="8"/>
      <c r="BY130" s="8"/>
      <c r="BZ130" s="9"/>
      <c r="CA130" s="9"/>
      <c r="CB130" s="9"/>
      <c r="CC130" s="9"/>
      <c r="CD130" s="9"/>
      <c r="CE130" s="8"/>
      <c r="CF130" s="8"/>
      <c r="CG130" s="8"/>
      <c r="CH130" s="8"/>
      <c r="CI130" s="8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8"/>
      <c r="CX130" s="8"/>
      <c r="CY130" s="8"/>
      <c r="CZ130" s="8"/>
      <c r="DA130" s="8"/>
      <c r="DB130" s="9"/>
      <c r="DC130" s="9"/>
      <c r="DD130" s="9"/>
      <c r="DE130" s="9"/>
      <c r="DF130" s="9"/>
      <c r="DG130" s="9"/>
      <c r="DH130" s="9"/>
      <c r="DI130" s="8"/>
      <c r="DJ130" s="8"/>
      <c r="DK130" s="8"/>
      <c r="DL130" s="8"/>
      <c r="DM130" s="8"/>
      <c r="DN130" s="8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8"/>
      <c r="DZ130" s="8"/>
      <c r="EA130" s="8"/>
      <c r="EB130" s="8"/>
      <c r="EC130" s="8"/>
      <c r="ED130" s="9"/>
      <c r="EE130" s="9"/>
      <c r="EF130" s="9"/>
      <c r="EG130" s="9"/>
      <c r="EH130" s="9"/>
      <c r="EI130" s="9"/>
      <c r="EJ130" s="9"/>
      <c r="EK130" s="8"/>
      <c r="EL130" s="8"/>
      <c r="EM130" s="8"/>
      <c r="EN130" s="8"/>
      <c r="EO130" s="8"/>
      <c r="EP130" s="8"/>
      <c r="EQ130" s="8"/>
      <c r="ER130" s="8"/>
      <c r="ES130" s="8"/>
      <c r="ET130" s="9"/>
      <c r="EU130" s="9"/>
      <c r="EV130" s="9"/>
      <c r="EW130" s="9"/>
      <c r="EX130" s="9"/>
      <c r="EY130" s="9"/>
      <c r="EZ130" s="9"/>
      <c r="FA130" s="9"/>
      <c r="FB130" s="8"/>
      <c r="FC130" s="8"/>
      <c r="FD130" s="8"/>
      <c r="FE130" s="8"/>
      <c r="FF130" s="9"/>
      <c r="FG130" s="9"/>
      <c r="FH130" s="9"/>
      <c r="FI130" s="9"/>
      <c r="FJ130" s="9"/>
      <c r="FK130" s="9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9"/>
      <c r="GA130" s="9"/>
      <c r="GB130" s="9"/>
      <c r="GC130" s="9"/>
      <c r="GD130" s="9"/>
      <c r="GE130" s="9"/>
      <c r="GF130" s="9"/>
      <c r="GG130" s="9"/>
      <c r="GH130" s="9"/>
      <c r="GI130" s="9"/>
    </row>
    <row r="131" spans="1:191" ht="15" customHeight="1" x14ac:dyDescent="0.25">
      <c r="A131" s="352">
        <v>544254600214</v>
      </c>
      <c r="B131" s="10">
        <f t="shared" si="7"/>
        <v>0</v>
      </c>
      <c r="C131" s="10">
        <v>0</v>
      </c>
      <c r="D131" s="10"/>
      <c r="E131" s="10">
        <f t="shared" si="6"/>
        <v>0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  <c r="Y131" s="9"/>
      <c r="Z131" s="8"/>
      <c r="AA131" s="8"/>
      <c r="AB131" s="8"/>
      <c r="AC131" s="8"/>
      <c r="AD131" s="8"/>
      <c r="AE131" s="9"/>
      <c r="AF131" s="9"/>
      <c r="AG131" s="9"/>
      <c r="AH131" s="9"/>
      <c r="AI131" s="9"/>
      <c r="AJ131" s="8"/>
      <c r="AK131" s="8"/>
      <c r="AL131" s="8"/>
      <c r="AM131" s="8"/>
      <c r="AN131" s="8"/>
      <c r="AO131" s="9"/>
      <c r="AP131" s="9"/>
      <c r="AQ131" s="9"/>
      <c r="AR131" s="9"/>
      <c r="AS131" s="9"/>
      <c r="AT131" s="8"/>
      <c r="AU131" s="8"/>
      <c r="AV131" s="8"/>
      <c r="AW131" s="8"/>
      <c r="AX131" s="8"/>
      <c r="AY131" s="8"/>
      <c r="AZ131" s="9"/>
      <c r="BA131" s="9"/>
      <c r="BB131" s="9"/>
      <c r="BC131" s="9"/>
      <c r="BD131" s="9"/>
      <c r="BE131" s="9"/>
      <c r="BF131" s="9"/>
      <c r="BG131" s="8"/>
      <c r="BH131" s="8"/>
      <c r="BI131" s="8"/>
      <c r="BJ131" s="8"/>
      <c r="BK131" s="8"/>
      <c r="BL131" s="8"/>
      <c r="BM131" s="9"/>
      <c r="BN131" s="9"/>
      <c r="BO131" s="9"/>
      <c r="BP131" s="9"/>
      <c r="BQ131" s="9"/>
      <c r="BR131" s="8"/>
      <c r="BS131" s="8"/>
      <c r="BT131" s="8"/>
      <c r="BU131" s="8"/>
      <c r="BV131" s="8"/>
      <c r="BW131" s="8"/>
      <c r="BX131" s="8"/>
      <c r="BY131" s="8"/>
      <c r="BZ131" s="9"/>
      <c r="CA131" s="9"/>
      <c r="CB131" s="9"/>
      <c r="CC131" s="9"/>
      <c r="CD131" s="9"/>
      <c r="CE131" s="8"/>
      <c r="CF131" s="8"/>
      <c r="CG131" s="8"/>
      <c r="CH131" s="8"/>
      <c r="CI131" s="8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8"/>
      <c r="CX131" s="8"/>
      <c r="CY131" s="8"/>
      <c r="CZ131" s="8"/>
      <c r="DA131" s="8"/>
      <c r="DB131" s="9"/>
      <c r="DC131" s="9"/>
      <c r="DD131" s="9"/>
      <c r="DE131" s="9"/>
      <c r="DF131" s="9"/>
      <c r="DG131" s="9"/>
      <c r="DH131" s="9"/>
      <c r="DI131" s="8"/>
      <c r="DJ131" s="8"/>
      <c r="DK131" s="8"/>
      <c r="DL131" s="8"/>
      <c r="DM131" s="8"/>
      <c r="DN131" s="8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8"/>
      <c r="DZ131" s="8"/>
      <c r="EA131" s="8"/>
      <c r="EB131" s="8"/>
      <c r="EC131" s="8"/>
      <c r="ED131" s="9"/>
      <c r="EE131" s="9"/>
      <c r="EF131" s="9"/>
      <c r="EG131" s="9"/>
      <c r="EH131" s="9"/>
      <c r="EI131" s="9"/>
      <c r="EJ131" s="9"/>
      <c r="EK131" s="8"/>
      <c r="EL131" s="8"/>
      <c r="EM131" s="8"/>
      <c r="EN131" s="8"/>
      <c r="EO131" s="8"/>
      <c r="EP131" s="8"/>
      <c r="EQ131" s="8"/>
      <c r="ER131" s="8"/>
      <c r="ES131" s="8"/>
      <c r="ET131" s="9"/>
      <c r="EU131" s="9"/>
      <c r="EV131" s="9"/>
      <c r="EW131" s="9"/>
      <c r="EX131" s="9"/>
      <c r="EY131" s="9"/>
      <c r="EZ131" s="9"/>
      <c r="FA131" s="9"/>
      <c r="FB131" s="8"/>
      <c r="FC131" s="8"/>
      <c r="FD131" s="8"/>
      <c r="FE131" s="8"/>
      <c r="FF131" s="9"/>
      <c r="FG131" s="9"/>
      <c r="FH131" s="9"/>
      <c r="FI131" s="9"/>
      <c r="FJ131" s="9"/>
      <c r="FK131" s="9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9"/>
      <c r="GA131" s="9"/>
      <c r="GB131" s="9"/>
      <c r="GC131" s="9"/>
      <c r="GD131" s="9"/>
      <c r="GE131" s="9"/>
      <c r="GF131" s="9"/>
      <c r="GG131" s="9"/>
      <c r="GH131" s="9"/>
      <c r="GI131" s="9"/>
    </row>
    <row r="132" spans="1:191" ht="15" customHeight="1" x14ac:dyDescent="0.25">
      <c r="A132" s="351">
        <v>544254600213</v>
      </c>
      <c r="B132" s="10">
        <f t="shared" si="7"/>
        <v>0</v>
      </c>
      <c r="C132" s="10">
        <v>0</v>
      </c>
      <c r="D132" s="10"/>
      <c r="E132" s="10">
        <f t="shared" si="6"/>
        <v>0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  <c r="Y132" s="9"/>
      <c r="Z132" s="8"/>
      <c r="AA132" s="8"/>
      <c r="AB132" s="8"/>
      <c r="AC132" s="8"/>
      <c r="AD132" s="8"/>
      <c r="AE132" s="9"/>
      <c r="AF132" s="9"/>
      <c r="AG132" s="9"/>
      <c r="AH132" s="9"/>
      <c r="AI132" s="9"/>
      <c r="AJ132" s="8"/>
      <c r="AK132" s="8"/>
      <c r="AL132" s="8"/>
      <c r="AM132" s="8"/>
      <c r="AN132" s="8"/>
      <c r="AO132" s="9"/>
      <c r="AP132" s="9"/>
      <c r="AQ132" s="9"/>
      <c r="AR132" s="9"/>
      <c r="AS132" s="9"/>
      <c r="AT132" s="8"/>
      <c r="AU132" s="8"/>
      <c r="AV132" s="8"/>
      <c r="AW132" s="8"/>
      <c r="AX132" s="8"/>
      <c r="AY132" s="8"/>
      <c r="AZ132" s="9"/>
      <c r="BA132" s="9"/>
      <c r="BB132" s="9"/>
      <c r="BC132" s="9"/>
      <c r="BD132" s="9"/>
      <c r="BE132" s="9"/>
      <c r="BF132" s="9"/>
      <c r="BG132" s="8"/>
      <c r="BH132" s="8"/>
      <c r="BI132" s="8"/>
      <c r="BJ132" s="8"/>
      <c r="BK132" s="8"/>
      <c r="BL132" s="8"/>
      <c r="BM132" s="9"/>
      <c r="BN132" s="9"/>
      <c r="BO132" s="9"/>
      <c r="BP132" s="9"/>
      <c r="BQ132" s="9"/>
      <c r="BR132" s="8"/>
      <c r="BS132" s="8"/>
      <c r="BT132" s="8"/>
      <c r="BU132" s="8"/>
      <c r="BV132" s="8"/>
      <c r="BW132" s="8"/>
      <c r="BX132" s="8"/>
      <c r="BY132" s="8"/>
      <c r="BZ132" s="9"/>
      <c r="CA132" s="9"/>
      <c r="CB132" s="9"/>
      <c r="CC132" s="9"/>
      <c r="CD132" s="9"/>
      <c r="CE132" s="8"/>
      <c r="CF132" s="8"/>
      <c r="CG132" s="8"/>
      <c r="CH132" s="8"/>
      <c r="CI132" s="8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8"/>
      <c r="CX132" s="8"/>
      <c r="CY132" s="8"/>
      <c r="CZ132" s="8"/>
      <c r="DA132" s="8"/>
      <c r="DB132" s="9"/>
      <c r="DC132" s="9"/>
      <c r="DD132" s="9"/>
      <c r="DE132" s="9"/>
      <c r="DF132" s="9"/>
      <c r="DG132" s="9"/>
      <c r="DH132" s="9"/>
      <c r="DI132" s="8"/>
      <c r="DJ132" s="8"/>
      <c r="DK132" s="8"/>
      <c r="DL132" s="8"/>
      <c r="DM132" s="8"/>
      <c r="DN132" s="8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8"/>
      <c r="DZ132" s="8"/>
      <c r="EA132" s="8"/>
      <c r="EB132" s="8"/>
      <c r="EC132" s="8"/>
      <c r="ED132" s="9"/>
      <c r="EE132" s="9"/>
      <c r="EF132" s="9"/>
      <c r="EG132" s="9"/>
      <c r="EH132" s="9"/>
      <c r="EI132" s="9"/>
      <c r="EJ132" s="9"/>
      <c r="EK132" s="8"/>
      <c r="EL132" s="8"/>
      <c r="EM132" s="8"/>
      <c r="EN132" s="8"/>
      <c r="EO132" s="8"/>
      <c r="EP132" s="8"/>
      <c r="EQ132" s="8"/>
      <c r="ER132" s="8"/>
      <c r="ES132" s="8"/>
      <c r="ET132" s="9"/>
      <c r="EU132" s="9"/>
      <c r="EV132" s="9"/>
      <c r="EW132" s="9"/>
      <c r="EX132" s="9"/>
      <c r="EY132" s="9"/>
      <c r="EZ132" s="9"/>
      <c r="FA132" s="9"/>
      <c r="FB132" s="8"/>
      <c r="FC132" s="8"/>
      <c r="FD132" s="8"/>
      <c r="FE132" s="8"/>
      <c r="FF132" s="9"/>
      <c r="FG132" s="9"/>
      <c r="FH132" s="9"/>
      <c r="FI132" s="9"/>
      <c r="FJ132" s="9"/>
      <c r="FK132" s="9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9"/>
      <c r="GA132" s="9"/>
      <c r="GB132" s="9"/>
      <c r="GC132" s="9"/>
      <c r="GD132" s="9"/>
      <c r="GE132" s="9"/>
      <c r="GF132" s="9"/>
      <c r="GG132" s="9"/>
      <c r="GH132" s="9"/>
      <c r="GI132" s="9"/>
    </row>
    <row r="133" spans="1:191" ht="15" customHeight="1" x14ac:dyDescent="0.25">
      <c r="A133" s="352">
        <v>544254600216</v>
      </c>
      <c r="B133" s="10">
        <f t="shared" ref="B133:B164" si="8">SUM(F133:GI133)</f>
        <v>0</v>
      </c>
      <c r="C133" s="10">
        <v>0</v>
      </c>
      <c r="D133" s="10"/>
      <c r="E133" s="10">
        <f t="shared" si="6"/>
        <v>0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  <c r="Y133" s="9"/>
      <c r="Z133" s="8"/>
      <c r="AA133" s="8"/>
      <c r="AB133" s="8"/>
      <c r="AC133" s="8"/>
      <c r="AD133" s="8"/>
      <c r="AE133" s="9"/>
      <c r="AF133" s="9"/>
      <c r="AG133" s="9"/>
      <c r="AH133" s="9"/>
      <c r="AI133" s="9"/>
      <c r="AJ133" s="8"/>
      <c r="AK133" s="8"/>
      <c r="AL133" s="8"/>
      <c r="AM133" s="8"/>
      <c r="AN133" s="8"/>
      <c r="AO133" s="9"/>
      <c r="AP133" s="9"/>
      <c r="AQ133" s="9"/>
      <c r="AR133" s="9"/>
      <c r="AS133" s="9"/>
      <c r="AT133" s="8"/>
      <c r="AU133" s="8"/>
      <c r="AV133" s="8"/>
      <c r="AW133" s="8"/>
      <c r="AX133" s="8"/>
      <c r="AY133" s="8"/>
      <c r="AZ133" s="9"/>
      <c r="BA133" s="9"/>
      <c r="BB133" s="9"/>
      <c r="BC133" s="9"/>
      <c r="BD133" s="9"/>
      <c r="BE133" s="9"/>
      <c r="BF133" s="9"/>
      <c r="BG133" s="8"/>
      <c r="BH133" s="8"/>
      <c r="BI133" s="8"/>
      <c r="BJ133" s="8"/>
      <c r="BK133" s="8"/>
      <c r="BL133" s="8"/>
      <c r="BM133" s="9"/>
      <c r="BN133" s="9"/>
      <c r="BO133" s="9"/>
      <c r="BP133" s="9"/>
      <c r="BQ133" s="9"/>
      <c r="BR133" s="8"/>
      <c r="BS133" s="8"/>
      <c r="BT133" s="8"/>
      <c r="BU133" s="8"/>
      <c r="BV133" s="8"/>
      <c r="BW133" s="8"/>
      <c r="BX133" s="8"/>
      <c r="BY133" s="8"/>
      <c r="BZ133" s="9"/>
      <c r="CA133" s="9"/>
      <c r="CB133" s="9"/>
      <c r="CC133" s="9"/>
      <c r="CD133" s="9"/>
      <c r="CE133" s="8"/>
      <c r="CF133" s="8"/>
      <c r="CG133" s="8"/>
      <c r="CH133" s="8"/>
      <c r="CI133" s="8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8"/>
      <c r="CX133" s="8"/>
      <c r="CY133" s="8"/>
      <c r="CZ133" s="8"/>
      <c r="DA133" s="8"/>
      <c r="DB133" s="9"/>
      <c r="DC133" s="9"/>
      <c r="DD133" s="9"/>
      <c r="DE133" s="9"/>
      <c r="DF133" s="9"/>
      <c r="DG133" s="9"/>
      <c r="DH133" s="9"/>
      <c r="DI133" s="8"/>
      <c r="DJ133" s="8"/>
      <c r="DK133" s="8"/>
      <c r="DL133" s="8"/>
      <c r="DM133" s="8"/>
      <c r="DN133" s="8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8"/>
      <c r="DZ133" s="8"/>
      <c r="EA133" s="8"/>
      <c r="EB133" s="8"/>
      <c r="EC133" s="8"/>
      <c r="ED133" s="9"/>
      <c r="EE133" s="9"/>
      <c r="EF133" s="9"/>
      <c r="EG133" s="9"/>
      <c r="EH133" s="9"/>
      <c r="EI133" s="9"/>
      <c r="EJ133" s="9"/>
      <c r="EK133" s="8"/>
      <c r="EL133" s="8"/>
      <c r="EM133" s="8"/>
      <c r="EN133" s="8"/>
      <c r="EO133" s="8"/>
      <c r="EP133" s="8"/>
      <c r="EQ133" s="8"/>
      <c r="ER133" s="8"/>
      <c r="ES133" s="8"/>
      <c r="ET133" s="9"/>
      <c r="EU133" s="9"/>
      <c r="EV133" s="9"/>
      <c r="EW133" s="9"/>
      <c r="EX133" s="9"/>
      <c r="EY133" s="9"/>
      <c r="EZ133" s="9"/>
      <c r="FA133" s="9"/>
      <c r="FB133" s="8"/>
      <c r="FC133" s="8"/>
      <c r="FD133" s="8"/>
      <c r="FE133" s="8"/>
      <c r="FF133" s="9"/>
      <c r="FG133" s="9"/>
      <c r="FH133" s="9"/>
      <c r="FI133" s="9"/>
      <c r="FJ133" s="9"/>
      <c r="FK133" s="9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9"/>
      <c r="GA133" s="9"/>
      <c r="GB133" s="9"/>
      <c r="GC133" s="9"/>
      <c r="GD133" s="9"/>
      <c r="GE133" s="9"/>
      <c r="GF133" s="9"/>
      <c r="GG133" s="9"/>
      <c r="GH133" s="9"/>
      <c r="GI133" s="9"/>
    </row>
    <row r="134" spans="1:191" ht="15" customHeight="1" x14ac:dyDescent="0.25">
      <c r="A134" s="351">
        <v>544254600212</v>
      </c>
      <c r="B134" s="10">
        <f t="shared" si="8"/>
        <v>0</v>
      </c>
      <c r="C134" s="10">
        <v>0</v>
      </c>
      <c r="D134" s="10"/>
      <c r="E134" s="10">
        <f t="shared" ref="E134:E177" si="9">C134-B134</f>
        <v>0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  <c r="Y134" s="9"/>
      <c r="Z134" s="8"/>
      <c r="AA134" s="8"/>
      <c r="AB134" s="8"/>
      <c r="AC134" s="8"/>
      <c r="AD134" s="8"/>
      <c r="AE134" s="9"/>
      <c r="AF134" s="9"/>
      <c r="AG134" s="9"/>
      <c r="AH134" s="9"/>
      <c r="AI134" s="9"/>
      <c r="AJ134" s="8"/>
      <c r="AK134" s="8"/>
      <c r="AL134" s="8"/>
      <c r="AM134" s="8"/>
      <c r="AN134" s="8"/>
      <c r="AO134" s="9"/>
      <c r="AP134" s="9"/>
      <c r="AQ134" s="9"/>
      <c r="AR134" s="9"/>
      <c r="AS134" s="9"/>
      <c r="AT134" s="8"/>
      <c r="AU134" s="8"/>
      <c r="AV134" s="8"/>
      <c r="AW134" s="8"/>
      <c r="AX134" s="8"/>
      <c r="AY134" s="8"/>
      <c r="AZ134" s="9"/>
      <c r="BA134" s="9"/>
      <c r="BB134" s="9"/>
      <c r="BC134" s="9"/>
      <c r="BD134" s="9"/>
      <c r="BE134" s="9"/>
      <c r="BF134" s="9"/>
      <c r="BG134" s="8"/>
      <c r="BH134" s="8"/>
      <c r="BI134" s="8"/>
      <c r="BJ134" s="8"/>
      <c r="BK134" s="8"/>
      <c r="BL134" s="8"/>
      <c r="BM134" s="9"/>
      <c r="BN134" s="9"/>
      <c r="BO134" s="9"/>
      <c r="BP134" s="9"/>
      <c r="BQ134" s="9"/>
      <c r="BR134" s="8"/>
      <c r="BS134" s="8"/>
      <c r="BT134" s="8"/>
      <c r="BU134" s="8"/>
      <c r="BV134" s="8"/>
      <c r="BW134" s="8"/>
      <c r="BX134" s="8"/>
      <c r="BY134" s="8"/>
      <c r="BZ134" s="9"/>
      <c r="CA134" s="9"/>
      <c r="CB134" s="9"/>
      <c r="CC134" s="9"/>
      <c r="CD134" s="9"/>
      <c r="CE134" s="8"/>
      <c r="CF134" s="8"/>
      <c r="CG134" s="8"/>
      <c r="CH134" s="8"/>
      <c r="CI134" s="8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8"/>
      <c r="CX134" s="8"/>
      <c r="CY134" s="8"/>
      <c r="CZ134" s="8"/>
      <c r="DA134" s="8"/>
      <c r="DB134" s="9"/>
      <c r="DC134" s="9"/>
      <c r="DD134" s="9"/>
      <c r="DE134" s="9"/>
      <c r="DF134" s="9"/>
      <c r="DG134" s="9"/>
      <c r="DH134" s="9"/>
      <c r="DI134" s="8"/>
      <c r="DJ134" s="8"/>
      <c r="DK134" s="8"/>
      <c r="DL134" s="8"/>
      <c r="DM134" s="8"/>
      <c r="DN134" s="8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8"/>
      <c r="DZ134" s="8"/>
      <c r="EA134" s="8"/>
      <c r="EB134" s="8"/>
      <c r="EC134" s="8"/>
      <c r="ED134" s="9"/>
      <c r="EE134" s="9"/>
      <c r="EF134" s="9"/>
      <c r="EG134" s="9"/>
      <c r="EH134" s="9"/>
      <c r="EI134" s="9"/>
      <c r="EJ134" s="9"/>
      <c r="EK134" s="8"/>
      <c r="EL134" s="8"/>
      <c r="EM134" s="8"/>
      <c r="EN134" s="8"/>
      <c r="EO134" s="8"/>
      <c r="EP134" s="8"/>
      <c r="EQ134" s="8"/>
      <c r="ER134" s="8"/>
      <c r="ES134" s="8"/>
      <c r="ET134" s="9"/>
      <c r="EU134" s="9"/>
      <c r="EV134" s="9"/>
      <c r="EW134" s="9"/>
      <c r="EX134" s="9"/>
      <c r="EY134" s="9"/>
      <c r="EZ134" s="9"/>
      <c r="FA134" s="9"/>
      <c r="FB134" s="8"/>
      <c r="FC134" s="8"/>
      <c r="FD134" s="8"/>
      <c r="FE134" s="8"/>
      <c r="FF134" s="9"/>
      <c r="FG134" s="9"/>
      <c r="FH134" s="9"/>
      <c r="FI134" s="9"/>
      <c r="FJ134" s="9"/>
      <c r="FK134" s="9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9"/>
      <c r="GA134" s="9"/>
      <c r="GB134" s="9"/>
      <c r="GC134" s="9"/>
      <c r="GD134" s="9"/>
      <c r="GE134" s="9"/>
      <c r="GF134" s="9"/>
      <c r="GG134" s="9"/>
      <c r="GH134" s="9"/>
      <c r="GI134" s="9"/>
    </row>
    <row r="135" spans="1:191" ht="15" customHeight="1" x14ac:dyDescent="0.25">
      <c r="A135" s="351">
        <v>544254600215</v>
      </c>
      <c r="B135" s="10">
        <f t="shared" si="8"/>
        <v>0</v>
      </c>
      <c r="C135" s="10">
        <v>0</v>
      </c>
      <c r="D135" s="10"/>
      <c r="E135" s="10">
        <f t="shared" si="9"/>
        <v>0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  <c r="Y135" s="9"/>
      <c r="Z135" s="8"/>
      <c r="AA135" s="8"/>
      <c r="AB135" s="8"/>
      <c r="AC135" s="8"/>
      <c r="AD135" s="8"/>
      <c r="AE135" s="9"/>
      <c r="AF135" s="9"/>
      <c r="AG135" s="9"/>
      <c r="AH135" s="9"/>
      <c r="AI135" s="9"/>
      <c r="AJ135" s="8"/>
      <c r="AK135" s="8"/>
      <c r="AL135" s="8"/>
      <c r="AM135" s="8"/>
      <c r="AN135" s="8"/>
      <c r="AO135" s="9"/>
      <c r="AP135" s="9"/>
      <c r="AQ135" s="9"/>
      <c r="AR135" s="9"/>
      <c r="AS135" s="9"/>
      <c r="AT135" s="8"/>
      <c r="AU135" s="8"/>
      <c r="AV135" s="8"/>
      <c r="AW135" s="8"/>
      <c r="AX135" s="8"/>
      <c r="AY135" s="8"/>
      <c r="AZ135" s="9"/>
      <c r="BA135" s="9"/>
      <c r="BB135" s="9"/>
      <c r="BC135" s="9"/>
      <c r="BD135" s="9"/>
      <c r="BE135" s="9"/>
      <c r="BF135" s="9"/>
      <c r="BG135" s="8"/>
      <c r="BH135" s="8"/>
      <c r="BI135" s="8"/>
      <c r="BJ135" s="8"/>
      <c r="BK135" s="8"/>
      <c r="BL135" s="8"/>
      <c r="BM135" s="9"/>
      <c r="BN135" s="9"/>
      <c r="BO135" s="9"/>
      <c r="BP135" s="9"/>
      <c r="BQ135" s="9"/>
      <c r="BR135" s="8"/>
      <c r="BS135" s="8"/>
      <c r="BT135" s="8"/>
      <c r="BU135" s="8"/>
      <c r="BV135" s="8"/>
      <c r="BW135" s="8"/>
      <c r="BX135" s="8"/>
      <c r="BY135" s="8"/>
      <c r="BZ135" s="9"/>
      <c r="CA135" s="9"/>
      <c r="CB135" s="9"/>
      <c r="CC135" s="9"/>
      <c r="CD135" s="9"/>
      <c r="CE135" s="8"/>
      <c r="CF135" s="8"/>
      <c r="CG135" s="8"/>
      <c r="CH135" s="8"/>
      <c r="CI135" s="8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8"/>
      <c r="CX135" s="8"/>
      <c r="CY135" s="8"/>
      <c r="CZ135" s="8"/>
      <c r="DA135" s="8"/>
      <c r="DB135" s="9"/>
      <c r="DC135" s="9"/>
      <c r="DD135" s="9"/>
      <c r="DE135" s="9"/>
      <c r="DF135" s="9"/>
      <c r="DG135" s="9"/>
      <c r="DH135" s="9"/>
      <c r="DI135" s="8"/>
      <c r="DJ135" s="8"/>
      <c r="DK135" s="8"/>
      <c r="DL135" s="8"/>
      <c r="DM135" s="8"/>
      <c r="DN135" s="8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8"/>
      <c r="DZ135" s="8"/>
      <c r="EA135" s="8"/>
      <c r="EB135" s="8"/>
      <c r="EC135" s="8"/>
      <c r="ED135" s="9"/>
      <c r="EE135" s="9"/>
      <c r="EF135" s="9"/>
      <c r="EG135" s="9"/>
      <c r="EH135" s="9"/>
      <c r="EI135" s="9"/>
      <c r="EJ135" s="9"/>
      <c r="EK135" s="8"/>
      <c r="EL135" s="8"/>
      <c r="EM135" s="8"/>
      <c r="EN135" s="8"/>
      <c r="EO135" s="8"/>
      <c r="EP135" s="8"/>
      <c r="EQ135" s="8"/>
      <c r="ER135" s="8"/>
      <c r="ES135" s="8"/>
      <c r="ET135" s="9"/>
      <c r="EU135" s="9"/>
      <c r="EV135" s="9"/>
      <c r="EW135" s="9"/>
      <c r="EX135" s="9"/>
      <c r="EY135" s="9"/>
      <c r="EZ135" s="9"/>
      <c r="FA135" s="9"/>
      <c r="FB135" s="8"/>
      <c r="FC135" s="8"/>
      <c r="FD135" s="8"/>
      <c r="FE135" s="8"/>
      <c r="FF135" s="9"/>
      <c r="FG135" s="9"/>
      <c r="FH135" s="9"/>
      <c r="FI135" s="9"/>
      <c r="FJ135" s="9"/>
      <c r="FK135" s="9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9"/>
      <c r="GA135" s="9"/>
      <c r="GB135" s="9"/>
      <c r="GC135" s="9"/>
      <c r="GD135" s="9"/>
      <c r="GE135" s="9"/>
      <c r="GF135" s="9"/>
      <c r="GG135" s="9"/>
      <c r="GH135" s="9"/>
      <c r="GI135" s="9"/>
    </row>
    <row r="136" spans="1:191" ht="15" customHeight="1" x14ac:dyDescent="0.25">
      <c r="A136" s="353">
        <v>544254650108</v>
      </c>
      <c r="B136" s="10">
        <f t="shared" si="8"/>
        <v>0</v>
      </c>
      <c r="C136" s="10">
        <v>0</v>
      </c>
      <c r="D136" s="10"/>
      <c r="E136" s="10">
        <f t="shared" si="9"/>
        <v>0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  <c r="Y136" s="9"/>
      <c r="Z136" s="8"/>
      <c r="AA136" s="8"/>
      <c r="AB136" s="8"/>
      <c r="AC136" s="8"/>
      <c r="AD136" s="8"/>
      <c r="AE136" s="9"/>
      <c r="AF136" s="9"/>
      <c r="AG136" s="9"/>
      <c r="AH136" s="9"/>
      <c r="AI136" s="9"/>
      <c r="AJ136" s="8"/>
      <c r="AK136" s="8"/>
      <c r="AL136" s="8"/>
      <c r="AM136" s="8"/>
      <c r="AN136" s="8"/>
      <c r="AO136" s="9"/>
      <c r="AP136" s="9"/>
      <c r="AQ136" s="9"/>
      <c r="AR136" s="9"/>
      <c r="AS136" s="9"/>
      <c r="AT136" s="8"/>
      <c r="AU136" s="8"/>
      <c r="AV136" s="8"/>
      <c r="AW136" s="8"/>
      <c r="AX136" s="8"/>
      <c r="AY136" s="8"/>
      <c r="AZ136" s="9"/>
      <c r="BA136" s="9"/>
      <c r="BB136" s="9"/>
      <c r="BC136" s="9"/>
      <c r="BD136" s="9"/>
      <c r="BE136" s="9"/>
      <c r="BF136" s="9"/>
      <c r="BG136" s="8"/>
      <c r="BH136" s="8"/>
      <c r="BI136" s="8"/>
      <c r="BJ136" s="8"/>
      <c r="BK136" s="8"/>
      <c r="BL136" s="8"/>
      <c r="BM136" s="9"/>
      <c r="BN136" s="9"/>
      <c r="BO136" s="9"/>
      <c r="BP136" s="9"/>
      <c r="BQ136" s="9"/>
      <c r="BR136" s="8"/>
      <c r="BS136" s="8"/>
      <c r="BT136" s="8"/>
      <c r="BU136" s="8"/>
      <c r="BV136" s="8"/>
      <c r="BW136" s="8"/>
      <c r="BX136" s="8"/>
      <c r="BY136" s="8"/>
      <c r="BZ136" s="9"/>
      <c r="CA136" s="9"/>
      <c r="CB136" s="9"/>
      <c r="CC136" s="9"/>
      <c r="CD136" s="9"/>
      <c r="CE136" s="8"/>
      <c r="CF136" s="8"/>
      <c r="CG136" s="8"/>
      <c r="CH136" s="8"/>
      <c r="CI136" s="8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8"/>
      <c r="CX136" s="8"/>
      <c r="CY136" s="8"/>
      <c r="CZ136" s="8"/>
      <c r="DA136" s="8"/>
      <c r="DB136" s="9"/>
      <c r="DC136" s="9"/>
      <c r="DD136" s="9"/>
      <c r="DE136" s="9"/>
      <c r="DF136" s="9"/>
      <c r="DG136" s="9"/>
      <c r="DH136" s="9"/>
      <c r="DI136" s="8"/>
      <c r="DJ136" s="8"/>
      <c r="DK136" s="8"/>
      <c r="DL136" s="8"/>
      <c r="DM136" s="8"/>
      <c r="DN136" s="8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8"/>
      <c r="DZ136" s="8"/>
      <c r="EA136" s="8"/>
      <c r="EB136" s="8"/>
      <c r="EC136" s="8"/>
      <c r="ED136" s="9"/>
      <c r="EE136" s="9"/>
      <c r="EF136" s="9"/>
      <c r="EG136" s="9"/>
      <c r="EH136" s="9"/>
      <c r="EI136" s="9"/>
      <c r="EJ136" s="9"/>
      <c r="EK136" s="8"/>
      <c r="EL136" s="8"/>
      <c r="EM136" s="8"/>
      <c r="EN136" s="8"/>
      <c r="EO136" s="8"/>
      <c r="EP136" s="8"/>
      <c r="EQ136" s="8"/>
      <c r="ER136" s="8"/>
      <c r="ES136" s="8"/>
      <c r="ET136" s="9"/>
      <c r="EU136" s="9"/>
      <c r="EV136" s="9"/>
      <c r="EW136" s="9"/>
      <c r="EX136" s="9"/>
      <c r="EY136" s="9"/>
      <c r="EZ136" s="9"/>
      <c r="FA136" s="9"/>
      <c r="FB136" s="8"/>
      <c r="FC136" s="8"/>
      <c r="FD136" s="8"/>
      <c r="FE136" s="8"/>
      <c r="FF136" s="9"/>
      <c r="FG136" s="9"/>
      <c r="FH136" s="9"/>
      <c r="FI136" s="9"/>
      <c r="FJ136" s="9"/>
      <c r="FK136" s="9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9"/>
      <c r="GA136" s="9"/>
      <c r="GB136" s="9"/>
      <c r="GC136" s="9"/>
      <c r="GD136" s="9"/>
      <c r="GE136" s="9"/>
      <c r="GF136" s="9"/>
      <c r="GG136" s="9"/>
      <c r="GH136" s="9"/>
      <c r="GI136" s="9"/>
    </row>
    <row r="137" spans="1:191" ht="15" customHeight="1" x14ac:dyDescent="0.25">
      <c r="A137" s="353">
        <v>544254650107</v>
      </c>
      <c r="B137" s="10">
        <f t="shared" si="8"/>
        <v>0</v>
      </c>
      <c r="C137" s="10">
        <v>0</v>
      </c>
      <c r="D137" s="10"/>
      <c r="E137" s="10">
        <f t="shared" si="9"/>
        <v>0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  <c r="Y137" s="9"/>
      <c r="Z137" s="8"/>
      <c r="AA137" s="8"/>
      <c r="AB137" s="8"/>
      <c r="AC137" s="8"/>
      <c r="AD137" s="8"/>
      <c r="AE137" s="9"/>
      <c r="AF137" s="9"/>
      <c r="AG137" s="9"/>
      <c r="AH137" s="9"/>
      <c r="AI137" s="9"/>
      <c r="AJ137" s="8"/>
      <c r="AK137" s="8"/>
      <c r="AL137" s="8"/>
      <c r="AM137" s="8"/>
      <c r="AN137" s="8"/>
      <c r="AO137" s="9"/>
      <c r="AP137" s="9"/>
      <c r="AQ137" s="9"/>
      <c r="AR137" s="9"/>
      <c r="AS137" s="9"/>
      <c r="AT137" s="8"/>
      <c r="AU137" s="8"/>
      <c r="AV137" s="8"/>
      <c r="AW137" s="8"/>
      <c r="AX137" s="8"/>
      <c r="AY137" s="8"/>
      <c r="AZ137" s="9"/>
      <c r="BA137" s="9"/>
      <c r="BB137" s="9"/>
      <c r="BC137" s="9"/>
      <c r="BD137" s="9"/>
      <c r="BE137" s="9"/>
      <c r="BF137" s="9"/>
      <c r="BG137" s="8"/>
      <c r="BH137" s="8"/>
      <c r="BI137" s="8"/>
      <c r="BJ137" s="8"/>
      <c r="BK137" s="8"/>
      <c r="BL137" s="8"/>
      <c r="BM137" s="9"/>
      <c r="BN137" s="9"/>
      <c r="BO137" s="9"/>
      <c r="BP137" s="9"/>
      <c r="BQ137" s="9"/>
      <c r="BR137" s="8"/>
      <c r="BS137" s="8"/>
      <c r="BT137" s="8"/>
      <c r="BU137" s="8"/>
      <c r="BV137" s="8"/>
      <c r="BW137" s="8"/>
      <c r="BX137" s="8"/>
      <c r="BY137" s="8"/>
      <c r="BZ137" s="9"/>
      <c r="CA137" s="9"/>
      <c r="CB137" s="9"/>
      <c r="CC137" s="9"/>
      <c r="CD137" s="9"/>
      <c r="CE137" s="8"/>
      <c r="CF137" s="8"/>
      <c r="CG137" s="8"/>
      <c r="CH137" s="8"/>
      <c r="CI137" s="8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8"/>
      <c r="CX137" s="8"/>
      <c r="CY137" s="8"/>
      <c r="CZ137" s="8"/>
      <c r="DA137" s="8"/>
      <c r="DB137" s="9"/>
      <c r="DC137" s="9"/>
      <c r="DD137" s="9"/>
      <c r="DE137" s="9"/>
      <c r="DF137" s="9"/>
      <c r="DG137" s="9"/>
      <c r="DH137" s="9"/>
      <c r="DI137" s="8"/>
      <c r="DJ137" s="8"/>
      <c r="DK137" s="8"/>
      <c r="DL137" s="8"/>
      <c r="DM137" s="8"/>
      <c r="DN137" s="8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8"/>
      <c r="DZ137" s="8"/>
      <c r="EA137" s="8"/>
      <c r="EB137" s="8"/>
      <c r="EC137" s="8"/>
      <c r="ED137" s="9"/>
      <c r="EE137" s="9"/>
      <c r="EF137" s="9"/>
      <c r="EG137" s="9"/>
      <c r="EH137" s="9"/>
      <c r="EI137" s="9"/>
      <c r="EJ137" s="9"/>
      <c r="EK137" s="8"/>
      <c r="EL137" s="8"/>
      <c r="EM137" s="8"/>
      <c r="EN137" s="8"/>
      <c r="EO137" s="8"/>
      <c r="EP137" s="8"/>
      <c r="EQ137" s="8"/>
      <c r="ER137" s="8"/>
      <c r="ES137" s="8"/>
      <c r="ET137" s="9"/>
      <c r="EU137" s="9"/>
      <c r="EV137" s="9"/>
      <c r="EW137" s="9"/>
      <c r="EX137" s="9"/>
      <c r="EY137" s="9"/>
      <c r="EZ137" s="9"/>
      <c r="FA137" s="9"/>
      <c r="FB137" s="8"/>
      <c r="FC137" s="8"/>
      <c r="FD137" s="8"/>
      <c r="FE137" s="8"/>
      <c r="FF137" s="9"/>
      <c r="FG137" s="9"/>
      <c r="FH137" s="9"/>
      <c r="FI137" s="9"/>
      <c r="FJ137" s="9"/>
      <c r="FK137" s="9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9"/>
      <c r="GA137" s="9"/>
      <c r="GB137" s="9"/>
      <c r="GC137" s="9"/>
      <c r="GD137" s="9"/>
      <c r="GE137" s="9"/>
      <c r="GF137" s="9"/>
      <c r="GG137" s="9"/>
      <c r="GH137" s="9"/>
      <c r="GI137" s="9"/>
    </row>
    <row r="138" spans="1:191" ht="15" customHeight="1" x14ac:dyDescent="0.25">
      <c r="A138" s="353">
        <v>544254650109</v>
      </c>
      <c r="B138" s="10">
        <f t="shared" si="8"/>
        <v>0</v>
      </c>
      <c r="C138" s="10">
        <v>0</v>
      </c>
      <c r="D138" s="10"/>
      <c r="E138" s="10">
        <f t="shared" si="9"/>
        <v>0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  <c r="Y138" s="9"/>
      <c r="Z138" s="8"/>
      <c r="AA138" s="8"/>
      <c r="AB138" s="8"/>
      <c r="AC138" s="8"/>
      <c r="AD138" s="8"/>
      <c r="AE138" s="9"/>
      <c r="AF138" s="9"/>
      <c r="AG138" s="9"/>
      <c r="AH138" s="9"/>
      <c r="AI138" s="9"/>
      <c r="AJ138" s="8"/>
      <c r="AK138" s="8"/>
      <c r="AL138" s="8"/>
      <c r="AM138" s="8"/>
      <c r="AN138" s="8"/>
      <c r="AO138" s="9"/>
      <c r="AP138" s="9"/>
      <c r="AQ138" s="9"/>
      <c r="AR138" s="9"/>
      <c r="AS138" s="9"/>
      <c r="AT138" s="8"/>
      <c r="AU138" s="8"/>
      <c r="AV138" s="8"/>
      <c r="AW138" s="8"/>
      <c r="AX138" s="8"/>
      <c r="AY138" s="8"/>
      <c r="AZ138" s="9"/>
      <c r="BA138" s="9"/>
      <c r="BB138" s="9"/>
      <c r="BC138" s="9"/>
      <c r="BD138" s="9"/>
      <c r="BE138" s="9"/>
      <c r="BF138" s="9"/>
      <c r="BG138" s="8"/>
      <c r="BH138" s="8"/>
      <c r="BI138" s="8"/>
      <c r="BJ138" s="8"/>
      <c r="BK138" s="8"/>
      <c r="BL138" s="8"/>
      <c r="BM138" s="9"/>
      <c r="BN138" s="9"/>
      <c r="BO138" s="9"/>
      <c r="BP138" s="9"/>
      <c r="BQ138" s="9"/>
      <c r="BR138" s="8"/>
      <c r="BS138" s="8"/>
      <c r="BT138" s="8"/>
      <c r="BU138" s="8"/>
      <c r="BV138" s="8"/>
      <c r="BW138" s="8"/>
      <c r="BX138" s="8"/>
      <c r="BY138" s="8"/>
      <c r="BZ138" s="9"/>
      <c r="CA138" s="9"/>
      <c r="CB138" s="9"/>
      <c r="CC138" s="9"/>
      <c r="CD138" s="9"/>
      <c r="CE138" s="8"/>
      <c r="CF138" s="8"/>
      <c r="CG138" s="8"/>
      <c r="CH138" s="8"/>
      <c r="CI138" s="8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8"/>
      <c r="CX138" s="8"/>
      <c r="CY138" s="8"/>
      <c r="CZ138" s="8"/>
      <c r="DA138" s="8"/>
      <c r="DB138" s="9"/>
      <c r="DC138" s="9"/>
      <c r="DD138" s="9"/>
      <c r="DE138" s="9"/>
      <c r="DF138" s="9"/>
      <c r="DG138" s="9"/>
      <c r="DH138" s="9"/>
      <c r="DI138" s="8"/>
      <c r="DJ138" s="8"/>
      <c r="DK138" s="8"/>
      <c r="DL138" s="8"/>
      <c r="DM138" s="8"/>
      <c r="DN138" s="8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8"/>
      <c r="DZ138" s="8"/>
      <c r="EA138" s="8"/>
      <c r="EB138" s="8"/>
      <c r="EC138" s="8"/>
      <c r="ED138" s="9"/>
      <c r="EE138" s="9"/>
      <c r="EF138" s="9"/>
      <c r="EG138" s="9"/>
      <c r="EH138" s="9"/>
      <c r="EI138" s="9"/>
      <c r="EJ138" s="9"/>
      <c r="EK138" s="8"/>
      <c r="EL138" s="8"/>
      <c r="EM138" s="8"/>
      <c r="EN138" s="8"/>
      <c r="EO138" s="8"/>
      <c r="EP138" s="8"/>
      <c r="EQ138" s="8"/>
      <c r="ER138" s="8"/>
      <c r="ES138" s="8"/>
      <c r="ET138" s="9"/>
      <c r="EU138" s="9"/>
      <c r="EV138" s="9"/>
      <c r="EW138" s="9"/>
      <c r="EX138" s="9"/>
      <c r="EY138" s="9"/>
      <c r="EZ138" s="9"/>
      <c r="FA138" s="9"/>
      <c r="FB138" s="8"/>
      <c r="FC138" s="8"/>
      <c r="FD138" s="8"/>
      <c r="FE138" s="8"/>
      <c r="FF138" s="9"/>
      <c r="FG138" s="9"/>
      <c r="FH138" s="9"/>
      <c r="FI138" s="9"/>
      <c r="FJ138" s="9"/>
      <c r="FK138" s="9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9"/>
      <c r="GA138" s="9"/>
      <c r="GB138" s="9"/>
      <c r="GC138" s="9"/>
      <c r="GD138" s="9"/>
      <c r="GE138" s="9"/>
      <c r="GF138" s="9"/>
      <c r="GG138" s="9"/>
      <c r="GH138" s="9"/>
      <c r="GI138" s="9"/>
    </row>
    <row r="139" spans="1:191" ht="15" customHeight="1" x14ac:dyDescent="0.25">
      <c r="A139" s="353">
        <v>544254650110</v>
      </c>
      <c r="B139" s="10">
        <f t="shared" si="8"/>
        <v>0</v>
      </c>
      <c r="C139" s="10">
        <v>0</v>
      </c>
      <c r="D139" s="10"/>
      <c r="E139" s="10">
        <f t="shared" si="9"/>
        <v>0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  <c r="Y139" s="9"/>
      <c r="Z139" s="8"/>
      <c r="AA139" s="8"/>
      <c r="AB139" s="8"/>
      <c r="AC139" s="8"/>
      <c r="AD139" s="8"/>
      <c r="AE139" s="9"/>
      <c r="AF139" s="9"/>
      <c r="AG139" s="9"/>
      <c r="AH139" s="9"/>
      <c r="AI139" s="9"/>
      <c r="AJ139" s="8"/>
      <c r="AK139" s="8"/>
      <c r="AL139" s="8"/>
      <c r="AM139" s="8"/>
      <c r="AN139" s="8"/>
      <c r="AO139" s="9"/>
      <c r="AP139" s="9"/>
      <c r="AQ139" s="9"/>
      <c r="AR139" s="9"/>
      <c r="AS139" s="9"/>
      <c r="AT139" s="8"/>
      <c r="AU139" s="8"/>
      <c r="AV139" s="8"/>
      <c r="AW139" s="8"/>
      <c r="AX139" s="8"/>
      <c r="AY139" s="8"/>
      <c r="AZ139" s="9"/>
      <c r="BA139" s="9"/>
      <c r="BB139" s="9"/>
      <c r="BC139" s="9"/>
      <c r="BD139" s="9"/>
      <c r="BE139" s="9"/>
      <c r="BF139" s="9"/>
      <c r="BG139" s="8"/>
      <c r="BH139" s="8"/>
      <c r="BI139" s="8"/>
      <c r="BJ139" s="8"/>
      <c r="BK139" s="8"/>
      <c r="BL139" s="8"/>
      <c r="BM139" s="9"/>
      <c r="BN139" s="9"/>
      <c r="BO139" s="9"/>
      <c r="BP139" s="9"/>
      <c r="BQ139" s="9"/>
      <c r="BR139" s="8"/>
      <c r="BS139" s="8"/>
      <c r="BT139" s="8"/>
      <c r="BU139" s="8"/>
      <c r="BV139" s="8"/>
      <c r="BW139" s="8"/>
      <c r="BX139" s="8"/>
      <c r="BY139" s="8"/>
      <c r="BZ139" s="9"/>
      <c r="CA139" s="9"/>
      <c r="CB139" s="9"/>
      <c r="CC139" s="9"/>
      <c r="CD139" s="9"/>
      <c r="CE139" s="8"/>
      <c r="CF139" s="8"/>
      <c r="CG139" s="8"/>
      <c r="CH139" s="8"/>
      <c r="CI139" s="8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8"/>
      <c r="CX139" s="8"/>
      <c r="CY139" s="8"/>
      <c r="CZ139" s="8"/>
      <c r="DA139" s="8"/>
      <c r="DB139" s="9"/>
      <c r="DC139" s="9"/>
      <c r="DD139" s="9"/>
      <c r="DE139" s="9"/>
      <c r="DF139" s="9"/>
      <c r="DG139" s="9"/>
      <c r="DH139" s="9"/>
      <c r="DI139" s="8"/>
      <c r="DJ139" s="8"/>
      <c r="DK139" s="8"/>
      <c r="DL139" s="8"/>
      <c r="DM139" s="8"/>
      <c r="DN139" s="8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8"/>
      <c r="DZ139" s="8"/>
      <c r="EA139" s="8"/>
      <c r="EB139" s="8"/>
      <c r="EC139" s="8"/>
      <c r="ED139" s="9"/>
      <c r="EE139" s="9"/>
      <c r="EF139" s="9"/>
      <c r="EG139" s="9"/>
      <c r="EH139" s="9"/>
      <c r="EI139" s="9"/>
      <c r="EJ139" s="9"/>
      <c r="EK139" s="8"/>
      <c r="EL139" s="8"/>
      <c r="EM139" s="8"/>
      <c r="EN139" s="8"/>
      <c r="EO139" s="8"/>
      <c r="EP139" s="8"/>
      <c r="EQ139" s="8"/>
      <c r="ER139" s="8"/>
      <c r="ES139" s="8"/>
      <c r="ET139" s="9"/>
      <c r="EU139" s="9"/>
      <c r="EV139" s="9"/>
      <c r="EW139" s="9"/>
      <c r="EX139" s="9"/>
      <c r="EY139" s="9"/>
      <c r="EZ139" s="9"/>
      <c r="FA139" s="9"/>
      <c r="FB139" s="8"/>
      <c r="FC139" s="8"/>
      <c r="FD139" s="8"/>
      <c r="FE139" s="8"/>
      <c r="FF139" s="9"/>
      <c r="FG139" s="9"/>
      <c r="FH139" s="9"/>
      <c r="FI139" s="9"/>
      <c r="FJ139" s="9"/>
      <c r="FK139" s="9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9"/>
      <c r="GA139" s="9"/>
      <c r="GB139" s="9"/>
      <c r="GC139" s="9"/>
      <c r="GD139" s="9"/>
      <c r="GE139" s="9"/>
      <c r="GF139" s="9"/>
      <c r="GG139" s="9"/>
      <c r="GH139" s="9"/>
      <c r="GI139" s="9"/>
    </row>
    <row r="140" spans="1:191" ht="15" customHeight="1" x14ac:dyDescent="0.25">
      <c r="A140" s="353">
        <v>544254630115</v>
      </c>
      <c r="B140" s="10">
        <f t="shared" si="8"/>
        <v>0</v>
      </c>
      <c r="C140" s="10">
        <v>0</v>
      </c>
      <c r="D140" s="10"/>
      <c r="E140" s="10">
        <f t="shared" si="9"/>
        <v>0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9"/>
      <c r="Y140" s="9"/>
      <c r="Z140" s="8"/>
      <c r="AA140" s="8"/>
      <c r="AB140" s="8"/>
      <c r="AC140" s="8"/>
      <c r="AD140" s="8"/>
      <c r="AE140" s="9"/>
      <c r="AF140" s="9"/>
      <c r="AG140" s="9"/>
      <c r="AH140" s="9"/>
      <c r="AI140" s="9"/>
      <c r="AJ140" s="8"/>
      <c r="AK140" s="8"/>
      <c r="AL140" s="8"/>
      <c r="AM140" s="8"/>
      <c r="AN140" s="8"/>
      <c r="AO140" s="9"/>
      <c r="AP140" s="9"/>
      <c r="AQ140" s="9"/>
      <c r="AR140" s="9"/>
      <c r="AS140" s="9"/>
      <c r="AT140" s="8"/>
      <c r="AU140" s="8"/>
      <c r="AV140" s="8"/>
      <c r="AW140" s="8"/>
      <c r="AX140" s="8"/>
      <c r="AY140" s="8"/>
      <c r="AZ140" s="9"/>
      <c r="BA140" s="9"/>
      <c r="BB140" s="9"/>
      <c r="BC140" s="9"/>
      <c r="BD140" s="9"/>
      <c r="BE140" s="9"/>
      <c r="BF140" s="9"/>
      <c r="BG140" s="8"/>
      <c r="BH140" s="8"/>
      <c r="BI140" s="8"/>
      <c r="BJ140" s="8"/>
      <c r="BK140" s="8"/>
      <c r="BL140" s="8"/>
      <c r="BM140" s="9"/>
      <c r="BN140" s="9"/>
      <c r="BO140" s="9"/>
      <c r="BP140" s="9"/>
      <c r="BQ140" s="9"/>
      <c r="BR140" s="8"/>
      <c r="BS140" s="8"/>
      <c r="BT140" s="8"/>
      <c r="BU140" s="8"/>
      <c r="BV140" s="8"/>
      <c r="BW140" s="8"/>
      <c r="BX140" s="8"/>
      <c r="BY140" s="8"/>
      <c r="BZ140" s="9"/>
      <c r="CA140" s="9"/>
      <c r="CB140" s="9"/>
      <c r="CC140" s="9"/>
      <c r="CD140" s="9"/>
      <c r="CE140" s="8"/>
      <c r="CF140" s="8"/>
      <c r="CG140" s="8"/>
      <c r="CH140" s="8"/>
      <c r="CI140" s="8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8"/>
      <c r="CX140" s="8"/>
      <c r="CY140" s="8"/>
      <c r="CZ140" s="8"/>
      <c r="DA140" s="8"/>
      <c r="DB140" s="9"/>
      <c r="DC140" s="9"/>
      <c r="DD140" s="9"/>
      <c r="DE140" s="9"/>
      <c r="DF140" s="9"/>
      <c r="DG140" s="9"/>
      <c r="DH140" s="9"/>
      <c r="DI140" s="8"/>
      <c r="DJ140" s="8"/>
      <c r="DK140" s="8"/>
      <c r="DL140" s="8"/>
      <c r="DM140" s="8"/>
      <c r="DN140" s="8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8"/>
      <c r="DZ140" s="8"/>
      <c r="EA140" s="8"/>
      <c r="EB140" s="8"/>
      <c r="EC140" s="8"/>
      <c r="ED140" s="9"/>
      <c r="EE140" s="9"/>
      <c r="EF140" s="9"/>
      <c r="EG140" s="9"/>
      <c r="EH140" s="9"/>
      <c r="EI140" s="9"/>
      <c r="EJ140" s="9"/>
      <c r="EK140" s="8"/>
      <c r="EL140" s="8"/>
      <c r="EM140" s="8"/>
      <c r="EN140" s="8"/>
      <c r="EO140" s="8"/>
      <c r="EP140" s="8"/>
      <c r="EQ140" s="8"/>
      <c r="ER140" s="8"/>
      <c r="ES140" s="8"/>
      <c r="ET140" s="9"/>
      <c r="EU140" s="9"/>
      <c r="EV140" s="9"/>
      <c r="EW140" s="9"/>
      <c r="EX140" s="9"/>
      <c r="EY140" s="9"/>
      <c r="EZ140" s="9"/>
      <c r="FA140" s="9"/>
      <c r="FB140" s="8"/>
      <c r="FC140" s="8"/>
      <c r="FD140" s="8"/>
      <c r="FE140" s="8"/>
      <c r="FF140" s="9"/>
      <c r="FG140" s="9"/>
      <c r="FH140" s="9"/>
      <c r="FI140" s="9"/>
      <c r="FJ140" s="9"/>
      <c r="FK140" s="9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9"/>
      <c r="GA140" s="9"/>
      <c r="GB140" s="9"/>
      <c r="GC140" s="9"/>
      <c r="GD140" s="9"/>
      <c r="GE140" s="9"/>
      <c r="GF140" s="9"/>
      <c r="GG140" s="9"/>
      <c r="GH140" s="9"/>
      <c r="GI140" s="9"/>
    </row>
    <row r="141" spans="1:191" ht="15" customHeight="1" x14ac:dyDescent="0.25">
      <c r="A141" s="353">
        <v>544254640172</v>
      </c>
      <c r="B141" s="10">
        <f t="shared" si="8"/>
        <v>0</v>
      </c>
      <c r="C141" s="10">
        <v>0</v>
      </c>
      <c r="D141" s="10"/>
      <c r="E141" s="10">
        <f t="shared" si="9"/>
        <v>0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  <c r="Y141" s="9"/>
      <c r="Z141" s="8"/>
      <c r="AA141" s="8"/>
      <c r="AB141" s="8"/>
      <c r="AC141" s="8"/>
      <c r="AD141" s="8"/>
      <c r="AE141" s="9"/>
      <c r="AF141" s="9"/>
      <c r="AG141" s="9"/>
      <c r="AH141" s="9"/>
      <c r="AI141" s="9"/>
      <c r="AJ141" s="8"/>
      <c r="AK141" s="8"/>
      <c r="AL141" s="8"/>
      <c r="AM141" s="8"/>
      <c r="AN141" s="8"/>
      <c r="AO141" s="9"/>
      <c r="AP141" s="9"/>
      <c r="AQ141" s="9"/>
      <c r="AR141" s="9"/>
      <c r="AS141" s="9"/>
      <c r="AT141" s="8"/>
      <c r="AU141" s="8"/>
      <c r="AV141" s="8"/>
      <c r="AW141" s="8"/>
      <c r="AX141" s="8"/>
      <c r="AY141" s="8"/>
      <c r="AZ141" s="9"/>
      <c r="BA141" s="9"/>
      <c r="BB141" s="9"/>
      <c r="BC141" s="9"/>
      <c r="BD141" s="9"/>
      <c r="BE141" s="9"/>
      <c r="BF141" s="9"/>
      <c r="BG141" s="8"/>
      <c r="BH141" s="8"/>
      <c r="BI141" s="8"/>
      <c r="BJ141" s="8"/>
      <c r="BK141" s="8"/>
      <c r="BL141" s="8"/>
      <c r="BM141" s="9"/>
      <c r="BN141" s="9"/>
      <c r="BO141" s="9"/>
      <c r="BP141" s="9"/>
      <c r="BQ141" s="9"/>
      <c r="BR141" s="8"/>
      <c r="BS141" s="8"/>
      <c r="BT141" s="8"/>
      <c r="BU141" s="8"/>
      <c r="BV141" s="8"/>
      <c r="BW141" s="8"/>
      <c r="BX141" s="8"/>
      <c r="BY141" s="8"/>
      <c r="BZ141" s="9"/>
      <c r="CA141" s="9"/>
      <c r="CB141" s="9"/>
      <c r="CC141" s="9"/>
      <c r="CD141" s="9"/>
      <c r="CE141" s="8"/>
      <c r="CF141" s="8"/>
      <c r="CG141" s="8"/>
      <c r="CH141" s="8"/>
      <c r="CI141" s="8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8"/>
      <c r="CX141" s="8"/>
      <c r="CY141" s="8"/>
      <c r="CZ141" s="8"/>
      <c r="DA141" s="8"/>
      <c r="DB141" s="9"/>
      <c r="DC141" s="9"/>
      <c r="DD141" s="9"/>
      <c r="DE141" s="9"/>
      <c r="DF141" s="9"/>
      <c r="DG141" s="9"/>
      <c r="DH141" s="9"/>
      <c r="DI141" s="8"/>
      <c r="DJ141" s="8"/>
      <c r="DK141" s="8"/>
      <c r="DL141" s="8"/>
      <c r="DM141" s="8"/>
      <c r="DN141" s="8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8"/>
      <c r="DZ141" s="8"/>
      <c r="EA141" s="8"/>
      <c r="EB141" s="8"/>
      <c r="EC141" s="8"/>
      <c r="ED141" s="9"/>
      <c r="EE141" s="9"/>
      <c r="EF141" s="9"/>
      <c r="EG141" s="9"/>
      <c r="EH141" s="9"/>
      <c r="EI141" s="9"/>
      <c r="EJ141" s="9"/>
      <c r="EK141" s="8"/>
      <c r="EL141" s="8"/>
      <c r="EM141" s="8"/>
      <c r="EN141" s="8"/>
      <c r="EO141" s="8"/>
      <c r="EP141" s="8"/>
      <c r="EQ141" s="8"/>
      <c r="ER141" s="8"/>
      <c r="ES141" s="8"/>
      <c r="ET141" s="9"/>
      <c r="EU141" s="9"/>
      <c r="EV141" s="9"/>
      <c r="EW141" s="9"/>
      <c r="EX141" s="9"/>
      <c r="EY141" s="9"/>
      <c r="EZ141" s="9"/>
      <c r="FA141" s="9"/>
      <c r="FB141" s="8"/>
      <c r="FC141" s="8"/>
      <c r="FD141" s="8"/>
      <c r="FE141" s="8"/>
      <c r="FF141" s="9"/>
      <c r="FG141" s="9"/>
      <c r="FH141" s="9"/>
      <c r="FI141" s="9"/>
      <c r="FJ141" s="9"/>
      <c r="FK141" s="9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9"/>
      <c r="GA141" s="9"/>
      <c r="GB141" s="9"/>
      <c r="GC141" s="9"/>
      <c r="GD141" s="9"/>
      <c r="GE141" s="9"/>
      <c r="GF141" s="9"/>
      <c r="GG141" s="9"/>
      <c r="GH141" s="9"/>
      <c r="GI141" s="9"/>
    </row>
    <row r="142" spans="1:191" ht="15" customHeight="1" x14ac:dyDescent="0.25">
      <c r="A142" s="353">
        <v>544254640173</v>
      </c>
      <c r="B142" s="10">
        <f t="shared" si="8"/>
        <v>0</v>
      </c>
      <c r="C142" s="10">
        <v>0</v>
      </c>
      <c r="D142" s="10"/>
      <c r="E142" s="10">
        <f t="shared" si="9"/>
        <v>0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/>
      <c r="Y142" s="9"/>
      <c r="Z142" s="8"/>
      <c r="AA142" s="8"/>
      <c r="AB142" s="8"/>
      <c r="AC142" s="8"/>
      <c r="AD142" s="8"/>
      <c r="AE142" s="9"/>
      <c r="AF142" s="9"/>
      <c r="AG142" s="9"/>
      <c r="AH142" s="9"/>
      <c r="AI142" s="9"/>
      <c r="AJ142" s="8"/>
      <c r="AK142" s="8"/>
      <c r="AL142" s="8"/>
      <c r="AM142" s="8"/>
      <c r="AN142" s="8"/>
      <c r="AO142" s="9"/>
      <c r="AP142" s="9"/>
      <c r="AQ142" s="9"/>
      <c r="AR142" s="9"/>
      <c r="AS142" s="9"/>
      <c r="AT142" s="8"/>
      <c r="AU142" s="8"/>
      <c r="AV142" s="8"/>
      <c r="AW142" s="8"/>
      <c r="AX142" s="8"/>
      <c r="AY142" s="8"/>
      <c r="AZ142" s="9"/>
      <c r="BA142" s="9"/>
      <c r="BB142" s="9"/>
      <c r="BC142" s="9"/>
      <c r="BD142" s="9"/>
      <c r="BE142" s="9"/>
      <c r="BF142" s="9"/>
      <c r="BG142" s="8"/>
      <c r="BH142" s="8"/>
      <c r="BI142" s="8"/>
      <c r="BJ142" s="8"/>
      <c r="BK142" s="8"/>
      <c r="BL142" s="8"/>
      <c r="BM142" s="9"/>
      <c r="BN142" s="9"/>
      <c r="BO142" s="9"/>
      <c r="BP142" s="9"/>
      <c r="BQ142" s="9"/>
      <c r="BR142" s="8"/>
      <c r="BS142" s="8"/>
      <c r="BT142" s="8"/>
      <c r="BU142" s="8"/>
      <c r="BV142" s="8"/>
      <c r="BW142" s="8"/>
      <c r="BX142" s="8"/>
      <c r="BY142" s="8"/>
      <c r="BZ142" s="9"/>
      <c r="CA142" s="9"/>
      <c r="CB142" s="9"/>
      <c r="CC142" s="9"/>
      <c r="CD142" s="9"/>
      <c r="CE142" s="8"/>
      <c r="CF142" s="8"/>
      <c r="CG142" s="8"/>
      <c r="CH142" s="8"/>
      <c r="CI142" s="8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8"/>
      <c r="CX142" s="8"/>
      <c r="CY142" s="8"/>
      <c r="CZ142" s="8"/>
      <c r="DA142" s="8"/>
      <c r="DB142" s="9"/>
      <c r="DC142" s="9"/>
      <c r="DD142" s="9"/>
      <c r="DE142" s="9"/>
      <c r="DF142" s="9"/>
      <c r="DG142" s="9"/>
      <c r="DH142" s="9"/>
      <c r="DI142" s="8"/>
      <c r="DJ142" s="8"/>
      <c r="DK142" s="8"/>
      <c r="DL142" s="8"/>
      <c r="DM142" s="8"/>
      <c r="DN142" s="8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8"/>
      <c r="DZ142" s="8"/>
      <c r="EA142" s="8"/>
      <c r="EB142" s="8"/>
      <c r="EC142" s="8"/>
      <c r="ED142" s="9"/>
      <c r="EE142" s="9"/>
      <c r="EF142" s="9"/>
      <c r="EG142" s="9"/>
      <c r="EH142" s="9"/>
      <c r="EI142" s="9"/>
      <c r="EJ142" s="9"/>
      <c r="EK142" s="8"/>
      <c r="EL142" s="8"/>
      <c r="EM142" s="8"/>
      <c r="EN142" s="8"/>
      <c r="EO142" s="8"/>
      <c r="EP142" s="8"/>
      <c r="EQ142" s="8"/>
      <c r="ER142" s="8"/>
      <c r="ES142" s="8"/>
      <c r="ET142" s="9"/>
      <c r="EU142" s="9"/>
      <c r="EV142" s="9"/>
      <c r="EW142" s="9"/>
      <c r="EX142" s="9"/>
      <c r="EY142" s="9"/>
      <c r="EZ142" s="9"/>
      <c r="FA142" s="9"/>
      <c r="FB142" s="8"/>
      <c r="FC142" s="8"/>
      <c r="FD142" s="8"/>
      <c r="FE142" s="8"/>
      <c r="FF142" s="9"/>
      <c r="FG142" s="9"/>
      <c r="FH142" s="9"/>
      <c r="FI142" s="9"/>
      <c r="FJ142" s="9"/>
      <c r="FK142" s="9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9"/>
      <c r="GA142" s="9"/>
      <c r="GB142" s="9"/>
      <c r="GC142" s="9"/>
      <c r="GD142" s="9"/>
      <c r="GE142" s="9"/>
      <c r="GF142" s="9"/>
      <c r="GG142" s="9"/>
      <c r="GH142" s="9"/>
      <c r="GI142" s="9"/>
    </row>
    <row r="143" spans="1:191" ht="15" customHeight="1" x14ac:dyDescent="0.25">
      <c r="A143" s="354">
        <v>544254640248</v>
      </c>
      <c r="B143" s="10">
        <f t="shared" si="8"/>
        <v>0</v>
      </c>
      <c r="C143" s="10">
        <v>0</v>
      </c>
      <c r="D143" s="10"/>
      <c r="E143" s="10">
        <f t="shared" si="9"/>
        <v>0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9"/>
      <c r="Y143" s="9"/>
      <c r="Z143" s="8"/>
      <c r="AA143" s="8"/>
      <c r="AB143" s="8"/>
      <c r="AC143" s="8"/>
      <c r="AD143" s="8"/>
      <c r="AE143" s="9"/>
      <c r="AF143" s="9"/>
      <c r="AG143" s="9"/>
      <c r="AH143" s="9"/>
      <c r="AI143" s="9"/>
      <c r="AJ143" s="8"/>
      <c r="AK143" s="8"/>
      <c r="AL143" s="8"/>
      <c r="AM143" s="8"/>
      <c r="AN143" s="8"/>
      <c r="AO143" s="9"/>
      <c r="AP143" s="9"/>
      <c r="AQ143" s="9"/>
      <c r="AR143" s="9"/>
      <c r="AS143" s="9"/>
      <c r="AT143" s="8"/>
      <c r="AU143" s="8"/>
      <c r="AV143" s="8"/>
      <c r="AW143" s="8"/>
      <c r="AX143" s="8"/>
      <c r="AY143" s="8"/>
      <c r="AZ143" s="9"/>
      <c r="BA143" s="9"/>
      <c r="BB143" s="9"/>
      <c r="BC143" s="9"/>
      <c r="BD143" s="9"/>
      <c r="BE143" s="9"/>
      <c r="BF143" s="9"/>
      <c r="BG143" s="8"/>
      <c r="BH143" s="8"/>
      <c r="BI143" s="8"/>
      <c r="BJ143" s="8"/>
      <c r="BK143" s="8"/>
      <c r="BL143" s="8"/>
      <c r="BM143" s="9"/>
      <c r="BN143" s="9"/>
      <c r="BO143" s="9"/>
      <c r="BP143" s="9"/>
      <c r="BQ143" s="9"/>
      <c r="BR143" s="8"/>
      <c r="BS143" s="8"/>
      <c r="BT143" s="8"/>
      <c r="BU143" s="8"/>
      <c r="BV143" s="8"/>
      <c r="BW143" s="8"/>
      <c r="BX143" s="8"/>
      <c r="BY143" s="8"/>
      <c r="BZ143" s="9"/>
      <c r="CA143" s="9"/>
      <c r="CB143" s="9"/>
      <c r="CC143" s="9"/>
      <c r="CD143" s="9"/>
      <c r="CE143" s="8"/>
      <c r="CF143" s="8"/>
      <c r="CG143" s="8"/>
      <c r="CH143" s="8"/>
      <c r="CI143" s="8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8"/>
      <c r="CX143" s="8"/>
      <c r="CY143" s="8"/>
      <c r="CZ143" s="8"/>
      <c r="DA143" s="8"/>
      <c r="DB143" s="9"/>
      <c r="DC143" s="9"/>
      <c r="DD143" s="9"/>
      <c r="DE143" s="9"/>
      <c r="DF143" s="9"/>
      <c r="DG143" s="9"/>
      <c r="DH143" s="9"/>
      <c r="DI143" s="8"/>
      <c r="DJ143" s="8"/>
      <c r="DK143" s="8"/>
      <c r="DL143" s="8"/>
      <c r="DM143" s="8"/>
      <c r="DN143" s="8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8"/>
      <c r="DZ143" s="8"/>
      <c r="EA143" s="8"/>
      <c r="EB143" s="8"/>
      <c r="EC143" s="8"/>
      <c r="ED143" s="9"/>
      <c r="EE143" s="9"/>
      <c r="EF143" s="9"/>
      <c r="EG143" s="9"/>
      <c r="EH143" s="9"/>
      <c r="EI143" s="9"/>
      <c r="EJ143" s="9"/>
      <c r="EK143" s="8"/>
      <c r="EL143" s="8"/>
      <c r="EM143" s="8"/>
      <c r="EN143" s="8"/>
      <c r="EO143" s="8"/>
      <c r="EP143" s="8"/>
      <c r="EQ143" s="8"/>
      <c r="ER143" s="8"/>
      <c r="ES143" s="8"/>
      <c r="ET143" s="9"/>
      <c r="EU143" s="9"/>
      <c r="EV143" s="9"/>
      <c r="EW143" s="9"/>
      <c r="EX143" s="9"/>
      <c r="EY143" s="9"/>
      <c r="EZ143" s="9"/>
      <c r="FA143" s="9"/>
      <c r="FB143" s="8"/>
      <c r="FC143" s="8"/>
      <c r="FD143" s="8"/>
      <c r="FE143" s="8"/>
      <c r="FF143" s="9"/>
      <c r="FG143" s="9"/>
      <c r="FH143" s="9"/>
      <c r="FI143" s="9"/>
      <c r="FJ143" s="9"/>
      <c r="FK143" s="9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9"/>
      <c r="GA143" s="9"/>
      <c r="GB143" s="9"/>
      <c r="GC143" s="9"/>
      <c r="GD143" s="9"/>
      <c r="GE143" s="9"/>
      <c r="GF143" s="9"/>
      <c r="GG143" s="9"/>
      <c r="GH143" s="9"/>
      <c r="GI143" s="9"/>
    </row>
    <row r="144" spans="1:191" ht="15" customHeight="1" x14ac:dyDescent="0.25">
      <c r="A144" s="354">
        <v>544254630512</v>
      </c>
      <c r="B144" s="10">
        <f t="shared" si="8"/>
        <v>0</v>
      </c>
      <c r="C144" s="10">
        <v>0</v>
      </c>
      <c r="D144" s="10"/>
      <c r="E144" s="10">
        <f t="shared" si="9"/>
        <v>0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  <c r="Y144" s="9"/>
      <c r="Z144" s="8"/>
      <c r="AA144" s="8"/>
      <c r="AB144" s="8"/>
      <c r="AC144" s="8"/>
      <c r="AD144" s="8"/>
      <c r="AE144" s="9"/>
      <c r="AF144" s="9"/>
      <c r="AG144" s="9"/>
      <c r="AH144" s="9"/>
      <c r="AI144" s="9"/>
      <c r="AJ144" s="8"/>
      <c r="AK144" s="8"/>
      <c r="AL144" s="8"/>
      <c r="AM144" s="8"/>
      <c r="AN144" s="8"/>
      <c r="AO144" s="9"/>
      <c r="AP144" s="9"/>
      <c r="AQ144" s="9"/>
      <c r="AR144" s="9"/>
      <c r="AS144" s="9"/>
      <c r="AT144" s="8"/>
      <c r="AU144" s="8"/>
      <c r="AV144" s="8"/>
      <c r="AW144" s="8"/>
      <c r="AX144" s="8"/>
      <c r="AY144" s="8"/>
      <c r="AZ144" s="9"/>
      <c r="BA144" s="9"/>
      <c r="BB144" s="9"/>
      <c r="BC144" s="9"/>
      <c r="BD144" s="9"/>
      <c r="BE144" s="9"/>
      <c r="BF144" s="9"/>
      <c r="BG144" s="8"/>
      <c r="BH144" s="8"/>
      <c r="BI144" s="8"/>
      <c r="BJ144" s="8"/>
      <c r="BK144" s="8"/>
      <c r="BL144" s="8"/>
      <c r="BM144" s="9"/>
      <c r="BN144" s="9"/>
      <c r="BO144" s="9"/>
      <c r="BP144" s="9"/>
      <c r="BQ144" s="9"/>
      <c r="BR144" s="8"/>
      <c r="BS144" s="8"/>
      <c r="BT144" s="8"/>
      <c r="BU144" s="8"/>
      <c r="BV144" s="8"/>
      <c r="BW144" s="8"/>
      <c r="BX144" s="8"/>
      <c r="BY144" s="8"/>
      <c r="BZ144" s="9"/>
      <c r="CA144" s="9"/>
      <c r="CB144" s="9"/>
      <c r="CC144" s="9"/>
      <c r="CD144" s="9"/>
      <c r="CE144" s="8"/>
      <c r="CF144" s="8"/>
      <c r="CG144" s="8"/>
      <c r="CH144" s="8"/>
      <c r="CI144" s="8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8"/>
      <c r="CX144" s="8"/>
      <c r="CY144" s="8"/>
      <c r="CZ144" s="8"/>
      <c r="DA144" s="8"/>
      <c r="DB144" s="9"/>
      <c r="DC144" s="9"/>
      <c r="DD144" s="9"/>
      <c r="DE144" s="9"/>
      <c r="DF144" s="9"/>
      <c r="DG144" s="9"/>
      <c r="DH144" s="9"/>
      <c r="DI144" s="8"/>
      <c r="DJ144" s="8"/>
      <c r="DK144" s="8"/>
      <c r="DL144" s="8"/>
      <c r="DM144" s="8"/>
      <c r="DN144" s="8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8"/>
      <c r="DZ144" s="8"/>
      <c r="EA144" s="8"/>
      <c r="EB144" s="8"/>
      <c r="EC144" s="8"/>
      <c r="ED144" s="9"/>
      <c r="EE144" s="9"/>
      <c r="EF144" s="9"/>
      <c r="EG144" s="9"/>
      <c r="EH144" s="9"/>
      <c r="EI144" s="9"/>
      <c r="EJ144" s="9"/>
      <c r="EK144" s="8"/>
      <c r="EL144" s="8"/>
      <c r="EM144" s="8"/>
      <c r="EN144" s="8"/>
      <c r="EO144" s="8"/>
      <c r="EP144" s="8"/>
      <c r="EQ144" s="8"/>
      <c r="ER144" s="8"/>
      <c r="ES144" s="8"/>
      <c r="ET144" s="9"/>
      <c r="EU144" s="9"/>
      <c r="EV144" s="9"/>
      <c r="EW144" s="9"/>
      <c r="EX144" s="9"/>
      <c r="EY144" s="9"/>
      <c r="EZ144" s="9"/>
      <c r="FA144" s="9"/>
      <c r="FB144" s="8"/>
      <c r="FC144" s="8"/>
      <c r="FD144" s="8"/>
      <c r="FE144" s="8"/>
      <c r="FF144" s="9"/>
      <c r="FG144" s="9"/>
      <c r="FH144" s="9"/>
      <c r="FI144" s="9"/>
      <c r="FJ144" s="9"/>
      <c r="FK144" s="9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9"/>
      <c r="GA144" s="9"/>
      <c r="GB144" s="9"/>
      <c r="GC144" s="9"/>
      <c r="GD144" s="9"/>
      <c r="GE144" s="9"/>
      <c r="GF144" s="9"/>
      <c r="GG144" s="9"/>
      <c r="GH144" s="9"/>
      <c r="GI144" s="9"/>
    </row>
    <row r="145" spans="1:191" ht="15" customHeight="1" x14ac:dyDescent="0.25">
      <c r="A145" s="354">
        <v>544254630510</v>
      </c>
      <c r="B145" s="10">
        <f t="shared" si="8"/>
        <v>0</v>
      </c>
      <c r="C145" s="10">
        <v>0</v>
      </c>
      <c r="D145" s="10"/>
      <c r="E145" s="10">
        <f t="shared" si="9"/>
        <v>0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9"/>
      <c r="Y145" s="9"/>
      <c r="Z145" s="8"/>
      <c r="AA145" s="8"/>
      <c r="AB145" s="8"/>
      <c r="AC145" s="8"/>
      <c r="AD145" s="8"/>
      <c r="AE145" s="9"/>
      <c r="AF145" s="9"/>
      <c r="AG145" s="9"/>
      <c r="AH145" s="9"/>
      <c r="AI145" s="9"/>
      <c r="AJ145" s="8"/>
      <c r="AK145" s="8"/>
      <c r="AL145" s="8"/>
      <c r="AM145" s="8"/>
      <c r="AN145" s="8"/>
      <c r="AO145" s="9"/>
      <c r="AP145" s="9"/>
      <c r="AQ145" s="9"/>
      <c r="AR145" s="9"/>
      <c r="AS145" s="9"/>
      <c r="AT145" s="8"/>
      <c r="AU145" s="8"/>
      <c r="AV145" s="8"/>
      <c r="AW145" s="8"/>
      <c r="AX145" s="8"/>
      <c r="AY145" s="8"/>
      <c r="AZ145" s="9"/>
      <c r="BA145" s="9"/>
      <c r="BB145" s="9"/>
      <c r="BC145" s="9"/>
      <c r="BD145" s="9"/>
      <c r="BE145" s="9"/>
      <c r="BF145" s="9"/>
      <c r="BG145" s="8"/>
      <c r="BH145" s="8"/>
      <c r="BI145" s="8"/>
      <c r="BJ145" s="8"/>
      <c r="BK145" s="8"/>
      <c r="BL145" s="8"/>
      <c r="BM145" s="9"/>
      <c r="BN145" s="9"/>
      <c r="BO145" s="9"/>
      <c r="BP145" s="9"/>
      <c r="BQ145" s="9"/>
      <c r="BR145" s="8"/>
      <c r="BS145" s="8"/>
      <c r="BT145" s="8"/>
      <c r="BU145" s="8"/>
      <c r="BV145" s="8"/>
      <c r="BW145" s="8"/>
      <c r="BX145" s="8"/>
      <c r="BY145" s="8"/>
      <c r="BZ145" s="9"/>
      <c r="CA145" s="9"/>
      <c r="CB145" s="9"/>
      <c r="CC145" s="9"/>
      <c r="CD145" s="9"/>
      <c r="CE145" s="8"/>
      <c r="CF145" s="8"/>
      <c r="CG145" s="8"/>
      <c r="CH145" s="8"/>
      <c r="CI145" s="8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8"/>
      <c r="CX145" s="8"/>
      <c r="CY145" s="8"/>
      <c r="CZ145" s="8"/>
      <c r="DA145" s="8"/>
      <c r="DB145" s="9"/>
      <c r="DC145" s="9"/>
      <c r="DD145" s="9"/>
      <c r="DE145" s="9"/>
      <c r="DF145" s="9"/>
      <c r="DG145" s="9"/>
      <c r="DH145" s="9"/>
      <c r="DI145" s="8"/>
      <c r="DJ145" s="8"/>
      <c r="DK145" s="8"/>
      <c r="DL145" s="8"/>
      <c r="DM145" s="8"/>
      <c r="DN145" s="8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8"/>
      <c r="DZ145" s="8"/>
      <c r="EA145" s="8"/>
      <c r="EB145" s="8"/>
      <c r="EC145" s="8"/>
      <c r="ED145" s="9"/>
      <c r="EE145" s="9"/>
      <c r="EF145" s="9"/>
      <c r="EG145" s="9"/>
      <c r="EH145" s="9"/>
      <c r="EI145" s="9"/>
      <c r="EJ145" s="9"/>
      <c r="EK145" s="8"/>
      <c r="EL145" s="8"/>
      <c r="EM145" s="8"/>
      <c r="EN145" s="8"/>
      <c r="EO145" s="8"/>
      <c r="EP145" s="8"/>
      <c r="EQ145" s="8"/>
      <c r="ER145" s="8"/>
      <c r="ES145" s="8"/>
      <c r="ET145" s="9"/>
      <c r="EU145" s="9"/>
      <c r="EV145" s="9"/>
      <c r="EW145" s="9"/>
      <c r="EX145" s="9"/>
      <c r="EY145" s="9"/>
      <c r="EZ145" s="9"/>
      <c r="FA145" s="9"/>
      <c r="FB145" s="8"/>
      <c r="FC145" s="8"/>
      <c r="FD145" s="8"/>
      <c r="FE145" s="8"/>
      <c r="FF145" s="9"/>
      <c r="FG145" s="9"/>
      <c r="FH145" s="9"/>
      <c r="FI145" s="9"/>
      <c r="FJ145" s="9"/>
      <c r="FK145" s="9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9"/>
      <c r="GA145" s="9"/>
      <c r="GB145" s="9"/>
      <c r="GC145" s="9"/>
      <c r="GD145" s="9"/>
      <c r="GE145" s="9"/>
      <c r="GF145" s="9"/>
      <c r="GG145" s="9"/>
      <c r="GH145" s="9"/>
      <c r="GI145" s="9"/>
    </row>
    <row r="146" spans="1:191" ht="15" customHeight="1" x14ac:dyDescent="0.25">
      <c r="A146" s="354">
        <v>544254640219</v>
      </c>
      <c r="B146" s="10">
        <f t="shared" si="8"/>
        <v>0</v>
      </c>
      <c r="C146" s="10">
        <v>0</v>
      </c>
      <c r="D146" s="10"/>
      <c r="E146" s="10">
        <f t="shared" si="9"/>
        <v>0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9"/>
      <c r="Y146" s="9"/>
      <c r="Z146" s="8"/>
      <c r="AA146" s="8"/>
      <c r="AB146" s="8"/>
      <c r="AC146" s="8"/>
      <c r="AD146" s="8"/>
      <c r="AE146" s="9"/>
      <c r="AF146" s="9"/>
      <c r="AG146" s="9"/>
      <c r="AH146" s="9"/>
      <c r="AI146" s="9"/>
      <c r="AJ146" s="8"/>
      <c r="AK146" s="8"/>
      <c r="AL146" s="8"/>
      <c r="AM146" s="8"/>
      <c r="AN146" s="8"/>
      <c r="AO146" s="9"/>
      <c r="AP146" s="9"/>
      <c r="AQ146" s="9"/>
      <c r="AR146" s="9"/>
      <c r="AS146" s="9"/>
      <c r="AT146" s="8"/>
      <c r="AU146" s="8"/>
      <c r="AV146" s="8"/>
      <c r="AW146" s="8"/>
      <c r="AX146" s="8"/>
      <c r="AY146" s="8"/>
      <c r="AZ146" s="9"/>
      <c r="BA146" s="9"/>
      <c r="BB146" s="9"/>
      <c r="BC146" s="9"/>
      <c r="BD146" s="9"/>
      <c r="BE146" s="9"/>
      <c r="BF146" s="9"/>
      <c r="BG146" s="8"/>
      <c r="BH146" s="8"/>
      <c r="BI146" s="8"/>
      <c r="BJ146" s="8"/>
      <c r="BK146" s="8"/>
      <c r="BL146" s="8"/>
      <c r="BM146" s="9"/>
      <c r="BN146" s="9"/>
      <c r="BO146" s="9"/>
      <c r="BP146" s="9"/>
      <c r="BQ146" s="9"/>
      <c r="BR146" s="8"/>
      <c r="BS146" s="8"/>
      <c r="BT146" s="8"/>
      <c r="BU146" s="8"/>
      <c r="BV146" s="8"/>
      <c r="BW146" s="8"/>
      <c r="BX146" s="8"/>
      <c r="BY146" s="8"/>
      <c r="BZ146" s="9"/>
      <c r="CA146" s="9"/>
      <c r="CB146" s="9"/>
      <c r="CC146" s="9"/>
      <c r="CD146" s="9"/>
      <c r="CE146" s="8"/>
      <c r="CF146" s="8"/>
      <c r="CG146" s="8"/>
      <c r="CH146" s="8"/>
      <c r="CI146" s="8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8"/>
      <c r="CX146" s="8"/>
      <c r="CY146" s="8"/>
      <c r="CZ146" s="8"/>
      <c r="DA146" s="8"/>
      <c r="DB146" s="9"/>
      <c r="DC146" s="9"/>
      <c r="DD146" s="9"/>
      <c r="DE146" s="9"/>
      <c r="DF146" s="9"/>
      <c r="DG146" s="9"/>
      <c r="DH146" s="9"/>
      <c r="DI146" s="8"/>
      <c r="DJ146" s="8"/>
      <c r="DK146" s="8"/>
      <c r="DL146" s="8"/>
      <c r="DM146" s="8"/>
      <c r="DN146" s="8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8"/>
      <c r="DZ146" s="8"/>
      <c r="EA146" s="8"/>
      <c r="EB146" s="8"/>
      <c r="EC146" s="8"/>
      <c r="ED146" s="9"/>
      <c r="EE146" s="9"/>
      <c r="EF146" s="9"/>
      <c r="EG146" s="9"/>
      <c r="EH146" s="9"/>
      <c r="EI146" s="9"/>
      <c r="EJ146" s="9"/>
      <c r="EK146" s="8"/>
      <c r="EL146" s="8"/>
      <c r="EM146" s="8"/>
      <c r="EN146" s="8"/>
      <c r="EO146" s="8"/>
      <c r="EP146" s="8"/>
      <c r="EQ146" s="8"/>
      <c r="ER146" s="8"/>
      <c r="ES146" s="8"/>
      <c r="ET146" s="9"/>
      <c r="EU146" s="9"/>
      <c r="EV146" s="9"/>
      <c r="EW146" s="9"/>
      <c r="EX146" s="9"/>
      <c r="EY146" s="9"/>
      <c r="EZ146" s="9"/>
      <c r="FA146" s="9"/>
      <c r="FB146" s="8"/>
      <c r="FC146" s="8"/>
      <c r="FD146" s="8"/>
      <c r="FE146" s="8"/>
      <c r="FF146" s="9"/>
      <c r="FG146" s="9"/>
      <c r="FH146" s="9"/>
      <c r="FI146" s="9"/>
      <c r="FJ146" s="9"/>
      <c r="FK146" s="9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9"/>
      <c r="GA146" s="9"/>
      <c r="GB146" s="9"/>
      <c r="GC146" s="9"/>
      <c r="GD146" s="9"/>
      <c r="GE146" s="9"/>
      <c r="GF146" s="9"/>
      <c r="GG146" s="9"/>
      <c r="GH146" s="9"/>
      <c r="GI146" s="9"/>
    </row>
    <row r="147" spans="1:191" ht="15" customHeight="1" x14ac:dyDescent="0.25">
      <c r="A147" s="354">
        <v>544254630499</v>
      </c>
      <c r="B147" s="10">
        <f t="shared" si="8"/>
        <v>0</v>
      </c>
      <c r="C147" s="10">
        <v>0</v>
      </c>
      <c r="D147" s="10"/>
      <c r="E147" s="10">
        <f t="shared" si="9"/>
        <v>0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9"/>
      <c r="Y147" s="9"/>
      <c r="Z147" s="8"/>
      <c r="AA147" s="8"/>
      <c r="AB147" s="8"/>
      <c r="AC147" s="8"/>
      <c r="AD147" s="8"/>
      <c r="AE147" s="9"/>
      <c r="AF147" s="9"/>
      <c r="AG147" s="9"/>
      <c r="AH147" s="9"/>
      <c r="AI147" s="9"/>
      <c r="AJ147" s="8"/>
      <c r="AK147" s="8"/>
      <c r="AL147" s="8"/>
      <c r="AM147" s="8"/>
      <c r="AN147" s="8"/>
      <c r="AO147" s="9"/>
      <c r="AP147" s="9"/>
      <c r="AQ147" s="9"/>
      <c r="AR147" s="9"/>
      <c r="AS147" s="9"/>
      <c r="AT147" s="8"/>
      <c r="AU147" s="8"/>
      <c r="AV147" s="8"/>
      <c r="AW147" s="8"/>
      <c r="AX147" s="8"/>
      <c r="AY147" s="8"/>
      <c r="AZ147" s="9"/>
      <c r="BA147" s="9"/>
      <c r="BB147" s="9"/>
      <c r="BC147" s="9"/>
      <c r="BD147" s="9"/>
      <c r="BE147" s="9"/>
      <c r="BF147" s="9"/>
      <c r="BG147" s="8"/>
      <c r="BH147" s="8"/>
      <c r="BI147" s="8"/>
      <c r="BJ147" s="8"/>
      <c r="BK147" s="8"/>
      <c r="BL147" s="8"/>
      <c r="BM147" s="9"/>
      <c r="BN147" s="9"/>
      <c r="BO147" s="9"/>
      <c r="BP147" s="9"/>
      <c r="BQ147" s="9"/>
      <c r="BR147" s="8"/>
      <c r="BS147" s="8"/>
      <c r="BT147" s="8"/>
      <c r="BU147" s="8"/>
      <c r="BV147" s="8"/>
      <c r="BW147" s="8"/>
      <c r="BX147" s="8"/>
      <c r="BY147" s="8"/>
      <c r="BZ147" s="9"/>
      <c r="CA147" s="9"/>
      <c r="CB147" s="9"/>
      <c r="CC147" s="9"/>
      <c r="CD147" s="9"/>
      <c r="CE147" s="8"/>
      <c r="CF147" s="8"/>
      <c r="CG147" s="8"/>
      <c r="CH147" s="8"/>
      <c r="CI147" s="8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8"/>
      <c r="CX147" s="8"/>
      <c r="CY147" s="8"/>
      <c r="CZ147" s="8"/>
      <c r="DA147" s="8"/>
      <c r="DB147" s="9"/>
      <c r="DC147" s="9"/>
      <c r="DD147" s="9"/>
      <c r="DE147" s="9"/>
      <c r="DF147" s="9"/>
      <c r="DG147" s="9"/>
      <c r="DH147" s="9"/>
      <c r="DI147" s="8"/>
      <c r="DJ147" s="8"/>
      <c r="DK147" s="8"/>
      <c r="DL147" s="8"/>
      <c r="DM147" s="8"/>
      <c r="DN147" s="8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8"/>
      <c r="DZ147" s="8"/>
      <c r="EA147" s="8"/>
      <c r="EB147" s="8"/>
      <c r="EC147" s="8"/>
      <c r="ED147" s="9"/>
      <c r="EE147" s="9"/>
      <c r="EF147" s="9"/>
      <c r="EG147" s="9"/>
      <c r="EH147" s="9"/>
      <c r="EI147" s="9"/>
      <c r="EJ147" s="9"/>
      <c r="EK147" s="8"/>
      <c r="EL147" s="8"/>
      <c r="EM147" s="8"/>
      <c r="EN147" s="8"/>
      <c r="EO147" s="8"/>
      <c r="EP147" s="8"/>
      <c r="EQ147" s="8"/>
      <c r="ER147" s="8"/>
      <c r="ES147" s="8"/>
      <c r="ET147" s="9"/>
      <c r="EU147" s="9"/>
      <c r="EV147" s="9"/>
      <c r="EW147" s="9"/>
      <c r="EX147" s="9"/>
      <c r="EY147" s="9"/>
      <c r="EZ147" s="9"/>
      <c r="FA147" s="9"/>
      <c r="FB147" s="8"/>
      <c r="FC147" s="8"/>
      <c r="FD147" s="8"/>
      <c r="FE147" s="8"/>
      <c r="FF147" s="9"/>
      <c r="FG147" s="9"/>
      <c r="FH147" s="9"/>
      <c r="FI147" s="9"/>
      <c r="FJ147" s="9"/>
      <c r="FK147" s="9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9"/>
      <c r="GA147" s="9"/>
      <c r="GB147" s="9"/>
      <c r="GC147" s="9"/>
      <c r="GD147" s="9"/>
      <c r="GE147" s="9"/>
      <c r="GF147" s="9"/>
      <c r="GG147" s="9"/>
      <c r="GH147" s="9"/>
      <c r="GI147" s="9"/>
    </row>
    <row r="148" spans="1:191" ht="15" customHeight="1" x14ac:dyDescent="0.25">
      <c r="A148" s="354">
        <v>544254640202</v>
      </c>
      <c r="B148" s="10">
        <f t="shared" si="8"/>
        <v>0</v>
      </c>
      <c r="C148" s="10">
        <v>0</v>
      </c>
      <c r="D148" s="10"/>
      <c r="E148" s="10">
        <f t="shared" si="9"/>
        <v>0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/>
      <c r="Y148" s="9"/>
      <c r="Z148" s="8"/>
      <c r="AA148" s="8"/>
      <c r="AB148" s="8"/>
      <c r="AC148" s="8"/>
      <c r="AD148" s="8"/>
      <c r="AE148" s="9"/>
      <c r="AF148" s="9"/>
      <c r="AG148" s="9"/>
      <c r="AH148" s="9"/>
      <c r="AI148" s="9"/>
      <c r="AJ148" s="8"/>
      <c r="AK148" s="8"/>
      <c r="AL148" s="8"/>
      <c r="AM148" s="8"/>
      <c r="AN148" s="8"/>
      <c r="AO148" s="9"/>
      <c r="AP148" s="9"/>
      <c r="AQ148" s="9"/>
      <c r="AR148" s="9"/>
      <c r="AS148" s="9"/>
      <c r="AT148" s="8"/>
      <c r="AU148" s="8"/>
      <c r="AV148" s="8"/>
      <c r="AW148" s="8"/>
      <c r="AX148" s="8"/>
      <c r="AY148" s="8"/>
      <c r="AZ148" s="9"/>
      <c r="BA148" s="9"/>
      <c r="BB148" s="9"/>
      <c r="BC148" s="9"/>
      <c r="BD148" s="9"/>
      <c r="BE148" s="9"/>
      <c r="BF148" s="9"/>
      <c r="BG148" s="8"/>
      <c r="BH148" s="8"/>
      <c r="BI148" s="8"/>
      <c r="BJ148" s="8"/>
      <c r="BK148" s="8"/>
      <c r="BL148" s="8"/>
      <c r="BM148" s="9"/>
      <c r="BN148" s="9"/>
      <c r="BO148" s="9"/>
      <c r="BP148" s="9"/>
      <c r="BQ148" s="9"/>
      <c r="BR148" s="8"/>
      <c r="BS148" s="8"/>
      <c r="BT148" s="8"/>
      <c r="BU148" s="8"/>
      <c r="BV148" s="8"/>
      <c r="BW148" s="8"/>
      <c r="BX148" s="8"/>
      <c r="BY148" s="8"/>
      <c r="BZ148" s="9"/>
      <c r="CA148" s="9"/>
      <c r="CB148" s="9"/>
      <c r="CC148" s="9"/>
      <c r="CD148" s="9"/>
      <c r="CE148" s="8"/>
      <c r="CF148" s="8"/>
      <c r="CG148" s="8"/>
      <c r="CH148" s="8"/>
      <c r="CI148" s="8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8"/>
      <c r="CX148" s="8"/>
      <c r="CY148" s="8"/>
      <c r="CZ148" s="8"/>
      <c r="DA148" s="8"/>
      <c r="DB148" s="9"/>
      <c r="DC148" s="9"/>
      <c r="DD148" s="9"/>
      <c r="DE148" s="9"/>
      <c r="DF148" s="9"/>
      <c r="DG148" s="9"/>
      <c r="DH148" s="9"/>
      <c r="DI148" s="8"/>
      <c r="DJ148" s="8"/>
      <c r="DK148" s="8"/>
      <c r="DL148" s="8"/>
      <c r="DM148" s="8"/>
      <c r="DN148" s="8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8"/>
      <c r="DZ148" s="8"/>
      <c r="EA148" s="8"/>
      <c r="EB148" s="8"/>
      <c r="EC148" s="8"/>
      <c r="ED148" s="9"/>
      <c r="EE148" s="9"/>
      <c r="EF148" s="9"/>
      <c r="EG148" s="9"/>
      <c r="EH148" s="9"/>
      <c r="EI148" s="9"/>
      <c r="EJ148" s="9"/>
      <c r="EK148" s="8"/>
      <c r="EL148" s="8"/>
      <c r="EM148" s="8"/>
      <c r="EN148" s="8"/>
      <c r="EO148" s="8"/>
      <c r="EP148" s="8"/>
      <c r="EQ148" s="8"/>
      <c r="ER148" s="8"/>
      <c r="ES148" s="8"/>
      <c r="ET148" s="9"/>
      <c r="EU148" s="9"/>
      <c r="EV148" s="9"/>
      <c r="EW148" s="9"/>
      <c r="EX148" s="9"/>
      <c r="EY148" s="9"/>
      <c r="EZ148" s="9"/>
      <c r="FA148" s="9"/>
      <c r="FB148" s="8"/>
      <c r="FC148" s="8"/>
      <c r="FD148" s="8"/>
      <c r="FE148" s="8"/>
      <c r="FF148" s="9"/>
      <c r="FG148" s="9"/>
      <c r="FH148" s="9"/>
      <c r="FI148" s="9"/>
      <c r="FJ148" s="9"/>
      <c r="FK148" s="9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9"/>
      <c r="GA148" s="9"/>
      <c r="GB148" s="9"/>
      <c r="GC148" s="9"/>
      <c r="GD148" s="9"/>
      <c r="GE148" s="9"/>
      <c r="GF148" s="9"/>
      <c r="GG148" s="9"/>
      <c r="GH148" s="9"/>
      <c r="GI148" s="9"/>
    </row>
    <row r="149" spans="1:191" ht="15" customHeight="1" x14ac:dyDescent="0.25">
      <c r="A149" s="354">
        <v>544254640207</v>
      </c>
      <c r="B149" s="10">
        <f t="shared" si="8"/>
        <v>0</v>
      </c>
      <c r="C149" s="10">
        <v>0</v>
      </c>
      <c r="D149" s="10"/>
      <c r="E149" s="10">
        <f t="shared" si="9"/>
        <v>0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9"/>
      <c r="Y149" s="9"/>
      <c r="Z149" s="8"/>
      <c r="AA149" s="8"/>
      <c r="AB149" s="8"/>
      <c r="AC149" s="8"/>
      <c r="AD149" s="8"/>
      <c r="AE149" s="9"/>
      <c r="AF149" s="9"/>
      <c r="AG149" s="9"/>
      <c r="AH149" s="9"/>
      <c r="AI149" s="9"/>
      <c r="AJ149" s="8"/>
      <c r="AK149" s="8"/>
      <c r="AL149" s="8"/>
      <c r="AM149" s="8"/>
      <c r="AN149" s="8"/>
      <c r="AO149" s="9"/>
      <c r="AP149" s="9"/>
      <c r="AQ149" s="9"/>
      <c r="AR149" s="9"/>
      <c r="AS149" s="9"/>
      <c r="AT149" s="8"/>
      <c r="AU149" s="8"/>
      <c r="AV149" s="8"/>
      <c r="AW149" s="8"/>
      <c r="AX149" s="8"/>
      <c r="AY149" s="8"/>
      <c r="AZ149" s="9"/>
      <c r="BA149" s="9"/>
      <c r="BB149" s="9"/>
      <c r="BC149" s="9"/>
      <c r="BD149" s="9"/>
      <c r="BE149" s="9"/>
      <c r="BF149" s="9"/>
      <c r="BG149" s="8"/>
      <c r="BH149" s="8"/>
      <c r="BI149" s="8"/>
      <c r="BJ149" s="8"/>
      <c r="BK149" s="8"/>
      <c r="BL149" s="8"/>
      <c r="BM149" s="9"/>
      <c r="BN149" s="9"/>
      <c r="BO149" s="9"/>
      <c r="BP149" s="9"/>
      <c r="BQ149" s="9"/>
      <c r="BR149" s="8"/>
      <c r="BS149" s="8"/>
      <c r="BT149" s="8"/>
      <c r="BU149" s="8"/>
      <c r="BV149" s="8"/>
      <c r="BW149" s="8"/>
      <c r="BX149" s="8"/>
      <c r="BY149" s="8"/>
      <c r="BZ149" s="9"/>
      <c r="CA149" s="9"/>
      <c r="CB149" s="9"/>
      <c r="CC149" s="9"/>
      <c r="CD149" s="9"/>
      <c r="CE149" s="8"/>
      <c r="CF149" s="8"/>
      <c r="CG149" s="8"/>
      <c r="CH149" s="8"/>
      <c r="CI149" s="8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8"/>
      <c r="CX149" s="8"/>
      <c r="CY149" s="8"/>
      <c r="CZ149" s="8"/>
      <c r="DA149" s="8"/>
      <c r="DB149" s="9"/>
      <c r="DC149" s="9"/>
      <c r="DD149" s="9"/>
      <c r="DE149" s="9"/>
      <c r="DF149" s="9"/>
      <c r="DG149" s="9"/>
      <c r="DH149" s="9"/>
      <c r="DI149" s="8"/>
      <c r="DJ149" s="8"/>
      <c r="DK149" s="8"/>
      <c r="DL149" s="8"/>
      <c r="DM149" s="8"/>
      <c r="DN149" s="8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8"/>
      <c r="DZ149" s="8"/>
      <c r="EA149" s="8"/>
      <c r="EB149" s="8"/>
      <c r="EC149" s="8"/>
      <c r="ED149" s="9"/>
      <c r="EE149" s="9"/>
      <c r="EF149" s="9"/>
      <c r="EG149" s="9"/>
      <c r="EH149" s="9"/>
      <c r="EI149" s="9"/>
      <c r="EJ149" s="9"/>
      <c r="EK149" s="8"/>
      <c r="EL149" s="8"/>
      <c r="EM149" s="8"/>
      <c r="EN149" s="8"/>
      <c r="EO149" s="8"/>
      <c r="EP149" s="8"/>
      <c r="EQ149" s="8"/>
      <c r="ER149" s="8"/>
      <c r="ES149" s="8"/>
      <c r="ET149" s="9"/>
      <c r="EU149" s="9"/>
      <c r="EV149" s="9"/>
      <c r="EW149" s="9"/>
      <c r="EX149" s="9"/>
      <c r="EY149" s="9"/>
      <c r="EZ149" s="9"/>
      <c r="FA149" s="9"/>
      <c r="FB149" s="8"/>
      <c r="FC149" s="8"/>
      <c r="FD149" s="8"/>
      <c r="FE149" s="8"/>
      <c r="FF149" s="9"/>
      <c r="FG149" s="9"/>
      <c r="FH149" s="9"/>
      <c r="FI149" s="9"/>
      <c r="FJ149" s="9"/>
      <c r="FK149" s="9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9"/>
      <c r="GA149" s="9"/>
      <c r="GB149" s="9"/>
      <c r="GC149" s="9"/>
      <c r="GD149" s="9"/>
      <c r="GE149" s="9"/>
      <c r="GF149" s="9"/>
      <c r="GG149" s="9"/>
      <c r="GH149" s="9"/>
      <c r="GI149" s="9"/>
    </row>
    <row r="150" spans="1:191" ht="15" customHeight="1" x14ac:dyDescent="0.25">
      <c r="A150" s="354">
        <v>544254610240</v>
      </c>
      <c r="B150" s="10">
        <f t="shared" si="8"/>
        <v>0</v>
      </c>
      <c r="C150" s="10">
        <v>0</v>
      </c>
      <c r="D150" s="10"/>
      <c r="E150" s="10">
        <f t="shared" si="9"/>
        <v>0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9"/>
      <c r="Y150" s="9"/>
      <c r="Z150" s="8"/>
      <c r="AA150" s="8"/>
      <c r="AB150" s="8"/>
      <c r="AC150" s="8"/>
      <c r="AD150" s="8"/>
      <c r="AE150" s="9"/>
      <c r="AF150" s="9"/>
      <c r="AG150" s="9"/>
      <c r="AH150" s="9"/>
      <c r="AI150" s="9"/>
      <c r="AJ150" s="8"/>
      <c r="AK150" s="8"/>
      <c r="AL150" s="8"/>
      <c r="AM150" s="8"/>
      <c r="AN150" s="8"/>
      <c r="AO150" s="9"/>
      <c r="AP150" s="9"/>
      <c r="AQ150" s="9"/>
      <c r="AR150" s="9"/>
      <c r="AS150" s="9"/>
      <c r="AT150" s="8"/>
      <c r="AU150" s="8"/>
      <c r="AV150" s="8"/>
      <c r="AW150" s="8"/>
      <c r="AX150" s="8"/>
      <c r="AY150" s="8"/>
      <c r="AZ150" s="9"/>
      <c r="BA150" s="9"/>
      <c r="BB150" s="9"/>
      <c r="BC150" s="9"/>
      <c r="BD150" s="9"/>
      <c r="BE150" s="9"/>
      <c r="BF150" s="9"/>
      <c r="BG150" s="8"/>
      <c r="BH150" s="8"/>
      <c r="BI150" s="8"/>
      <c r="BJ150" s="8"/>
      <c r="BK150" s="8"/>
      <c r="BL150" s="8"/>
      <c r="BM150" s="9"/>
      <c r="BN150" s="9"/>
      <c r="BO150" s="9"/>
      <c r="BP150" s="9"/>
      <c r="BQ150" s="9"/>
      <c r="BR150" s="8"/>
      <c r="BS150" s="8"/>
      <c r="BT150" s="8"/>
      <c r="BU150" s="8"/>
      <c r="BV150" s="8"/>
      <c r="BW150" s="8"/>
      <c r="BX150" s="8"/>
      <c r="BY150" s="8"/>
      <c r="BZ150" s="9"/>
      <c r="CA150" s="9"/>
      <c r="CB150" s="9"/>
      <c r="CC150" s="9"/>
      <c r="CD150" s="9"/>
      <c r="CE150" s="8"/>
      <c r="CF150" s="8"/>
      <c r="CG150" s="8"/>
      <c r="CH150" s="8"/>
      <c r="CI150" s="8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8"/>
      <c r="CX150" s="8"/>
      <c r="CY150" s="8"/>
      <c r="CZ150" s="8"/>
      <c r="DA150" s="8"/>
      <c r="DB150" s="9"/>
      <c r="DC150" s="9"/>
      <c r="DD150" s="9"/>
      <c r="DE150" s="9"/>
      <c r="DF150" s="9"/>
      <c r="DG150" s="9"/>
      <c r="DH150" s="9"/>
      <c r="DI150" s="8"/>
      <c r="DJ150" s="8"/>
      <c r="DK150" s="8"/>
      <c r="DL150" s="8"/>
      <c r="DM150" s="8"/>
      <c r="DN150" s="8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8"/>
      <c r="DZ150" s="8"/>
      <c r="EA150" s="8"/>
      <c r="EB150" s="8"/>
      <c r="EC150" s="8"/>
      <c r="ED150" s="9"/>
      <c r="EE150" s="9"/>
      <c r="EF150" s="9"/>
      <c r="EG150" s="9"/>
      <c r="EH150" s="9"/>
      <c r="EI150" s="9"/>
      <c r="EJ150" s="9"/>
      <c r="EK150" s="8"/>
      <c r="EL150" s="8"/>
      <c r="EM150" s="8"/>
      <c r="EN150" s="8"/>
      <c r="EO150" s="8"/>
      <c r="EP150" s="8"/>
      <c r="EQ150" s="8"/>
      <c r="ER150" s="8"/>
      <c r="ES150" s="8"/>
      <c r="ET150" s="9"/>
      <c r="EU150" s="9"/>
      <c r="EV150" s="9"/>
      <c r="EW150" s="9"/>
      <c r="EX150" s="9"/>
      <c r="EY150" s="9"/>
      <c r="EZ150" s="9"/>
      <c r="FA150" s="9"/>
      <c r="FB150" s="8"/>
      <c r="FC150" s="8"/>
      <c r="FD150" s="8"/>
      <c r="FE150" s="8"/>
      <c r="FF150" s="9"/>
      <c r="FG150" s="9"/>
      <c r="FH150" s="9"/>
      <c r="FI150" s="9"/>
      <c r="FJ150" s="9"/>
      <c r="FK150" s="9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9"/>
      <c r="GA150" s="9"/>
      <c r="GB150" s="9"/>
      <c r="GC150" s="9"/>
      <c r="GD150" s="9"/>
      <c r="GE150" s="9"/>
      <c r="GF150" s="9"/>
      <c r="GG150" s="9"/>
      <c r="GH150" s="9"/>
      <c r="GI150" s="9"/>
    </row>
    <row r="151" spans="1:191" ht="15" customHeight="1" x14ac:dyDescent="0.25">
      <c r="A151" s="354">
        <v>544254630486</v>
      </c>
      <c r="B151" s="10">
        <f t="shared" si="8"/>
        <v>0</v>
      </c>
      <c r="C151" s="10">
        <v>0</v>
      </c>
      <c r="D151" s="10"/>
      <c r="E151" s="10">
        <f t="shared" si="9"/>
        <v>0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9"/>
      <c r="Y151" s="9"/>
      <c r="Z151" s="8"/>
      <c r="AA151" s="8"/>
      <c r="AB151" s="8"/>
      <c r="AC151" s="8"/>
      <c r="AD151" s="8"/>
      <c r="AE151" s="9"/>
      <c r="AF151" s="9"/>
      <c r="AG151" s="9"/>
      <c r="AH151" s="9"/>
      <c r="AI151" s="9"/>
      <c r="AJ151" s="8"/>
      <c r="AK151" s="8"/>
      <c r="AL151" s="8"/>
      <c r="AM151" s="8"/>
      <c r="AN151" s="8"/>
      <c r="AO151" s="9"/>
      <c r="AP151" s="9"/>
      <c r="AQ151" s="9"/>
      <c r="AR151" s="9"/>
      <c r="AS151" s="9"/>
      <c r="AT151" s="8"/>
      <c r="AU151" s="8"/>
      <c r="AV151" s="8"/>
      <c r="AW151" s="8"/>
      <c r="AX151" s="8"/>
      <c r="AY151" s="8"/>
      <c r="AZ151" s="9"/>
      <c r="BA151" s="9"/>
      <c r="BB151" s="9"/>
      <c r="BC151" s="9"/>
      <c r="BD151" s="9"/>
      <c r="BE151" s="9"/>
      <c r="BF151" s="9"/>
      <c r="BG151" s="8"/>
      <c r="BH151" s="8"/>
      <c r="BI151" s="8"/>
      <c r="BJ151" s="8"/>
      <c r="BK151" s="8"/>
      <c r="BL151" s="8"/>
      <c r="BM151" s="9"/>
      <c r="BN151" s="9"/>
      <c r="BO151" s="9"/>
      <c r="BP151" s="9"/>
      <c r="BQ151" s="9"/>
      <c r="BR151" s="8"/>
      <c r="BS151" s="8"/>
      <c r="BT151" s="8"/>
      <c r="BU151" s="8"/>
      <c r="BV151" s="8"/>
      <c r="BW151" s="8"/>
      <c r="BX151" s="8"/>
      <c r="BY151" s="8"/>
      <c r="BZ151" s="9"/>
      <c r="CA151" s="9"/>
      <c r="CB151" s="9"/>
      <c r="CC151" s="9"/>
      <c r="CD151" s="9"/>
      <c r="CE151" s="8"/>
      <c r="CF151" s="8"/>
      <c r="CG151" s="8"/>
      <c r="CH151" s="8"/>
      <c r="CI151" s="8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8"/>
      <c r="CX151" s="8"/>
      <c r="CY151" s="8"/>
      <c r="CZ151" s="8"/>
      <c r="DA151" s="8"/>
      <c r="DB151" s="9"/>
      <c r="DC151" s="9"/>
      <c r="DD151" s="9"/>
      <c r="DE151" s="9"/>
      <c r="DF151" s="9"/>
      <c r="DG151" s="9"/>
      <c r="DH151" s="9"/>
      <c r="DI151" s="8"/>
      <c r="DJ151" s="8"/>
      <c r="DK151" s="8"/>
      <c r="DL151" s="8"/>
      <c r="DM151" s="8"/>
      <c r="DN151" s="8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8"/>
      <c r="DZ151" s="8"/>
      <c r="EA151" s="8"/>
      <c r="EB151" s="8"/>
      <c r="EC151" s="8"/>
      <c r="ED151" s="9"/>
      <c r="EE151" s="9"/>
      <c r="EF151" s="9"/>
      <c r="EG151" s="9"/>
      <c r="EH151" s="9"/>
      <c r="EI151" s="9"/>
      <c r="EJ151" s="9"/>
      <c r="EK151" s="8"/>
      <c r="EL151" s="8"/>
      <c r="EM151" s="8"/>
      <c r="EN151" s="8"/>
      <c r="EO151" s="8"/>
      <c r="EP151" s="8"/>
      <c r="EQ151" s="8"/>
      <c r="ER151" s="8"/>
      <c r="ES151" s="8"/>
      <c r="ET151" s="9"/>
      <c r="EU151" s="9"/>
      <c r="EV151" s="9"/>
      <c r="EW151" s="9"/>
      <c r="EX151" s="9"/>
      <c r="EY151" s="9"/>
      <c r="EZ151" s="9"/>
      <c r="FA151" s="9"/>
      <c r="FB151" s="8"/>
      <c r="FC151" s="8"/>
      <c r="FD151" s="8"/>
      <c r="FE151" s="8"/>
      <c r="FF151" s="9"/>
      <c r="FG151" s="9"/>
      <c r="FH151" s="9"/>
      <c r="FI151" s="9"/>
      <c r="FJ151" s="9"/>
      <c r="FK151" s="9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9"/>
      <c r="GA151" s="9"/>
      <c r="GB151" s="9"/>
      <c r="GC151" s="9"/>
      <c r="GD151" s="9"/>
      <c r="GE151" s="9"/>
      <c r="GF151" s="9"/>
      <c r="GG151" s="9"/>
      <c r="GH151" s="9"/>
      <c r="GI151" s="9"/>
    </row>
    <row r="152" spans="1:191" ht="15" customHeight="1" x14ac:dyDescent="0.25">
      <c r="A152" s="354">
        <v>544254610239</v>
      </c>
      <c r="B152" s="10">
        <f t="shared" si="8"/>
        <v>0</v>
      </c>
      <c r="C152" s="10">
        <v>0</v>
      </c>
      <c r="D152" s="10"/>
      <c r="E152" s="10">
        <f t="shared" si="9"/>
        <v>0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9"/>
      <c r="Y152" s="9"/>
      <c r="Z152" s="8"/>
      <c r="AA152" s="8"/>
      <c r="AB152" s="8"/>
      <c r="AC152" s="8"/>
      <c r="AD152" s="8"/>
      <c r="AE152" s="9"/>
      <c r="AF152" s="9"/>
      <c r="AG152" s="9"/>
      <c r="AH152" s="9"/>
      <c r="AI152" s="9"/>
      <c r="AJ152" s="8"/>
      <c r="AK152" s="8"/>
      <c r="AL152" s="8"/>
      <c r="AM152" s="8"/>
      <c r="AN152" s="8"/>
      <c r="AO152" s="9"/>
      <c r="AP152" s="9"/>
      <c r="AQ152" s="9"/>
      <c r="AR152" s="9"/>
      <c r="AS152" s="9"/>
      <c r="AT152" s="8"/>
      <c r="AU152" s="8"/>
      <c r="AV152" s="8"/>
      <c r="AW152" s="8"/>
      <c r="AX152" s="8"/>
      <c r="AY152" s="8"/>
      <c r="AZ152" s="9"/>
      <c r="BA152" s="9"/>
      <c r="BB152" s="9"/>
      <c r="BC152" s="9"/>
      <c r="BD152" s="9"/>
      <c r="BE152" s="9"/>
      <c r="BF152" s="9"/>
      <c r="BG152" s="8"/>
      <c r="BH152" s="8"/>
      <c r="BI152" s="8"/>
      <c r="BJ152" s="8"/>
      <c r="BK152" s="8"/>
      <c r="BL152" s="8"/>
      <c r="BM152" s="9"/>
      <c r="BN152" s="9"/>
      <c r="BO152" s="9"/>
      <c r="BP152" s="9"/>
      <c r="BQ152" s="9"/>
      <c r="BR152" s="8"/>
      <c r="BS152" s="8"/>
      <c r="BT152" s="8"/>
      <c r="BU152" s="8"/>
      <c r="BV152" s="8"/>
      <c r="BW152" s="8"/>
      <c r="BX152" s="8"/>
      <c r="BY152" s="8"/>
      <c r="BZ152" s="9"/>
      <c r="CA152" s="9"/>
      <c r="CB152" s="9"/>
      <c r="CC152" s="9"/>
      <c r="CD152" s="9"/>
      <c r="CE152" s="8"/>
      <c r="CF152" s="8"/>
      <c r="CG152" s="8"/>
      <c r="CH152" s="8"/>
      <c r="CI152" s="8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8"/>
      <c r="CX152" s="8"/>
      <c r="CY152" s="8"/>
      <c r="CZ152" s="8"/>
      <c r="DA152" s="8"/>
      <c r="DB152" s="9"/>
      <c r="DC152" s="9"/>
      <c r="DD152" s="9"/>
      <c r="DE152" s="9"/>
      <c r="DF152" s="9"/>
      <c r="DG152" s="9"/>
      <c r="DH152" s="9"/>
      <c r="DI152" s="8"/>
      <c r="DJ152" s="8"/>
      <c r="DK152" s="8"/>
      <c r="DL152" s="8"/>
      <c r="DM152" s="8"/>
      <c r="DN152" s="8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8"/>
      <c r="DZ152" s="8"/>
      <c r="EA152" s="8"/>
      <c r="EB152" s="8"/>
      <c r="EC152" s="8"/>
      <c r="ED152" s="9"/>
      <c r="EE152" s="9"/>
      <c r="EF152" s="9"/>
      <c r="EG152" s="9"/>
      <c r="EH152" s="9"/>
      <c r="EI152" s="9"/>
      <c r="EJ152" s="9"/>
      <c r="EK152" s="8"/>
      <c r="EL152" s="8"/>
      <c r="EM152" s="8"/>
      <c r="EN152" s="8"/>
      <c r="EO152" s="8"/>
      <c r="EP152" s="8"/>
      <c r="EQ152" s="8"/>
      <c r="ER152" s="8"/>
      <c r="ES152" s="8"/>
      <c r="ET152" s="9"/>
      <c r="EU152" s="9"/>
      <c r="EV152" s="9"/>
      <c r="EW152" s="9"/>
      <c r="EX152" s="9"/>
      <c r="EY152" s="9"/>
      <c r="EZ152" s="9"/>
      <c r="FA152" s="9"/>
      <c r="FB152" s="8"/>
      <c r="FC152" s="8"/>
      <c r="FD152" s="8"/>
      <c r="FE152" s="8"/>
      <c r="FF152" s="9"/>
      <c r="FG152" s="9"/>
      <c r="FH152" s="9"/>
      <c r="FI152" s="9"/>
      <c r="FJ152" s="9"/>
      <c r="FK152" s="9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9"/>
      <c r="GA152" s="9"/>
      <c r="GB152" s="9"/>
      <c r="GC152" s="9"/>
      <c r="GD152" s="9"/>
      <c r="GE152" s="9"/>
      <c r="GF152" s="9"/>
      <c r="GG152" s="9"/>
      <c r="GH152" s="9"/>
      <c r="GI152" s="9"/>
    </row>
    <row r="153" spans="1:191" ht="15" customHeight="1" x14ac:dyDescent="0.25">
      <c r="A153" s="354">
        <v>544254630490</v>
      </c>
      <c r="B153" s="10">
        <f t="shared" si="8"/>
        <v>0</v>
      </c>
      <c r="C153" s="10">
        <v>0</v>
      </c>
      <c r="D153" s="10"/>
      <c r="E153" s="10">
        <f t="shared" si="9"/>
        <v>0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9"/>
      <c r="Y153" s="9"/>
      <c r="Z153" s="8"/>
      <c r="AA153" s="8"/>
      <c r="AB153" s="8"/>
      <c r="AC153" s="8"/>
      <c r="AD153" s="8"/>
      <c r="AE153" s="9"/>
      <c r="AF153" s="9"/>
      <c r="AG153" s="9"/>
      <c r="AH153" s="9"/>
      <c r="AI153" s="9"/>
      <c r="AJ153" s="8"/>
      <c r="AK153" s="8"/>
      <c r="AL153" s="8"/>
      <c r="AM153" s="8"/>
      <c r="AN153" s="8"/>
      <c r="AO153" s="9"/>
      <c r="AP153" s="9"/>
      <c r="AQ153" s="9"/>
      <c r="AR153" s="9"/>
      <c r="AS153" s="9"/>
      <c r="AT153" s="8"/>
      <c r="AU153" s="8"/>
      <c r="AV153" s="8"/>
      <c r="AW153" s="8"/>
      <c r="AX153" s="8"/>
      <c r="AY153" s="8"/>
      <c r="AZ153" s="9"/>
      <c r="BA153" s="9"/>
      <c r="BB153" s="9"/>
      <c r="BC153" s="9"/>
      <c r="BD153" s="9"/>
      <c r="BE153" s="9"/>
      <c r="BF153" s="9"/>
      <c r="BG153" s="8"/>
      <c r="BH153" s="8"/>
      <c r="BI153" s="8"/>
      <c r="BJ153" s="8"/>
      <c r="BK153" s="8"/>
      <c r="BL153" s="8"/>
      <c r="BM153" s="9"/>
      <c r="BN153" s="9"/>
      <c r="BO153" s="9"/>
      <c r="BP153" s="9"/>
      <c r="BQ153" s="9"/>
      <c r="BR153" s="8"/>
      <c r="BS153" s="8"/>
      <c r="BT153" s="8"/>
      <c r="BU153" s="8"/>
      <c r="BV153" s="8"/>
      <c r="BW153" s="8"/>
      <c r="BX153" s="8"/>
      <c r="BY153" s="8"/>
      <c r="BZ153" s="9"/>
      <c r="CA153" s="9"/>
      <c r="CB153" s="9"/>
      <c r="CC153" s="9"/>
      <c r="CD153" s="9"/>
      <c r="CE153" s="8"/>
      <c r="CF153" s="8"/>
      <c r="CG153" s="8"/>
      <c r="CH153" s="8"/>
      <c r="CI153" s="8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8"/>
      <c r="CX153" s="8"/>
      <c r="CY153" s="8"/>
      <c r="CZ153" s="8"/>
      <c r="DA153" s="8"/>
      <c r="DB153" s="9"/>
      <c r="DC153" s="9"/>
      <c r="DD153" s="9"/>
      <c r="DE153" s="9"/>
      <c r="DF153" s="9"/>
      <c r="DG153" s="9"/>
      <c r="DH153" s="9"/>
      <c r="DI153" s="8"/>
      <c r="DJ153" s="8"/>
      <c r="DK153" s="8"/>
      <c r="DL153" s="8"/>
      <c r="DM153" s="8"/>
      <c r="DN153" s="8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8"/>
      <c r="DZ153" s="8"/>
      <c r="EA153" s="8"/>
      <c r="EB153" s="8"/>
      <c r="EC153" s="8"/>
      <c r="ED153" s="9"/>
      <c r="EE153" s="9"/>
      <c r="EF153" s="9"/>
      <c r="EG153" s="9"/>
      <c r="EH153" s="9"/>
      <c r="EI153" s="9"/>
      <c r="EJ153" s="9"/>
      <c r="EK153" s="8"/>
      <c r="EL153" s="8"/>
      <c r="EM153" s="8"/>
      <c r="EN153" s="8"/>
      <c r="EO153" s="8"/>
      <c r="EP153" s="8"/>
      <c r="EQ153" s="8"/>
      <c r="ER153" s="8"/>
      <c r="ES153" s="8"/>
      <c r="ET153" s="9"/>
      <c r="EU153" s="9"/>
      <c r="EV153" s="9"/>
      <c r="EW153" s="9"/>
      <c r="EX153" s="9"/>
      <c r="EY153" s="9"/>
      <c r="EZ153" s="9"/>
      <c r="FA153" s="9"/>
      <c r="FB153" s="8"/>
      <c r="FC153" s="8"/>
      <c r="FD153" s="8"/>
      <c r="FE153" s="8"/>
      <c r="FF153" s="9"/>
      <c r="FG153" s="9"/>
      <c r="FH153" s="9"/>
      <c r="FI153" s="9"/>
      <c r="FJ153" s="9"/>
      <c r="FK153" s="9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9"/>
      <c r="GA153" s="9"/>
      <c r="GB153" s="9"/>
      <c r="GC153" s="9"/>
      <c r="GD153" s="9"/>
      <c r="GE153" s="9"/>
      <c r="GF153" s="9"/>
      <c r="GG153" s="9"/>
      <c r="GH153" s="9"/>
      <c r="GI153" s="9"/>
    </row>
    <row r="154" spans="1:191" ht="15" customHeight="1" x14ac:dyDescent="0.25">
      <c r="A154" s="354">
        <v>544254630503</v>
      </c>
      <c r="B154" s="10">
        <f t="shared" si="8"/>
        <v>0</v>
      </c>
      <c r="C154" s="10">
        <v>0</v>
      </c>
      <c r="D154" s="10"/>
      <c r="E154" s="10">
        <f t="shared" si="9"/>
        <v>0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9"/>
      <c r="Y154" s="9"/>
      <c r="Z154" s="8"/>
      <c r="AA154" s="8"/>
      <c r="AB154" s="8"/>
      <c r="AC154" s="8"/>
      <c r="AD154" s="8"/>
      <c r="AE154" s="9"/>
      <c r="AF154" s="9"/>
      <c r="AG154" s="9"/>
      <c r="AH154" s="9"/>
      <c r="AI154" s="9"/>
      <c r="AJ154" s="8"/>
      <c r="AK154" s="8"/>
      <c r="AL154" s="8"/>
      <c r="AM154" s="8"/>
      <c r="AN154" s="8"/>
      <c r="AO154" s="9"/>
      <c r="AP154" s="9"/>
      <c r="AQ154" s="9"/>
      <c r="AR154" s="9"/>
      <c r="AS154" s="9"/>
      <c r="AT154" s="8"/>
      <c r="AU154" s="8"/>
      <c r="AV154" s="8"/>
      <c r="AW154" s="8"/>
      <c r="AX154" s="8"/>
      <c r="AY154" s="8"/>
      <c r="AZ154" s="9"/>
      <c r="BA154" s="9"/>
      <c r="BB154" s="9"/>
      <c r="BC154" s="9"/>
      <c r="BD154" s="9"/>
      <c r="BE154" s="9"/>
      <c r="BF154" s="9"/>
      <c r="BG154" s="8"/>
      <c r="BH154" s="8"/>
      <c r="BI154" s="8"/>
      <c r="BJ154" s="8"/>
      <c r="BK154" s="8"/>
      <c r="BL154" s="8"/>
      <c r="BM154" s="9"/>
      <c r="BN154" s="9"/>
      <c r="BO154" s="9"/>
      <c r="BP154" s="9"/>
      <c r="BQ154" s="9"/>
      <c r="BR154" s="8"/>
      <c r="BS154" s="8"/>
      <c r="BT154" s="8"/>
      <c r="BU154" s="8"/>
      <c r="BV154" s="8"/>
      <c r="BW154" s="8"/>
      <c r="BX154" s="8"/>
      <c r="BY154" s="8"/>
      <c r="BZ154" s="9"/>
      <c r="CA154" s="9"/>
      <c r="CB154" s="9"/>
      <c r="CC154" s="9"/>
      <c r="CD154" s="9"/>
      <c r="CE154" s="8"/>
      <c r="CF154" s="8"/>
      <c r="CG154" s="8"/>
      <c r="CH154" s="8"/>
      <c r="CI154" s="8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8"/>
      <c r="CX154" s="8"/>
      <c r="CY154" s="8"/>
      <c r="CZ154" s="8"/>
      <c r="DA154" s="8"/>
      <c r="DB154" s="9"/>
      <c r="DC154" s="9"/>
      <c r="DD154" s="9"/>
      <c r="DE154" s="9"/>
      <c r="DF154" s="9"/>
      <c r="DG154" s="9"/>
      <c r="DH154" s="9"/>
      <c r="DI154" s="8"/>
      <c r="DJ154" s="8"/>
      <c r="DK154" s="8"/>
      <c r="DL154" s="8"/>
      <c r="DM154" s="8"/>
      <c r="DN154" s="8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8"/>
      <c r="DZ154" s="8"/>
      <c r="EA154" s="8"/>
      <c r="EB154" s="8"/>
      <c r="EC154" s="8"/>
      <c r="ED154" s="9"/>
      <c r="EE154" s="9"/>
      <c r="EF154" s="9"/>
      <c r="EG154" s="9"/>
      <c r="EH154" s="9"/>
      <c r="EI154" s="9"/>
      <c r="EJ154" s="9"/>
      <c r="EK154" s="8"/>
      <c r="EL154" s="8"/>
      <c r="EM154" s="8"/>
      <c r="EN154" s="8"/>
      <c r="EO154" s="8"/>
      <c r="EP154" s="8"/>
      <c r="EQ154" s="8"/>
      <c r="ER154" s="8"/>
      <c r="ES154" s="8"/>
      <c r="ET154" s="9"/>
      <c r="EU154" s="9"/>
      <c r="EV154" s="9"/>
      <c r="EW154" s="9"/>
      <c r="EX154" s="9"/>
      <c r="EY154" s="9"/>
      <c r="EZ154" s="9"/>
      <c r="FA154" s="9"/>
      <c r="FB154" s="8"/>
      <c r="FC154" s="8"/>
      <c r="FD154" s="8"/>
      <c r="FE154" s="8"/>
      <c r="FF154" s="9"/>
      <c r="FG154" s="9"/>
      <c r="FH154" s="9"/>
      <c r="FI154" s="9"/>
      <c r="FJ154" s="9"/>
      <c r="FK154" s="9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9"/>
      <c r="GA154" s="9"/>
      <c r="GB154" s="9"/>
      <c r="GC154" s="9"/>
      <c r="GD154" s="9"/>
      <c r="GE154" s="9"/>
      <c r="GF154" s="9"/>
      <c r="GG154" s="9"/>
      <c r="GH154" s="9"/>
      <c r="GI154" s="9"/>
    </row>
    <row r="155" spans="1:191" ht="15" customHeight="1" x14ac:dyDescent="0.25">
      <c r="A155" s="354">
        <v>544254630476</v>
      </c>
      <c r="B155" s="10">
        <f t="shared" si="8"/>
        <v>0</v>
      </c>
      <c r="C155" s="10">
        <v>0</v>
      </c>
      <c r="D155" s="10"/>
      <c r="E155" s="10">
        <f t="shared" si="9"/>
        <v>0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9"/>
      <c r="Y155" s="9"/>
      <c r="Z155" s="8"/>
      <c r="AA155" s="8"/>
      <c r="AB155" s="8"/>
      <c r="AC155" s="8"/>
      <c r="AD155" s="8"/>
      <c r="AE155" s="9"/>
      <c r="AF155" s="9"/>
      <c r="AG155" s="9"/>
      <c r="AH155" s="9"/>
      <c r="AI155" s="9"/>
      <c r="AJ155" s="8"/>
      <c r="AK155" s="8"/>
      <c r="AL155" s="8"/>
      <c r="AM155" s="8"/>
      <c r="AN155" s="8"/>
      <c r="AO155" s="9"/>
      <c r="AP155" s="9"/>
      <c r="AQ155" s="9"/>
      <c r="AR155" s="9"/>
      <c r="AS155" s="9"/>
      <c r="AT155" s="8"/>
      <c r="AU155" s="8"/>
      <c r="AV155" s="8"/>
      <c r="AW155" s="8"/>
      <c r="AX155" s="8"/>
      <c r="AY155" s="8"/>
      <c r="AZ155" s="9"/>
      <c r="BA155" s="9"/>
      <c r="BB155" s="9"/>
      <c r="BC155" s="9"/>
      <c r="BD155" s="9"/>
      <c r="BE155" s="9"/>
      <c r="BF155" s="9"/>
      <c r="BG155" s="8"/>
      <c r="BH155" s="8"/>
      <c r="BI155" s="8"/>
      <c r="BJ155" s="8"/>
      <c r="BK155" s="8"/>
      <c r="BL155" s="8"/>
      <c r="BM155" s="9"/>
      <c r="BN155" s="9"/>
      <c r="BO155" s="9"/>
      <c r="BP155" s="9"/>
      <c r="BQ155" s="9"/>
      <c r="BR155" s="8"/>
      <c r="BS155" s="8"/>
      <c r="BT155" s="8"/>
      <c r="BU155" s="8"/>
      <c r="BV155" s="8"/>
      <c r="BW155" s="8"/>
      <c r="BX155" s="8"/>
      <c r="BY155" s="8"/>
      <c r="BZ155" s="9"/>
      <c r="CA155" s="9"/>
      <c r="CB155" s="9"/>
      <c r="CC155" s="9"/>
      <c r="CD155" s="9"/>
      <c r="CE155" s="8"/>
      <c r="CF155" s="8"/>
      <c r="CG155" s="8"/>
      <c r="CH155" s="8"/>
      <c r="CI155" s="8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8"/>
      <c r="CX155" s="8"/>
      <c r="CY155" s="8"/>
      <c r="CZ155" s="8"/>
      <c r="DA155" s="8"/>
      <c r="DB155" s="9"/>
      <c r="DC155" s="9"/>
      <c r="DD155" s="9"/>
      <c r="DE155" s="9"/>
      <c r="DF155" s="9"/>
      <c r="DG155" s="9"/>
      <c r="DH155" s="9"/>
      <c r="DI155" s="8"/>
      <c r="DJ155" s="8"/>
      <c r="DK155" s="8"/>
      <c r="DL155" s="8"/>
      <c r="DM155" s="8"/>
      <c r="DN155" s="8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8"/>
      <c r="DZ155" s="8"/>
      <c r="EA155" s="8"/>
      <c r="EB155" s="8"/>
      <c r="EC155" s="8"/>
      <c r="ED155" s="9"/>
      <c r="EE155" s="9"/>
      <c r="EF155" s="9"/>
      <c r="EG155" s="9"/>
      <c r="EH155" s="9"/>
      <c r="EI155" s="9"/>
      <c r="EJ155" s="9"/>
      <c r="EK155" s="8"/>
      <c r="EL155" s="8"/>
      <c r="EM155" s="8"/>
      <c r="EN155" s="8"/>
      <c r="EO155" s="8"/>
      <c r="EP155" s="8"/>
      <c r="EQ155" s="8"/>
      <c r="ER155" s="8"/>
      <c r="ES155" s="8"/>
      <c r="ET155" s="9"/>
      <c r="EU155" s="9"/>
      <c r="EV155" s="9"/>
      <c r="EW155" s="9"/>
      <c r="EX155" s="9"/>
      <c r="EY155" s="9"/>
      <c r="EZ155" s="9"/>
      <c r="FA155" s="9"/>
      <c r="FB155" s="8"/>
      <c r="FC155" s="8"/>
      <c r="FD155" s="8"/>
      <c r="FE155" s="8"/>
      <c r="FF155" s="9"/>
      <c r="FG155" s="9"/>
      <c r="FH155" s="9"/>
      <c r="FI155" s="9"/>
      <c r="FJ155" s="9"/>
      <c r="FK155" s="9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9"/>
      <c r="GA155" s="9"/>
      <c r="GB155" s="9"/>
      <c r="GC155" s="9"/>
      <c r="GD155" s="9"/>
      <c r="GE155" s="9"/>
      <c r="GF155" s="9"/>
      <c r="GG155" s="9"/>
      <c r="GH155" s="9"/>
      <c r="GI155" s="9"/>
    </row>
    <row r="156" spans="1:191" ht="15" customHeight="1" x14ac:dyDescent="0.25">
      <c r="A156" s="354">
        <v>544254630481</v>
      </c>
      <c r="B156" s="10">
        <f t="shared" si="8"/>
        <v>0</v>
      </c>
      <c r="C156" s="10">
        <v>0</v>
      </c>
      <c r="D156" s="10"/>
      <c r="E156" s="10">
        <f t="shared" si="9"/>
        <v>0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  <c r="Y156" s="9"/>
      <c r="Z156" s="8"/>
      <c r="AA156" s="8"/>
      <c r="AB156" s="8"/>
      <c r="AC156" s="8"/>
      <c r="AD156" s="8"/>
      <c r="AE156" s="9"/>
      <c r="AF156" s="9"/>
      <c r="AG156" s="9"/>
      <c r="AH156" s="9"/>
      <c r="AI156" s="9"/>
      <c r="AJ156" s="8"/>
      <c r="AK156" s="8"/>
      <c r="AL156" s="8"/>
      <c r="AM156" s="8"/>
      <c r="AN156" s="8"/>
      <c r="AO156" s="9"/>
      <c r="AP156" s="9"/>
      <c r="AQ156" s="9"/>
      <c r="AR156" s="9"/>
      <c r="AS156" s="9"/>
      <c r="AT156" s="8"/>
      <c r="AU156" s="8"/>
      <c r="AV156" s="8"/>
      <c r="AW156" s="8"/>
      <c r="AX156" s="8"/>
      <c r="AY156" s="8"/>
      <c r="AZ156" s="9"/>
      <c r="BA156" s="9"/>
      <c r="BB156" s="9"/>
      <c r="BC156" s="9"/>
      <c r="BD156" s="9"/>
      <c r="BE156" s="9"/>
      <c r="BF156" s="9"/>
      <c r="BG156" s="8"/>
      <c r="BH156" s="8"/>
      <c r="BI156" s="8"/>
      <c r="BJ156" s="8"/>
      <c r="BK156" s="8"/>
      <c r="BL156" s="8"/>
      <c r="BM156" s="9"/>
      <c r="BN156" s="9"/>
      <c r="BO156" s="9"/>
      <c r="BP156" s="9"/>
      <c r="BQ156" s="9"/>
      <c r="BR156" s="8"/>
      <c r="BS156" s="8"/>
      <c r="BT156" s="8"/>
      <c r="BU156" s="8"/>
      <c r="BV156" s="8"/>
      <c r="BW156" s="8"/>
      <c r="BX156" s="8"/>
      <c r="BY156" s="8"/>
      <c r="BZ156" s="9"/>
      <c r="CA156" s="9"/>
      <c r="CB156" s="9"/>
      <c r="CC156" s="9"/>
      <c r="CD156" s="9"/>
      <c r="CE156" s="8"/>
      <c r="CF156" s="8"/>
      <c r="CG156" s="8"/>
      <c r="CH156" s="8"/>
      <c r="CI156" s="8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8"/>
      <c r="CX156" s="8"/>
      <c r="CY156" s="8"/>
      <c r="CZ156" s="8"/>
      <c r="DA156" s="8"/>
      <c r="DB156" s="9"/>
      <c r="DC156" s="9"/>
      <c r="DD156" s="9"/>
      <c r="DE156" s="9"/>
      <c r="DF156" s="9"/>
      <c r="DG156" s="9"/>
      <c r="DH156" s="9"/>
      <c r="DI156" s="8"/>
      <c r="DJ156" s="8"/>
      <c r="DK156" s="8"/>
      <c r="DL156" s="8"/>
      <c r="DM156" s="8"/>
      <c r="DN156" s="8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8"/>
      <c r="DZ156" s="8"/>
      <c r="EA156" s="8"/>
      <c r="EB156" s="8"/>
      <c r="EC156" s="8"/>
      <c r="ED156" s="9"/>
      <c r="EE156" s="9"/>
      <c r="EF156" s="9"/>
      <c r="EG156" s="9"/>
      <c r="EH156" s="9"/>
      <c r="EI156" s="9"/>
      <c r="EJ156" s="9"/>
      <c r="EK156" s="8"/>
      <c r="EL156" s="8"/>
      <c r="EM156" s="8"/>
      <c r="EN156" s="8"/>
      <c r="EO156" s="8"/>
      <c r="EP156" s="8"/>
      <c r="EQ156" s="8"/>
      <c r="ER156" s="8"/>
      <c r="ES156" s="8"/>
      <c r="ET156" s="9"/>
      <c r="EU156" s="9"/>
      <c r="EV156" s="9"/>
      <c r="EW156" s="9"/>
      <c r="EX156" s="9"/>
      <c r="EY156" s="9"/>
      <c r="EZ156" s="9"/>
      <c r="FA156" s="9"/>
      <c r="FB156" s="8"/>
      <c r="FC156" s="8"/>
      <c r="FD156" s="8"/>
      <c r="FE156" s="8"/>
      <c r="FF156" s="9"/>
      <c r="FG156" s="9"/>
      <c r="FH156" s="9"/>
      <c r="FI156" s="9"/>
      <c r="FJ156" s="9"/>
      <c r="FK156" s="9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9"/>
      <c r="GA156" s="9"/>
      <c r="GB156" s="9"/>
      <c r="GC156" s="9"/>
      <c r="GD156" s="9"/>
      <c r="GE156" s="9"/>
      <c r="GF156" s="9"/>
      <c r="GG156" s="9"/>
      <c r="GH156" s="9"/>
      <c r="GI156" s="9"/>
    </row>
    <row r="157" spans="1:191" ht="15" customHeight="1" x14ac:dyDescent="0.25">
      <c r="A157" s="354">
        <v>544254630477</v>
      </c>
      <c r="B157" s="10">
        <f t="shared" si="8"/>
        <v>0</v>
      </c>
      <c r="C157" s="10">
        <v>0</v>
      </c>
      <c r="D157" s="10"/>
      <c r="E157" s="10">
        <f t="shared" si="9"/>
        <v>0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  <c r="Y157" s="9"/>
      <c r="Z157" s="8"/>
      <c r="AA157" s="8"/>
      <c r="AB157" s="8"/>
      <c r="AC157" s="8"/>
      <c r="AD157" s="8"/>
      <c r="AE157" s="9"/>
      <c r="AF157" s="9"/>
      <c r="AG157" s="9"/>
      <c r="AH157" s="9"/>
      <c r="AI157" s="9"/>
      <c r="AJ157" s="8"/>
      <c r="AK157" s="8"/>
      <c r="AL157" s="8"/>
      <c r="AM157" s="8"/>
      <c r="AN157" s="8"/>
      <c r="AO157" s="9"/>
      <c r="AP157" s="9"/>
      <c r="AQ157" s="9"/>
      <c r="AR157" s="9"/>
      <c r="AS157" s="9"/>
      <c r="AT157" s="8"/>
      <c r="AU157" s="8"/>
      <c r="AV157" s="8"/>
      <c r="AW157" s="8"/>
      <c r="AX157" s="8"/>
      <c r="AY157" s="8"/>
      <c r="AZ157" s="9"/>
      <c r="BA157" s="9"/>
      <c r="BB157" s="9"/>
      <c r="BC157" s="9"/>
      <c r="BD157" s="9"/>
      <c r="BE157" s="9"/>
      <c r="BF157" s="9"/>
      <c r="BG157" s="8"/>
      <c r="BH157" s="8"/>
      <c r="BI157" s="8"/>
      <c r="BJ157" s="8"/>
      <c r="BK157" s="8"/>
      <c r="BL157" s="8"/>
      <c r="BM157" s="9"/>
      <c r="BN157" s="9"/>
      <c r="BO157" s="9"/>
      <c r="BP157" s="9"/>
      <c r="BQ157" s="9"/>
      <c r="BR157" s="8"/>
      <c r="BS157" s="8"/>
      <c r="BT157" s="8"/>
      <c r="BU157" s="8"/>
      <c r="BV157" s="8"/>
      <c r="BW157" s="8"/>
      <c r="BX157" s="8"/>
      <c r="BY157" s="8"/>
      <c r="BZ157" s="9"/>
      <c r="CA157" s="9"/>
      <c r="CB157" s="9"/>
      <c r="CC157" s="9"/>
      <c r="CD157" s="9"/>
      <c r="CE157" s="8"/>
      <c r="CF157" s="8"/>
      <c r="CG157" s="8"/>
      <c r="CH157" s="8"/>
      <c r="CI157" s="8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8"/>
      <c r="CX157" s="8"/>
      <c r="CY157" s="8"/>
      <c r="CZ157" s="8"/>
      <c r="DA157" s="8"/>
      <c r="DB157" s="9"/>
      <c r="DC157" s="9"/>
      <c r="DD157" s="9"/>
      <c r="DE157" s="9"/>
      <c r="DF157" s="9"/>
      <c r="DG157" s="9"/>
      <c r="DH157" s="9"/>
      <c r="DI157" s="8"/>
      <c r="DJ157" s="8"/>
      <c r="DK157" s="8"/>
      <c r="DL157" s="8"/>
      <c r="DM157" s="8"/>
      <c r="DN157" s="8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8"/>
      <c r="DZ157" s="8"/>
      <c r="EA157" s="8"/>
      <c r="EB157" s="8"/>
      <c r="EC157" s="8"/>
      <c r="ED157" s="9"/>
      <c r="EE157" s="9"/>
      <c r="EF157" s="9"/>
      <c r="EG157" s="9"/>
      <c r="EH157" s="9"/>
      <c r="EI157" s="9"/>
      <c r="EJ157" s="9"/>
      <c r="EK157" s="8"/>
      <c r="EL157" s="8"/>
      <c r="EM157" s="8"/>
      <c r="EN157" s="8"/>
      <c r="EO157" s="8"/>
      <c r="EP157" s="8"/>
      <c r="EQ157" s="8"/>
      <c r="ER157" s="8"/>
      <c r="ES157" s="8"/>
      <c r="ET157" s="9"/>
      <c r="EU157" s="9"/>
      <c r="EV157" s="9"/>
      <c r="EW157" s="9"/>
      <c r="EX157" s="9"/>
      <c r="EY157" s="9"/>
      <c r="EZ157" s="9"/>
      <c r="FA157" s="9"/>
      <c r="FB157" s="8"/>
      <c r="FC157" s="8"/>
      <c r="FD157" s="8"/>
      <c r="FE157" s="8"/>
      <c r="FF157" s="9"/>
      <c r="FG157" s="9"/>
      <c r="FH157" s="9"/>
      <c r="FI157" s="9"/>
      <c r="FJ157" s="9"/>
      <c r="FK157" s="9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9"/>
      <c r="GA157" s="9"/>
      <c r="GB157" s="9"/>
      <c r="GC157" s="9"/>
      <c r="GD157" s="9"/>
      <c r="GE157" s="9"/>
      <c r="GF157" s="9"/>
      <c r="GG157" s="9"/>
      <c r="GH157" s="9"/>
      <c r="GI157" s="9"/>
    </row>
    <row r="158" spans="1:191" ht="15" customHeight="1" x14ac:dyDescent="0.25">
      <c r="A158" s="354">
        <v>544254630473</v>
      </c>
      <c r="B158" s="10">
        <f t="shared" si="8"/>
        <v>0</v>
      </c>
      <c r="C158" s="10">
        <v>0</v>
      </c>
      <c r="D158" s="10"/>
      <c r="E158" s="10">
        <f t="shared" si="9"/>
        <v>0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  <c r="Y158" s="9"/>
      <c r="Z158" s="8"/>
      <c r="AA158" s="8"/>
      <c r="AB158" s="8"/>
      <c r="AC158" s="8"/>
      <c r="AD158" s="8"/>
      <c r="AE158" s="9"/>
      <c r="AF158" s="9"/>
      <c r="AG158" s="9"/>
      <c r="AH158" s="9"/>
      <c r="AI158" s="9"/>
      <c r="AJ158" s="8"/>
      <c r="AK158" s="8"/>
      <c r="AL158" s="8"/>
      <c r="AM158" s="8"/>
      <c r="AN158" s="8"/>
      <c r="AO158" s="9"/>
      <c r="AP158" s="9"/>
      <c r="AQ158" s="9"/>
      <c r="AR158" s="9"/>
      <c r="AS158" s="9"/>
      <c r="AT158" s="8"/>
      <c r="AU158" s="8"/>
      <c r="AV158" s="8"/>
      <c r="AW158" s="8"/>
      <c r="AX158" s="8"/>
      <c r="AY158" s="8"/>
      <c r="AZ158" s="9"/>
      <c r="BA158" s="9"/>
      <c r="BB158" s="9"/>
      <c r="BC158" s="9"/>
      <c r="BD158" s="9"/>
      <c r="BE158" s="9"/>
      <c r="BF158" s="9"/>
      <c r="BG158" s="8"/>
      <c r="BH158" s="8"/>
      <c r="BI158" s="8"/>
      <c r="BJ158" s="8"/>
      <c r="BK158" s="8"/>
      <c r="BL158" s="8"/>
      <c r="BM158" s="9"/>
      <c r="BN158" s="9"/>
      <c r="BO158" s="9"/>
      <c r="BP158" s="9"/>
      <c r="BQ158" s="9"/>
      <c r="BR158" s="8"/>
      <c r="BS158" s="8"/>
      <c r="BT158" s="8"/>
      <c r="BU158" s="8"/>
      <c r="BV158" s="8"/>
      <c r="BW158" s="8"/>
      <c r="BX158" s="8"/>
      <c r="BY158" s="8"/>
      <c r="BZ158" s="9"/>
      <c r="CA158" s="9"/>
      <c r="CB158" s="9"/>
      <c r="CC158" s="9"/>
      <c r="CD158" s="9"/>
      <c r="CE158" s="8"/>
      <c r="CF158" s="8"/>
      <c r="CG158" s="8"/>
      <c r="CH158" s="8"/>
      <c r="CI158" s="8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8"/>
      <c r="CX158" s="8"/>
      <c r="CY158" s="8"/>
      <c r="CZ158" s="8"/>
      <c r="DA158" s="8"/>
      <c r="DB158" s="9"/>
      <c r="DC158" s="9"/>
      <c r="DD158" s="9"/>
      <c r="DE158" s="9"/>
      <c r="DF158" s="9"/>
      <c r="DG158" s="9"/>
      <c r="DH158" s="9"/>
      <c r="DI158" s="8"/>
      <c r="DJ158" s="8"/>
      <c r="DK158" s="8"/>
      <c r="DL158" s="8"/>
      <c r="DM158" s="8"/>
      <c r="DN158" s="8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8"/>
      <c r="DZ158" s="8"/>
      <c r="EA158" s="8"/>
      <c r="EB158" s="8"/>
      <c r="EC158" s="8"/>
      <c r="ED158" s="9"/>
      <c r="EE158" s="9"/>
      <c r="EF158" s="9"/>
      <c r="EG158" s="9"/>
      <c r="EH158" s="9"/>
      <c r="EI158" s="9"/>
      <c r="EJ158" s="9"/>
      <c r="EK158" s="8"/>
      <c r="EL158" s="8"/>
      <c r="EM158" s="8"/>
      <c r="EN158" s="8"/>
      <c r="EO158" s="8"/>
      <c r="EP158" s="8"/>
      <c r="EQ158" s="8"/>
      <c r="ER158" s="8"/>
      <c r="ES158" s="8"/>
      <c r="ET158" s="9"/>
      <c r="EU158" s="9"/>
      <c r="EV158" s="9"/>
      <c r="EW158" s="9"/>
      <c r="EX158" s="9"/>
      <c r="EY158" s="9"/>
      <c r="EZ158" s="9"/>
      <c r="FA158" s="9"/>
      <c r="FB158" s="8"/>
      <c r="FC158" s="8"/>
      <c r="FD158" s="8"/>
      <c r="FE158" s="8"/>
      <c r="FF158" s="9"/>
      <c r="FG158" s="9"/>
      <c r="FH158" s="9"/>
      <c r="FI158" s="9"/>
      <c r="FJ158" s="9"/>
      <c r="FK158" s="9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9"/>
      <c r="GA158" s="9"/>
      <c r="GB158" s="9"/>
      <c r="GC158" s="9"/>
      <c r="GD158" s="9"/>
      <c r="GE158" s="9"/>
      <c r="GF158" s="9"/>
      <c r="GG158" s="9"/>
      <c r="GH158" s="9"/>
      <c r="GI158" s="9"/>
    </row>
    <row r="159" spans="1:191" ht="15" customHeight="1" x14ac:dyDescent="0.25">
      <c r="A159" s="354">
        <v>544254630474</v>
      </c>
      <c r="B159" s="10">
        <f t="shared" si="8"/>
        <v>0</v>
      </c>
      <c r="C159" s="10">
        <v>0</v>
      </c>
      <c r="D159" s="10"/>
      <c r="E159" s="10">
        <f t="shared" si="9"/>
        <v>0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  <c r="Y159" s="9"/>
      <c r="Z159" s="8"/>
      <c r="AA159" s="8"/>
      <c r="AB159" s="8"/>
      <c r="AC159" s="8"/>
      <c r="AD159" s="8"/>
      <c r="AE159" s="9"/>
      <c r="AF159" s="9"/>
      <c r="AG159" s="9"/>
      <c r="AH159" s="9"/>
      <c r="AI159" s="9"/>
      <c r="AJ159" s="8"/>
      <c r="AK159" s="8"/>
      <c r="AL159" s="8"/>
      <c r="AM159" s="8"/>
      <c r="AN159" s="8"/>
      <c r="AO159" s="9"/>
      <c r="AP159" s="9"/>
      <c r="AQ159" s="9"/>
      <c r="AR159" s="9"/>
      <c r="AS159" s="9"/>
      <c r="AT159" s="8"/>
      <c r="AU159" s="8"/>
      <c r="AV159" s="8"/>
      <c r="AW159" s="8"/>
      <c r="AX159" s="8"/>
      <c r="AY159" s="8"/>
      <c r="AZ159" s="9"/>
      <c r="BA159" s="9"/>
      <c r="BB159" s="9"/>
      <c r="BC159" s="9"/>
      <c r="BD159" s="9"/>
      <c r="BE159" s="9"/>
      <c r="BF159" s="9"/>
      <c r="BG159" s="8"/>
      <c r="BH159" s="8"/>
      <c r="BI159" s="8"/>
      <c r="BJ159" s="8"/>
      <c r="BK159" s="8"/>
      <c r="BL159" s="8"/>
      <c r="BM159" s="9"/>
      <c r="BN159" s="9"/>
      <c r="BO159" s="9"/>
      <c r="BP159" s="9"/>
      <c r="BQ159" s="9"/>
      <c r="BR159" s="8"/>
      <c r="BS159" s="8"/>
      <c r="BT159" s="8"/>
      <c r="BU159" s="8"/>
      <c r="BV159" s="8"/>
      <c r="BW159" s="8"/>
      <c r="BX159" s="8"/>
      <c r="BY159" s="8"/>
      <c r="BZ159" s="9"/>
      <c r="CA159" s="9"/>
      <c r="CB159" s="9"/>
      <c r="CC159" s="9"/>
      <c r="CD159" s="9"/>
      <c r="CE159" s="8"/>
      <c r="CF159" s="8"/>
      <c r="CG159" s="8"/>
      <c r="CH159" s="8"/>
      <c r="CI159" s="8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8"/>
      <c r="CX159" s="8"/>
      <c r="CY159" s="8"/>
      <c r="CZ159" s="8"/>
      <c r="DA159" s="8"/>
      <c r="DB159" s="9"/>
      <c r="DC159" s="9"/>
      <c r="DD159" s="9"/>
      <c r="DE159" s="9"/>
      <c r="DF159" s="9"/>
      <c r="DG159" s="9"/>
      <c r="DH159" s="9"/>
      <c r="DI159" s="8"/>
      <c r="DJ159" s="8"/>
      <c r="DK159" s="8"/>
      <c r="DL159" s="8"/>
      <c r="DM159" s="8"/>
      <c r="DN159" s="8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8"/>
      <c r="DZ159" s="8"/>
      <c r="EA159" s="8"/>
      <c r="EB159" s="8"/>
      <c r="EC159" s="8"/>
      <c r="ED159" s="9"/>
      <c r="EE159" s="9"/>
      <c r="EF159" s="9"/>
      <c r="EG159" s="9"/>
      <c r="EH159" s="9"/>
      <c r="EI159" s="9"/>
      <c r="EJ159" s="9"/>
      <c r="EK159" s="8"/>
      <c r="EL159" s="8"/>
      <c r="EM159" s="8"/>
      <c r="EN159" s="8"/>
      <c r="EO159" s="8"/>
      <c r="EP159" s="8"/>
      <c r="EQ159" s="8"/>
      <c r="ER159" s="8"/>
      <c r="ES159" s="8"/>
      <c r="ET159" s="9"/>
      <c r="EU159" s="9"/>
      <c r="EV159" s="9"/>
      <c r="EW159" s="9"/>
      <c r="EX159" s="9"/>
      <c r="EY159" s="9"/>
      <c r="EZ159" s="9"/>
      <c r="FA159" s="9"/>
      <c r="FB159" s="8"/>
      <c r="FC159" s="8"/>
      <c r="FD159" s="8"/>
      <c r="FE159" s="8"/>
      <c r="FF159" s="9"/>
      <c r="FG159" s="9"/>
      <c r="FH159" s="9"/>
      <c r="FI159" s="9"/>
      <c r="FJ159" s="9"/>
      <c r="FK159" s="9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9"/>
      <c r="GA159" s="9"/>
      <c r="GB159" s="9"/>
      <c r="GC159" s="9"/>
      <c r="GD159" s="9"/>
      <c r="GE159" s="9"/>
      <c r="GF159" s="9"/>
      <c r="GG159" s="9"/>
      <c r="GH159" s="9"/>
      <c r="GI159" s="9"/>
    </row>
    <row r="160" spans="1:191" ht="15" customHeight="1" x14ac:dyDescent="0.25">
      <c r="A160" s="354">
        <v>544254640216</v>
      </c>
      <c r="B160" s="10">
        <f t="shared" si="8"/>
        <v>0</v>
      </c>
      <c r="C160" s="10">
        <v>0</v>
      </c>
      <c r="D160" s="10"/>
      <c r="E160" s="10">
        <f t="shared" si="9"/>
        <v>0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9"/>
      <c r="Y160" s="9"/>
      <c r="Z160" s="8"/>
      <c r="AA160" s="8"/>
      <c r="AB160" s="8"/>
      <c r="AC160" s="8"/>
      <c r="AD160" s="8"/>
      <c r="AE160" s="9"/>
      <c r="AF160" s="9"/>
      <c r="AG160" s="9"/>
      <c r="AH160" s="9"/>
      <c r="AI160" s="9"/>
      <c r="AJ160" s="8"/>
      <c r="AK160" s="8"/>
      <c r="AL160" s="8"/>
      <c r="AM160" s="8"/>
      <c r="AN160" s="8"/>
      <c r="AO160" s="9"/>
      <c r="AP160" s="9"/>
      <c r="AQ160" s="9"/>
      <c r="AR160" s="9"/>
      <c r="AS160" s="9"/>
      <c r="AT160" s="8"/>
      <c r="AU160" s="8"/>
      <c r="AV160" s="8"/>
      <c r="AW160" s="8"/>
      <c r="AX160" s="8"/>
      <c r="AY160" s="8"/>
      <c r="AZ160" s="9"/>
      <c r="BA160" s="9"/>
      <c r="BB160" s="9"/>
      <c r="BC160" s="9"/>
      <c r="BD160" s="9"/>
      <c r="BE160" s="9"/>
      <c r="BF160" s="9"/>
      <c r="BG160" s="8"/>
      <c r="BH160" s="8"/>
      <c r="BI160" s="8"/>
      <c r="BJ160" s="8"/>
      <c r="BK160" s="8"/>
      <c r="BL160" s="8"/>
      <c r="BM160" s="9"/>
      <c r="BN160" s="9"/>
      <c r="BO160" s="9"/>
      <c r="BP160" s="9"/>
      <c r="BQ160" s="9"/>
      <c r="BR160" s="8"/>
      <c r="BS160" s="8"/>
      <c r="BT160" s="8"/>
      <c r="BU160" s="8"/>
      <c r="BV160" s="8"/>
      <c r="BW160" s="8"/>
      <c r="BX160" s="8"/>
      <c r="BY160" s="8"/>
      <c r="BZ160" s="9"/>
      <c r="CA160" s="9"/>
      <c r="CB160" s="9"/>
      <c r="CC160" s="9"/>
      <c r="CD160" s="9"/>
      <c r="CE160" s="8"/>
      <c r="CF160" s="8"/>
      <c r="CG160" s="8"/>
      <c r="CH160" s="8"/>
      <c r="CI160" s="8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8"/>
      <c r="CX160" s="8"/>
      <c r="CY160" s="8"/>
      <c r="CZ160" s="8"/>
      <c r="DA160" s="8"/>
      <c r="DB160" s="9"/>
      <c r="DC160" s="9"/>
      <c r="DD160" s="9"/>
      <c r="DE160" s="9"/>
      <c r="DF160" s="9"/>
      <c r="DG160" s="9"/>
      <c r="DH160" s="9"/>
      <c r="DI160" s="8"/>
      <c r="DJ160" s="8"/>
      <c r="DK160" s="8"/>
      <c r="DL160" s="8"/>
      <c r="DM160" s="8"/>
      <c r="DN160" s="8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8"/>
      <c r="DZ160" s="8"/>
      <c r="EA160" s="8"/>
      <c r="EB160" s="8"/>
      <c r="EC160" s="8"/>
      <c r="ED160" s="9"/>
      <c r="EE160" s="9"/>
      <c r="EF160" s="9"/>
      <c r="EG160" s="9"/>
      <c r="EH160" s="9"/>
      <c r="EI160" s="9"/>
      <c r="EJ160" s="9"/>
      <c r="EK160" s="8"/>
      <c r="EL160" s="8"/>
      <c r="EM160" s="8"/>
      <c r="EN160" s="8"/>
      <c r="EO160" s="8"/>
      <c r="EP160" s="8"/>
      <c r="EQ160" s="8"/>
      <c r="ER160" s="8"/>
      <c r="ES160" s="8"/>
      <c r="ET160" s="9"/>
      <c r="EU160" s="9"/>
      <c r="EV160" s="9"/>
      <c r="EW160" s="9"/>
      <c r="EX160" s="9"/>
      <c r="EY160" s="9"/>
      <c r="EZ160" s="9"/>
      <c r="FA160" s="9"/>
      <c r="FB160" s="8"/>
      <c r="FC160" s="8"/>
      <c r="FD160" s="8"/>
      <c r="FE160" s="8"/>
      <c r="FF160" s="9"/>
      <c r="FG160" s="9"/>
      <c r="FH160" s="9"/>
      <c r="FI160" s="9"/>
      <c r="FJ160" s="9"/>
      <c r="FK160" s="9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9"/>
      <c r="GA160" s="9"/>
      <c r="GB160" s="9"/>
      <c r="GC160" s="9"/>
      <c r="GD160" s="9"/>
      <c r="GE160" s="9"/>
      <c r="GF160" s="9"/>
      <c r="GG160" s="9"/>
      <c r="GH160" s="9"/>
      <c r="GI160" s="9"/>
    </row>
    <row r="161" spans="1:191" ht="15" customHeight="1" x14ac:dyDescent="0.25">
      <c r="A161" s="354">
        <v>544254640218</v>
      </c>
      <c r="B161" s="10">
        <f t="shared" si="8"/>
        <v>0</v>
      </c>
      <c r="C161" s="10">
        <v>0</v>
      </c>
      <c r="D161" s="10"/>
      <c r="E161" s="10">
        <f t="shared" si="9"/>
        <v>0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9"/>
      <c r="Y161" s="9"/>
      <c r="Z161" s="8"/>
      <c r="AA161" s="8"/>
      <c r="AB161" s="8"/>
      <c r="AC161" s="8"/>
      <c r="AD161" s="8"/>
      <c r="AE161" s="9"/>
      <c r="AF161" s="9"/>
      <c r="AG161" s="9"/>
      <c r="AH161" s="9"/>
      <c r="AI161" s="9"/>
      <c r="AJ161" s="8"/>
      <c r="AK161" s="8"/>
      <c r="AL161" s="8"/>
      <c r="AM161" s="8"/>
      <c r="AN161" s="8"/>
      <c r="AO161" s="9"/>
      <c r="AP161" s="9"/>
      <c r="AQ161" s="9"/>
      <c r="AR161" s="9"/>
      <c r="AS161" s="9"/>
      <c r="AT161" s="8"/>
      <c r="AU161" s="8"/>
      <c r="AV161" s="8"/>
      <c r="AW161" s="8"/>
      <c r="AX161" s="8"/>
      <c r="AY161" s="8"/>
      <c r="AZ161" s="9"/>
      <c r="BA161" s="9"/>
      <c r="BB161" s="9"/>
      <c r="BC161" s="9"/>
      <c r="BD161" s="9"/>
      <c r="BE161" s="9"/>
      <c r="BF161" s="9"/>
      <c r="BG161" s="8"/>
      <c r="BH161" s="8"/>
      <c r="BI161" s="8"/>
      <c r="BJ161" s="8"/>
      <c r="BK161" s="8"/>
      <c r="BL161" s="8"/>
      <c r="BM161" s="9"/>
      <c r="BN161" s="9"/>
      <c r="BO161" s="9"/>
      <c r="BP161" s="9"/>
      <c r="BQ161" s="9"/>
      <c r="BR161" s="8"/>
      <c r="BS161" s="8"/>
      <c r="BT161" s="8"/>
      <c r="BU161" s="8"/>
      <c r="BV161" s="8"/>
      <c r="BW161" s="8"/>
      <c r="BX161" s="8"/>
      <c r="BY161" s="8"/>
      <c r="BZ161" s="9"/>
      <c r="CA161" s="9"/>
      <c r="CB161" s="9"/>
      <c r="CC161" s="9"/>
      <c r="CD161" s="9"/>
      <c r="CE161" s="8"/>
      <c r="CF161" s="8"/>
      <c r="CG161" s="8"/>
      <c r="CH161" s="8"/>
      <c r="CI161" s="8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8"/>
      <c r="CX161" s="8"/>
      <c r="CY161" s="8"/>
      <c r="CZ161" s="8"/>
      <c r="DA161" s="8"/>
      <c r="DB161" s="9"/>
      <c r="DC161" s="9"/>
      <c r="DD161" s="9"/>
      <c r="DE161" s="9"/>
      <c r="DF161" s="9"/>
      <c r="DG161" s="9"/>
      <c r="DH161" s="9"/>
      <c r="DI161" s="8"/>
      <c r="DJ161" s="8"/>
      <c r="DK161" s="8"/>
      <c r="DL161" s="8"/>
      <c r="DM161" s="8"/>
      <c r="DN161" s="8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8"/>
      <c r="DZ161" s="8"/>
      <c r="EA161" s="8"/>
      <c r="EB161" s="8"/>
      <c r="EC161" s="8"/>
      <c r="ED161" s="9"/>
      <c r="EE161" s="9"/>
      <c r="EF161" s="9"/>
      <c r="EG161" s="9"/>
      <c r="EH161" s="9"/>
      <c r="EI161" s="9"/>
      <c r="EJ161" s="9"/>
      <c r="EK161" s="8"/>
      <c r="EL161" s="8"/>
      <c r="EM161" s="8"/>
      <c r="EN161" s="8"/>
      <c r="EO161" s="8"/>
      <c r="EP161" s="8"/>
      <c r="EQ161" s="8"/>
      <c r="ER161" s="8"/>
      <c r="ES161" s="8"/>
      <c r="ET161" s="9"/>
      <c r="EU161" s="9"/>
      <c r="EV161" s="9"/>
      <c r="EW161" s="9"/>
      <c r="EX161" s="9"/>
      <c r="EY161" s="9"/>
      <c r="EZ161" s="9"/>
      <c r="FA161" s="9"/>
      <c r="FB161" s="8"/>
      <c r="FC161" s="8"/>
      <c r="FD161" s="8"/>
      <c r="FE161" s="8"/>
      <c r="FF161" s="9"/>
      <c r="FG161" s="9"/>
      <c r="FH161" s="9"/>
      <c r="FI161" s="9"/>
      <c r="FJ161" s="9"/>
      <c r="FK161" s="9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9"/>
      <c r="GA161" s="9"/>
      <c r="GB161" s="9"/>
      <c r="GC161" s="9"/>
      <c r="GD161" s="9"/>
      <c r="GE161" s="9"/>
      <c r="GF161" s="9"/>
      <c r="GG161" s="9"/>
      <c r="GH161" s="9"/>
      <c r="GI161" s="9"/>
    </row>
    <row r="162" spans="1:191" ht="15" customHeight="1" x14ac:dyDescent="0.25">
      <c r="A162" s="354">
        <v>544254640214</v>
      </c>
      <c r="B162" s="10">
        <f t="shared" si="8"/>
        <v>0</v>
      </c>
      <c r="C162" s="10">
        <v>0</v>
      </c>
      <c r="D162" s="10"/>
      <c r="E162" s="10">
        <f t="shared" si="9"/>
        <v>0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/>
      <c r="Y162" s="9"/>
      <c r="Z162" s="8"/>
      <c r="AA162" s="8"/>
      <c r="AB162" s="8"/>
      <c r="AC162" s="8"/>
      <c r="AD162" s="8"/>
      <c r="AE162" s="9"/>
      <c r="AF162" s="9"/>
      <c r="AG162" s="9"/>
      <c r="AH162" s="9"/>
      <c r="AI162" s="9"/>
      <c r="AJ162" s="8"/>
      <c r="AK162" s="8"/>
      <c r="AL162" s="8"/>
      <c r="AM162" s="8"/>
      <c r="AN162" s="8"/>
      <c r="AO162" s="9"/>
      <c r="AP162" s="9"/>
      <c r="AQ162" s="9"/>
      <c r="AR162" s="9"/>
      <c r="AS162" s="9"/>
      <c r="AT162" s="8"/>
      <c r="AU162" s="8"/>
      <c r="AV162" s="8"/>
      <c r="AW162" s="8"/>
      <c r="AX162" s="8"/>
      <c r="AY162" s="8"/>
      <c r="AZ162" s="9"/>
      <c r="BA162" s="9"/>
      <c r="BB162" s="9"/>
      <c r="BC162" s="9"/>
      <c r="BD162" s="9"/>
      <c r="BE162" s="9"/>
      <c r="BF162" s="9"/>
      <c r="BG162" s="8"/>
      <c r="BH162" s="8"/>
      <c r="BI162" s="8"/>
      <c r="BJ162" s="8"/>
      <c r="BK162" s="8"/>
      <c r="BL162" s="8"/>
      <c r="BM162" s="9"/>
      <c r="BN162" s="9"/>
      <c r="BO162" s="9"/>
      <c r="BP162" s="9"/>
      <c r="BQ162" s="9"/>
      <c r="BR162" s="8"/>
      <c r="BS162" s="8"/>
      <c r="BT162" s="8"/>
      <c r="BU162" s="8"/>
      <c r="BV162" s="8"/>
      <c r="BW162" s="8"/>
      <c r="BX162" s="8"/>
      <c r="BY162" s="8"/>
      <c r="BZ162" s="9"/>
      <c r="CA162" s="9"/>
      <c r="CB162" s="9"/>
      <c r="CC162" s="9"/>
      <c r="CD162" s="9"/>
      <c r="CE162" s="8"/>
      <c r="CF162" s="8"/>
      <c r="CG162" s="8"/>
      <c r="CH162" s="8"/>
      <c r="CI162" s="8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8"/>
      <c r="CX162" s="8"/>
      <c r="CY162" s="8"/>
      <c r="CZ162" s="8"/>
      <c r="DA162" s="8"/>
      <c r="DB162" s="9"/>
      <c r="DC162" s="9"/>
      <c r="DD162" s="9"/>
      <c r="DE162" s="9"/>
      <c r="DF162" s="9"/>
      <c r="DG162" s="9"/>
      <c r="DH162" s="9"/>
      <c r="DI162" s="8"/>
      <c r="DJ162" s="8"/>
      <c r="DK162" s="8"/>
      <c r="DL162" s="8"/>
      <c r="DM162" s="8"/>
      <c r="DN162" s="8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8"/>
      <c r="DZ162" s="8"/>
      <c r="EA162" s="8"/>
      <c r="EB162" s="8"/>
      <c r="EC162" s="8"/>
      <c r="ED162" s="9"/>
      <c r="EE162" s="9"/>
      <c r="EF162" s="9"/>
      <c r="EG162" s="9"/>
      <c r="EH162" s="9"/>
      <c r="EI162" s="9"/>
      <c r="EJ162" s="9"/>
      <c r="EK162" s="8"/>
      <c r="EL162" s="8"/>
      <c r="EM162" s="8"/>
      <c r="EN162" s="8"/>
      <c r="EO162" s="8"/>
      <c r="EP162" s="8"/>
      <c r="EQ162" s="8"/>
      <c r="ER162" s="8"/>
      <c r="ES162" s="8"/>
      <c r="ET162" s="9"/>
      <c r="EU162" s="9"/>
      <c r="EV162" s="9"/>
      <c r="EW162" s="9"/>
      <c r="EX162" s="9"/>
      <c r="EY162" s="9"/>
      <c r="EZ162" s="9"/>
      <c r="FA162" s="9"/>
      <c r="FB162" s="8"/>
      <c r="FC162" s="8"/>
      <c r="FD162" s="8"/>
      <c r="FE162" s="8"/>
      <c r="FF162" s="9"/>
      <c r="FG162" s="9"/>
      <c r="FH162" s="9"/>
      <c r="FI162" s="9"/>
      <c r="FJ162" s="9"/>
      <c r="FK162" s="9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9"/>
      <c r="GA162" s="9"/>
      <c r="GB162" s="9"/>
      <c r="GC162" s="9"/>
      <c r="GD162" s="9"/>
      <c r="GE162" s="9"/>
      <c r="GF162" s="9"/>
      <c r="GG162" s="9"/>
      <c r="GH162" s="9"/>
      <c r="GI162" s="9"/>
    </row>
    <row r="163" spans="1:191" ht="15" customHeight="1" x14ac:dyDescent="0.25">
      <c r="A163" s="354">
        <v>544254640213</v>
      </c>
      <c r="B163" s="10">
        <f t="shared" si="8"/>
        <v>0</v>
      </c>
      <c r="C163" s="10">
        <v>0</v>
      </c>
      <c r="D163" s="10"/>
      <c r="E163" s="10">
        <f t="shared" si="9"/>
        <v>0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9"/>
      <c r="Y163" s="9"/>
      <c r="Z163" s="8"/>
      <c r="AA163" s="8"/>
      <c r="AB163" s="8"/>
      <c r="AC163" s="8"/>
      <c r="AD163" s="8"/>
      <c r="AE163" s="9"/>
      <c r="AF163" s="9"/>
      <c r="AG163" s="9"/>
      <c r="AH163" s="9"/>
      <c r="AI163" s="9"/>
      <c r="AJ163" s="8"/>
      <c r="AK163" s="8"/>
      <c r="AL163" s="8"/>
      <c r="AM163" s="8"/>
      <c r="AN163" s="8"/>
      <c r="AO163" s="9"/>
      <c r="AP163" s="9"/>
      <c r="AQ163" s="9"/>
      <c r="AR163" s="9"/>
      <c r="AS163" s="9"/>
      <c r="AT163" s="8"/>
      <c r="AU163" s="8"/>
      <c r="AV163" s="8"/>
      <c r="AW163" s="8"/>
      <c r="AX163" s="8"/>
      <c r="AY163" s="8"/>
      <c r="AZ163" s="9"/>
      <c r="BA163" s="9"/>
      <c r="BB163" s="9"/>
      <c r="BC163" s="9"/>
      <c r="BD163" s="9"/>
      <c r="BE163" s="9"/>
      <c r="BF163" s="9"/>
      <c r="BG163" s="8"/>
      <c r="BH163" s="8"/>
      <c r="BI163" s="8"/>
      <c r="BJ163" s="8"/>
      <c r="BK163" s="8"/>
      <c r="BL163" s="8"/>
      <c r="BM163" s="9"/>
      <c r="BN163" s="9"/>
      <c r="BO163" s="9"/>
      <c r="BP163" s="9"/>
      <c r="BQ163" s="9"/>
      <c r="BR163" s="8"/>
      <c r="BS163" s="8"/>
      <c r="BT163" s="8"/>
      <c r="BU163" s="8"/>
      <c r="BV163" s="8"/>
      <c r="BW163" s="8"/>
      <c r="BX163" s="8"/>
      <c r="BY163" s="8"/>
      <c r="BZ163" s="9"/>
      <c r="CA163" s="9"/>
      <c r="CB163" s="9"/>
      <c r="CC163" s="9"/>
      <c r="CD163" s="9"/>
      <c r="CE163" s="8"/>
      <c r="CF163" s="8"/>
      <c r="CG163" s="8"/>
      <c r="CH163" s="8"/>
      <c r="CI163" s="8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8"/>
      <c r="CX163" s="8"/>
      <c r="CY163" s="8"/>
      <c r="CZ163" s="8"/>
      <c r="DA163" s="8"/>
      <c r="DB163" s="9"/>
      <c r="DC163" s="9"/>
      <c r="DD163" s="9"/>
      <c r="DE163" s="9"/>
      <c r="DF163" s="9"/>
      <c r="DG163" s="9"/>
      <c r="DH163" s="9"/>
      <c r="DI163" s="8"/>
      <c r="DJ163" s="8"/>
      <c r="DK163" s="8"/>
      <c r="DL163" s="8"/>
      <c r="DM163" s="8"/>
      <c r="DN163" s="8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8"/>
      <c r="DZ163" s="8"/>
      <c r="EA163" s="8"/>
      <c r="EB163" s="8"/>
      <c r="EC163" s="8"/>
      <c r="ED163" s="9"/>
      <c r="EE163" s="9"/>
      <c r="EF163" s="9"/>
      <c r="EG163" s="9"/>
      <c r="EH163" s="9"/>
      <c r="EI163" s="9"/>
      <c r="EJ163" s="9"/>
      <c r="EK163" s="8"/>
      <c r="EL163" s="8"/>
      <c r="EM163" s="8"/>
      <c r="EN163" s="8"/>
      <c r="EO163" s="8"/>
      <c r="EP163" s="8"/>
      <c r="EQ163" s="8"/>
      <c r="ER163" s="8"/>
      <c r="ES163" s="8"/>
      <c r="ET163" s="9"/>
      <c r="EU163" s="9"/>
      <c r="EV163" s="9"/>
      <c r="EW163" s="9"/>
      <c r="EX163" s="9"/>
      <c r="EY163" s="9"/>
      <c r="EZ163" s="9"/>
      <c r="FA163" s="9"/>
      <c r="FB163" s="8"/>
      <c r="FC163" s="8"/>
      <c r="FD163" s="8"/>
      <c r="FE163" s="8"/>
      <c r="FF163" s="9"/>
      <c r="FG163" s="9"/>
      <c r="FH163" s="9"/>
      <c r="FI163" s="9"/>
      <c r="FJ163" s="9"/>
      <c r="FK163" s="9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9"/>
      <c r="GA163" s="9"/>
      <c r="GB163" s="9"/>
      <c r="GC163" s="9"/>
      <c r="GD163" s="9"/>
      <c r="GE163" s="9"/>
      <c r="GF163" s="9"/>
      <c r="GG163" s="9"/>
      <c r="GH163" s="9"/>
      <c r="GI163" s="9"/>
    </row>
    <row r="164" spans="1:191" ht="15" customHeight="1" x14ac:dyDescent="0.25">
      <c r="A164" s="354">
        <v>544254640210</v>
      </c>
      <c r="B164" s="10">
        <f t="shared" si="8"/>
        <v>0</v>
      </c>
      <c r="C164" s="10">
        <v>0</v>
      </c>
      <c r="D164" s="10"/>
      <c r="E164" s="10">
        <f t="shared" si="9"/>
        <v>0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9"/>
      <c r="Y164" s="9"/>
      <c r="Z164" s="8"/>
      <c r="AA164" s="8"/>
      <c r="AB164" s="8"/>
      <c r="AC164" s="8"/>
      <c r="AD164" s="8"/>
      <c r="AE164" s="9"/>
      <c r="AF164" s="9"/>
      <c r="AG164" s="9"/>
      <c r="AH164" s="9"/>
      <c r="AI164" s="9"/>
      <c r="AJ164" s="8"/>
      <c r="AK164" s="8"/>
      <c r="AL164" s="8"/>
      <c r="AM164" s="8"/>
      <c r="AN164" s="8"/>
      <c r="AO164" s="9"/>
      <c r="AP164" s="9"/>
      <c r="AQ164" s="9"/>
      <c r="AR164" s="9"/>
      <c r="AS164" s="9"/>
      <c r="AT164" s="8"/>
      <c r="AU164" s="8"/>
      <c r="AV164" s="8"/>
      <c r="AW164" s="8"/>
      <c r="AX164" s="8"/>
      <c r="AY164" s="8"/>
      <c r="AZ164" s="9"/>
      <c r="BA164" s="9"/>
      <c r="BB164" s="9"/>
      <c r="BC164" s="9"/>
      <c r="BD164" s="9"/>
      <c r="BE164" s="9"/>
      <c r="BF164" s="9"/>
      <c r="BG164" s="8"/>
      <c r="BH164" s="8"/>
      <c r="BI164" s="8"/>
      <c r="BJ164" s="8"/>
      <c r="BK164" s="8"/>
      <c r="BL164" s="8"/>
      <c r="BM164" s="9"/>
      <c r="BN164" s="9"/>
      <c r="BO164" s="9"/>
      <c r="BP164" s="9"/>
      <c r="BQ164" s="9"/>
      <c r="BR164" s="8"/>
      <c r="BS164" s="8"/>
      <c r="BT164" s="8"/>
      <c r="BU164" s="8"/>
      <c r="BV164" s="8"/>
      <c r="BW164" s="8"/>
      <c r="BX164" s="8"/>
      <c r="BY164" s="8"/>
      <c r="BZ164" s="9"/>
      <c r="CA164" s="9"/>
      <c r="CB164" s="9"/>
      <c r="CC164" s="9"/>
      <c r="CD164" s="9"/>
      <c r="CE164" s="8"/>
      <c r="CF164" s="8"/>
      <c r="CG164" s="8"/>
      <c r="CH164" s="8"/>
      <c r="CI164" s="8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8"/>
      <c r="CX164" s="8"/>
      <c r="CY164" s="8"/>
      <c r="CZ164" s="8"/>
      <c r="DA164" s="8"/>
      <c r="DB164" s="9"/>
      <c r="DC164" s="9"/>
      <c r="DD164" s="9"/>
      <c r="DE164" s="9"/>
      <c r="DF164" s="9"/>
      <c r="DG164" s="9"/>
      <c r="DH164" s="9"/>
      <c r="DI164" s="8"/>
      <c r="DJ164" s="8"/>
      <c r="DK164" s="8"/>
      <c r="DL164" s="8"/>
      <c r="DM164" s="8"/>
      <c r="DN164" s="8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8"/>
      <c r="DZ164" s="8"/>
      <c r="EA164" s="8"/>
      <c r="EB164" s="8"/>
      <c r="EC164" s="8"/>
      <c r="ED164" s="9"/>
      <c r="EE164" s="9"/>
      <c r="EF164" s="9"/>
      <c r="EG164" s="9"/>
      <c r="EH164" s="9"/>
      <c r="EI164" s="9"/>
      <c r="EJ164" s="9"/>
      <c r="EK164" s="8"/>
      <c r="EL164" s="8"/>
      <c r="EM164" s="8"/>
      <c r="EN164" s="8"/>
      <c r="EO164" s="8"/>
      <c r="EP164" s="8"/>
      <c r="EQ164" s="8"/>
      <c r="ER164" s="8"/>
      <c r="ES164" s="8"/>
      <c r="ET164" s="9"/>
      <c r="EU164" s="9"/>
      <c r="EV164" s="9"/>
      <c r="EW164" s="9"/>
      <c r="EX164" s="9"/>
      <c r="EY164" s="9"/>
      <c r="EZ164" s="9"/>
      <c r="FA164" s="9"/>
      <c r="FB164" s="8"/>
      <c r="FC164" s="8"/>
      <c r="FD164" s="8"/>
      <c r="FE164" s="8"/>
      <c r="FF164" s="9"/>
      <c r="FG164" s="9"/>
      <c r="FH164" s="9"/>
      <c r="FI164" s="9"/>
      <c r="FJ164" s="9"/>
      <c r="FK164" s="9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9"/>
      <c r="GA164" s="9"/>
      <c r="GB164" s="9"/>
      <c r="GC164" s="9"/>
      <c r="GD164" s="9"/>
      <c r="GE164" s="9"/>
      <c r="GF164" s="9"/>
      <c r="GG164" s="9"/>
      <c r="GH164" s="9"/>
      <c r="GI164" s="9"/>
    </row>
    <row r="165" spans="1:191" ht="15" customHeight="1" x14ac:dyDescent="0.25">
      <c r="A165" s="354">
        <v>544254640209</v>
      </c>
      <c r="B165" s="10">
        <f t="shared" ref="B165:B184" si="10">SUM(F165:GI165)</f>
        <v>0</v>
      </c>
      <c r="C165" s="10">
        <v>0</v>
      </c>
      <c r="D165" s="10"/>
      <c r="E165" s="10">
        <f t="shared" si="9"/>
        <v>0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9"/>
      <c r="Y165" s="9"/>
      <c r="Z165" s="8"/>
      <c r="AA165" s="8"/>
      <c r="AB165" s="8"/>
      <c r="AC165" s="8"/>
      <c r="AD165" s="8"/>
      <c r="AE165" s="9"/>
      <c r="AF165" s="9"/>
      <c r="AG165" s="9"/>
      <c r="AH165" s="9"/>
      <c r="AI165" s="9"/>
      <c r="AJ165" s="8"/>
      <c r="AK165" s="8"/>
      <c r="AL165" s="8"/>
      <c r="AM165" s="8"/>
      <c r="AN165" s="8"/>
      <c r="AO165" s="9"/>
      <c r="AP165" s="9"/>
      <c r="AQ165" s="9"/>
      <c r="AR165" s="9"/>
      <c r="AS165" s="9"/>
      <c r="AT165" s="8"/>
      <c r="AU165" s="8"/>
      <c r="AV165" s="8"/>
      <c r="AW165" s="8"/>
      <c r="AX165" s="8"/>
      <c r="AY165" s="8"/>
      <c r="AZ165" s="9"/>
      <c r="BA165" s="9"/>
      <c r="BB165" s="9"/>
      <c r="BC165" s="9"/>
      <c r="BD165" s="9"/>
      <c r="BE165" s="9"/>
      <c r="BF165" s="9"/>
      <c r="BG165" s="8"/>
      <c r="BH165" s="8"/>
      <c r="BI165" s="8"/>
      <c r="BJ165" s="8"/>
      <c r="BK165" s="8"/>
      <c r="BL165" s="8"/>
      <c r="BM165" s="9"/>
      <c r="BN165" s="9"/>
      <c r="BO165" s="9"/>
      <c r="BP165" s="9"/>
      <c r="BQ165" s="9"/>
      <c r="BR165" s="8"/>
      <c r="BS165" s="8"/>
      <c r="BT165" s="8"/>
      <c r="BU165" s="8"/>
      <c r="BV165" s="8"/>
      <c r="BW165" s="8"/>
      <c r="BX165" s="8"/>
      <c r="BY165" s="8"/>
      <c r="BZ165" s="9"/>
      <c r="CA165" s="9"/>
      <c r="CB165" s="9"/>
      <c r="CC165" s="9"/>
      <c r="CD165" s="9"/>
      <c r="CE165" s="8"/>
      <c r="CF165" s="8"/>
      <c r="CG165" s="8"/>
      <c r="CH165" s="8"/>
      <c r="CI165" s="8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8"/>
      <c r="CX165" s="8"/>
      <c r="CY165" s="8"/>
      <c r="CZ165" s="8"/>
      <c r="DA165" s="8"/>
      <c r="DB165" s="9"/>
      <c r="DC165" s="9"/>
      <c r="DD165" s="9"/>
      <c r="DE165" s="9"/>
      <c r="DF165" s="9"/>
      <c r="DG165" s="9"/>
      <c r="DH165" s="9"/>
      <c r="DI165" s="8"/>
      <c r="DJ165" s="8"/>
      <c r="DK165" s="8"/>
      <c r="DL165" s="8"/>
      <c r="DM165" s="8"/>
      <c r="DN165" s="8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8"/>
      <c r="DZ165" s="8"/>
      <c r="EA165" s="8"/>
      <c r="EB165" s="8"/>
      <c r="EC165" s="8"/>
      <c r="ED165" s="9"/>
      <c r="EE165" s="9"/>
      <c r="EF165" s="9"/>
      <c r="EG165" s="9"/>
      <c r="EH165" s="9"/>
      <c r="EI165" s="9"/>
      <c r="EJ165" s="9"/>
      <c r="EK165" s="8"/>
      <c r="EL165" s="8"/>
      <c r="EM165" s="8"/>
      <c r="EN165" s="8"/>
      <c r="EO165" s="8"/>
      <c r="EP165" s="8"/>
      <c r="EQ165" s="8"/>
      <c r="ER165" s="8"/>
      <c r="ES165" s="8"/>
      <c r="ET165" s="9"/>
      <c r="EU165" s="9"/>
      <c r="EV165" s="9"/>
      <c r="EW165" s="9"/>
      <c r="EX165" s="9"/>
      <c r="EY165" s="9"/>
      <c r="EZ165" s="9"/>
      <c r="FA165" s="9"/>
      <c r="FB165" s="8"/>
      <c r="FC165" s="8"/>
      <c r="FD165" s="8"/>
      <c r="FE165" s="8"/>
      <c r="FF165" s="9"/>
      <c r="FG165" s="9"/>
      <c r="FH165" s="9"/>
      <c r="FI165" s="9"/>
      <c r="FJ165" s="9"/>
      <c r="FK165" s="9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9"/>
      <c r="GA165" s="9"/>
      <c r="GB165" s="9"/>
      <c r="GC165" s="9"/>
      <c r="GD165" s="9"/>
      <c r="GE165" s="9"/>
      <c r="GF165" s="9"/>
      <c r="GG165" s="9"/>
      <c r="GH165" s="9"/>
      <c r="GI165" s="9"/>
    </row>
    <row r="166" spans="1:191" ht="15" customHeight="1" x14ac:dyDescent="0.25">
      <c r="A166" s="354">
        <v>544254640204</v>
      </c>
      <c r="B166" s="10">
        <f t="shared" si="10"/>
        <v>0</v>
      </c>
      <c r="C166" s="10">
        <v>0</v>
      </c>
      <c r="D166" s="10"/>
      <c r="E166" s="10">
        <f t="shared" si="9"/>
        <v>0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  <c r="Y166" s="9"/>
      <c r="Z166" s="8"/>
      <c r="AA166" s="8"/>
      <c r="AB166" s="8"/>
      <c r="AC166" s="8"/>
      <c r="AD166" s="8"/>
      <c r="AE166" s="9"/>
      <c r="AF166" s="9"/>
      <c r="AG166" s="9"/>
      <c r="AH166" s="9"/>
      <c r="AI166" s="9"/>
      <c r="AJ166" s="8"/>
      <c r="AK166" s="8"/>
      <c r="AL166" s="8"/>
      <c r="AM166" s="8"/>
      <c r="AN166" s="8"/>
      <c r="AO166" s="9"/>
      <c r="AP166" s="9"/>
      <c r="AQ166" s="9"/>
      <c r="AR166" s="9"/>
      <c r="AS166" s="9"/>
      <c r="AT166" s="8"/>
      <c r="AU166" s="8"/>
      <c r="AV166" s="8"/>
      <c r="AW166" s="8"/>
      <c r="AX166" s="8"/>
      <c r="AY166" s="8"/>
      <c r="AZ166" s="9"/>
      <c r="BA166" s="9"/>
      <c r="BB166" s="9"/>
      <c r="BC166" s="9"/>
      <c r="BD166" s="9"/>
      <c r="BE166" s="9"/>
      <c r="BF166" s="9"/>
      <c r="BG166" s="8"/>
      <c r="BH166" s="8"/>
      <c r="BI166" s="8"/>
      <c r="BJ166" s="8"/>
      <c r="BK166" s="8"/>
      <c r="BL166" s="8"/>
      <c r="BM166" s="9"/>
      <c r="BN166" s="9"/>
      <c r="BO166" s="9"/>
      <c r="BP166" s="9"/>
      <c r="BQ166" s="9"/>
      <c r="BR166" s="8"/>
      <c r="BS166" s="8"/>
      <c r="BT166" s="8"/>
      <c r="BU166" s="8"/>
      <c r="BV166" s="8"/>
      <c r="BW166" s="8"/>
      <c r="BX166" s="8"/>
      <c r="BY166" s="8"/>
      <c r="BZ166" s="9"/>
      <c r="CA166" s="9"/>
      <c r="CB166" s="9"/>
      <c r="CC166" s="9"/>
      <c r="CD166" s="9"/>
      <c r="CE166" s="8"/>
      <c r="CF166" s="8"/>
      <c r="CG166" s="8"/>
      <c r="CH166" s="8"/>
      <c r="CI166" s="8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8"/>
      <c r="CX166" s="8"/>
      <c r="CY166" s="8"/>
      <c r="CZ166" s="8"/>
      <c r="DA166" s="8"/>
      <c r="DB166" s="9"/>
      <c r="DC166" s="9"/>
      <c r="DD166" s="9"/>
      <c r="DE166" s="9"/>
      <c r="DF166" s="9"/>
      <c r="DG166" s="9"/>
      <c r="DH166" s="9"/>
      <c r="DI166" s="8"/>
      <c r="DJ166" s="8"/>
      <c r="DK166" s="8"/>
      <c r="DL166" s="8"/>
      <c r="DM166" s="8"/>
      <c r="DN166" s="8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8"/>
      <c r="DZ166" s="8"/>
      <c r="EA166" s="8"/>
      <c r="EB166" s="8"/>
      <c r="EC166" s="8"/>
      <c r="ED166" s="9"/>
      <c r="EE166" s="9"/>
      <c r="EF166" s="9"/>
      <c r="EG166" s="9"/>
      <c r="EH166" s="9"/>
      <c r="EI166" s="9"/>
      <c r="EJ166" s="9"/>
      <c r="EK166" s="8"/>
      <c r="EL166" s="8"/>
      <c r="EM166" s="8"/>
      <c r="EN166" s="8"/>
      <c r="EO166" s="8"/>
      <c r="EP166" s="8"/>
      <c r="EQ166" s="8"/>
      <c r="ER166" s="8"/>
      <c r="ES166" s="8"/>
      <c r="ET166" s="9"/>
      <c r="EU166" s="9"/>
      <c r="EV166" s="9"/>
      <c r="EW166" s="9"/>
      <c r="EX166" s="9"/>
      <c r="EY166" s="9"/>
      <c r="EZ166" s="9"/>
      <c r="FA166" s="9"/>
      <c r="FB166" s="8"/>
      <c r="FC166" s="8"/>
      <c r="FD166" s="8"/>
      <c r="FE166" s="8"/>
      <c r="FF166" s="9"/>
      <c r="FG166" s="9"/>
      <c r="FH166" s="9"/>
      <c r="FI166" s="9"/>
      <c r="FJ166" s="9"/>
      <c r="FK166" s="9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9"/>
      <c r="GA166" s="9"/>
      <c r="GB166" s="9"/>
      <c r="GC166" s="9"/>
      <c r="GD166" s="9"/>
      <c r="GE166" s="9"/>
      <c r="GF166" s="9"/>
      <c r="GG166" s="9"/>
      <c r="GH166" s="9"/>
      <c r="GI166" s="9"/>
    </row>
    <row r="167" spans="1:191" ht="15" customHeight="1" x14ac:dyDescent="0.25">
      <c r="A167" s="354">
        <v>544254640203</v>
      </c>
      <c r="B167" s="10">
        <f t="shared" si="10"/>
        <v>0</v>
      </c>
      <c r="C167" s="10">
        <v>0</v>
      </c>
      <c r="D167" s="10"/>
      <c r="E167" s="10">
        <f t="shared" si="9"/>
        <v>0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9"/>
      <c r="Y167" s="9"/>
      <c r="Z167" s="8"/>
      <c r="AA167" s="8"/>
      <c r="AB167" s="8"/>
      <c r="AC167" s="8"/>
      <c r="AD167" s="8"/>
      <c r="AE167" s="9"/>
      <c r="AF167" s="9"/>
      <c r="AG167" s="9"/>
      <c r="AH167" s="9"/>
      <c r="AI167" s="9"/>
      <c r="AJ167" s="8"/>
      <c r="AK167" s="8"/>
      <c r="AL167" s="8"/>
      <c r="AM167" s="8"/>
      <c r="AN167" s="8"/>
      <c r="AO167" s="9"/>
      <c r="AP167" s="9"/>
      <c r="AQ167" s="9"/>
      <c r="AR167" s="9"/>
      <c r="AS167" s="9"/>
      <c r="AT167" s="8"/>
      <c r="AU167" s="8"/>
      <c r="AV167" s="8"/>
      <c r="AW167" s="8"/>
      <c r="AX167" s="8"/>
      <c r="AY167" s="8"/>
      <c r="AZ167" s="9"/>
      <c r="BA167" s="9"/>
      <c r="BB167" s="9"/>
      <c r="BC167" s="9"/>
      <c r="BD167" s="9"/>
      <c r="BE167" s="9"/>
      <c r="BF167" s="9"/>
      <c r="BG167" s="8"/>
      <c r="BH167" s="8"/>
      <c r="BI167" s="8"/>
      <c r="BJ167" s="8"/>
      <c r="BK167" s="8"/>
      <c r="BL167" s="8"/>
      <c r="BM167" s="9"/>
      <c r="BN167" s="9"/>
      <c r="BO167" s="9"/>
      <c r="BP167" s="9"/>
      <c r="BQ167" s="9"/>
      <c r="BR167" s="8"/>
      <c r="BS167" s="8"/>
      <c r="BT167" s="8"/>
      <c r="BU167" s="8"/>
      <c r="BV167" s="8"/>
      <c r="BW167" s="8"/>
      <c r="BX167" s="8"/>
      <c r="BY167" s="8"/>
      <c r="BZ167" s="9"/>
      <c r="CA167" s="9"/>
      <c r="CB167" s="9"/>
      <c r="CC167" s="9"/>
      <c r="CD167" s="9"/>
      <c r="CE167" s="8"/>
      <c r="CF167" s="8"/>
      <c r="CG167" s="8"/>
      <c r="CH167" s="8"/>
      <c r="CI167" s="8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8"/>
      <c r="CX167" s="8"/>
      <c r="CY167" s="8"/>
      <c r="CZ167" s="8"/>
      <c r="DA167" s="8"/>
      <c r="DB167" s="9"/>
      <c r="DC167" s="9"/>
      <c r="DD167" s="9"/>
      <c r="DE167" s="9"/>
      <c r="DF167" s="9"/>
      <c r="DG167" s="9"/>
      <c r="DH167" s="9"/>
      <c r="DI167" s="8"/>
      <c r="DJ167" s="8"/>
      <c r="DK167" s="8"/>
      <c r="DL167" s="8"/>
      <c r="DM167" s="8"/>
      <c r="DN167" s="8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8"/>
      <c r="DZ167" s="8"/>
      <c r="EA167" s="8"/>
      <c r="EB167" s="8"/>
      <c r="EC167" s="8"/>
      <c r="ED167" s="9"/>
      <c r="EE167" s="9"/>
      <c r="EF167" s="9"/>
      <c r="EG167" s="9"/>
      <c r="EH167" s="9"/>
      <c r="EI167" s="9"/>
      <c r="EJ167" s="9"/>
      <c r="EK167" s="8"/>
      <c r="EL167" s="8"/>
      <c r="EM167" s="8"/>
      <c r="EN167" s="8"/>
      <c r="EO167" s="8"/>
      <c r="EP167" s="8"/>
      <c r="EQ167" s="8"/>
      <c r="ER167" s="8"/>
      <c r="ES167" s="8"/>
      <c r="ET167" s="9"/>
      <c r="EU167" s="9"/>
      <c r="EV167" s="9"/>
      <c r="EW167" s="9"/>
      <c r="EX167" s="9"/>
      <c r="EY167" s="9"/>
      <c r="EZ167" s="9"/>
      <c r="FA167" s="9"/>
      <c r="FB167" s="8"/>
      <c r="FC167" s="8"/>
      <c r="FD167" s="8"/>
      <c r="FE167" s="8"/>
      <c r="FF167" s="9"/>
      <c r="FG167" s="9"/>
      <c r="FH167" s="9"/>
      <c r="FI167" s="9"/>
      <c r="FJ167" s="9"/>
      <c r="FK167" s="9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9"/>
      <c r="GA167" s="9"/>
      <c r="GB167" s="9"/>
      <c r="GC167" s="9"/>
      <c r="GD167" s="9"/>
      <c r="GE167" s="9"/>
      <c r="GF167" s="9"/>
      <c r="GG167" s="9"/>
      <c r="GH167" s="9"/>
      <c r="GI167" s="9"/>
    </row>
    <row r="168" spans="1:191" ht="15" customHeight="1" x14ac:dyDescent="0.25">
      <c r="A168" s="354">
        <v>544254640205</v>
      </c>
      <c r="B168" s="10">
        <f t="shared" si="10"/>
        <v>0</v>
      </c>
      <c r="C168" s="10">
        <v>0</v>
      </c>
      <c r="D168" s="10"/>
      <c r="E168" s="10">
        <f t="shared" si="9"/>
        <v>0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9"/>
      <c r="Y168" s="9"/>
      <c r="Z168" s="8"/>
      <c r="AA168" s="8"/>
      <c r="AB168" s="8"/>
      <c r="AC168" s="8"/>
      <c r="AD168" s="8"/>
      <c r="AE168" s="9"/>
      <c r="AF168" s="9"/>
      <c r="AG168" s="9"/>
      <c r="AH168" s="9"/>
      <c r="AI168" s="9"/>
      <c r="AJ168" s="8"/>
      <c r="AK168" s="8"/>
      <c r="AL168" s="8"/>
      <c r="AM168" s="8"/>
      <c r="AN168" s="8"/>
      <c r="AO168" s="9"/>
      <c r="AP168" s="9"/>
      <c r="AQ168" s="9"/>
      <c r="AR168" s="9"/>
      <c r="AS168" s="9"/>
      <c r="AT168" s="8"/>
      <c r="AU168" s="8"/>
      <c r="AV168" s="8"/>
      <c r="AW168" s="8"/>
      <c r="AX168" s="8"/>
      <c r="AY168" s="8"/>
      <c r="AZ168" s="9"/>
      <c r="BA168" s="9"/>
      <c r="BB168" s="9"/>
      <c r="BC168" s="9"/>
      <c r="BD168" s="9"/>
      <c r="BE168" s="9"/>
      <c r="BF168" s="9"/>
      <c r="BG168" s="8"/>
      <c r="BH168" s="8"/>
      <c r="BI168" s="8"/>
      <c r="BJ168" s="8"/>
      <c r="BK168" s="8"/>
      <c r="BL168" s="8"/>
      <c r="BM168" s="9"/>
      <c r="BN168" s="9"/>
      <c r="BO168" s="9"/>
      <c r="BP168" s="9"/>
      <c r="BQ168" s="9"/>
      <c r="BR168" s="8"/>
      <c r="BS168" s="8"/>
      <c r="BT168" s="8"/>
      <c r="BU168" s="8"/>
      <c r="BV168" s="8"/>
      <c r="BW168" s="8"/>
      <c r="BX168" s="8"/>
      <c r="BY168" s="8"/>
      <c r="BZ168" s="9"/>
      <c r="CA168" s="9"/>
      <c r="CB168" s="9"/>
      <c r="CC168" s="9"/>
      <c r="CD168" s="9"/>
      <c r="CE168" s="8"/>
      <c r="CF168" s="8"/>
      <c r="CG168" s="8"/>
      <c r="CH168" s="8"/>
      <c r="CI168" s="8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8"/>
      <c r="CX168" s="8"/>
      <c r="CY168" s="8"/>
      <c r="CZ168" s="8"/>
      <c r="DA168" s="8"/>
      <c r="DB168" s="9"/>
      <c r="DC168" s="9"/>
      <c r="DD168" s="9"/>
      <c r="DE168" s="9"/>
      <c r="DF168" s="9"/>
      <c r="DG168" s="9"/>
      <c r="DH168" s="9"/>
      <c r="DI168" s="8"/>
      <c r="DJ168" s="8"/>
      <c r="DK168" s="8"/>
      <c r="DL168" s="8"/>
      <c r="DM168" s="8"/>
      <c r="DN168" s="8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8"/>
      <c r="DZ168" s="8"/>
      <c r="EA168" s="8"/>
      <c r="EB168" s="8"/>
      <c r="EC168" s="8"/>
      <c r="ED168" s="9"/>
      <c r="EE168" s="9"/>
      <c r="EF168" s="9"/>
      <c r="EG168" s="9"/>
      <c r="EH168" s="9"/>
      <c r="EI168" s="9"/>
      <c r="EJ168" s="9"/>
      <c r="EK168" s="8"/>
      <c r="EL168" s="8"/>
      <c r="EM168" s="8"/>
      <c r="EN168" s="8"/>
      <c r="EO168" s="8"/>
      <c r="EP168" s="8"/>
      <c r="EQ168" s="8"/>
      <c r="ER168" s="8"/>
      <c r="ES168" s="8"/>
      <c r="ET168" s="9"/>
      <c r="EU168" s="9"/>
      <c r="EV168" s="9"/>
      <c r="EW168" s="9"/>
      <c r="EX168" s="9"/>
      <c r="EY168" s="9"/>
      <c r="EZ168" s="9"/>
      <c r="FA168" s="9"/>
      <c r="FB168" s="8"/>
      <c r="FC168" s="8"/>
      <c r="FD168" s="8"/>
      <c r="FE168" s="8"/>
      <c r="FF168" s="9"/>
      <c r="FG168" s="9"/>
      <c r="FH168" s="9"/>
      <c r="FI168" s="9"/>
      <c r="FJ168" s="9"/>
      <c r="FK168" s="9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9"/>
      <c r="GA168" s="9"/>
      <c r="GB168" s="9"/>
      <c r="GC168" s="9"/>
      <c r="GD168" s="9"/>
      <c r="GE168" s="9"/>
      <c r="GF168" s="9"/>
      <c r="GG168" s="9"/>
      <c r="GH168" s="9"/>
      <c r="GI168" s="9"/>
    </row>
    <row r="169" spans="1:191" ht="15" customHeight="1" x14ac:dyDescent="0.25">
      <c r="A169" s="354">
        <v>544254640198</v>
      </c>
      <c r="B169" s="10">
        <f t="shared" si="10"/>
        <v>0</v>
      </c>
      <c r="C169" s="10">
        <v>0</v>
      </c>
      <c r="D169" s="10"/>
      <c r="E169" s="10">
        <f t="shared" si="9"/>
        <v>0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9"/>
      <c r="Y169" s="9"/>
      <c r="Z169" s="8"/>
      <c r="AA169" s="8"/>
      <c r="AB169" s="8"/>
      <c r="AC169" s="8"/>
      <c r="AD169" s="8"/>
      <c r="AE169" s="9"/>
      <c r="AF169" s="9"/>
      <c r="AG169" s="9"/>
      <c r="AH169" s="9"/>
      <c r="AI169" s="9"/>
      <c r="AJ169" s="8"/>
      <c r="AK169" s="8"/>
      <c r="AL169" s="8"/>
      <c r="AM169" s="8"/>
      <c r="AN169" s="8"/>
      <c r="AO169" s="9"/>
      <c r="AP169" s="9"/>
      <c r="AQ169" s="9"/>
      <c r="AR169" s="9"/>
      <c r="AS169" s="9"/>
      <c r="AT169" s="8"/>
      <c r="AU169" s="8"/>
      <c r="AV169" s="8"/>
      <c r="AW169" s="8"/>
      <c r="AX169" s="8"/>
      <c r="AY169" s="8"/>
      <c r="AZ169" s="9"/>
      <c r="BA169" s="9"/>
      <c r="BB169" s="9"/>
      <c r="BC169" s="9"/>
      <c r="BD169" s="9"/>
      <c r="BE169" s="9"/>
      <c r="BF169" s="9"/>
      <c r="BG169" s="8"/>
      <c r="BH169" s="8"/>
      <c r="BI169" s="8"/>
      <c r="BJ169" s="8"/>
      <c r="BK169" s="8"/>
      <c r="BL169" s="8"/>
      <c r="BM169" s="9"/>
      <c r="BN169" s="9"/>
      <c r="BO169" s="9"/>
      <c r="BP169" s="9"/>
      <c r="BQ169" s="9"/>
      <c r="BR169" s="8"/>
      <c r="BS169" s="8"/>
      <c r="BT169" s="8"/>
      <c r="BU169" s="8"/>
      <c r="BV169" s="8"/>
      <c r="BW169" s="8"/>
      <c r="BX169" s="8"/>
      <c r="BY169" s="8"/>
      <c r="BZ169" s="9"/>
      <c r="CA169" s="9"/>
      <c r="CB169" s="9"/>
      <c r="CC169" s="9"/>
      <c r="CD169" s="9"/>
      <c r="CE169" s="8"/>
      <c r="CF169" s="8"/>
      <c r="CG169" s="8"/>
      <c r="CH169" s="8"/>
      <c r="CI169" s="8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8"/>
      <c r="CX169" s="8"/>
      <c r="CY169" s="8"/>
      <c r="CZ169" s="8"/>
      <c r="DA169" s="8"/>
      <c r="DB169" s="9"/>
      <c r="DC169" s="9"/>
      <c r="DD169" s="9"/>
      <c r="DE169" s="9"/>
      <c r="DF169" s="9"/>
      <c r="DG169" s="9"/>
      <c r="DH169" s="9"/>
      <c r="DI169" s="8"/>
      <c r="DJ169" s="8"/>
      <c r="DK169" s="8"/>
      <c r="DL169" s="8"/>
      <c r="DM169" s="8"/>
      <c r="DN169" s="8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8"/>
      <c r="DZ169" s="8"/>
      <c r="EA169" s="8"/>
      <c r="EB169" s="8"/>
      <c r="EC169" s="8"/>
      <c r="ED169" s="9"/>
      <c r="EE169" s="9"/>
      <c r="EF169" s="9"/>
      <c r="EG169" s="9"/>
      <c r="EH169" s="9"/>
      <c r="EI169" s="9"/>
      <c r="EJ169" s="9"/>
      <c r="EK169" s="8"/>
      <c r="EL169" s="8"/>
      <c r="EM169" s="8"/>
      <c r="EN169" s="8"/>
      <c r="EO169" s="8"/>
      <c r="EP169" s="8"/>
      <c r="EQ169" s="8"/>
      <c r="ER169" s="8"/>
      <c r="ES169" s="8"/>
      <c r="ET169" s="9"/>
      <c r="EU169" s="9"/>
      <c r="EV169" s="9"/>
      <c r="EW169" s="9"/>
      <c r="EX169" s="9"/>
      <c r="EY169" s="9"/>
      <c r="EZ169" s="9"/>
      <c r="FA169" s="9"/>
      <c r="FB169" s="8"/>
      <c r="FC169" s="8"/>
      <c r="FD169" s="8"/>
      <c r="FE169" s="8"/>
      <c r="FF169" s="9"/>
      <c r="FG169" s="9"/>
      <c r="FH169" s="9"/>
      <c r="FI169" s="9"/>
      <c r="FJ169" s="9"/>
      <c r="FK169" s="9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9"/>
      <c r="GA169" s="9"/>
      <c r="GB169" s="9"/>
      <c r="GC169" s="9"/>
      <c r="GD169" s="9"/>
      <c r="GE169" s="9"/>
      <c r="GF169" s="9"/>
      <c r="GG169" s="9"/>
      <c r="GH169" s="9"/>
      <c r="GI169" s="9"/>
    </row>
    <row r="170" spans="1:191" ht="15" customHeight="1" x14ac:dyDescent="0.25">
      <c r="A170" s="354">
        <v>544254640197</v>
      </c>
      <c r="B170" s="10">
        <f t="shared" si="10"/>
        <v>0</v>
      </c>
      <c r="C170" s="10">
        <v>0</v>
      </c>
      <c r="D170" s="10"/>
      <c r="E170" s="10">
        <f t="shared" si="9"/>
        <v>0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9"/>
      <c r="Y170" s="9"/>
      <c r="Z170" s="8"/>
      <c r="AA170" s="8"/>
      <c r="AB170" s="8"/>
      <c r="AC170" s="8"/>
      <c r="AD170" s="8"/>
      <c r="AE170" s="9"/>
      <c r="AF170" s="9"/>
      <c r="AG170" s="9"/>
      <c r="AH170" s="9"/>
      <c r="AI170" s="9"/>
      <c r="AJ170" s="8"/>
      <c r="AK170" s="8"/>
      <c r="AL170" s="8"/>
      <c r="AM170" s="8"/>
      <c r="AN170" s="8"/>
      <c r="AO170" s="9"/>
      <c r="AP170" s="9"/>
      <c r="AQ170" s="9"/>
      <c r="AR170" s="9"/>
      <c r="AS170" s="9"/>
      <c r="AT170" s="8"/>
      <c r="AU170" s="8"/>
      <c r="AV170" s="8"/>
      <c r="AW170" s="8"/>
      <c r="AX170" s="8"/>
      <c r="AY170" s="8"/>
      <c r="AZ170" s="9"/>
      <c r="BA170" s="9"/>
      <c r="BB170" s="9"/>
      <c r="BC170" s="9"/>
      <c r="BD170" s="9"/>
      <c r="BE170" s="9"/>
      <c r="BF170" s="9"/>
      <c r="BG170" s="8"/>
      <c r="BH170" s="8"/>
      <c r="BI170" s="8"/>
      <c r="BJ170" s="8"/>
      <c r="BK170" s="8"/>
      <c r="BL170" s="8"/>
      <c r="BM170" s="9"/>
      <c r="BN170" s="9"/>
      <c r="BO170" s="9"/>
      <c r="BP170" s="9"/>
      <c r="BQ170" s="9"/>
      <c r="BR170" s="8"/>
      <c r="BS170" s="8"/>
      <c r="BT170" s="8"/>
      <c r="BU170" s="8"/>
      <c r="BV170" s="8"/>
      <c r="BW170" s="8"/>
      <c r="BX170" s="8"/>
      <c r="BY170" s="8"/>
      <c r="BZ170" s="9"/>
      <c r="CA170" s="9"/>
      <c r="CB170" s="9"/>
      <c r="CC170" s="9"/>
      <c r="CD170" s="9"/>
      <c r="CE170" s="8"/>
      <c r="CF170" s="8"/>
      <c r="CG170" s="8"/>
      <c r="CH170" s="8"/>
      <c r="CI170" s="8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8"/>
      <c r="CX170" s="8"/>
      <c r="CY170" s="8"/>
      <c r="CZ170" s="8"/>
      <c r="DA170" s="8"/>
      <c r="DB170" s="9"/>
      <c r="DC170" s="9"/>
      <c r="DD170" s="9"/>
      <c r="DE170" s="9"/>
      <c r="DF170" s="9"/>
      <c r="DG170" s="9"/>
      <c r="DH170" s="9"/>
      <c r="DI170" s="8"/>
      <c r="DJ170" s="8"/>
      <c r="DK170" s="8"/>
      <c r="DL170" s="8"/>
      <c r="DM170" s="8"/>
      <c r="DN170" s="8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8"/>
      <c r="DZ170" s="8"/>
      <c r="EA170" s="8"/>
      <c r="EB170" s="8"/>
      <c r="EC170" s="8"/>
      <c r="ED170" s="9"/>
      <c r="EE170" s="9"/>
      <c r="EF170" s="9"/>
      <c r="EG170" s="9"/>
      <c r="EH170" s="9"/>
      <c r="EI170" s="9"/>
      <c r="EJ170" s="9"/>
      <c r="EK170" s="8"/>
      <c r="EL170" s="8"/>
      <c r="EM170" s="8"/>
      <c r="EN170" s="8"/>
      <c r="EO170" s="8"/>
      <c r="EP170" s="8"/>
      <c r="EQ170" s="8"/>
      <c r="ER170" s="8"/>
      <c r="ES170" s="8"/>
      <c r="ET170" s="9"/>
      <c r="EU170" s="9"/>
      <c r="EV170" s="9"/>
      <c r="EW170" s="9"/>
      <c r="EX170" s="9"/>
      <c r="EY170" s="9"/>
      <c r="EZ170" s="9"/>
      <c r="FA170" s="9"/>
      <c r="FB170" s="8"/>
      <c r="FC170" s="8"/>
      <c r="FD170" s="8"/>
      <c r="FE170" s="8"/>
      <c r="FF170" s="9"/>
      <c r="FG170" s="9"/>
      <c r="FH170" s="9"/>
      <c r="FI170" s="9"/>
      <c r="FJ170" s="9"/>
      <c r="FK170" s="9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9"/>
      <c r="GA170" s="9"/>
      <c r="GB170" s="9"/>
      <c r="GC170" s="9"/>
      <c r="GD170" s="9"/>
      <c r="GE170" s="9"/>
      <c r="GF170" s="9"/>
      <c r="GG170" s="9"/>
      <c r="GH170" s="9"/>
      <c r="GI170" s="9"/>
    </row>
    <row r="171" spans="1:191" ht="15" customHeight="1" x14ac:dyDescent="0.25">
      <c r="A171" s="354">
        <v>544254640199</v>
      </c>
      <c r="B171" s="10">
        <f t="shared" si="10"/>
        <v>0</v>
      </c>
      <c r="C171" s="10">
        <v>0</v>
      </c>
      <c r="D171" s="10"/>
      <c r="E171" s="10">
        <f t="shared" si="9"/>
        <v>0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9"/>
      <c r="Y171" s="9"/>
      <c r="Z171" s="8"/>
      <c r="AA171" s="8"/>
      <c r="AB171" s="8"/>
      <c r="AC171" s="8"/>
      <c r="AD171" s="8"/>
      <c r="AE171" s="9"/>
      <c r="AF171" s="9"/>
      <c r="AG171" s="9"/>
      <c r="AH171" s="9"/>
      <c r="AI171" s="9"/>
      <c r="AJ171" s="8"/>
      <c r="AK171" s="8"/>
      <c r="AL171" s="8"/>
      <c r="AM171" s="8"/>
      <c r="AN171" s="8"/>
      <c r="AO171" s="9"/>
      <c r="AP171" s="9"/>
      <c r="AQ171" s="9"/>
      <c r="AR171" s="9"/>
      <c r="AS171" s="9"/>
      <c r="AT171" s="8"/>
      <c r="AU171" s="8"/>
      <c r="AV171" s="8"/>
      <c r="AW171" s="8"/>
      <c r="AX171" s="8"/>
      <c r="AY171" s="8"/>
      <c r="AZ171" s="9"/>
      <c r="BA171" s="9"/>
      <c r="BB171" s="9"/>
      <c r="BC171" s="9"/>
      <c r="BD171" s="9"/>
      <c r="BE171" s="9"/>
      <c r="BF171" s="9"/>
      <c r="BG171" s="8"/>
      <c r="BH171" s="8"/>
      <c r="BI171" s="8"/>
      <c r="BJ171" s="8"/>
      <c r="BK171" s="8"/>
      <c r="BL171" s="8"/>
      <c r="BM171" s="9"/>
      <c r="BN171" s="9"/>
      <c r="BO171" s="9"/>
      <c r="BP171" s="9"/>
      <c r="BQ171" s="9"/>
      <c r="BR171" s="8"/>
      <c r="BS171" s="8"/>
      <c r="BT171" s="8"/>
      <c r="BU171" s="8"/>
      <c r="BV171" s="8"/>
      <c r="BW171" s="8"/>
      <c r="BX171" s="8"/>
      <c r="BY171" s="8"/>
      <c r="BZ171" s="9"/>
      <c r="CA171" s="9"/>
      <c r="CB171" s="9"/>
      <c r="CC171" s="9"/>
      <c r="CD171" s="9"/>
      <c r="CE171" s="8"/>
      <c r="CF171" s="8"/>
      <c r="CG171" s="8"/>
      <c r="CH171" s="8"/>
      <c r="CI171" s="8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8"/>
      <c r="CX171" s="8"/>
      <c r="CY171" s="8"/>
      <c r="CZ171" s="8"/>
      <c r="DA171" s="8"/>
      <c r="DB171" s="9"/>
      <c r="DC171" s="9"/>
      <c r="DD171" s="9"/>
      <c r="DE171" s="9"/>
      <c r="DF171" s="9"/>
      <c r="DG171" s="9"/>
      <c r="DH171" s="9"/>
      <c r="DI171" s="8"/>
      <c r="DJ171" s="8"/>
      <c r="DK171" s="8"/>
      <c r="DL171" s="8"/>
      <c r="DM171" s="8"/>
      <c r="DN171" s="8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8"/>
      <c r="DZ171" s="8"/>
      <c r="EA171" s="8"/>
      <c r="EB171" s="8"/>
      <c r="EC171" s="8"/>
      <c r="ED171" s="9"/>
      <c r="EE171" s="9"/>
      <c r="EF171" s="9"/>
      <c r="EG171" s="9"/>
      <c r="EH171" s="9"/>
      <c r="EI171" s="9"/>
      <c r="EJ171" s="9"/>
      <c r="EK171" s="8"/>
      <c r="EL171" s="8"/>
      <c r="EM171" s="8"/>
      <c r="EN171" s="8"/>
      <c r="EO171" s="8"/>
      <c r="EP171" s="8"/>
      <c r="EQ171" s="8"/>
      <c r="ER171" s="8"/>
      <c r="ES171" s="8"/>
      <c r="ET171" s="9"/>
      <c r="EU171" s="9"/>
      <c r="EV171" s="9"/>
      <c r="EW171" s="9"/>
      <c r="EX171" s="9"/>
      <c r="EY171" s="9"/>
      <c r="EZ171" s="9"/>
      <c r="FA171" s="9"/>
      <c r="FB171" s="8"/>
      <c r="FC171" s="8"/>
      <c r="FD171" s="8"/>
      <c r="FE171" s="8"/>
      <c r="FF171" s="9"/>
      <c r="FG171" s="9"/>
      <c r="FH171" s="9"/>
      <c r="FI171" s="9"/>
      <c r="FJ171" s="9"/>
      <c r="FK171" s="9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9"/>
      <c r="GA171" s="9"/>
      <c r="GB171" s="9"/>
      <c r="GC171" s="9"/>
      <c r="GD171" s="9"/>
      <c r="GE171" s="9"/>
      <c r="GF171" s="9"/>
      <c r="GG171" s="9"/>
      <c r="GH171" s="9"/>
      <c r="GI171" s="9"/>
    </row>
    <row r="172" spans="1:191" ht="15" customHeight="1" x14ac:dyDescent="0.25">
      <c r="A172" s="354">
        <v>544254640217</v>
      </c>
      <c r="B172" s="10">
        <f t="shared" si="10"/>
        <v>0</v>
      </c>
      <c r="C172" s="10">
        <v>0</v>
      </c>
      <c r="D172" s="10"/>
      <c r="E172" s="10">
        <f t="shared" si="9"/>
        <v>0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9"/>
      <c r="Y172" s="9"/>
      <c r="Z172" s="8"/>
      <c r="AA172" s="8"/>
      <c r="AB172" s="8"/>
      <c r="AC172" s="8"/>
      <c r="AD172" s="8"/>
      <c r="AE172" s="9"/>
      <c r="AF172" s="9"/>
      <c r="AG172" s="9"/>
      <c r="AH172" s="9"/>
      <c r="AI172" s="9"/>
      <c r="AJ172" s="8"/>
      <c r="AK172" s="8"/>
      <c r="AL172" s="8"/>
      <c r="AM172" s="8"/>
      <c r="AN172" s="8"/>
      <c r="AO172" s="9"/>
      <c r="AP172" s="9"/>
      <c r="AQ172" s="9"/>
      <c r="AR172" s="9"/>
      <c r="AS172" s="9"/>
      <c r="AT172" s="8"/>
      <c r="AU172" s="8"/>
      <c r="AV172" s="8"/>
      <c r="AW172" s="8"/>
      <c r="AX172" s="8"/>
      <c r="AY172" s="8"/>
      <c r="AZ172" s="9"/>
      <c r="BA172" s="9"/>
      <c r="BB172" s="9"/>
      <c r="BC172" s="9"/>
      <c r="BD172" s="9"/>
      <c r="BE172" s="9"/>
      <c r="BF172" s="9"/>
      <c r="BG172" s="8"/>
      <c r="BH172" s="8"/>
      <c r="BI172" s="8"/>
      <c r="BJ172" s="8"/>
      <c r="BK172" s="8"/>
      <c r="BL172" s="8"/>
      <c r="BM172" s="9"/>
      <c r="BN172" s="9"/>
      <c r="BO172" s="9"/>
      <c r="BP172" s="9"/>
      <c r="BQ172" s="9"/>
      <c r="BR172" s="8"/>
      <c r="BS172" s="8"/>
      <c r="BT172" s="8"/>
      <c r="BU172" s="8"/>
      <c r="BV172" s="8"/>
      <c r="BW172" s="8"/>
      <c r="BX172" s="8"/>
      <c r="BY172" s="8"/>
      <c r="BZ172" s="9"/>
      <c r="CA172" s="9"/>
      <c r="CB172" s="9"/>
      <c r="CC172" s="9"/>
      <c r="CD172" s="9"/>
      <c r="CE172" s="8"/>
      <c r="CF172" s="8"/>
      <c r="CG172" s="8"/>
      <c r="CH172" s="8"/>
      <c r="CI172" s="8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8"/>
      <c r="CX172" s="8"/>
      <c r="CY172" s="8"/>
      <c r="CZ172" s="8"/>
      <c r="DA172" s="8"/>
      <c r="DB172" s="9"/>
      <c r="DC172" s="9"/>
      <c r="DD172" s="9"/>
      <c r="DE172" s="9"/>
      <c r="DF172" s="9"/>
      <c r="DG172" s="9"/>
      <c r="DH172" s="9"/>
      <c r="DI172" s="8"/>
      <c r="DJ172" s="8"/>
      <c r="DK172" s="8"/>
      <c r="DL172" s="8"/>
      <c r="DM172" s="8"/>
      <c r="DN172" s="8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8"/>
      <c r="DZ172" s="8"/>
      <c r="EA172" s="8"/>
      <c r="EB172" s="8"/>
      <c r="EC172" s="8"/>
      <c r="ED172" s="9"/>
      <c r="EE172" s="9"/>
      <c r="EF172" s="9"/>
      <c r="EG172" s="9"/>
      <c r="EH172" s="9"/>
      <c r="EI172" s="9"/>
      <c r="EJ172" s="9"/>
      <c r="EK172" s="8"/>
      <c r="EL172" s="8"/>
      <c r="EM172" s="8"/>
      <c r="EN172" s="8"/>
      <c r="EO172" s="8"/>
      <c r="EP172" s="8"/>
      <c r="EQ172" s="8"/>
      <c r="ER172" s="8"/>
      <c r="ES172" s="8"/>
      <c r="ET172" s="9"/>
      <c r="EU172" s="9"/>
      <c r="EV172" s="9"/>
      <c r="EW172" s="9"/>
      <c r="EX172" s="9"/>
      <c r="EY172" s="9"/>
      <c r="EZ172" s="9"/>
      <c r="FA172" s="9"/>
      <c r="FB172" s="8"/>
      <c r="FC172" s="8"/>
      <c r="FD172" s="8"/>
      <c r="FE172" s="8"/>
      <c r="FF172" s="9"/>
      <c r="FG172" s="9"/>
      <c r="FH172" s="9"/>
      <c r="FI172" s="9"/>
      <c r="FJ172" s="9"/>
      <c r="FK172" s="9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9"/>
      <c r="GA172" s="9"/>
      <c r="GB172" s="9"/>
      <c r="GC172" s="9"/>
      <c r="GD172" s="9"/>
      <c r="GE172" s="9"/>
      <c r="GF172" s="9"/>
      <c r="GG172" s="9"/>
      <c r="GH172" s="9"/>
      <c r="GI172" s="9"/>
    </row>
    <row r="173" spans="1:191" ht="15" customHeight="1" x14ac:dyDescent="0.25">
      <c r="A173" s="354">
        <v>544254630871</v>
      </c>
      <c r="B173" s="10">
        <f t="shared" si="10"/>
        <v>0</v>
      </c>
      <c r="C173" s="10">
        <v>0</v>
      </c>
      <c r="D173" s="10"/>
      <c r="E173" s="10">
        <f t="shared" si="9"/>
        <v>0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9"/>
      <c r="Y173" s="9"/>
      <c r="Z173" s="8"/>
      <c r="AA173" s="8"/>
      <c r="AB173" s="8"/>
      <c r="AC173" s="8"/>
      <c r="AD173" s="8"/>
      <c r="AE173" s="9"/>
      <c r="AF173" s="9"/>
      <c r="AG173" s="9"/>
      <c r="AH173" s="9"/>
      <c r="AI173" s="9"/>
      <c r="AJ173" s="8"/>
      <c r="AK173" s="8"/>
      <c r="AL173" s="8"/>
      <c r="AM173" s="8"/>
      <c r="AN173" s="8"/>
      <c r="AO173" s="9"/>
      <c r="AP173" s="9"/>
      <c r="AQ173" s="9"/>
      <c r="AR173" s="9"/>
      <c r="AS173" s="9"/>
      <c r="AT173" s="8"/>
      <c r="AU173" s="8"/>
      <c r="AV173" s="8"/>
      <c r="AW173" s="8"/>
      <c r="AX173" s="8"/>
      <c r="AY173" s="8"/>
      <c r="AZ173" s="9"/>
      <c r="BA173" s="9"/>
      <c r="BB173" s="9"/>
      <c r="BC173" s="9"/>
      <c r="BD173" s="9"/>
      <c r="BE173" s="9"/>
      <c r="BF173" s="9"/>
      <c r="BG173" s="8"/>
      <c r="BH173" s="8"/>
      <c r="BI173" s="8"/>
      <c r="BJ173" s="8"/>
      <c r="BK173" s="8"/>
      <c r="BL173" s="8"/>
      <c r="BM173" s="9"/>
      <c r="BN173" s="9"/>
      <c r="BO173" s="9"/>
      <c r="BP173" s="9"/>
      <c r="BQ173" s="9"/>
      <c r="BR173" s="8"/>
      <c r="BS173" s="8"/>
      <c r="BT173" s="8"/>
      <c r="BU173" s="8"/>
      <c r="BV173" s="8"/>
      <c r="BW173" s="8"/>
      <c r="BX173" s="8"/>
      <c r="BY173" s="8"/>
      <c r="BZ173" s="9"/>
      <c r="CA173" s="9"/>
      <c r="CB173" s="9"/>
      <c r="CC173" s="9"/>
      <c r="CD173" s="9"/>
      <c r="CE173" s="8"/>
      <c r="CF173" s="8"/>
      <c r="CG173" s="8"/>
      <c r="CH173" s="8"/>
      <c r="CI173" s="8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8"/>
      <c r="CX173" s="8"/>
      <c r="CY173" s="8"/>
      <c r="CZ173" s="8"/>
      <c r="DA173" s="8"/>
      <c r="DB173" s="9"/>
      <c r="DC173" s="9"/>
      <c r="DD173" s="9"/>
      <c r="DE173" s="9"/>
      <c r="DF173" s="9"/>
      <c r="DG173" s="9"/>
      <c r="DH173" s="9"/>
      <c r="DI173" s="8"/>
      <c r="DJ173" s="8"/>
      <c r="DK173" s="8"/>
      <c r="DL173" s="8"/>
      <c r="DM173" s="8"/>
      <c r="DN173" s="8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8"/>
      <c r="DZ173" s="8"/>
      <c r="EA173" s="8"/>
      <c r="EB173" s="8"/>
      <c r="EC173" s="8"/>
      <c r="ED173" s="9"/>
      <c r="EE173" s="9"/>
      <c r="EF173" s="9"/>
      <c r="EG173" s="9"/>
      <c r="EH173" s="9"/>
      <c r="EI173" s="9"/>
      <c r="EJ173" s="9"/>
      <c r="EK173" s="8"/>
      <c r="EL173" s="8"/>
      <c r="EM173" s="8"/>
      <c r="EN173" s="8"/>
      <c r="EO173" s="8"/>
      <c r="EP173" s="8"/>
      <c r="EQ173" s="8"/>
      <c r="ER173" s="8"/>
      <c r="ES173" s="8"/>
      <c r="ET173" s="9"/>
      <c r="EU173" s="9"/>
      <c r="EV173" s="9"/>
      <c r="EW173" s="9"/>
      <c r="EX173" s="9"/>
      <c r="EY173" s="9"/>
      <c r="EZ173" s="9"/>
      <c r="FA173" s="9"/>
      <c r="FB173" s="8"/>
      <c r="FC173" s="8"/>
      <c r="FD173" s="8"/>
      <c r="FE173" s="8"/>
      <c r="FF173" s="9"/>
      <c r="FG173" s="9"/>
      <c r="FH173" s="9"/>
      <c r="FI173" s="9"/>
      <c r="FJ173" s="9"/>
      <c r="FK173" s="9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9"/>
      <c r="GA173" s="9"/>
      <c r="GB173" s="9"/>
      <c r="GC173" s="9"/>
      <c r="GD173" s="9"/>
      <c r="GE173" s="9"/>
      <c r="GF173" s="9"/>
      <c r="GG173" s="9"/>
      <c r="GH173" s="9"/>
      <c r="GI173" s="9"/>
    </row>
    <row r="174" spans="1:191" ht="15" customHeight="1" x14ac:dyDescent="0.25">
      <c r="A174" s="354">
        <v>544254640267</v>
      </c>
      <c r="B174" s="10">
        <f t="shared" si="10"/>
        <v>0</v>
      </c>
      <c r="C174" s="10">
        <v>0</v>
      </c>
      <c r="D174" s="10"/>
      <c r="E174" s="10">
        <f t="shared" si="9"/>
        <v>0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9"/>
      <c r="Y174" s="9"/>
      <c r="Z174" s="8"/>
      <c r="AA174" s="8"/>
      <c r="AB174" s="8"/>
      <c r="AC174" s="8"/>
      <c r="AD174" s="8"/>
      <c r="AE174" s="9"/>
      <c r="AF174" s="9"/>
      <c r="AG174" s="9"/>
      <c r="AH174" s="9"/>
      <c r="AI174" s="9"/>
      <c r="AJ174" s="8"/>
      <c r="AK174" s="8"/>
      <c r="AL174" s="8"/>
      <c r="AM174" s="8"/>
      <c r="AN174" s="8"/>
      <c r="AO174" s="9"/>
      <c r="AP174" s="9"/>
      <c r="AQ174" s="9"/>
      <c r="AR174" s="9"/>
      <c r="AS174" s="9"/>
      <c r="AT174" s="8"/>
      <c r="AU174" s="8"/>
      <c r="AV174" s="8"/>
      <c r="AW174" s="8"/>
      <c r="AX174" s="8"/>
      <c r="AY174" s="8"/>
      <c r="AZ174" s="9"/>
      <c r="BA174" s="9"/>
      <c r="BB174" s="9"/>
      <c r="BC174" s="9"/>
      <c r="BD174" s="9"/>
      <c r="BE174" s="9"/>
      <c r="BF174" s="9"/>
      <c r="BG174" s="8"/>
      <c r="BH174" s="8"/>
      <c r="BI174" s="8"/>
      <c r="BJ174" s="8"/>
      <c r="BK174" s="8"/>
      <c r="BL174" s="8"/>
      <c r="BM174" s="9"/>
      <c r="BN174" s="9"/>
      <c r="BO174" s="9"/>
      <c r="BP174" s="9"/>
      <c r="BQ174" s="9"/>
      <c r="BR174" s="8"/>
      <c r="BS174" s="8"/>
      <c r="BT174" s="8"/>
      <c r="BU174" s="8"/>
      <c r="BV174" s="8"/>
      <c r="BW174" s="8"/>
      <c r="BX174" s="8"/>
      <c r="BY174" s="8"/>
      <c r="BZ174" s="9"/>
      <c r="CA174" s="9"/>
      <c r="CB174" s="9"/>
      <c r="CC174" s="9"/>
      <c r="CD174" s="9"/>
      <c r="CE174" s="8"/>
      <c r="CF174" s="8"/>
      <c r="CG174" s="8"/>
      <c r="CH174" s="8"/>
      <c r="CI174" s="8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8"/>
      <c r="CX174" s="8"/>
      <c r="CY174" s="8"/>
      <c r="CZ174" s="8"/>
      <c r="DA174" s="8"/>
      <c r="DB174" s="9"/>
      <c r="DC174" s="9"/>
      <c r="DD174" s="9"/>
      <c r="DE174" s="9"/>
      <c r="DF174" s="9"/>
      <c r="DG174" s="9"/>
      <c r="DH174" s="9"/>
      <c r="DI174" s="8"/>
      <c r="DJ174" s="8"/>
      <c r="DK174" s="8"/>
      <c r="DL174" s="8"/>
      <c r="DM174" s="8"/>
      <c r="DN174" s="8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8"/>
      <c r="DZ174" s="8"/>
      <c r="EA174" s="8"/>
      <c r="EB174" s="8"/>
      <c r="EC174" s="8"/>
      <c r="ED174" s="9"/>
      <c r="EE174" s="9"/>
      <c r="EF174" s="9"/>
      <c r="EG174" s="9"/>
      <c r="EH174" s="9"/>
      <c r="EI174" s="9"/>
      <c r="EJ174" s="9"/>
      <c r="EK174" s="8"/>
      <c r="EL174" s="8"/>
      <c r="EM174" s="8"/>
      <c r="EN174" s="8"/>
      <c r="EO174" s="8"/>
      <c r="EP174" s="8"/>
      <c r="EQ174" s="8"/>
      <c r="ER174" s="8"/>
      <c r="ES174" s="8"/>
      <c r="ET174" s="9"/>
      <c r="EU174" s="9"/>
      <c r="EV174" s="9"/>
      <c r="EW174" s="9"/>
      <c r="EX174" s="9"/>
      <c r="EY174" s="9"/>
      <c r="EZ174" s="9"/>
      <c r="FA174" s="9"/>
      <c r="FB174" s="8"/>
      <c r="FC174" s="8"/>
      <c r="FD174" s="8"/>
      <c r="FE174" s="8"/>
      <c r="FF174" s="9"/>
      <c r="FG174" s="9"/>
      <c r="FH174" s="9"/>
      <c r="FI174" s="9"/>
      <c r="FJ174" s="9"/>
      <c r="FK174" s="9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9"/>
      <c r="GA174" s="9"/>
      <c r="GB174" s="9"/>
      <c r="GC174" s="9"/>
      <c r="GD174" s="9"/>
      <c r="GE174" s="9"/>
      <c r="GF174" s="9"/>
      <c r="GG174" s="9"/>
      <c r="GH174" s="9"/>
      <c r="GI174" s="9"/>
    </row>
    <row r="175" spans="1:191" ht="15" customHeight="1" x14ac:dyDescent="0.25">
      <c r="A175" s="354">
        <v>544254610241</v>
      </c>
      <c r="B175" s="10">
        <f t="shared" si="10"/>
        <v>0</v>
      </c>
      <c r="C175" s="10">
        <v>0</v>
      </c>
      <c r="D175" s="10"/>
      <c r="E175" s="10">
        <f t="shared" si="9"/>
        <v>0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9"/>
      <c r="Y175" s="9"/>
      <c r="Z175" s="8"/>
      <c r="AA175" s="8"/>
      <c r="AB175" s="8"/>
      <c r="AC175" s="8"/>
      <c r="AD175" s="8"/>
      <c r="AE175" s="9"/>
      <c r="AF175" s="9"/>
      <c r="AG175" s="9"/>
      <c r="AH175" s="9"/>
      <c r="AI175" s="9"/>
      <c r="AJ175" s="8"/>
      <c r="AK175" s="8"/>
      <c r="AL175" s="8"/>
      <c r="AM175" s="8"/>
      <c r="AN175" s="8"/>
      <c r="AO175" s="9"/>
      <c r="AP175" s="9"/>
      <c r="AQ175" s="9"/>
      <c r="AR175" s="9"/>
      <c r="AS175" s="9"/>
      <c r="AT175" s="8"/>
      <c r="AU175" s="8"/>
      <c r="AV175" s="8"/>
      <c r="AW175" s="8"/>
      <c r="AX175" s="8"/>
      <c r="AY175" s="8"/>
      <c r="AZ175" s="9"/>
      <c r="BA175" s="9"/>
      <c r="BB175" s="9"/>
      <c r="BC175" s="9"/>
      <c r="BD175" s="9"/>
      <c r="BE175" s="9"/>
      <c r="BF175" s="9"/>
      <c r="BG175" s="8"/>
      <c r="BH175" s="8"/>
      <c r="BI175" s="8"/>
      <c r="BJ175" s="8"/>
      <c r="BK175" s="8"/>
      <c r="BL175" s="8"/>
      <c r="BM175" s="9"/>
      <c r="BN175" s="9"/>
      <c r="BO175" s="9"/>
      <c r="BP175" s="9"/>
      <c r="BQ175" s="9"/>
      <c r="BR175" s="8"/>
      <c r="BS175" s="8"/>
      <c r="BT175" s="8"/>
      <c r="BU175" s="8"/>
      <c r="BV175" s="8"/>
      <c r="BW175" s="8"/>
      <c r="BX175" s="8"/>
      <c r="BY175" s="8"/>
      <c r="BZ175" s="9"/>
      <c r="CA175" s="9"/>
      <c r="CB175" s="9"/>
      <c r="CC175" s="9"/>
      <c r="CD175" s="9"/>
      <c r="CE175" s="8"/>
      <c r="CF175" s="8"/>
      <c r="CG175" s="8"/>
      <c r="CH175" s="8"/>
      <c r="CI175" s="8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8"/>
      <c r="CX175" s="8"/>
      <c r="CY175" s="8"/>
      <c r="CZ175" s="8"/>
      <c r="DA175" s="8"/>
      <c r="DB175" s="9"/>
      <c r="DC175" s="9"/>
      <c r="DD175" s="9"/>
      <c r="DE175" s="9"/>
      <c r="DF175" s="9"/>
      <c r="DG175" s="9"/>
      <c r="DH175" s="9"/>
      <c r="DI175" s="8"/>
      <c r="DJ175" s="8"/>
      <c r="DK175" s="8"/>
      <c r="DL175" s="8"/>
      <c r="DM175" s="8"/>
      <c r="DN175" s="8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8"/>
      <c r="DZ175" s="8"/>
      <c r="EA175" s="8"/>
      <c r="EB175" s="8"/>
      <c r="EC175" s="8"/>
      <c r="ED175" s="9"/>
      <c r="EE175" s="9"/>
      <c r="EF175" s="9"/>
      <c r="EG175" s="9"/>
      <c r="EH175" s="9"/>
      <c r="EI175" s="9"/>
      <c r="EJ175" s="9"/>
      <c r="EK175" s="8"/>
      <c r="EL175" s="8"/>
      <c r="EM175" s="8"/>
      <c r="EN175" s="8"/>
      <c r="EO175" s="8"/>
      <c r="EP175" s="8"/>
      <c r="EQ175" s="8"/>
      <c r="ER175" s="8"/>
      <c r="ES175" s="8"/>
      <c r="ET175" s="9"/>
      <c r="EU175" s="9"/>
      <c r="EV175" s="9"/>
      <c r="EW175" s="9"/>
      <c r="EX175" s="9"/>
      <c r="EY175" s="9"/>
      <c r="EZ175" s="9"/>
      <c r="FA175" s="9"/>
      <c r="FB175" s="8"/>
      <c r="FC175" s="8"/>
      <c r="FD175" s="8"/>
      <c r="FE175" s="8"/>
      <c r="FF175" s="9"/>
      <c r="FG175" s="9"/>
      <c r="FH175" s="9"/>
      <c r="FI175" s="9"/>
      <c r="FJ175" s="9"/>
      <c r="FK175" s="9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9"/>
      <c r="GA175" s="9"/>
      <c r="GB175" s="9"/>
      <c r="GC175" s="9"/>
      <c r="GD175" s="9"/>
      <c r="GE175" s="9"/>
      <c r="GF175" s="9"/>
      <c r="GG175" s="9"/>
      <c r="GH175" s="9"/>
      <c r="GI175" s="9"/>
    </row>
    <row r="176" spans="1:191" ht="15" customHeight="1" x14ac:dyDescent="0.25">
      <c r="A176" s="354">
        <v>544254640251</v>
      </c>
      <c r="B176" s="10">
        <f t="shared" si="10"/>
        <v>0</v>
      </c>
      <c r="C176" s="10">
        <v>0</v>
      </c>
      <c r="D176" s="10"/>
      <c r="E176" s="10">
        <f t="shared" si="9"/>
        <v>0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9"/>
      <c r="Y176" s="9"/>
      <c r="Z176" s="8"/>
      <c r="AA176" s="8"/>
      <c r="AB176" s="8"/>
      <c r="AC176" s="8"/>
      <c r="AD176" s="8"/>
      <c r="AE176" s="9"/>
      <c r="AF176" s="9"/>
      <c r="AG176" s="9"/>
      <c r="AH176" s="9"/>
      <c r="AI176" s="9"/>
      <c r="AJ176" s="8"/>
      <c r="AK176" s="8"/>
      <c r="AL176" s="8"/>
      <c r="AM176" s="8"/>
      <c r="AN176" s="8"/>
      <c r="AO176" s="9"/>
      <c r="AP176" s="9"/>
      <c r="AQ176" s="9"/>
      <c r="AR176" s="9"/>
      <c r="AS176" s="9"/>
      <c r="AT176" s="8"/>
      <c r="AU176" s="8"/>
      <c r="AV176" s="8"/>
      <c r="AW176" s="8"/>
      <c r="AX176" s="8"/>
      <c r="AY176" s="8"/>
      <c r="AZ176" s="9"/>
      <c r="BA176" s="9"/>
      <c r="BB176" s="9"/>
      <c r="BC176" s="9"/>
      <c r="BD176" s="9"/>
      <c r="BE176" s="9"/>
      <c r="BF176" s="9"/>
      <c r="BG176" s="8"/>
      <c r="BH176" s="8"/>
      <c r="BI176" s="8"/>
      <c r="BJ176" s="8"/>
      <c r="BK176" s="8"/>
      <c r="BL176" s="8"/>
      <c r="BM176" s="9"/>
      <c r="BN176" s="9"/>
      <c r="BO176" s="9"/>
      <c r="BP176" s="9"/>
      <c r="BQ176" s="9"/>
      <c r="BR176" s="8"/>
      <c r="BS176" s="8"/>
      <c r="BT176" s="8"/>
      <c r="BU176" s="8"/>
      <c r="BV176" s="8"/>
      <c r="BW176" s="8"/>
      <c r="BX176" s="8"/>
      <c r="BY176" s="8"/>
      <c r="BZ176" s="9"/>
      <c r="CA176" s="9"/>
      <c r="CB176" s="9"/>
      <c r="CC176" s="9"/>
      <c r="CD176" s="9"/>
      <c r="CE176" s="8"/>
      <c r="CF176" s="8"/>
      <c r="CG176" s="8"/>
      <c r="CH176" s="8"/>
      <c r="CI176" s="8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8"/>
      <c r="CX176" s="8"/>
      <c r="CY176" s="8"/>
      <c r="CZ176" s="8"/>
      <c r="DA176" s="8"/>
      <c r="DB176" s="9"/>
      <c r="DC176" s="9"/>
      <c r="DD176" s="9"/>
      <c r="DE176" s="9"/>
      <c r="DF176" s="9"/>
      <c r="DG176" s="9"/>
      <c r="DH176" s="9"/>
      <c r="DI176" s="8"/>
      <c r="DJ176" s="8"/>
      <c r="DK176" s="8"/>
      <c r="DL176" s="8"/>
      <c r="DM176" s="8"/>
      <c r="DN176" s="8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8"/>
      <c r="DZ176" s="8"/>
      <c r="EA176" s="8"/>
      <c r="EB176" s="8"/>
      <c r="EC176" s="8"/>
      <c r="ED176" s="9"/>
      <c r="EE176" s="9"/>
      <c r="EF176" s="9"/>
      <c r="EG176" s="9"/>
      <c r="EH176" s="9"/>
      <c r="EI176" s="9"/>
      <c r="EJ176" s="9"/>
      <c r="EK176" s="8"/>
      <c r="EL176" s="8"/>
      <c r="EM176" s="8"/>
      <c r="EN176" s="8"/>
      <c r="EO176" s="8"/>
      <c r="EP176" s="8"/>
      <c r="EQ176" s="8"/>
      <c r="ER176" s="8"/>
      <c r="ES176" s="8"/>
      <c r="ET176" s="9"/>
      <c r="EU176" s="9"/>
      <c r="EV176" s="9"/>
      <c r="EW176" s="9"/>
      <c r="EX176" s="9"/>
      <c r="EY176" s="9"/>
      <c r="EZ176" s="9"/>
      <c r="FA176" s="9"/>
      <c r="FB176" s="8"/>
      <c r="FC176" s="8"/>
      <c r="FD176" s="8"/>
      <c r="FE176" s="8"/>
      <c r="FF176" s="9"/>
      <c r="FG176" s="9"/>
      <c r="FH176" s="9"/>
      <c r="FI176" s="9"/>
      <c r="FJ176" s="9"/>
      <c r="FK176" s="9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9"/>
      <c r="GA176" s="9"/>
      <c r="GB176" s="9"/>
      <c r="GC176" s="9"/>
      <c r="GD176" s="9"/>
      <c r="GE176" s="9"/>
      <c r="GF176" s="9"/>
      <c r="GG176" s="9"/>
      <c r="GH176" s="9"/>
      <c r="GI176" s="9"/>
    </row>
    <row r="177" spans="1:191" ht="15" customHeight="1" x14ac:dyDescent="0.25">
      <c r="A177" s="364">
        <v>544254640215</v>
      </c>
      <c r="B177" s="10">
        <f t="shared" si="10"/>
        <v>0</v>
      </c>
      <c r="C177" s="10">
        <v>0</v>
      </c>
      <c r="D177" s="10"/>
      <c r="E177" s="10">
        <f t="shared" si="9"/>
        <v>0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/>
      <c r="Y177" s="9"/>
      <c r="Z177" s="8"/>
      <c r="AA177" s="8"/>
      <c r="AB177" s="8"/>
      <c r="AC177" s="8"/>
      <c r="AD177" s="8"/>
      <c r="AE177" s="9"/>
      <c r="AF177" s="9"/>
      <c r="AG177" s="9"/>
      <c r="AH177" s="9"/>
      <c r="AI177" s="9"/>
      <c r="AJ177" s="8"/>
      <c r="AK177" s="8"/>
      <c r="AL177" s="8"/>
      <c r="AM177" s="8"/>
      <c r="AN177" s="8"/>
      <c r="AO177" s="9"/>
      <c r="AP177" s="9"/>
      <c r="AQ177" s="9"/>
      <c r="AR177" s="9"/>
      <c r="AS177" s="9"/>
      <c r="AT177" s="8"/>
      <c r="AU177" s="8"/>
      <c r="AV177" s="8"/>
      <c r="AW177" s="8"/>
      <c r="AX177" s="8"/>
      <c r="AY177" s="8"/>
      <c r="AZ177" s="9"/>
      <c r="BA177" s="9"/>
      <c r="BB177" s="9"/>
      <c r="BC177" s="9"/>
      <c r="BD177" s="9"/>
      <c r="BE177" s="9"/>
      <c r="BF177" s="9"/>
      <c r="BG177" s="8"/>
      <c r="BH177" s="8"/>
      <c r="BI177" s="8"/>
      <c r="BJ177" s="8"/>
      <c r="BK177" s="8"/>
      <c r="BL177" s="8"/>
      <c r="BM177" s="9"/>
      <c r="BN177" s="9"/>
      <c r="BO177" s="9"/>
      <c r="BP177" s="9"/>
      <c r="BQ177" s="9"/>
      <c r="BR177" s="8"/>
      <c r="BS177" s="8"/>
      <c r="BT177" s="8"/>
      <c r="BU177" s="8"/>
      <c r="BV177" s="8"/>
      <c r="BW177" s="8"/>
      <c r="BX177" s="8"/>
      <c r="BY177" s="8"/>
      <c r="BZ177" s="9"/>
      <c r="CA177" s="9"/>
      <c r="CB177" s="9"/>
      <c r="CC177" s="9"/>
      <c r="CD177" s="9"/>
      <c r="CE177" s="8"/>
      <c r="CF177" s="8"/>
      <c r="CG177" s="8"/>
      <c r="CH177" s="8"/>
      <c r="CI177" s="8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8"/>
      <c r="CX177" s="8"/>
      <c r="CY177" s="8"/>
      <c r="CZ177" s="8"/>
      <c r="DA177" s="8"/>
      <c r="DB177" s="9"/>
      <c r="DC177" s="9"/>
      <c r="DD177" s="9"/>
      <c r="DE177" s="9"/>
      <c r="DF177" s="9"/>
      <c r="DG177" s="9"/>
      <c r="DH177" s="9"/>
      <c r="DI177" s="8"/>
      <c r="DJ177" s="8"/>
      <c r="DK177" s="8"/>
      <c r="DL177" s="8"/>
      <c r="DM177" s="8"/>
      <c r="DN177" s="8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8"/>
      <c r="DZ177" s="8"/>
      <c r="EA177" s="8"/>
      <c r="EB177" s="8"/>
      <c r="EC177" s="8"/>
      <c r="ED177" s="9"/>
      <c r="EE177" s="9"/>
      <c r="EF177" s="9"/>
      <c r="EG177" s="9"/>
      <c r="EH177" s="9"/>
      <c r="EI177" s="9"/>
      <c r="EJ177" s="9"/>
      <c r="EK177" s="8"/>
      <c r="EL177" s="8"/>
      <c r="EM177" s="8"/>
      <c r="EN177" s="8"/>
      <c r="EO177" s="8"/>
      <c r="EP177" s="8"/>
      <c r="EQ177" s="8"/>
      <c r="ER177" s="8"/>
      <c r="ES177" s="8"/>
      <c r="ET177" s="9"/>
      <c r="EU177" s="9"/>
      <c r="EV177" s="9"/>
      <c r="EW177" s="9"/>
      <c r="EX177" s="9"/>
      <c r="EY177" s="9"/>
      <c r="EZ177" s="9"/>
      <c r="FA177" s="9"/>
      <c r="FB177" s="8"/>
      <c r="FC177" s="8"/>
      <c r="FD177" s="8"/>
      <c r="FE177" s="8"/>
      <c r="FF177" s="9"/>
      <c r="FG177" s="9"/>
      <c r="FH177" s="9"/>
      <c r="FI177" s="9"/>
      <c r="FJ177" s="9"/>
      <c r="FK177" s="9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9"/>
      <c r="GA177" s="9"/>
      <c r="GB177" s="9"/>
      <c r="GC177" s="9"/>
      <c r="GD177" s="9"/>
      <c r="GE177" s="9"/>
      <c r="GF177" s="9"/>
      <c r="GG177" s="9"/>
      <c r="GH177" s="9"/>
      <c r="GI177" s="9"/>
    </row>
    <row r="178" spans="1:191" ht="15" customHeight="1" x14ac:dyDescent="0.25">
      <c r="A178" s="355">
        <v>544254600226</v>
      </c>
      <c r="B178" s="10">
        <f t="shared" si="10"/>
        <v>0</v>
      </c>
      <c r="C178" s="10">
        <v>0</v>
      </c>
      <c r="D178" s="10"/>
      <c r="E178" s="10">
        <f t="shared" ref="E178:E184" si="11">C178-B178</f>
        <v>0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9"/>
      <c r="Y178" s="9"/>
      <c r="Z178" s="8"/>
      <c r="AA178" s="8"/>
      <c r="AB178" s="8"/>
      <c r="AC178" s="8"/>
      <c r="AD178" s="8"/>
      <c r="AE178" s="9"/>
      <c r="AF178" s="9"/>
      <c r="AG178" s="9"/>
      <c r="AH178" s="9"/>
      <c r="AI178" s="9"/>
      <c r="AJ178" s="8"/>
      <c r="AK178" s="8"/>
      <c r="AL178" s="8"/>
      <c r="AM178" s="8"/>
      <c r="AN178" s="8"/>
      <c r="AO178" s="9"/>
      <c r="AP178" s="9"/>
      <c r="AQ178" s="9"/>
      <c r="AR178" s="9"/>
      <c r="AS178" s="9"/>
      <c r="AT178" s="8"/>
      <c r="AU178" s="8"/>
      <c r="AV178" s="8"/>
      <c r="AW178" s="8"/>
      <c r="AX178" s="8"/>
      <c r="AY178" s="8"/>
      <c r="AZ178" s="9"/>
      <c r="BA178" s="9"/>
      <c r="BB178" s="9"/>
      <c r="BC178" s="9"/>
      <c r="BD178" s="9"/>
      <c r="BE178" s="9"/>
      <c r="BF178" s="9"/>
      <c r="BG178" s="8"/>
      <c r="BH178" s="8"/>
      <c r="BI178" s="8"/>
      <c r="BJ178" s="8"/>
      <c r="BK178" s="8"/>
      <c r="BL178" s="8"/>
      <c r="BM178" s="9"/>
      <c r="BN178" s="9"/>
      <c r="BO178" s="9"/>
      <c r="BP178" s="9"/>
      <c r="BQ178" s="9"/>
      <c r="BR178" s="8"/>
      <c r="BS178" s="8"/>
      <c r="BT178" s="8"/>
      <c r="BU178" s="8"/>
      <c r="BV178" s="8"/>
      <c r="BW178" s="8"/>
      <c r="BX178" s="8"/>
      <c r="BY178" s="8"/>
      <c r="BZ178" s="9"/>
      <c r="CA178" s="9"/>
      <c r="CB178" s="9"/>
      <c r="CC178" s="9"/>
      <c r="CD178" s="9"/>
      <c r="CE178" s="8"/>
      <c r="CF178" s="8"/>
      <c r="CG178" s="8"/>
      <c r="CH178" s="8"/>
      <c r="CI178" s="8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8"/>
      <c r="CX178" s="8"/>
      <c r="CY178" s="8"/>
      <c r="CZ178" s="8"/>
      <c r="DA178" s="8"/>
      <c r="DB178" s="9"/>
      <c r="DC178" s="9"/>
      <c r="DD178" s="9"/>
      <c r="DE178" s="9"/>
      <c r="DF178" s="9"/>
      <c r="DG178" s="9"/>
      <c r="DH178" s="9"/>
      <c r="DI178" s="8"/>
      <c r="DJ178" s="8"/>
      <c r="DK178" s="8"/>
      <c r="DL178" s="8"/>
      <c r="DM178" s="8"/>
      <c r="DN178" s="8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8"/>
      <c r="DZ178" s="8"/>
      <c r="EA178" s="8"/>
      <c r="EB178" s="8"/>
      <c r="EC178" s="8"/>
      <c r="ED178" s="9"/>
      <c r="EE178" s="9"/>
      <c r="EF178" s="9"/>
      <c r="EG178" s="9"/>
      <c r="EH178" s="9"/>
      <c r="EI178" s="9"/>
      <c r="EJ178" s="9"/>
      <c r="EK178" s="8"/>
      <c r="EL178" s="8"/>
      <c r="EM178" s="8"/>
      <c r="EN178" s="8"/>
      <c r="EO178" s="8"/>
      <c r="EP178" s="8"/>
      <c r="EQ178" s="8"/>
      <c r="ER178" s="8"/>
      <c r="ES178" s="8"/>
      <c r="ET178" s="9"/>
      <c r="EU178" s="9"/>
      <c r="EV178" s="9"/>
      <c r="EW178" s="9"/>
      <c r="EX178" s="9"/>
      <c r="EY178" s="9"/>
      <c r="EZ178" s="9"/>
      <c r="FA178" s="9"/>
      <c r="FB178" s="8"/>
      <c r="FC178" s="8"/>
      <c r="FD178" s="8"/>
      <c r="FE178" s="8"/>
      <c r="FF178" s="9"/>
      <c r="FG178" s="9"/>
      <c r="FH178" s="9"/>
      <c r="FI178" s="9"/>
      <c r="FJ178" s="9"/>
      <c r="FK178" s="9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9"/>
      <c r="GA178" s="9"/>
      <c r="GB178" s="9"/>
      <c r="GC178" s="9"/>
      <c r="GD178" s="9"/>
      <c r="GE178" s="9"/>
      <c r="GF178" s="9"/>
      <c r="GG178" s="9"/>
      <c r="GH178" s="9"/>
      <c r="GI178" s="9"/>
    </row>
    <row r="179" spans="1:191" ht="15" customHeight="1" x14ac:dyDescent="0.25">
      <c r="A179" s="277">
        <v>544254640241</v>
      </c>
      <c r="B179" s="10">
        <f t="shared" si="10"/>
        <v>0</v>
      </c>
      <c r="C179" s="10">
        <v>0</v>
      </c>
      <c r="D179" s="10"/>
      <c r="E179" s="10">
        <f t="shared" si="11"/>
        <v>0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  <c r="Y179" s="9"/>
      <c r="Z179" s="8"/>
      <c r="AA179" s="8"/>
      <c r="AB179" s="8"/>
      <c r="AC179" s="8"/>
      <c r="AD179" s="8"/>
      <c r="AE179" s="9"/>
      <c r="AF179" s="9"/>
      <c r="AG179" s="9"/>
      <c r="AH179" s="9"/>
      <c r="AI179" s="9"/>
      <c r="AJ179" s="8"/>
      <c r="AK179" s="8"/>
      <c r="AL179" s="8"/>
      <c r="AM179" s="8"/>
      <c r="AN179" s="8"/>
      <c r="AO179" s="9"/>
      <c r="AP179" s="9"/>
      <c r="AQ179" s="9"/>
      <c r="AR179" s="9"/>
      <c r="AS179" s="9"/>
      <c r="AT179" s="8"/>
      <c r="AU179" s="8"/>
      <c r="AV179" s="8"/>
      <c r="AW179" s="8"/>
      <c r="AX179" s="8"/>
      <c r="AY179" s="8"/>
      <c r="AZ179" s="9"/>
      <c r="BA179" s="9"/>
      <c r="BB179" s="9"/>
      <c r="BC179" s="9"/>
      <c r="BD179" s="9"/>
      <c r="BE179" s="9"/>
      <c r="BF179" s="9"/>
      <c r="BG179" s="8"/>
      <c r="BH179" s="8"/>
      <c r="BI179" s="8"/>
      <c r="BJ179" s="8"/>
      <c r="BK179" s="8"/>
      <c r="BL179" s="8"/>
      <c r="BM179" s="9"/>
      <c r="BN179" s="9"/>
      <c r="BO179" s="9"/>
      <c r="BP179" s="9"/>
      <c r="BQ179" s="9"/>
      <c r="BR179" s="8"/>
      <c r="BS179" s="8"/>
      <c r="BT179" s="8"/>
      <c r="BU179" s="8"/>
      <c r="BV179" s="8"/>
      <c r="BW179" s="8"/>
      <c r="BX179" s="8"/>
      <c r="BY179" s="8"/>
      <c r="BZ179" s="9"/>
      <c r="CA179" s="9"/>
      <c r="CB179" s="9"/>
      <c r="CC179" s="9"/>
      <c r="CD179" s="9"/>
      <c r="CE179" s="8"/>
      <c r="CF179" s="8"/>
      <c r="CG179" s="8"/>
      <c r="CH179" s="8"/>
      <c r="CI179" s="8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8"/>
      <c r="CX179" s="8"/>
      <c r="CY179" s="8"/>
      <c r="CZ179" s="8"/>
      <c r="DA179" s="8"/>
      <c r="DB179" s="9"/>
      <c r="DC179" s="9"/>
      <c r="DD179" s="9"/>
      <c r="DE179" s="9"/>
      <c r="DF179" s="9"/>
      <c r="DG179" s="9"/>
      <c r="DH179" s="9"/>
      <c r="DI179" s="8"/>
      <c r="DJ179" s="8"/>
      <c r="DK179" s="8"/>
      <c r="DL179" s="8"/>
      <c r="DM179" s="8"/>
      <c r="DN179" s="8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8"/>
      <c r="DZ179" s="8"/>
      <c r="EA179" s="8"/>
      <c r="EB179" s="8"/>
      <c r="EC179" s="8"/>
      <c r="ED179" s="9"/>
      <c r="EE179" s="9"/>
      <c r="EF179" s="9"/>
      <c r="EG179" s="9"/>
      <c r="EH179" s="9"/>
      <c r="EI179" s="9"/>
      <c r="EJ179" s="9"/>
      <c r="EK179" s="8"/>
      <c r="EL179" s="8"/>
      <c r="EM179" s="8"/>
      <c r="EN179" s="8"/>
      <c r="EO179" s="8"/>
      <c r="EP179" s="8"/>
      <c r="EQ179" s="8"/>
      <c r="ER179" s="8"/>
      <c r="ES179" s="8"/>
      <c r="ET179" s="9"/>
      <c r="EU179" s="9"/>
      <c r="EV179" s="9"/>
      <c r="EW179" s="9"/>
      <c r="EX179" s="9"/>
      <c r="EY179" s="9"/>
      <c r="EZ179" s="9"/>
      <c r="FA179" s="9"/>
      <c r="FB179" s="8"/>
      <c r="FC179" s="8"/>
      <c r="FD179" s="8"/>
      <c r="FE179" s="8"/>
      <c r="FF179" s="9"/>
      <c r="FG179" s="9"/>
      <c r="FH179" s="9"/>
      <c r="FI179" s="9"/>
      <c r="FJ179" s="9"/>
      <c r="FK179" s="9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9"/>
      <c r="GA179" s="9"/>
      <c r="GB179" s="9"/>
      <c r="GC179" s="9"/>
      <c r="GD179" s="9"/>
      <c r="GE179" s="9"/>
      <c r="GF179" s="9"/>
      <c r="GG179" s="9"/>
      <c r="GH179" s="9"/>
      <c r="GI179" s="9"/>
    </row>
    <row r="180" spans="1:191" ht="15" customHeight="1" x14ac:dyDescent="0.25">
      <c r="A180" s="277">
        <v>544254640253</v>
      </c>
      <c r="B180" s="10">
        <f t="shared" si="10"/>
        <v>0</v>
      </c>
      <c r="C180" s="10">
        <v>0</v>
      </c>
      <c r="D180" s="10"/>
      <c r="E180" s="10">
        <f t="shared" si="11"/>
        <v>0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9"/>
      <c r="Y180" s="9"/>
      <c r="Z180" s="8"/>
      <c r="AA180" s="8"/>
      <c r="AB180" s="8"/>
      <c r="AC180" s="8"/>
      <c r="AD180" s="8"/>
      <c r="AE180" s="9"/>
      <c r="AF180" s="9"/>
      <c r="AG180" s="9"/>
      <c r="AH180" s="9"/>
      <c r="AI180" s="9"/>
      <c r="AJ180" s="8"/>
      <c r="AK180" s="8"/>
      <c r="AL180" s="8"/>
      <c r="AM180" s="8"/>
      <c r="AN180" s="8"/>
      <c r="AO180" s="9"/>
      <c r="AP180" s="9"/>
      <c r="AQ180" s="9"/>
      <c r="AR180" s="9"/>
      <c r="AS180" s="9"/>
      <c r="AT180" s="8"/>
      <c r="AU180" s="8"/>
      <c r="AV180" s="8"/>
      <c r="AW180" s="8"/>
      <c r="AX180" s="8"/>
      <c r="AY180" s="8"/>
      <c r="AZ180" s="9"/>
      <c r="BA180" s="9"/>
      <c r="BB180" s="9"/>
      <c r="BC180" s="9"/>
      <c r="BD180" s="9"/>
      <c r="BE180" s="9"/>
      <c r="BF180" s="9"/>
      <c r="BG180" s="8"/>
      <c r="BH180" s="8"/>
      <c r="BI180" s="8"/>
      <c r="BJ180" s="8"/>
      <c r="BK180" s="8"/>
      <c r="BL180" s="8"/>
      <c r="BM180" s="9"/>
      <c r="BN180" s="9"/>
      <c r="BO180" s="9"/>
      <c r="BP180" s="9"/>
      <c r="BQ180" s="9"/>
      <c r="BR180" s="8"/>
      <c r="BS180" s="8"/>
      <c r="BT180" s="8"/>
      <c r="BU180" s="8"/>
      <c r="BV180" s="8"/>
      <c r="BW180" s="8"/>
      <c r="BX180" s="8"/>
      <c r="BY180" s="8"/>
      <c r="BZ180" s="9"/>
      <c r="CA180" s="9"/>
      <c r="CB180" s="9"/>
      <c r="CC180" s="9"/>
      <c r="CD180" s="9"/>
      <c r="CE180" s="8"/>
      <c r="CF180" s="8"/>
      <c r="CG180" s="8"/>
      <c r="CH180" s="8"/>
      <c r="CI180" s="8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8"/>
      <c r="CX180" s="8"/>
      <c r="CY180" s="8"/>
      <c r="CZ180" s="8"/>
      <c r="DA180" s="8"/>
      <c r="DB180" s="9"/>
      <c r="DC180" s="9"/>
      <c r="DD180" s="9"/>
      <c r="DE180" s="9"/>
      <c r="DF180" s="9"/>
      <c r="DG180" s="9"/>
      <c r="DH180" s="9"/>
      <c r="DI180" s="8"/>
      <c r="DJ180" s="8"/>
      <c r="DK180" s="8"/>
      <c r="DL180" s="8"/>
      <c r="DM180" s="8"/>
      <c r="DN180" s="8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8"/>
      <c r="DZ180" s="8"/>
      <c r="EA180" s="8"/>
      <c r="EB180" s="8"/>
      <c r="EC180" s="8"/>
      <c r="ED180" s="9"/>
      <c r="EE180" s="9"/>
      <c r="EF180" s="9"/>
      <c r="EG180" s="9"/>
      <c r="EH180" s="9"/>
      <c r="EI180" s="9"/>
      <c r="EJ180" s="9"/>
      <c r="EK180" s="8"/>
      <c r="EL180" s="8"/>
      <c r="EM180" s="8"/>
      <c r="EN180" s="8"/>
      <c r="EO180" s="8"/>
      <c r="EP180" s="8"/>
      <c r="EQ180" s="8"/>
      <c r="ER180" s="8"/>
      <c r="ES180" s="8"/>
      <c r="ET180" s="9"/>
      <c r="EU180" s="9"/>
      <c r="EV180" s="9"/>
      <c r="EW180" s="9"/>
      <c r="EX180" s="9"/>
      <c r="EY180" s="9"/>
      <c r="EZ180" s="9"/>
      <c r="FA180" s="9"/>
      <c r="FB180" s="8"/>
      <c r="FC180" s="8"/>
      <c r="FD180" s="8"/>
      <c r="FE180" s="8"/>
      <c r="FF180" s="9"/>
      <c r="FG180" s="9"/>
      <c r="FH180" s="9"/>
      <c r="FI180" s="9"/>
      <c r="FJ180" s="9"/>
      <c r="FK180" s="9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9"/>
      <c r="GA180" s="9"/>
      <c r="GB180" s="9"/>
      <c r="GC180" s="9"/>
      <c r="GD180" s="9"/>
      <c r="GE180" s="9"/>
      <c r="GF180" s="9"/>
      <c r="GG180" s="9"/>
      <c r="GH180" s="9"/>
      <c r="GI180" s="9"/>
    </row>
    <row r="181" spans="1:191" ht="15" customHeight="1" x14ac:dyDescent="0.25">
      <c r="A181" s="277">
        <v>549754600188</v>
      </c>
      <c r="B181" s="10">
        <f t="shared" si="10"/>
        <v>0</v>
      </c>
      <c r="C181" s="10">
        <v>0</v>
      </c>
      <c r="D181" s="10"/>
      <c r="E181" s="10">
        <f t="shared" si="11"/>
        <v>0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9"/>
      <c r="Y181" s="9"/>
      <c r="Z181" s="8"/>
      <c r="AA181" s="8"/>
      <c r="AB181" s="8"/>
      <c r="AC181" s="8"/>
      <c r="AD181" s="8"/>
      <c r="AE181" s="9"/>
      <c r="AF181" s="9"/>
      <c r="AG181" s="9"/>
      <c r="AH181" s="9"/>
      <c r="AI181" s="9"/>
      <c r="AJ181" s="8"/>
      <c r="AK181" s="8"/>
      <c r="AL181" s="8"/>
      <c r="AM181" s="8"/>
      <c r="AN181" s="8"/>
      <c r="AO181" s="9"/>
      <c r="AP181" s="9"/>
      <c r="AQ181" s="9"/>
      <c r="AR181" s="9"/>
      <c r="AS181" s="9"/>
      <c r="AT181" s="8"/>
      <c r="AU181" s="8"/>
      <c r="AV181" s="8"/>
      <c r="AW181" s="8"/>
      <c r="AX181" s="8"/>
      <c r="AY181" s="8"/>
      <c r="AZ181" s="9"/>
      <c r="BA181" s="9"/>
      <c r="BB181" s="9"/>
      <c r="BC181" s="9"/>
      <c r="BD181" s="9"/>
      <c r="BE181" s="9"/>
      <c r="BF181" s="9"/>
      <c r="BG181" s="8"/>
      <c r="BH181" s="8"/>
      <c r="BI181" s="8"/>
      <c r="BJ181" s="8"/>
      <c r="BK181" s="8"/>
      <c r="BL181" s="8"/>
      <c r="BM181" s="9"/>
      <c r="BN181" s="9"/>
      <c r="BO181" s="9"/>
      <c r="BP181" s="9"/>
      <c r="BQ181" s="9"/>
      <c r="BR181" s="8"/>
      <c r="BS181" s="8"/>
      <c r="BT181" s="8"/>
      <c r="BU181" s="8"/>
      <c r="BV181" s="8"/>
      <c r="BW181" s="8"/>
      <c r="BX181" s="8"/>
      <c r="BY181" s="8"/>
      <c r="BZ181" s="9"/>
      <c r="CA181" s="9"/>
      <c r="CB181" s="9"/>
      <c r="CC181" s="9"/>
      <c r="CD181" s="9"/>
      <c r="CE181" s="8"/>
      <c r="CF181" s="8"/>
      <c r="CG181" s="8"/>
      <c r="CH181" s="8"/>
      <c r="CI181" s="8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8"/>
      <c r="CX181" s="8"/>
      <c r="CY181" s="8"/>
      <c r="CZ181" s="8"/>
      <c r="DA181" s="8"/>
      <c r="DB181" s="9"/>
      <c r="DC181" s="9"/>
      <c r="DD181" s="9"/>
      <c r="DE181" s="9"/>
      <c r="DF181" s="9"/>
      <c r="DG181" s="9"/>
      <c r="DH181" s="9"/>
      <c r="DI181" s="8"/>
      <c r="DJ181" s="8"/>
      <c r="DK181" s="8"/>
      <c r="DL181" s="8"/>
      <c r="DM181" s="8"/>
      <c r="DN181" s="8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8"/>
      <c r="DZ181" s="8"/>
      <c r="EA181" s="8"/>
      <c r="EB181" s="8"/>
      <c r="EC181" s="8"/>
      <c r="ED181" s="9"/>
      <c r="EE181" s="9"/>
      <c r="EF181" s="9"/>
      <c r="EG181" s="9"/>
      <c r="EH181" s="9"/>
      <c r="EI181" s="9"/>
      <c r="EJ181" s="9"/>
      <c r="EK181" s="8"/>
      <c r="EL181" s="8"/>
      <c r="EM181" s="8"/>
      <c r="EN181" s="8"/>
      <c r="EO181" s="8"/>
      <c r="EP181" s="8"/>
      <c r="EQ181" s="8"/>
      <c r="ER181" s="8"/>
      <c r="ES181" s="8"/>
      <c r="ET181" s="9"/>
      <c r="EU181" s="9"/>
      <c r="EV181" s="9"/>
      <c r="EW181" s="9"/>
      <c r="EX181" s="9"/>
      <c r="EY181" s="9"/>
      <c r="EZ181" s="9"/>
      <c r="FA181" s="9"/>
      <c r="FB181" s="8"/>
      <c r="FC181" s="8"/>
      <c r="FD181" s="8"/>
      <c r="FE181" s="8"/>
      <c r="FF181" s="9"/>
      <c r="FG181" s="9"/>
      <c r="FH181" s="9"/>
      <c r="FI181" s="9"/>
      <c r="FJ181" s="9"/>
      <c r="FK181" s="9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9"/>
      <c r="GA181" s="9"/>
      <c r="GB181" s="9"/>
      <c r="GC181" s="9"/>
      <c r="GD181" s="9"/>
      <c r="GE181" s="9"/>
      <c r="GF181" s="9"/>
      <c r="GG181" s="9"/>
      <c r="GH181" s="9"/>
      <c r="GI181" s="9"/>
    </row>
    <row r="182" spans="1:191" ht="15" customHeight="1" x14ac:dyDescent="0.25">
      <c r="A182" s="277">
        <v>549754600189</v>
      </c>
      <c r="B182" s="10">
        <f t="shared" si="10"/>
        <v>0</v>
      </c>
      <c r="C182" s="10">
        <v>0</v>
      </c>
      <c r="D182" s="10"/>
      <c r="E182" s="10">
        <f t="shared" si="11"/>
        <v>0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9"/>
      <c r="Y182" s="9"/>
      <c r="Z182" s="8"/>
      <c r="AA182" s="8"/>
      <c r="AB182" s="8"/>
      <c r="AC182" s="8"/>
      <c r="AD182" s="8"/>
      <c r="AE182" s="9"/>
      <c r="AF182" s="9"/>
      <c r="AG182" s="9"/>
      <c r="AH182" s="9"/>
      <c r="AI182" s="9"/>
      <c r="AJ182" s="8"/>
      <c r="AK182" s="8"/>
      <c r="AL182" s="8"/>
      <c r="AM182" s="8"/>
      <c r="AN182" s="8"/>
      <c r="AO182" s="9"/>
      <c r="AP182" s="9"/>
      <c r="AQ182" s="9"/>
      <c r="AR182" s="9"/>
      <c r="AS182" s="9"/>
      <c r="AT182" s="8"/>
      <c r="AU182" s="8"/>
      <c r="AV182" s="8"/>
      <c r="AW182" s="8"/>
      <c r="AX182" s="8"/>
      <c r="AY182" s="8"/>
      <c r="AZ182" s="9"/>
      <c r="BA182" s="9"/>
      <c r="BB182" s="9"/>
      <c r="BC182" s="9"/>
      <c r="BD182" s="9"/>
      <c r="BE182" s="9"/>
      <c r="BF182" s="9"/>
      <c r="BG182" s="8"/>
      <c r="BH182" s="8"/>
      <c r="BI182" s="8"/>
      <c r="BJ182" s="8"/>
      <c r="BK182" s="8"/>
      <c r="BL182" s="8"/>
      <c r="BM182" s="9"/>
      <c r="BN182" s="9"/>
      <c r="BO182" s="9"/>
      <c r="BP182" s="9"/>
      <c r="BQ182" s="9"/>
      <c r="BR182" s="8"/>
      <c r="BS182" s="8"/>
      <c r="BT182" s="8"/>
      <c r="BU182" s="8"/>
      <c r="BV182" s="8"/>
      <c r="BW182" s="8"/>
      <c r="BX182" s="8"/>
      <c r="BY182" s="8"/>
      <c r="BZ182" s="9"/>
      <c r="CA182" s="9"/>
      <c r="CB182" s="9"/>
      <c r="CC182" s="9"/>
      <c r="CD182" s="9"/>
      <c r="CE182" s="8"/>
      <c r="CF182" s="8"/>
      <c r="CG182" s="8"/>
      <c r="CH182" s="8"/>
      <c r="CI182" s="8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8"/>
      <c r="CX182" s="8"/>
      <c r="CY182" s="8"/>
      <c r="CZ182" s="8"/>
      <c r="DA182" s="8"/>
      <c r="DB182" s="9"/>
      <c r="DC182" s="9"/>
      <c r="DD182" s="9"/>
      <c r="DE182" s="9"/>
      <c r="DF182" s="9"/>
      <c r="DG182" s="9"/>
      <c r="DH182" s="9"/>
      <c r="DI182" s="8"/>
      <c r="DJ182" s="8"/>
      <c r="DK182" s="8"/>
      <c r="DL182" s="8"/>
      <c r="DM182" s="8"/>
      <c r="DN182" s="8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8"/>
      <c r="DZ182" s="8"/>
      <c r="EA182" s="8"/>
      <c r="EB182" s="8"/>
      <c r="EC182" s="8"/>
      <c r="ED182" s="9"/>
      <c r="EE182" s="9"/>
      <c r="EF182" s="9"/>
      <c r="EG182" s="9"/>
      <c r="EH182" s="9"/>
      <c r="EI182" s="9"/>
      <c r="EJ182" s="9"/>
      <c r="EK182" s="8"/>
      <c r="EL182" s="8"/>
      <c r="EM182" s="8"/>
      <c r="EN182" s="8"/>
      <c r="EO182" s="8"/>
      <c r="EP182" s="8"/>
      <c r="EQ182" s="8"/>
      <c r="ER182" s="8"/>
      <c r="ES182" s="8"/>
      <c r="ET182" s="9"/>
      <c r="EU182" s="9"/>
      <c r="EV182" s="9"/>
      <c r="EW182" s="9"/>
      <c r="EX182" s="9"/>
      <c r="EY182" s="9"/>
      <c r="EZ182" s="9"/>
      <c r="FA182" s="9"/>
      <c r="FB182" s="8"/>
      <c r="FC182" s="8"/>
      <c r="FD182" s="8"/>
      <c r="FE182" s="8"/>
      <c r="FF182" s="9"/>
      <c r="FG182" s="9"/>
      <c r="FH182" s="9"/>
      <c r="FI182" s="9"/>
      <c r="FJ182" s="9"/>
      <c r="FK182" s="9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9"/>
      <c r="GA182" s="9"/>
      <c r="GB182" s="9"/>
      <c r="GC182" s="9"/>
      <c r="GD182" s="9"/>
      <c r="GE182" s="9"/>
      <c r="GF182" s="9"/>
      <c r="GG182" s="9"/>
      <c r="GH182" s="9"/>
      <c r="GI182" s="9"/>
    </row>
    <row r="183" spans="1:191" ht="15" customHeight="1" x14ac:dyDescent="0.25">
      <c r="A183" s="277">
        <v>549754610144</v>
      </c>
      <c r="B183" s="10">
        <f t="shared" si="10"/>
        <v>0</v>
      </c>
      <c r="C183" s="10">
        <v>0</v>
      </c>
      <c r="D183" s="10"/>
      <c r="E183" s="10">
        <f t="shared" si="11"/>
        <v>0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9"/>
      <c r="Y183" s="9"/>
      <c r="Z183" s="8"/>
      <c r="AA183" s="8"/>
      <c r="AB183" s="8"/>
      <c r="AC183" s="8"/>
      <c r="AD183" s="8"/>
      <c r="AE183" s="9"/>
      <c r="AF183" s="9"/>
      <c r="AG183" s="9"/>
      <c r="AH183" s="9"/>
      <c r="AI183" s="9"/>
      <c r="AJ183" s="8"/>
      <c r="AK183" s="8"/>
      <c r="AL183" s="8"/>
      <c r="AM183" s="8"/>
      <c r="AN183" s="8"/>
      <c r="AO183" s="9"/>
      <c r="AP183" s="9"/>
      <c r="AQ183" s="9"/>
      <c r="AR183" s="9"/>
      <c r="AS183" s="9"/>
      <c r="AT183" s="8"/>
      <c r="AU183" s="8"/>
      <c r="AV183" s="8"/>
      <c r="AW183" s="8"/>
      <c r="AX183" s="8"/>
      <c r="AY183" s="8"/>
      <c r="AZ183" s="9"/>
      <c r="BA183" s="9"/>
      <c r="BB183" s="9"/>
      <c r="BC183" s="9"/>
      <c r="BD183" s="9"/>
      <c r="BE183" s="9"/>
      <c r="BF183" s="9"/>
      <c r="BG183" s="8"/>
      <c r="BH183" s="8"/>
      <c r="BI183" s="8"/>
      <c r="BJ183" s="8"/>
      <c r="BK183" s="8"/>
      <c r="BL183" s="8"/>
      <c r="BM183" s="9"/>
      <c r="BN183" s="9"/>
      <c r="BO183" s="9"/>
      <c r="BP183" s="9"/>
      <c r="BQ183" s="9"/>
      <c r="BR183" s="8"/>
      <c r="BS183" s="8"/>
      <c r="BT183" s="8"/>
      <c r="BU183" s="8"/>
      <c r="BV183" s="8"/>
      <c r="BW183" s="8"/>
      <c r="BX183" s="8"/>
      <c r="BY183" s="8"/>
      <c r="BZ183" s="9"/>
      <c r="CA183" s="9"/>
      <c r="CB183" s="9"/>
      <c r="CC183" s="9"/>
      <c r="CD183" s="9"/>
      <c r="CE183" s="8"/>
      <c r="CF183" s="8"/>
      <c r="CG183" s="8"/>
      <c r="CH183" s="8"/>
      <c r="CI183" s="8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8"/>
      <c r="CX183" s="8"/>
      <c r="CY183" s="8"/>
      <c r="CZ183" s="8"/>
      <c r="DA183" s="8"/>
      <c r="DB183" s="9"/>
      <c r="DC183" s="9"/>
      <c r="DD183" s="9"/>
      <c r="DE183" s="9"/>
      <c r="DF183" s="9"/>
      <c r="DG183" s="9"/>
      <c r="DH183" s="9"/>
      <c r="DI183" s="8"/>
      <c r="DJ183" s="8"/>
      <c r="DK183" s="8"/>
      <c r="DL183" s="8"/>
      <c r="DM183" s="8"/>
      <c r="DN183" s="8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8"/>
      <c r="DZ183" s="8"/>
      <c r="EA183" s="8"/>
      <c r="EB183" s="8"/>
      <c r="EC183" s="8"/>
      <c r="ED183" s="9"/>
      <c r="EE183" s="9"/>
      <c r="EF183" s="9"/>
      <c r="EG183" s="9"/>
      <c r="EH183" s="9"/>
      <c r="EI183" s="9"/>
      <c r="EJ183" s="9"/>
      <c r="EK183" s="8"/>
      <c r="EL183" s="8"/>
      <c r="EM183" s="8"/>
      <c r="EN183" s="8"/>
      <c r="EO183" s="8"/>
      <c r="EP183" s="8"/>
      <c r="EQ183" s="8"/>
      <c r="ER183" s="8"/>
      <c r="ES183" s="8"/>
      <c r="ET183" s="9"/>
      <c r="EU183" s="9"/>
      <c r="EV183" s="9"/>
      <c r="EW183" s="9"/>
      <c r="EX183" s="9"/>
      <c r="EY183" s="9"/>
      <c r="EZ183" s="9"/>
      <c r="FA183" s="9"/>
      <c r="FB183" s="8"/>
      <c r="FC183" s="8"/>
      <c r="FD183" s="8"/>
      <c r="FE183" s="8"/>
      <c r="FF183" s="9"/>
      <c r="FG183" s="9"/>
      <c r="FH183" s="9"/>
      <c r="FI183" s="9"/>
      <c r="FJ183" s="9"/>
      <c r="FK183" s="9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9"/>
      <c r="GA183" s="9"/>
      <c r="GB183" s="9"/>
      <c r="GC183" s="9"/>
      <c r="GD183" s="9"/>
      <c r="GE183" s="9"/>
      <c r="GF183" s="9"/>
      <c r="GG183" s="9"/>
      <c r="GH183" s="9"/>
      <c r="GI183" s="9"/>
    </row>
    <row r="184" spans="1:191" ht="15" customHeight="1" x14ac:dyDescent="0.25">
      <c r="A184" s="277">
        <v>549754610146</v>
      </c>
      <c r="B184" s="10">
        <f t="shared" si="10"/>
        <v>0</v>
      </c>
      <c r="C184" s="10">
        <v>0</v>
      </c>
      <c r="D184" s="10"/>
      <c r="E184" s="10">
        <f t="shared" si="11"/>
        <v>0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9"/>
      <c r="Y184" s="9"/>
      <c r="Z184" s="8"/>
      <c r="AA184" s="8"/>
      <c r="AB184" s="8"/>
      <c r="AC184" s="8"/>
      <c r="AD184" s="8"/>
      <c r="AE184" s="9"/>
      <c r="AF184" s="9"/>
      <c r="AG184" s="9"/>
      <c r="AH184" s="9"/>
      <c r="AI184" s="9"/>
      <c r="AJ184" s="8"/>
      <c r="AK184" s="8"/>
      <c r="AL184" s="8"/>
      <c r="AM184" s="8"/>
      <c r="AN184" s="8"/>
      <c r="AO184" s="9"/>
      <c r="AP184" s="9"/>
      <c r="AQ184" s="9"/>
      <c r="AR184" s="9"/>
      <c r="AS184" s="9"/>
      <c r="AT184" s="8"/>
      <c r="AU184" s="8"/>
      <c r="AV184" s="8"/>
      <c r="AW184" s="8"/>
      <c r="AX184" s="8"/>
      <c r="AY184" s="8"/>
      <c r="AZ184" s="9"/>
      <c r="BA184" s="9"/>
      <c r="BB184" s="9"/>
      <c r="BC184" s="9"/>
      <c r="BD184" s="9"/>
      <c r="BE184" s="9"/>
      <c r="BF184" s="9"/>
      <c r="BG184" s="8"/>
      <c r="BH184" s="8"/>
      <c r="BI184" s="8"/>
      <c r="BJ184" s="8"/>
      <c r="BK184" s="8"/>
      <c r="BL184" s="8"/>
      <c r="BM184" s="9"/>
      <c r="BN184" s="9"/>
      <c r="BO184" s="9"/>
      <c r="BP184" s="9"/>
      <c r="BQ184" s="9"/>
      <c r="BR184" s="8"/>
      <c r="BS184" s="8"/>
      <c r="BT184" s="8"/>
      <c r="BU184" s="8"/>
      <c r="BV184" s="8"/>
      <c r="BW184" s="8"/>
      <c r="BX184" s="8"/>
      <c r="BY184" s="8"/>
      <c r="BZ184" s="9"/>
      <c r="CA184" s="9"/>
      <c r="CB184" s="9"/>
      <c r="CC184" s="9"/>
      <c r="CD184" s="9"/>
      <c r="CE184" s="8"/>
      <c r="CF184" s="8"/>
      <c r="CG184" s="8"/>
      <c r="CH184" s="8"/>
      <c r="CI184" s="8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8"/>
      <c r="CX184" s="8"/>
      <c r="CY184" s="8"/>
      <c r="CZ184" s="8"/>
      <c r="DA184" s="8"/>
      <c r="DB184" s="9"/>
      <c r="DC184" s="9"/>
      <c r="DD184" s="9"/>
      <c r="DE184" s="9"/>
      <c r="DF184" s="9"/>
      <c r="DG184" s="9"/>
      <c r="DH184" s="9"/>
      <c r="DI184" s="8"/>
      <c r="DJ184" s="8"/>
      <c r="DK184" s="8"/>
      <c r="DL184" s="8"/>
      <c r="DM184" s="8"/>
      <c r="DN184" s="8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8"/>
      <c r="DZ184" s="8"/>
      <c r="EA184" s="8"/>
      <c r="EB184" s="8"/>
      <c r="EC184" s="8"/>
      <c r="ED184" s="9"/>
      <c r="EE184" s="9"/>
      <c r="EF184" s="9"/>
      <c r="EG184" s="9"/>
      <c r="EH184" s="9"/>
      <c r="EI184" s="9"/>
      <c r="EJ184" s="9"/>
      <c r="EK184" s="8"/>
      <c r="EL184" s="8"/>
      <c r="EM184" s="8"/>
      <c r="EN184" s="8"/>
      <c r="EO184" s="8"/>
      <c r="EP184" s="8"/>
      <c r="EQ184" s="8"/>
      <c r="ER184" s="8"/>
      <c r="ES184" s="8"/>
      <c r="ET184" s="9"/>
      <c r="EU184" s="9"/>
      <c r="EV184" s="9"/>
      <c r="EW184" s="9"/>
      <c r="EX184" s="9"/>
      <c r="EY184" s="9"/>
      <c r="EZ184" s="9"/>
      <c r="FA184" s="9"/>
      <c r="FB184" s="8"/>
      <c r="FC184" s="8"/>
      <c r="FD184" s="8"/>
      <c r="FE184" s="8"/>
      <c r="FF184" s="9"/>
      <c r="FG184" s="9"/>
      <c r="FH184" s="9"/>
      <c r="FI184" s="9"/>
      <c r="FJ184" s="9"/>
      <c r="FK184" s="9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9"/>
      <c r="GA184" s="9"/>
      <c r="GB184" s="9"/>
      <c r="GC184" s="9"/>
      <c r="GD184" s="9"/>
      <c r="GE184" s="9"/>
      <c r="GF184" s="9"/>
      <c r="GG184" s="9"/>
      <c r="GH184" s="9"/>
      <c r="GI184" s="9"/>
    </row>
    <row r="185" spans="1:191" ht="14.45" customHeight="1" x14ac:dyDescent="0.25">
      <c r="A185" s="47"/>
      <c r="B185" s="10">
        <f>SUM(F185:GD185)</f>
        <v>132</v>
      </c>
      <c r="C185" s="11">
        <f>SUM(C5:C184)</f>
        <v>995</v>
      </c>
      <c r="D185" s="11"/>
      <c r="E185" s="177">
        <f>SUM(E5:E184)</f>
        <v>863</v>
      </c>
      <c r="F185" s="11">
        <f>SUM(F5:F184)</f>
        <v>0</v>
      </c>
      <c r="G185" s="11">
        <f t="shared" ref="G185:L185" si="12">SUM(G5:G184)</f>
        <v>0</v>
      </c>
      <c r="H185" s="11">
        <f t="shared" si="12"/>
        <v>0</v>
      </c>
      <c r="I185" s="11">
        <f t="shared" si="12"/>
        <v>0</v>
      </c>
      <c r="J185" s="11">
        <f t="shared" si="12"/>
        <v>0</v>
      </c>
      <c r="K185" s="11">
        <f t="shared" si="12"/>
        <v>0</v>
      </c>
      <c r="L185" s="11">
        <f t="shared" si="12"/>
        <v>0</v>
      </c>
      <c r="M185" s="11">
        <f t="shared" ref="M185:AR185" si="13">SUM(M5:M184)</f>
        <v>0</v>
      </c>
      <c r="N185" s="11">
        <f t="shared" si="13"/>
        <v>0</v>
      </c>
      <c r="O185" s="11">
        <f t="shared" si="13"/>
        <v>0</v>
      </c>
      <c r="P185" s="11">
        <f t="shared" si="13"/>
        <v>0</v>
      </c>
      <c r="Q185" s="11">
        <f t="shared" si="13"/>
        <v>0</v>
      </c>
      <c r="R185" s="11">
        <f t="shared" si="13"/>
        <v>0</v>
      </c>
      <c r="S185" s="11">
        <f t="shared" si="13"/>
        <v>0</v>
      </c>
      <c r="T185" s="11">
        <f t="shared" si="13"/>
        <v>0</v>
      </c>
      <c r="U185" s="11">
        <f t="shared" si="13"/>
        <v>70</v>
      </c>
      <c r="V185" s="11">
        <f t="shared" si="13"/>
        <v>0</v>
      </c>
      <c r="W185" s="11">
        <f t="shared" si="13"/>
        <v>0</v>
      </c>
      <c r="X185" s="11">
        <f t="shared" si="13"/>
        <v>0</v>
      </c>
      <c r="Y185" s="11">
        <f t="shared" si="13"/>
        <v>0</v>
      </c>
      <c r="Z185" s="11">
        <f t="shared" si="13"/>
        <v>0</v>
      </c>
      <c r="AA185" s="11">
        <f t="shared" si="13"/>
        <v>0</v>
      </c>
      <c r="AB185" s="11">
        <f t="shared" si="13"/>
        <v>0</v>
      </c>
      <c r="AC185" s="11">
        <f t="shared" si="13"/>
        <v>0</v>
      </c>
      <c r="AD185" s="11">
        <f t="shared" si="13"/>
        <v>0</v>
      </c>
      <c r="AE185" s="11">
        <f t="shared" si="13"/>
        <v>0</v>
      </c>
      <c r="AF185" s="11">
        <f t="shared" si="13"/>
        <v>0</v>
      </c>
      <c r="AG185" s="11">
        <f t="shared" si="13"/>
        <v>0</v>
      </c>
      <c r="AH185" s="11">
        <f t="shared" si="13"/>
        <v>0</v>
      </c>
      <c r="AI185" s="11">
        <f t="shared" si="13"/>
        <v>0</v>
      </c>
      <c r="AJ185" s="11">
        <f t="shared" si="13"/>
        <v>60</v>
      </c>
      <c r="AK185" s="11">
        <f t="shared" si="13"/>
        <v>0</v>
      </c>
      <c r="AL185" s="11">
        <f t="shared" si="13"/>
        <v>0</v>
      </c>
      <c r="AM185" s="11">
        <f t="shared" si="13"/>
        <v>0</v>
      </c>
      <c r="AN185" s="11">
        <f t="shared" si="13"/>
        <v>0</v>
      </c>
      <c r="AO185" s="11">
        <f t="shared" si="13"/>
        <v>0</v>
      </c>
      <c r="AP185" s="11">
        <f t="shared" si="13"/>
        <v>0</v>
      </c>
      <c r="AQ185" s="11">
        <f t="shared" si="13"/>
        <v>0</v>
      </c>
      <c r="AR185" s="11">
        <f t="shared" si="13"/>
        <v>0</v>
      </c>
      <c r="AS185" s="11">
        <f t="shared" ref="AS185:CE185" si="14">SUM(AS5:AS184)</f>
        <v>0</v>
      </c>
      <c r="AT185" s="11">
        <f t="shared" si="14"/>
        <v>0</v>
      </c>
      <c r="AU185" s="11">
        <f t="shared" si="14"/>
        <v>0</v>
      </c>
      <c r="AV185" s="11">
        <f t="shared" si="14"/>
        <v>0</v>
      </c>
      <c r="AW185" s="11">
        <f t="shared" si="14"/>
        <v>0</v>
      </c>
      <c r="AX185" s="11">
        <f t="shared" si="14"/>
        <v>0</v>
      </c>
      <c r="AY185" s="11">
        <f t="shared" si="14"/>
        <v>0</v>
      </c>
      <c r="AZ185" s="11">
        <f t="shared" si="14"/>
        <v>0</v>
      </c>
      <c r="BA185" s="11">
        <f t="shared" si="14"/>
        <v>0</v>
      </c>
      <c r="BB185" s="11">
        <f t="shared" si="14"/>
        <v>0</v>
      </c>
      <c r="BC185" s="11">
        <f t="shared" si="14"/>
        <v>0</v>
      </c>
      <c r="BD185" s="11">
        <f t="shared" si="14"/>
        <v>0</v>
      </c>
      <c r="BE185" s="11">
        <f t="shared" si="14"/>
        <v>0</v>
      </c>
      <c r="BF185" s="11">
        <f t="shared" si="14"/>
        <v>0</v>
      </c>
      <c r="BG185" s="11">
        <f t="shared" si="14"/>
        <v>0</v>
      </c>
      <c r="BH185" s="11">
        <f t="shared" si="14"/>
        <v>0</v>
      </c>
      <c r="BI185" s="11">
        <f t="shared" si="14"/>
        <v>0</v>
      </c>
      <c r="BJ185" s="11">
        <f t="shared" si="14"/>
        <v>0</v>
      </c>
      <c r="BK185" s="11">
        <f t="shared" si="14"/>
        <v>0</v>
      </c>
      <c r="BL185" s="11">
        <f t="shared" si="14"/>
        <v>0</v>
      </c>
      <c r="BM185" s="11">
        <f t="shared" si="14"/>
        <v>0</v>
      </c>
      <c r="BN185" s="11">
        <f t="shared" si="14"/>
        <v>0</v>
      </c>
      <c r="BO185" s="11">
        <f t="shared" si="14"/>
        <v>0</v>
      </c>
      <c r="BP185" s="11">
        <f t="shared" si="14"/>
        <v>0</v>
      </c>
      <c r="BQ185" s="11">
        <f t="shared" si="14"/>
        <v>0</v>
      </c>
      <c r="BR185" s="11">
        <f t="shared" si="14"/>
        <v>0</v>
      </c>
      <c r="BS185" s="11">
        <f t="shared" si="14"/>
        <v>0</v>
      </c>
      <c r="BT185" s="11">
        <f t="shared" si="14"/>
        <v>0</v>
      </c>
      <c r="BU185" s="11">
        <f t="shared" si="14"/>
        <v>0</v>
      </c>
      <c r="BV185" s="11">
        <f t="shared" si="14"/>
        <v>0</v>
      </c>
      <c r="BW185" s="11">
        <f t="shared" si="14"/>
        <v>0</v>
      </c>
      <c r="BX185" s="11">
        <f t="shared" si="14"/>
        <v>0</v>
      </c>
      <c r="BY185" s="11">
        <f t="shared" si="14"/>
        <v>0</v>
      </c>
      <c r="BZ185" s="11">
        <f t="shared" si="14"/>
        <v>0</v>
      </c>
      <c r="CA185" s="11">
        <f t="shared" si="14"/>
        <v>0</v>
      </c>
      <c r="CB185" s="11">
        <f t="shared" si="14"/>
        <v>0</v>
      </c>
      <c r="CC185" s="11"/>
      <c r="CD185" s="11">
        <f t="shared" si="14"/>
        <v>0</v>
      </c>
      <c r="CE185" s="11">
        <f t="shared" si="14"/>
        <v>2</v>
      </c>
      <c r="CF185" s="11">
        <f t="shared" ref="CF185:EA185" si="15">SUM(CF5:CF184)</f>
        <v>0</v>
      </c>
      <c r="CG185" s="11">
        <f t="shared" si="15"/>
        <v>0</v>
      </c>
      <c r="CH185" s="11">
        <f t="shared" si="15"/>
        <v>0</v>
      </c>
      <c r="CI185" s="11">
        <f t="shared" si="15"/>
        <v>0</v>
      </c>
      <c r="CJ185" s="11">
        <f t="shared" si="15"/>
        <v>0</v>
      </c>
      <c r="CK185" s="11">
        <f t="shared" si="15"/>
        <v>0</v>
      </c>
      <c r="CL185" s="11">
        <f t="shared" si="15"/>
        <v>0</v>
      </c>
      <c r="CM185" s="11">
        <f t="shared" si="15"/>
        <v>0</v>
      </c>
      <c r="CN185" s="11">
        <f t="shared" si="15"/>
        <v>0</v>
      </c>
      <c r="CO185" s="11">
        <f t="shared" si="15"/>
        <v>0</v>
      </c>
      <c r="CP185" s="11">
        <f t="shared" si="15"/>
        <v>0</v>
      </c>
      <c r="CQ185" s="11">
        <f t="shared" si="15"/>
        <v>0</v>
      </c>
      <c r="CR185" s="11">
        <f t="shared" si="15"/>
        <v>0</v>
      </c>
      <c r="CS185" s="11">
        <f t="shared" si="15"/>
        <v>0</v>
      </c>
      <c r="CT185" s="11">
        <f t="shared" si="15"/>
        <v>0</v>
      </c>
      <c r="CU185" s="11">
        <f t="shared" si="15"/>
        <v>0</v>
      </c>
      <c r="CV185" s="11">
        <f t="shared" si="15"/>
        <v>0</v>
      </c>
      <c r="CW185" s="11">
        <f t="shared" si="15"/>
        <v>0</v>
      </c>
      <c r="CX185" s="11">
        <f t="shared" si="15"/>
        <v>0</v>
      </c>
      <c r="CY185" s="11">
        <f t="shared" si="15"/>
        <v>0</v>
      </c>
      <c r="CZ185" s="11">
        <f t="shared" si="15"/>
        <v>0</v>
      </c>
      <c r="DA185" s="11">
        <f t="shared" si="15"/>
        <v>0</v>
      </c>
      <c r="DB185" s="11">
        <f t="shared" si="15"/>
        <v>0</v>
      </c>
      <c r="DC185" s="11">
        <f t="shared" si="15"/>
        <v>0</v>
      </c>
      <c r="DD185" s="11">
        <f t="shared" si="15"/>
        <v>0</v>
      </c>
      <c r="DE185" s="11">
        <f t="shared" si="15"/>
        <v>0</v>
      </c>
      <c r="DF185" s="11">
        <f t="shared" si="15"/>
        <v>0</v>
      </c>
      <c r="DG185" s="11">
        <f t="shared" si="15"/>
        <v>0</v>
      </c>
      <c r="DH185" s="11">
        <f t="shared" si="15"/>
        <v>0</v>
      </c>
      <c r="DI185" s="11">
        <f t="shared" si="15"/>
        <v>0</v>
      </c>
      <c r="DJ185" s="11">
        <f t="shared" si="15"/>
        <v>0</v>
      </c>
      <c r="DK185" s="11">
        <f t="shared" si="15"/>
        <v>0</v>
      </c>
      <c r="DL185" s="11">
        <f t="shared" si="15"/>
        <v>0</v>
      </c>
      <c r="DM185" s="11">
        <f t="shared" si="15"/>
        <v>0</v>
      </c>
      <c r="DN185" s="11">
        <f t="shared" si="15"/>
        <v>0</v>
      </c>
      <c r="DO185" s="11">
        <f t="shared" si="15"/>
        <v>0</v>
      </c>
      <c r="DP185" s="11">
        <f t="shared" si="15"/>
        <v>0</v>
      </c>
      <c r="DQ185" s="11">
        <f t="shared" si="15"/>
        <v>0</v>
      </c>
      <c r="DR185" s="11">
        <f t="shared" si="15"/>
        <v>0</v>
      </c>
      <c r="DS185" s="11">
        <f t="shared" si="15"/>
        <v>0</v>
      </c>
      <c r="DT185" s="11">
        <f t="shared" si="15"/>
        <v>0</v>
      </c>
      <c r="DU185" s="11">
        <f t="shared" si="15"/>
        <v>0</v>
      </c>
      <c r="DV185" s="11">
        <f t="shared" si="15"/>
        <v>0</v>
      </c>
      <c r="DW185" s="11">
        <f t="shared" si="15"/>
        <v>0</v>
      </c>
      <c r="DX185" s="11">
        <f t="shared" si="15"/>
        <v>0</v>
      </c>
      <c r="DY185" s="11">
        <f t="shared" si="15"/>
        <v>0</v>
      </c>
      <c r="DZ185" s="11">
        <f t="shared" si="15"/>
        <v>0</v>
      </c>
      <c r="EA185" s="11">
        <f t="shared" si="15"/>
        <v>0</v>
      </c>
      <c r="EB185" s="11">
        <f t="shared" ref="EB185:FO185" si="16">SUM(EB5:EB184)</f>
        <v>0</v>
      </c>
      <c r="EC185" s="11">
        <f t="shared" si="16"/>
        <v>0</v>
      </c>
      <c r="ED185" s="11">
        <f t="shared" si="16"/>
        <v>0</v>
      </c>
      <c r="EE185" s="11">
        <f t="shared" si="16"/>
        <v>0</v>
      </c>
      <c r="EF185" s="11">
        <f t="shared" si="16"/>
        <v>0</v>
      </c>
      <c r="EG185" s="11">
        <f t="shared" si="16"/>
        <v>0</v>
      </c>
      <c r="EH185" s="11">
        <f t="shared" si="16"/>
        <v>0</v>
      </c>
      <c r="EI185" s="11">
        <f t="shared" si="16"/>
        <v>0</v>
      </c>
      <c r="EJ185" s="11">
        <f t="shared" si="16"/>
        <v>0</v>
      </c>
      <c r="EK185" s="11">
        <f t="shared" si="16"/>
        <v>0</v>
      </c>
      <c r="EL185" s="11">
        <f t="shared" si="16"/>
        <v>0</v>
      </c>
      <c r="EM185" s="11">
        <f t="shared" si="16"/>
        <v>0</v>
      </c>
      <c r="EN185" s="11">
        <f t="shared" si="16"/>
        <v>0</v>
      </c>
      <c r="EO185" s="11">
        <f t="shared" si="16"/>
        <v>0</v>
      </c>
      <c r="EP185" s="11">
        <f t="shared" si="16"/>
        <v>0</v>
      </c>
      <c r="EQ185" s="11">
        <f t="shared" si="16"/>
        <v>0</v>
      </c>
      <c r="ER185" s="11">
        <f t="shared" si="16"/>
        <v>0</v>
      </c>
      <c r="ES185" s="11">
        <f t="shared" si="16"/>
        <v>0</v>
      </c>
      <c r="ET185" s="11">
        <f t="shared" si="16"/>
        <v>0</v>
      </c>
      <c r="EU185" s="11">
        <f t="shared" si="16"/>
        <v>0</v>
      </c>
      <c r="EV185" s="11">
        <f t="shared" si="16"/>
        <v>0</v>
      </c>
      <c r="EW185" s="11">
        <f t="shared" si="16"/>
        <v>0</v>
      </c>
      <c r="EX185" s="11">
        <f t="shared" si="16"/>
        <v>0</v>
      </c>
      <c r="EY185" s="11">
        <f t="shared" si="16"/>
        <v>0</v>
      </c>
      <c r="EZ185" s="11">
        <f t="shared" si="16"/>
        <v>0</v>
      </c>
      <c r="FA185" s="11">
        <f t="shared" si="16"/>
        <v>0</v>
      </c>
      <c r="FB185" s="11">
        <f t="shared" si="16"/>
        <v>0</v>
      </c>
      <c r="FC185" s="11">
        <f t="shared" si="16"/>
        <v>0</v>
      </c>
      <c r="FD185" s="11">
        <f t="shared" si="16"/>
        <v>0</v>
      </c>
      <c r="FE185" s="11">
        <f t="shared" si="16"/>
        <v>0</v>
      </c>
      <c r="FF185" s="11">
        <f t="shared" si="16"/>
        <v>0</v>
      </c>
      <c r="FG185" s="11">
        <f t="shared" si="16"/>
        <v>0</v>
      </c>
      <c r="FH185" s="11">
        <f t="shared" si="16"/>
        <v>0</v>
      </c>
      <c r="FI185" s="11">
        <f t="shared" si="16"/>
        <v>0</v>
      </c>
      <c r="FJ185" s="11">
        <f t="shared" si="16"/>
        <v>0</v>
      </c>
      <c r="FK185" s="11">
        <f t="shared" si="16"/>
        <v>0</v>
      </c>
      <c r="FL185" s="11">
        <f t="shared" si="16"/>
        <v>0</v>
      </c>
      <c r="FM185" s="11">
        <f t="shared" si="16"/>
        <v>0</v>
      </c>
      <c r="FN185" s="11">
        <f t="shared" si="16"/>
        <v>0</v>
      </c>
      <c r="FO185" s="11">
        <f t="shared" si="16"/>
        <v>0</v>
      </c>
      <c r="FP185" s="11">
        <f t="shared" ref="FP185:GB185" si="17">SUM(FP5:FP184)</f>
        <v>0</v>
      </c>
      <c r="FQ185" s="11">
        <f t="shared" si="17"/>
        <v>0</v>
      </c>
      <c r="FR185" s="11">
        <f t="shared" si="17"/>
        <v>0</v>
      </c>
      <c r="FS185" s="11">
        <f t="shared" si="17"/>
        <v>0</v>
      </c>
      <c r="FT185" s="11">
        <f t="shared" si="17"/>
        <v>0</v>
      </c>
      <c r="FU185" s="11">
        <f t="shared" si="17"/>
        <v>0</v>
      </c>
      <c r="FV185" s="11">
        <f t="shared" si="17"/>
        <v>0</v>
      </c>
      <c r="FW185" s="11">
        <f t="shared" si="17"/>
        <v>0</v>
      </c>
      <c r="FX185" s="11">
        <f t="shared" si="17"/>
        <v>0</v>
      </c>
      <c r="FY185" s="11">
        <f t="shared" si="17"/>
        <v>0</v>
      </c>
      <c r="FZ185" s="11">
        <f t="shared" si="17"/>
        <v>0</v>
      </c>
      <c r="GA185" s="11">
        <f t="shared" si="17"/>
        <v>0</v>
      </c>
      <c r="GB185" s="11">
        <f t="shared" si="17"/>
        <v>0</v>
      </c>
      <c r="GC185" s="11">
        <f t="shared" ref="GC185:GI185" si="18">SUM(GC5:GC184)</f>
        <v>0</v>
      </c>
      <c r="GD185" s="11">
        <f t="shared" si="18"/>
        <v>0</v>
      </c>
      <c r="GE185" s="11">
        <f>SUM(GE5:GE184)</f>
        <v>0</v>
      </c>
      <c r="GF185" s="11">
        <f>SUM(GF5:GF184)</f>
        <v>0</v>
      </c>
      <c r="GG185" s="11">
        <f t="shared" si="18"/>
        <v>0</v>
      </c>
      <c r="GH185" s="11">
        <f t="shared" si="18"/>
        <v>0</v>
      </c>
      <c r="GI185" s="11">
        <f t="shared" si="18"/>
        <v>0</v>
      </c>
    </row>
    <row r="186" spans="1:191" ht="18" customHeight="1" thickBot="1" x14ac:dyDescent="0.3">
      <c r="A186" s="174"/>
      <c r="B186" s="8"/>
      <c r="C186" s="8"/>
      <c r="D186" s="8"/>
      <c r="E186" s="176" t="s">
        <v>145</v>
      </c>
      <c r="F186" s="1037">
        <f>SUM(F185:J185)</f>
        <v>0</v>
      </c>
      <c r="G186" s="1038"/>
      <c r="H186" s="1038"/>
      <c r="I186" s="1038"/>
      <c r="J186" s="1038"/>
      <c r="K186" s="1036">
        <f>SUM(K185:O185)</f>
        <v>0</v>
      </c>
      <c r="L186" s="1036"/>
      <c r="M186" s="1036"/>
      <c r="N186" s="1036"/>
      <c r="O186" s="1036"/>
      <c r="P186" s="1036">
        <f>SUM(P185:T185)</f>
        <v>0</v>
      </c>
      <c r="Q186" s="1036"/>
      <c r="R186" s="1036"/>
      <c r="S186" s="1036"/>
      <c r="T186" s="1036"/>
      <c r="U186" s="1035">
        <f>SUM(U185:Y185)</f>
        <v>70</v>
      </c>
      <c r="V186" s="1036"/>
      <c r="W186" s="1036"/>
      <c r="X186" s="1036"/>
      <c r="Y186" s="1036"/>
      <c r="Z186" s="1036">
        <f>SUM(Z185:AD185)</f>
        <v>0</v>
      </c>
      <c r="AA186" s="1036"/>
      <c r="AB186" s="1036"/>
      <c r="AC186" s="1036"/>
      <c r="AD186" s="1036"/>
      <c r="AE186" s="1035">
        <f>SUM(AE185:AI185)</f>
        <v>0</v>
      </c>
      <c r="AF186" s="1036"/>
      <c r="AG186" s="1036"/>
      <c r="AH186" s="1036"/>
      <c r="AI186" s="1036"/>
      <c r="AJ186" s="1036">
        <f>SUM(AJ185:AN185)</f>
        <v>60</v>
      </c>
      <c r="AK186" s="1036"/>
      <c r="AL186" s="1036"/>
      <c r="AM186" s="1036"/>
      <c r="AN186" s="1036"/>
      <c r="AO186" s="1035">
        <f>SUM(AO185:AS185)</f>
        <v>0</v>
      </c>
      <c r="AP186" s="1036"/>
      <c r="AQ186" s="1036"/>
      <c r="AR186" s="1036"/>
      <c r="AS186" s="1036"/>
      <c r="AT186" s="1036">
        <f>SUM(AT185:AX185)</f>
        <v>0</v>
      </c>
      <c r="AU186" s="1036"/>
      <c r="AV186" s="1036"/>
      <c r="AW186" s="1036"/>
      <c r="AX186" s="1036"/>
      <c r="AY186" s="1035">
        <f>SUM(AY185:BE185)</f>
        <v>0</v>
      </c>
      <c r="AZ186" s="1036"/>
      <c r="BA186" s="1036"/>
      <c r="BB186" s="1036"/>
      <c r="BC186" s="1036"/>
      <c r="BD186" s="1036"/>
      <c r="BE186" s="1036"/>
      <c r="BF186" s="1036">
        <f>SUM(BF185:BJ185)</f>
        <v>0</v>
      </c>
      <c r="BG186" s="1036"/>
      <c r="BH186" s="1036"/>
      <c r="BI186" s="1036"/>
      <c r="BJ186" s="1036"/>
      <c r="BK186" s="440"/>
      <c r="BL186" s="440"/>
      <c r="BM186" s="1035">
        <f>SUM(BM185:BQ185)</f>
        <v>0</v>
      </c>
      <c r="BN186" s="1036"/>
      <c r="BO186" s="1036"/>
      <c r="BP186" s="1036"/>
      <c r="BQ186" s="1036"/>
      <c r="BR186" s="1036">
        <f>SUM(BR185:BV185)</f>
        <v>0</v>
      </c>
      <c r="BS186" s="1036"/>
      <c r="BT186" s="1036"/>
      <c r="BU186" s="1036"/>
      <c r="BV186" s="1036"/>
      <c r="BW186" s="440"/>
      <c r="BX186" s="440"/>
      <c r="BY186" s="440"/>
      <c r="BZ186" s="1036"/>
      <c r="CA186" s="1036"/>
      <c r="CB186" s="1036"/>
      <c r="CC186" s="1036"/>
      <c r="CD186" s="1036"/>
      <c r="CE186" s="1036">
        <f>SUM(CE185:CI185)</f>
        <v>2</v>
      </c>
      <c r="CF186" s="1036"/>
      <c r="CG186" s="1036"/>
      <c r="CH186" s="1036"/>
      <c r="CI186" s="1036"/>
      <c r="CJ186" s="1039">
        <f>SUM(CJ185:CV185)</f>
        <v>0</v>
      </c>
      <c r="CK186" s="1040"/>
      <c r="CL186" s="1040"/>
      <c r="CM186" s="1040"/>
      <c r="CN186" s="1040"/>
      <c r="CO186" s="1040"/>
      <c r="CP186" s="1040"/>
      <c r="CQ186" s="1040"/>
      <c r="CR186" s="1040"/>
      <c r="CS186" s="1040"/>
      <c r="CT186" s="1040"/>
      <c r="CU186" s="1040"/>
      <c r="CV186" s="1040"/>
      <c r="CW186" s="1036">
        <f>SUM(CW185:DA185)</f>
        <v>0</v>
      </c>
      <c r="CX186" s="1036"/>
      <c r="CY186" s="1036"/>
      <c r="CZ186" s="1036"/>
      <c r="DA186" s="1036"/>
      <c r="DB186" s="1035">
        <f>SUM(DB185:DH185)</f>
        <v>0</v>
      </c>
      <c r="DC186" s="1036"/>
      <c r="DD186" s="1036"/>
      <c r="DE186" s="1036"/>
      <c r="DF186" s="1036"/>
      <c r="DG186" s="1036"/>
      <c r="DH186" s="1036"/>
      <c r="DI186" s="1036"/>
      <c r="DJ186" s="1036"/>
      <c r="DK186" s="1036"/>
      <c r="DL186" s="1036"/>
      <c r="DM186" s="1036"/>
      <c r="DN186" s="1036"/>
      <c r="DO186" s="1035">
        <f>SUM(DO185:DX185)</f>
        <v>0</v>
      </c>
      <c r="DP186" s="1036"/>
      <c r="DQ186" s="1036"/>
      <c r="DR186" s="1036"/>
      <c r="DS186" s="1036"/>
      <c r="DT186" s="1036"/>
      <c r="DU186" s="1036"/>
      <c r="DV186" s="1036"/>
      <c r="DW186" s="1036"/>
      <c r="DX186" s="1036"/>
      <c r="DY186" s="1036">
        <f>SUM(DY185:EC185)</f>
        <v>0</v>
      </c>
      <c r="DZ186" s="1036"/>
      <c r="EA186" s="1036"/>
      <c r="EB186" s="1036"/>
      <c r="EC186" s="1036"/>
      <c r="ED186" s="1035">
        <f>SUM(ED185:EI185)</f>
        <v>0</v>
      </c>
      <c r="EE186" s="1036"/>
      <c r="EF186" s="1036"/>
      <c r="EG186" s="1036"/>
      <c r="EH186" s="1036"/>
      <c r="EI186" s="1036"/>
      <c r="EJ186" s="1036">
        <f>SUM(EJ185:ES185)</f>
        <v>0</v>
      </c>
      <c r="EK186" s="1036"/>
      <c r="EL186" s="1036"/>
      <c r="EM186" s="1036"/>
      <c r="EN186" s="1036"/>
      <c r="EO186" s="1036"/>
      <c r="EP186" s="1036"/>
      <c r="EQ186" s="1036"/>
      <c r="ER186" s="1036"/>
      <c r="ES186" s="1036"/>
      <c r="ET186" s="1035">
        <f>SUM(ET185:EZ185)</f>
        <v>0</v>
      </c>
      <c r="EU186" s="1036"/>
      <c r="EV186" s="1036"/>
      <c r="EW186" s="1036"/>
      <c r="EX186" s="1036"/>
      <c r="EY186" s="1036"/>
      <c r="EZ186" s="1036"/>
      <c r="FA186" s="1036">
        <f>SUM(FA185:FE185)</f>
        <v>0</v>
      </c>
      <c r="FB186" s="1036"/>
      <c r="FC186" s="1036"/>
      <c r="FD186" s="1036"/>
      <c r="FE186" s="1036"/>
      <c r="FF186" s="1035">
        <f>SUM(FF185:FJ185)</f>
        <v>0</v>
      </c>
      <c r="FG186" s="1036"/>
      <c r="FH186" s="1036"/>
      <c r="FI186" s="1036"/>
      <c r="FJ186" s="1036"/>
      <c r="FK186" s="1036">
        <f>SUM(FK185:FO185)</f>
        <v>0</v>
      </c>
      <c r="FL186" s="1036"/>
      <c r="FM186" s="1036"/>
      <c r="FN186" s="1036"/>
      <c r="FO186" s="1036"/>
      <c r="FP186" s="1036">
        <f>SUM(FP185:FT185)</f>
        <v>0</v>
      </c>
      <c r="FQ186" s="1036"/>
      <c r="FR186" s="1036"/>
      <c r="FS186" s="1036"/>
      <c r="FT186" s="1036"/>
      <c r="FU186" s="1035">
        <f>SUM(FU185:FY185)</f>
        <v>0</v>
      </c>
      <c r="FV186" s="1036"/>
      <c r="FW186" s="1036"/>
      <c r="FX186" s="1036"/>
      <c r="FY186" s="1036"/>
      <c r="FZ186" s="1035">
        <f>SUM(FZ185:GD185)</f>
        <v>0</v>
      </c>
      <c r="GA186" s="1036"/>
      <c r="GB186" s="1036"/>
      <c r="GC186" s="1036"/>
      <c r="GD186" s="1036"/>
      <c r="GE186" s="1035">
        <f>SUM(GE185:GI185)</f>
        <v>0</v>
      </c>
      <c r="GF186" s="1036"/>
      <c r="GG186" s="1036"/>
      <c r="GH186" s="1036"/>
      <c r="GI186" s="1036"/>
    </row>
    <row r="187" spans="1:191" ht="14.45" customHeight="1" x14ac:dyDescent="0.25"/>
    <row r="188" spans="1:191" x14ac:dyDescent="0.25">
      <c r="BH188" s="8"/>
    </row>
    <row r="189" spans="1:191" x14ac:dyDescent="0.25">
      <c r="BH189" s="8"/>
      <c r="FV189" t="s">
        <v>149</v>
      </c>
    </row>
    <row r="190" spans="1:191" x14ac:dyDescent="0.25">
      <c r="BH190" s="8"/>
    </row>
    <row r="191" spans="1:191" x14ac:dyDescent="0.25">
      <c r="BH191" s="8"/>
    </row>
    <row r="192" spans="1:191" x14ac:dyDescent="0.25">
      <c r="BH192" s="8"/>
    </row>
    <row r="193" spans="60:60" x14ac:dyDescent="0.25">
      <c r="BH193" s="8"/>
    </row>
    <row r="194" spans="60:60" x14ac:dyDescent="0.25">
      <c r="BH194" s="8"/>
    </row>
    <row r="195" spans="60:60" x14ac:dyDescent="0.25">
      <c r="BH195" s="8"/>
    </row>
    <row r="196" spans="60:60" x14ac:dyDescent="0.25">
      <c r="BH196" s="8"/>
    </row>
    <row r="197" spans="60:60" x14ac:dyDescent="0.25">
      <c r="BH197" s="8"/>
    </row>
    <row r="198" spans="60:60" x14ac:dyDescent="0.25">
      <c r="BH198" s="8"/>
    </row>
    <row r="199" spans="60:60" x14ac:dyDescent="0.25">
      <c r="BH199" s="8"/>
    </row>
    <row r="200" spans="60:60" x14ac:dyDescent="0.25">
      <c r="BH200" s="8"/>
    </row>
    <row r="201" spans="60:60" x14ac:dyDescent="0.25">
      <c r="BH201" s="8"/>
    </row>
    <row r="202" spans="60:60" x14ac:dyDescent="0.25">
      <c r="BH202" s="8"/>
    </row>
    <row r="203" spans="60:60" x14ac:dyDescent="0.25">
      <c r="BH203" s="8"/>
    </row>
    <row r="204" spans="60:60" x14ac:dyDescent="0.25">
      <c r="BH204" s="8"/>
    </row>
    <row r="205" spans="60:60" x14ac:dyDescent="0.25">
      <c r="BH205" s="8"/>
    </row>
    <row r="206" spans="60:60" x14ac:dyDescent="0.25">
      <c r="BH206" s="8"/>
    </row>
    <row r="207" spans="60:60" x14ac:dyDescent="0.25">
      <c r="BH207" s="8"/>
    </row>
    <row r="208" spans="60:60" x14ac:dyDescent="0.25">
      <c r="BH208" s="8"/>
    </row>
    <row r="209" spans="60:60" x14ac:dyDescent="0.25">
      <c r="BH209" s="8"/>
    </row>
    <row r="210" spans="60:60" x14ac:dyDescent="0.25">
      <c r="BH210" s="8"/>
    </row>
    <row r="211" spans="60:60" x14ac:dyDescent="0.25">
      <c r="BH211" s="8"/>
    </row>
    <row r="212" spans="60:60" x14ac:dyDescent="0.25">
      <c r="BH212" s="8"/>
    </row>
    <row r="213" spans="60:60" x14ac:dyDescent="0.25">
      <c r="BH213" s="8"/>
    </row>
    <row r="214" spans="60:60" x14ac:dyDescent="0.25">
      <c r="BH214" s="8"/>
    </row>
    <row r="215" spans="60:60" x14ac:dyDescent="0.25">
      <c r="BH215" s="8"/>
    </row>
    <row r="216" spans="60:60" x14ac:dyDescent="0.25">
      <c r="BH216" s="8"/>
    </row>
    <row r="217" spans="60:60" x14ac:dyDescent="0.25">
      <c r="BH217" s="8"/>
    </row>
    <row r="218" spans="60:60" x14ac:dyDescent="0.25">
      <c r="BH218" s="8"/>
    </row>
    <row r="219" spans="60:60" x14ac:dyDescent="0.25">
      <c r="BH219" s="8"/>
    </row>
    <row r="220" spans="60:60" x14ac:dyDescent="0.25">
      <c r="BH220" s="8"/>
    </row>
    <row r="221" spans="60:60" x14ac:dyDescent="0.25">
      <c r="BH221" s="8"/>
    </row>
    <row r="222" spans="60:60" x14ac:dyDescent="0.25">
      <c r="BH222" s="8"/>
    </row>
    <row r="223" spans="60:60" x14ac:dyDescent="0.25">
      <c r="BH223" s="8"/>
    </row>
    <row r="224" spans="60:60" x14ac:dyDescent="0.25">
      <c r="BH224" s="8"/>
    </row>
    <row r="225" spans="60:60" x14ac:dyDescent="0.25">
      <c r="BH225" s="8"/>
    </row>
    <row r="226" spans="60:60" x14ac:dyDescent="0.25">
      <c r="BH226" s="8"/>
    </row>
    <row r="227" spans="60:60" x14ac:dyDescent="0.25">
      <c r="BH227" s="8"/>
    </row>
    <row r="228" spans="60:60" x14ac:dyDescent="0.25">
      <c r="BH228" s="8"/>
    </row>
    <row r="229" spans="60:60" x14ac:dyDescent="0.25">
      <c r="BH229" s="8"/>
    </row>
    <row r="230" spans="60:60" x14ac:dyDescent="0.25">
      <c r="BH230" s="8"/>
    </row>
    <row r="231" spans="60:60" x14ac:dyDescent="0.25">
      <c r="BH231" s="8"/>
    </row>
    <row r="232" spans="60:60" x14ac:dyDescent="0.25">
      <c r="BH232" s="8"/>
    </row>
    <row r="233" spans="60:60" x14ac:dyDescent="0.25">
      <c r="BH233" s="8"/>
    </row>
    <row r="234" spans="60:60" x14ac:dyDescent="0.25">
      <c r="BH234" s="8"/>
    </row>
    <row r="235" spans="60:60" x14ac:dyDescent="0.25">
      <c r="BH235" s="8"/>
    </row>
    <row r="236" spans="60:60" x14ac:dyDescent="0.25">
      <c r="BH236" s="8"/>
    </row>
    <row r="237" spans="60:60" x14ac:dyDescent="0.25">
      <c r="BH237" s="8"/>
    </row>
    <row r="238" spans="60:60" x14ac:dyDescent="0.25">
      <c r="BH238" s="8"/>
    </row>
    <row r="239" spans="60:60" x14ac:dyDescent="0.25">
      <c r="BH239" s="8"/>
    </row>
    <row r="240" spans="60:60" x14ac:dyDescent="0.25">
      <c r="BH240" s="8"/>
    </row>
    <row r="241" spans="60:60" x14ac:dyDescent="0.25">
      <c r="BH241" s="8"/>
    </row>
    <row r="242" spans="60:60" x14ac:dyDescent="0.25">
      <c r="BH242" s="8"/>
    </row>
    <row r="243" spans="60:60" x14ac:dyDescent="0.25">
      <c r="BH243" s="8"/>
    </row>
    <row r="244" spans="60:60" x14ac:dyDescent="0.25">
      <c r="BH244" s="8"/>
    </row>
    <row r="245" spans="60:60" x14ac:dyDescent="0.25">
      <c r="BH245" s="8"/>
    </row>
    <row r="246" spans="60:60" x14ac:dyDescent="0.25">
      <c r="BH246" s="8"/>
    </row>
    <row r="247" spans="60:60" x14ac:dyDescent="0.25">
      <c r="BH247" s="8"/>
    </row>
    <row r="248" spans="60:60" x14ac:dyDescent="0.25">
      <c r="BH248" s="8"/>
    </row>
    <row r="249" spans="60:60" x14ac:dyDescent="0.25">
      <c r="BH249" s="8"/>
    </row>
    <row r="250" spans="60:60" x14ac:dyDescent="0.25">
      <c r="BH250" s="8"/>
    </row>
    <row r="251" spans="60:60" x14ac:dyDescent="0.25">
      <c r="BH251" s="8"/>
    </row>
    <row r="252" spans="60:60" x14ac:dyDescent="0.25">
      <c r="BH252" s="8"/>
    </row>
    <row r="253" spans="60:60" x14ac:dyDescent="0.25">
      <c r="BH253" s="8"/>
    </row>
    <row r="254" spans="60:60" x14ac:dyDescent="0.25">
      <c r="BH254" s="8"/>
    </row>
    <row r="255" spans="60:60" x14ac:dyDescent="0.25">
      <c r="BH255" s="8"/>
    </row>
    <row r="256" spans="60:60" x14ac:dyDescent="0.25">
      <c r="BH256" s="8"/>
    </row>
    <row r="257" spans="60:60" x14ac:dyDescent="0.25">
      <c r="BH257" s="8"/>
    </row>
    <row r="258" spans="60:60" x14ac:dyDescent="0.25">
      <c r="BH258" s="8"/>
    </row>
    <row r="259" spans="60:60" x14ac:dyDescent="0.25">
      <c r="BH259" s="8"/>
    </row>
    <row r="260" spans="60:60" x14ac:dyDescent="0.25">
      <c r="BH260" s="8"/>
    </row>
    <row r="261" spans="60:60" x14ac:dyDescent="0.25">
      <c r="BH261" s="8"/>
    </row>
    <row r="262" spans="60:60" x14ac:dyDescent="0.25">
      <c r="BH262" s="8"/>
    </row>
    <row r="263" spans="60:60" x14ac:dyDescent="0.25">
      <c r="BH263" s="8"/>
    </row>
    <row r="264" spans="60:60" x14ac:dyDescent="0.25">
      <c r="BH264" s="8"/>
    </row>
    <row r="265" spans="60:60" x14ac:dyDescent="0.25">
      <c r="BH265" s="8"/>
    </row>
    <row r="266" spans="60:60" x14ac:dyDescent="0.25">
      <c r="BH266" s="8"/>
    </row>
    <row r="267" spans="60:60" x14ac:dyDescent="0.25">
      <c r="BH267" s="8"/>
    </row>
    <row r="268" spans="60:60" x14ac:dyDescent="0.25">
      <c r="BH268" s="8"/>
    </row>
    <row r="269" spans="60:60" x14ac:dyDescent="0.25">
      <c r="BH269" s="8"/>
    </row>
    <row r="270" spans="60:60" x14ac:dyDescent="0.25">
      <c r="BH270" s="8"/>
    </row>
    <row r="271" spans="60:60" x14ac:dyDescent="0.25">
      <c r="BH271" s="8"/>
    </row>
    <row r="272" spans="60:60" x14ac:dyDescent="0.25">
      <c r="BH272" s="8"/>
    </row>
    <row r="273" spans="60:60" x14ac:dyDescent="0.25">
      <c r="BH273" s="8"/>
    </row>
    <row r="274" spans="60:60" x14ac:dyDescent="0.25">
      <c r="BH274" s="8"/>
    </row>
    <row r="275" spans="60:60" x14ac:dyDescent="0.25">
      <c r="BH275" s="8"/>
    </row>
    <row r="276" spans="60:60" x14ac:dyDescent="0.25">
      <c r="BH276" s="8"/>
    </row>
    <row r="277" spans="60:60" x14ac:dyDescent="0.25">
      <c r="BH277" s="8"/>
    </row>
    <row r="278" spans="60:60" x14ac:dyDescent="0.25">
      <c r="BH278" s="8"/>
    </row>
    <row r="279" spans="60:60" x14ac:dyDescent="0.25">
      <c r="BH279" s="8">
        <v>3</v>
      </c>
    </row>
    <row r="280" spans="60:60" x14ac:dyDescent="0.25">
      <c r="BH280" s="8"/>
    </row>
    <row r="281" spans="60:60" x14ac:dyDescent="0.25">
      <c r="BH281" s="8"/>
    </row>
    <row r="282" spans="60:60" x14ac:dyDescent="0.25">
      <c r="BH282" s="8"/>
    </row>
    <row r="283" spans="60:60" x14ac:dyDescent="0.25">
      <c r="BH283" s="8"/>
    </row>
    <row r="284" spans="60:60" x14ac:dyDescent="0.25">
      <c r="BH284" s="8">
        <v>2</v>
      </c>
    </row>
    <row r="285" spans="60:60" x14ac:dyDescent="0.25">
      <c r="BH285" s="8"/>
    </row>
    <row r="286" spans="60:60" x14ac:dyDescent="0.25">
      <c r="BH286" s="8">
        <v>6</v>
      </c>
    </row>
    <row r="287" spans="60:60" x14ac:dyDescent="0.25">
      <c r="BH287" s="8">
        <v>17</v>
      </c>
    </row>
    <row r="288" spans="60:60" x14ac:dyDescent="0.25">
      <c r="BH288" s="8"/>
    </row>
    <row r="289" spans="60:60" x14ac:dyDescent="0.25">
      <c r="BH289" s="8"/>
    </row>
    <row r="290" spans="60:60" x14ac:dyDescent="0.25">
      <c r="BH290" s="8"/>
    </row>
    <row r="291" spans="60:60" x14ac:dyDescent="0.25">
      <c r="BH291" s="8"/>
    </row>
    <row r="292" spans="60:60" x14ac:dyDescent="0.25">
      <c r="BH292" s="8"/>
    </row>
    <row r="293" spans="60:60" x14ac:dyDescent="0.25">
      <c r="BH293" s="8"/>
    </row>
    <row r="294" spans="60:60" x14ac:dyDescent="0.25">
      <c r="BH294" s="8"/>
    </row>
    <row r="295" spans="60:60" x14ac:dyDescent="0.25">
      <c r="BH295" s="8"/>
    </row>
    <row r="296" spans="60:60" x14ac:dyDescent="0.25">
      <c r="BH296" s="8"/>
    </row>
    <row r="297" spans="60:60" x14ac:dyDescent="0.25">
      <c r="BH297" s="8"/>
    </row>
    <row r="298" spans="60:60" x14ac:dyDescent="0.25">
      <c r="BH298" s="8">
        <v>4</v>
      </c>
    </row>
    <row r="299" spans="60:60" x14ac:dyDescent="0.25">
      <c r="BH299" s="8"/>
    </row>
    <row r="300" spans="60:60" x14ac:dyDescent="0.25">
      <c r="BH300" s="8"/>
    </row>
    <row r="301" spans="60:60" x14ac:dyDescent="0.25">
      <c r="BH301" s="8"/>
    </row>
    <row r="302" spans="60:60" x14ac:dyDescent="0.25">
      <c r="BH302" s="8"/>
    </row>
    <row r="303" spans="60:60" x14ac:dyDescent="0.25">
      <c r="BH303" s="8">
        <v>5</v>
      </c>
    </row>
    <row r="304" spans="60:60" x14ac:dyDescent="0.25">
      <c r="BH304" s="8">
        <v>18</v>
      </c>
    </row>
    <row r="305" spans="60:60" x14ac:dyDescent="0.25">
      <c r="BH305" s="8"/>
    </row>
    <row r="306" spans="60:60" x14ac:dyDescent="0.25">
      <c r="BH306" s="8">
        <v>15</v>
      </c>
    </row>
    <row r="307" spans="60:60" x14ac:dyDescent="0.25">
      <c r="BH307" s="8"/>
    </row>
    <row r="308" spans="60:60" x14ac:dyDescent="0.25">
      <c r="BH308" s="8"/>
    </row>
    <row r="309" spans="60:60" x14ac:dyDescent="0.25">
      <c r="BH309" s="8"/>
    </row>
    <row r="310" spans="60:60" x14ac:dyDescent="0.25">
      <c r="BH310" s="8"/>
    </row>
    <row r="311" spans="60:60" x14ac:dyDescent="0.25">
      <c r="BH311" s="8"/>
    </row>
    <row r="312" spans="60:60" x14ac:dyDescent="0.25">
      <c r="BH312" s="8"/>
    </row>
    <row r="313" spans="60:60" x14ac:dyDescent="0.25">
      <c r="BH313" s="8"/>
    </row>
    <row r="314" spans="60:60" x14ac:dyDescent="0.25">
      <c r="BH314" s="8"/>
    </row>
    <row r="315" spans="60:60" x14ac:dyDescent="0.25">
      <c r="BH315" s="8"/>
    </row>
    <row r="316" spans="60:60" x14ac:dyDescent="0.25">
      <c r="BH316" s="8"/>
    </row>
    <row r="317" spans="60:60" x14ac:dyDescent="0.25">
      <c r="BH317" s="8"/>
    </row>
    <row r="318" spans="60:60" x14ac:dyDescent="0.25">
      <c r="BH318" s="8"/>
    </row>
    <row r="319" spans="60:60" x14ac:dyDescent="0.25">
      <c r="BH319" s="8"/>
    </row>
    <row r="320" spans="60:60" x14ac:dyDescent="0.25">
      <c r="BH320" s="8"/>
    </row>
    <row r="321" spans="60:60" x14ac:dyDescent="0.25">
      <c r="BH321" s="8"/>
    </row>
    <row r="322" spans="60:60" x14ac:dyDescent="0.25">
      <c r="BH322" s="8"/>
    </row>
    <row r="323" spans="60:60" x14ac:dyDescent="0.25">
      <c r="BH323" s="8"/>
    </row>
    <row r="324" spans="60:60" x14ac:dyDescent="0.25">
      <c r="BH324" s="8"/>
    </row>
    <row r="325" spans="60:60" x14ac:dyDescent="0.25">
      <c r="BH325" s="8"/>
    </row>
    <row r="326" spans="60:60" x14ac:dyDescent="0.25">
      <c r="BH326" s="8"/>
    </row>
    <row r="327" spans="60:60" x14ac:dyDescent="0.25">
      <c r="BH327" s="8"/>
    </row>
    <row r="328" spans="60:60" x14ac:dyDescent="0.25">
      <c r="BH328" s="8"/>
    </row>
    <row r="329" spans="60:60" x14ac:dyDescent="0.25">
      <c r="BH329" s="8"/>
    </row>
    <row r="330" spans="60:60" x14ac:dyDescent="0.25">
      <c r="BH330" s="8"/>
    </row>
    <row r="331" spans="60:60" x14ac:dyDescent="0.25">
      <c r="BH331" s="8"/>
    </row>
    <row r="332" spans="60:60" x14ac:dyDescent="0.25">
      <c r="BH332" s="8"/>
    </row>
    <row r="333" spans="60:60" x14ac:dyDescent="0.25">
      <c r="BH333" s="8"/>
    </row>
    <row r="334" spans="60:60" x14ac:dyDescent="0.25">
      <c r="BH334" s="8"/>
    </row>
    <row r="335" spans="60:60" x14ac:dyDescent="0.25">
      <c r="BH335" s="8"/>
    </row>
    <row r="336" spans="60:60" x14ac:dyDescent="0.25">
      <c r="BH336" s="8"/>
    </row>
    <row r="337" spans="60:60" x14ac:dyDescent="0.25">
      <c r="BH337" s="8"/>
    </row>
    <row r="338" spans="60:60" x14ac:dyDescent="0.25">
      <c r="BH338" s="8"/>
    </row>
    <row r="339" spans="60:60" x14ac:dyDescent="0.25">
      <c r="BH339" s="8"/>
    </row>
    <row r="340" spans="60:60" x14ac:dyDescent="0.25">
      <c r="BH340" s="8"/>
    </row>
    <row r="341" spans="60:60" x14ac:dyDescent="0.25">
      <c r="BH341" s="8"/>
    </row>
    <row r="342" spans="60:60" x14ac:dyDescent="0.25">
      <c r="BH342" s="8"/>
    </row>
    <row r="343" spans="60:60" x14ac:dyDescent="0.25">
      <c r="BH343" s="8"/>
    </row>
    <row r="344" spans="60:60" x14ac:dyDescent="0.25">
      <c r="BH344" s="8"/>
    </row>
    <row r="345" spans="60:60" x14ac:dyDescent="0.25">
      <c r="BH345" s="8"/>
    </row>
    <row r="346" spans="60:60" x14ac:dyDescent="0.25">
      <c r="BH346" s="8"/>
    </row>
    <row r="347" spans="60:60" x14ac:dyDescent="0.25">
      <c r="BH347" s="8"/>
    </row>
    <row r="348" spans="60:60" x14ac:dyDescent="0.25">
      <c r="BH348" s="8"/>
    </row>
    <row r="349" spans="60:60" x14ac:dyDescent="0.25">
      <c r="BH349" s="8"/>
    </row>
    <row r="350" spans="60:60" x14ac:dyDescent="0.25">
      <c r="BH350" s="8"/>
    </row>
    <row r="351" spans="60:60" x14ac:dyDescent="0.25">
      <c r="BH351" s="8"/>
    </row>
    <row r="352" spans="60:60" x14ac:dyDescent="0.25">
      <c r="BH352" s="8"/>
    </row>
    <row r="353" spans="60:60" x14ac:dyDescent="0.25">
      <c r="BH353" s="8"/>
    </row>
    <row r="354" spans="60:60" x14ac:dyDescent="0.25">
      <c r="BH354" s="8"/>
    </row>
    <row r="355" spans="60:60" x14ac:dyDescent="0.25">
      <c r="BH355" s="8"/>
    </row>
    <row r="356" spans="60:60" x14ac:dyDescent="0.25">
      <c r="BH356" s="8"/>
    </row>
    <row r="357" spans="60:60" x14ac:dyDescent="0.25">
      <c r="BH357" s="8"/>
    </row>
    <row r="358" spans="60:60" x14ac:dyDescent="0.25">
      <c r="BH358" s="8"/>
    </row>
    <row r="359" spans="60:60" x14ac:dyDescent="0.25">
      <c r="BH359" s="8"/>
    </row>
    <row r="360" spans="60:60" x14ac:dyDescent="0.25">
      <c r="BH360" s="8"/>
    </row>
    <row r="361" spans="60:60" x14ac:dyDescent="0.25">
      <c r="BH361" s="8"/>
    </row>
    <row r="362" spans="60:60" x14ac:dyDescent="0.25">
      <c r="BH362" s="8"/>
    </row>
    <row r="363" spans="60:60" x14ac:dyDescent="0.25">
      <c r="BH363" s="8"/>
    </row>
    <row r="364" spans="60:60" x14ac:dyDescent="0.25">
      <c r="BH364" s="8"/>
    </row>
    <row r="365" spans="60:60" x14ac:dyDescent="0.25">
      <c r="BH365" s="8"/>
    </row>
    <row r="366" spans="60:60" x14ac:dyDescent="0.25">
      <c r="BH366" s="8"/>
    </row>
    <row r="367" spans="60:60" x14ac:dyDescent="0.25">
      <c r="BH367" s="8"/>
    </row>
  </sheetData>
  <autoFilter ref="A4:GI186" xr:uid="{00000000-0009-0000-0000-000011000000}"/>
  <mergeCells count="65">
    <mergeCell ref="FP186:FT186"/>
    <mergeCell ref="FK1:FO1"/>
    <mergeCell ref="FF186:FJ186"/>
    <mergeCell ref="FK186:FO186"/>
    <mergeCell ref="EJ186:ES186"/>
    <mergeCell ref="FF1:FJ1"/>
    <mergeCell ref="FP1:FT1"/>
    <mergeCell ref="FA186:FE186"/>
    <mergeCell ref="ET1:EZ1"/>
    <mergeCell ref="FA1:FE1"/>
    <mergeCell ref="EJ1:ES1"/>
    <mergeCell ref="DB1:DH1"/>
    <mergeCell ref="DI1:DN1"/>
    <mergeCell ref="DB186:DH186"/>
    <mergeCell ref="DI186:DN186"/>
    <mergeCell ref="ED1:EI1"/>
    <mergeCell ref="DO1:DX1"/>
    <mergeCell ref="ED186:EI186"/>
    <mergeCell ref="DY1:EC1"/>
    <mergeCell ref="DO186:DX186"/>
    <mergeCell ref="DY186:EC186"/>
    <mergeCell ref="B1:B4"/>
    <mergeCell ref="C1:C4"/>
    <mergeCell ref="E1:E4"/>
    <mergeCell ref="F1:J1"/>
    <mergeCell ref="Z186:AD186"/>
    <mergeCell ref="P186:T186"/>
    <mergeCell ref="K1:O1"/>
    <mergeCell ref="P1:T1"/>
    <mergeCell ref="K186:O186"/>
    <mergeCell ref="F186:J186"/>
    <mergeCell ref="U1:Y1"/>
    <mergeCell ref="Z1:AD1"/>
    <mergeCell ref="AE1:AI1"/>
    <mergeCell ref="U186:Y186"/>
    <mergeCell ref="AE186:AI186"/>
    <mergeCell ref="BR1:BY1"/>
    <mergeCell ref="AY1:BE1"/>
    <mergeCell ref="AY186:BE186"/>
    <mergeCell ref="BF186:BJ186"/>
    <mergeCell ref="BM1:BQ1"/>
    <mergeCell ref="AO1:AS1"/>
    <mergeCell ref="AT1:AX1"/>
    <mergeCell ref="BF1:BL1"/>
    <mergeCell ref="AJ186:AN186"/>
    <mergeCell ref="BM186:BQ186"/>
    <mergeCell ref="BR186:BV186"/>
    <mergeCell ref="AO186:AS186"/>
    <mergeCell ref="AT186:AX186"/>
    <mergeCell ref="GE1:GI1"/>
    <mergeCell ref="GE186:GI186"/>
    <mergeCell ref="FU186:FY186"/>
    <mergeCell ref="FU1:FY1"/>
    <mergeCell ref="AJ1:AN1"/>
    <mergeCell ref="BZ1:CD1"/>
    <mergeCell ref="CE1:CI1"/>
    <mergeCell ref="BZ186:CD186"/>
    <mergeCell ref="CE186:CI186"/>
    <mergeCell ref="CJ1:CV1"/>
    <mergeCell ref="FZ1:GD1"/>
    <mergeCell ref="FZ186:GD186"/>
    <mergeCell ref="CW1:DA1"/>
    <mergeCell ref="CW186:DA186"/>
    <mergeCell ref="CJ186:CV186"/>
    <mergeCell ref="ET186:EZ186"/>
  </mergeCells>
  <conditionalFormatting sqref="A5:A45">
    <cfRule type="duplicateValues" dxfId="57" priority="443"/>
  </conditionalFormatting>
  <conditionalFormatting sqref="A5:A178">
    <cfRule type="duplicateValues" dxfId="56" priority="3692"/>
  </conditionalFormatting>
  <conditionalFormatting sqref="A15">
    <cfRule type="duplicateValues" dxfId="55" priority="303"/>
  </conditionalFormatting>
  <conditionalFormatting sqref="A16">
    <cfRule type="duplicateValues" dxfId="54" priority="302"/>
  </conditionalFormatting>
  <conditionalFormatting sqref="A73">
    <cfRule type="duplicateValues" dxfId="53" priority="32"/>
  </conditionalFormatting>
  <conditionalFormatting sqref="A81">
    <cfRule type="duplicateValues" dxfId="52" priority="28"/>
  </conditionalFormatting>
  <conditionalFormatting sqref="A87">
    <cfRule type="duplicateValues" dxfId="51" priority="27"/>
  </conditionalFormatting>
  <conditionalFormatting sqref="A89">
    <cfRule type="duplicateValues" dxfId="50" priority="26"/>
  </conditionalFormatting>
  <conditionalFormatting sqref="A90">
    <cfRule type="duplicateValues" dxfId="49" priority="20"/>
    <cfRule type="duplicateValues" dxfId="48" priority="21"/>
  </conditionalFormatting>
  <conditionalFormatting sqref="A91">
    <cfRule type="duplicateValues" dxfId="47" priority="24"/>
    <cfRule type="duplicateValues" dxfId="46" priority="25"/>
  </conditionalFormatting>
  <conditionalFormatting sqref="A92">
    <cfRule type="duplicateValues" dxfId="45" priority="22"/>
    <cfRule type="duplicateValues" dxfId="44" priority="23"/>
  </conditionalFormatting>
  <conditionalFormatting sqref="A93:A101">
    <cfRule type="duplicateValues" dxfId="43" priority="18"/>
  </conditionalFormatting>
  <conditionalFormatting sqref="A127:A135">
    <cfRule type="duplicateValues" dxfId="42" priority="3591"/>
  </conditionalFormatting>
  <conditionalFormatting sqref="A136">
    <cfRule type="duplicateValues" dxfId="41" priority="13"/>
  </conditionalFormatting>
  <conditionalFormatting sqref="A137 A142:A143">
    <cfRule type="duplicateValues" dxfId="40" priority="3690"/>
  </conditionalFormatting>
  <conditionalFormatting sqref="A138">
    <cfRule type="duplicateValues" dxfId="39" priority="9"/>
  </conditionalFormatting>
  <conditionalFormatting sqref="A139 A141">
    <cfRule type="duplicateValues" dxfId="38" priority="7"/>
  </conditionalFormatting>
  <conditionalFormatting sqref="A140">
    <cfRule type="duplicateValues" dxfId="37" priority="5"/>
  </conditionalFormatting>
  <conditionalFormatting sqref="A143">
    <cfRule type="duplicateValues" dxfId="36" priority="2"/>
  </conditionalFormatting>
  <conditionalFormatting sqref="A144:A177">
    <cfRule type="duplicateValues" dxfId="35" priority="4"/>
  </conditionalFormatting>
  <conditionalFormatting sqref="A178 A5:A126">
    <cfRule type="duplicateValues" dxfId="34" priority="16"/>
  </conditionalFormatting>
  <conditionalFormatting sqref="A178 A93:A126">
    <cfRule type="duplicateValues" dxfId="33" priority="17"/>
  </conditionalFormatting>
  <conditionalFormatting sqref="A178 A102:A126">
    <cfRule type="duplicateValues" dxfId="32" priority="19"/>
  </conditionalFormatting>
  <conditionalFormatting sqref="A179:A184">
    <cfRule type="duplicateValues" dxfId="31" priority="1"/>
  </conditionalFormatting>
  <conditionalFormatting sqref="A185:A1048576 A65 A74:A80 A82:A86 A72 A67:A70 A88 A1:A53">
    <cfRule type="duplicateValues" dxfId="30" priority="34"/>
  </conditionalFormatting>
  <pageMargins left="0.7" right="0.7" top="0.75" bottom="0.75" header="0.3" footer="0.3"/>
  <pageSetup orientation="portrait" r:id="rId1"/>
  <ignoredErrors>
    <ignoredError sqref="FQ185:FT185 GC185:GD185 FU185:GB185" formulaRange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7"/>
  <dimension ref="A1:Q100"/>
  <sheetViews>
    <sheetView zoomScale="106" zoomScaleNormal="106" workbookViewId="0">
      <selection activeCell="Q12" sqref="Q12"/>
    </sheetView>
  </sheetViews>
  <sheetFormatPr defaultColWidth="9.140625" defaultRowHeight="15" x14ac:dyDescent="0.25"/>
  <cols>
    <col min="1" max="1" width="37.42578125" bestFit="1" customWidth="1"/>
    <col min="2" max="2" width="11.7109375" bestFit="1" customWidth="1"/>
    <col min="3" max="3" width="17.28515625" customWidth="1"/>
    <col min="4" max="4" width="11.85546875" customWidth="1"/>
    <col min="5" max="5" width="16.7109375" hidden="1" customWidth="1"/>
    <col min="6" max="8" width="5.7109375" hidden="1" customWidth="1"/>
    <col min="9" max="9" width="8" hidden="1" customWidth="1"/>
    <col min="10" max="10" width="5.7109375" hidden="1" customWidth="1"/>
    <col min="11" max="11" width="0.7109375" hidden="1" customWidth="1"/>
    <col min="12" max="12" width="8.85546875" customWidth="1"/>
    <col min="13" max="13" width="8" customWidth="1"/>
    <col min="14" max="14" width="8.42578125" customWidth="1"/>
    <col min="15" max="15" width="16.28515625" style="12" bestFit="1" customWidth="1"/>
    <col min="16" max="16" width="6.28515625" bestFit="1" customWidth="1"/>
    <col min="17" max="17" width="13" bestFit="1" customWidth="1"/>
  </cols>
  <sheetData>
    <row r="1" spans="1:17" ht="31.5" customHeight="1" thickBot="1" x14ac:dyDescent="0.3">
      <c r="A1" s="90" t="s">
        <v>54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  <c r="M1" s="91"/>
      <c r="N1" s="93"/>
      <c r="P1" s="153" t="s">
        <v>150</v>
      </c>
      <c r="Q1" s="152">
        <f ca="1">TODAY()</f>
        <v>46221</v>
      </c>
    </row>
    <row r="2" spans="1:17" ht="19.5" customHeight="1" x14ac:dyDescent="0.25">
      <c r="A2" s="1059" t="s">
        <v>4</v>
      </c>
      <c r="B2" s="1061" t="s">
        <v>55</v>
      </c>
      <c r="C2" s="1061" t="s">
        <v>229</v>
      </c>
      <c r="D2" s="1063" t="s">
        <v>56</v>
      </c>
      <c r="E2" s="3" t="s">
        <v>57</v>
      </c>
      <c r="F2" s="3"/>
      <c r="G2" s="3"/>
      <c r="H2" s="94">
        <f ca="1">TODAY()</f>
        <v>46221</v>
      </c>
      <c r="I2" s="94"/>
      <c r="J2" s="94"/>
      <c r="K2" s="3"/>
      <c r="L2" s="114">
        <f ca="1">TODAY()</f>
        <v>46221</v>
      </c>
      <c r="M2" s="114">
        <f ca="1">TODAY()+1</f>
        <v>46222</v>
      </c>
      <c r="N2" s="114">
        <f ca="1">TODAY()+2</f>
        <v>46223</v>
      </c>
    </row>
    <row r="3" spans="1:17" ht="61.5" customHeight="1" thickBot="1" x14ac:dyDescent="0.3">
      <c r="A3" s="1060"/>
      <c r="B3" s="1062"/>
      <c r="C3" s="1062"/>
      <c r="D3" s="1064"/>
      <c r="E3" s="4" t="s">
        <v>58</v>
      </c>
      <c r="F3" s="5" t="s">
        <v>59</v>
      </c>
      <c r="G3" s="4" t="s">
        <v>60</v>
      </c>
      <c r="H3" s="6" t="s">
        <v>61</v>
      </c>
      <c r="I3" s="6" t="s">
        <v>62</v>
      </c>
      <c r="J3" s="6" t="s">
        <v>63</v>
      </c>
      <c r="K3" s="7"/>
      <c r="L3" s="83" t="s">
        <v>64</v>
      </c>
      <c r="M3" s="83" t="s">
        <v>65</v>
      </c>
      <c r="N3" s="84" t="s">
        <v>66</v>
      </c>
    </row>
    <row r="4" spans="1:17" x14ac:dyDescent="0.25">
      <c r="A4" s="136" t="s">
        <v>295</v>
      </c>
      <c r="B4" s="115" t="s">
        <v>296</v>
      </c>
      <c r="C4" s="137" t="s">
        <v>141</v>
      </c>
      <c r="D4" s="110" t="s">
        <v>682</v>
      </c>
      <c r="E4" s="64"/>
      <c r="F4" s="64"/>
      <c r="G4" s="64"/>
      <c r="H4" s="64"/>
      <c r="I4" s="64"/>
      <c r="J4" s="64"/>
      <c r="K4" s="64"/>
      <c r="L4" s="115">
        <v>0</v>
      </c>
      <c r="M4" s="115">
        <v>0</v>
      </c>
      <c r="N4" s="116">
        <v>0</v>
      </c>
      <c r="O4" s="68" t="s">
        <v>151</v>
      </c>
    </row>
    <row r="5" spans="1:17" x14ac:dyDescent="0.25">
      <c r="A5" s="51" t="s">
        <v>291</v>
      </c>
      <c r="B5" s="142" t="s">
        <v>296</v>
      </c>
      <c r="C5" s="52" t="s">
        <v>141</v>
      </c>
      <c r="D5" s="112" t="s">
        <v>683</v>
      </c>
      <c r="E5" s="142">
        <v>0</v>
      </c>
      <c r="F5" s="142">
        <v>0</v>
      </c>
      <c r="G5" s="142">
        <v>0</v>
      </c>
      <c r="H5" s="142"/>
      <c r="I5" s="142">
        <f>IFERROR(VLOOKUP(D5,'[7]pivot vin color'!#REF!,2,0),0)</f>
        <v>0</v>
      </c>
      <c r="J5" s="142">
        <f>IFERROR(VLOOKUP(D5,'[7]pivot vin color'!#REF!,3,0),0)</f>
        <v>0</v>
      </c>
      <c r="K5" s="142">
        <f>IFERROR(VLOOKUP(D5,'[7]pivot vin color'!#REF!,4,0),0)</f>
        <v>0</v>
      </c>
      <c r="L5" s="115">
        <v>0</v>
      </c>
      <c r="M5" s="115">
        <v>0</v>
      </c>
      <c r="N5" s="116">
        <v>0</v>
      </c>
      <c r="O5" s="67">
        <f>SUMIF(FLOAT!$D:$D,'3 D P'!$D$5:$D$89,FLOAT!$F:$F)</f>
        <v>0</v>
      </c>
    </row>
    <row r="6" spans="1:17" x14ac:dyDescent="0.25">
      <c r="A6" s="51" t="s">
        <v>51</v>
      </c>
      <c r="B6" s="142" t="s">
        <v>296</v>
      </c>
      <c r="C6" s="52" t="s">
        <v>141</v>
      </c>
      <c r="D6" s="112" t="s">
        <v>592</v>
      </c>
      <c r="E6" s="142">
        <v>12</v>
      </c>
      <c r="F6" s="142">
        <v>0</v>
      </c>
      <c r="G6" s="142">
        <v>7</v>
      </c>
      <c r="H6" s="142"/>
      <c r="I6" s="142">
        <f>IFERROR(VLOOKUP(D6,'[7]pivot vin color'!#REF!,2,0),0)</f>
        <v>0</v>
      </c>
      <c r="J6" s="142">
        <f>IFERROR(VLOOKUP(D6,'[7]pivot vin color'!#REF!,3,0),0)</f>
        <v>0</v>
      </c>
      <c r="K6" s="142">
        <f>IFERROR(VLOOKUP(D6,'[7]pivot vin color'!#REF!,4,0),0)</f>
        <v>0</v>
      </c>
      <c r="L6" s="115">
        <v>5</v>
      </c>
      <c r="M6" s="115">
        <v>0</v>
      </c>
      <c r="N6" s="116">
        <v>1</v>
      </c>
      <c r="O6" s="67">
        <f>SUMIF(FLOAT!$D:$D,'3 D P'!$D$5:$D$89,FLOAT!$F:$F)</f>
        <v>2</v>
      </c>
    </row>
    <row r="7" spans="1:17" x14ac:dyDescent="0.25">
      <c r="A7" s="51" t="s">
        <v>159</v>
      </c>
      <c r="B7" s="142" t="s">
        <v>296</v>
      </c>
      <c r="C7" s="52" t="s">
        <v>141</v>
      </c>
      <c r="D7" s="112" t="s">
        <v>594</v>
      </c>
      <c r="E7" s="142">
        <v>4</v>
      </c>
      <c r="F7" s="142">
        <v>0</v>
      </c>
      <c r="G7" s="142">
        <v>6</v>
      </c>
      <c r="H7" s="142"/>
      <c r="I7" s="142">
        <f>IFERROR(VLOOKUP(D7,'[7]pivot vin color'!#REF!,2,0),0)</f>
        <v>0</v>
      </c>
      <c r="J7" s="142">
        <f>IFERROR(VLOOKUP(D7,'[7]pivot vin color'!#REF!,3,0),0)</f>
        <v>0</v>
      </c>
      <c r="K7" s="142">
        <f>IFERROR(VLOOKUP(D7,'[7]pivot vin color'!#REF!,4,0),0)</f>
        <v>0</v>
      </c>
      <c r="L7" s="115">
        <v>18</v>
      </c>
      <c r="M7" s="115">
        <v>30</v>
      </c>
      <c r="N7" s="116">
        <v>5</v>
      </c>
      <c r="O7" s="67">
        <f>SUMIF(FLOAT!$D:$D,'3 D P'!$D$5:$D$89,FLOAT!$F:$F)</f>
        <v>4</v>
      </c>
    </row>
    <row r="8" spans="1:17" x14ac:dyDescent="0.25">
      <c r="A8" s="51" t="s">
        <v>380</v>
      </c>
      <c r="B8" s="142" t="s">
        <v>296</v>
      </c>
      <c r="C8" s="52" t="s">
        <v>141</v>
      </c>
      <c r="D8" s="112" t="s">
        <v>575</v>
      </c>
      <c r="E8" s="142">
        <v>2</v>
      </c>
      <c r="F8" s="142">
        <v>0</v>
      </c>
      <c r="G8" s="142">
        <v>0</v>
      </c>
      <c r="H8" s="142"/>
      <c r="I8" s="142">
        <f>IFERROR(VLOOKUP(D8,'[7]pivot vin color'!#REF!,2,0),0)</f>
        <v>0</v>
      </c>
      <c r="J8" s="142">
        <f>IFERROR(VLOOKUP(D8,'[7]pivot vin color'!#REF!,3,0),0)</f>
        <v>0</v>
      </c>
      <c r="K8" s="142">
        <f>IFERROR(VLOOKUP(D8,'[7]pivot vin color'!#REF!,4,0),0)</f>
        <v>0</v>
      </c>
      <c r="L8" s="115">
        <v>10</v>
      </c>
      <c r="M8" s="115">
        <v>24</v>
      </c>
      <c r="N8" s="116">
        <v>1</v>
      </c>
      <c r="O8" s="67">
        <f>SUMIF(FLOAT!$D:$D,'3 D P'!$D$5:$D$89,FLOAT!$F:$F)</f>
        <v>2</v>
      </c>
    </row>
    <row r="9" spans="1:17" x14ac:dyDescent="0.25">
      <c r="A9" s="51" t="s">
        <v>381</v>
      </c>
      <c r="B9" s="142" t="s">
        <v>296</v>
      </c>
      <c r="C9" s="52" t="s">
        <v>141</v>
      </c>
      <c r="D9" s="112" t="s">
        <v>684</v>
      </c>
      <c r="E9" s="142">
        <v>0</v>
      </c>
      <c r="F9" s="142">
        <v>0</v>
      </c>
      <c r="G9" s="142">
        <v>0</v>
      </c>
      <c r="H9" s="142"/>
      <c r="I9" s="142">
        <f>IFERROR(VLOOKUP(D9,'[7]pivot vin color'!#REF!,2,0),0)</f>
        <v>0</v>
      </c>
      <c r="J9" s="142">
        <f>IFERROR(VLOOKUP(D9,'[7]pivot vin color'!#REF!,3,0),0)</f>
        <v>0</v>
      </c>
      <c r="K9" s="142">
        <f>IFERROR(VLOOKUP(D9,'[7]pivot vin color'!#REF!,4,0),0)</f>
        <v>0</v>
      </c>
      <c r="L9" s="115">
        <v>0</v>
      </c>
      <c r="M9" s="115">
        <v>0</v>
      </c>
      <c r="N9" s="116">
        <v>0</v>
      </c>
      <c r="O9" s="67">
        <f>SUMIF(FLOAT!$D:$D,'3 D P'!$D$5:$D$89,FLOAT!$F:$F)</f>
        <v>0</v>
      </c>
    </row>
    <row r="10" spans="1:17" x14ac:dyDescent="0.25">
      <c r="A10" s="51" t="s">
        <v>382</v>
      </c>
      <c r="B10" s="142" t="s">
        <v>296</v>
      </c>
      <c r="C10" s="52" t="s">
        <v>141</v>
      </c>
      <c r="D10" s="112" t="s">
        <v>685</v>
      </c>
      <c r="E10" s="142">
        <v>0</v>
      </c>
      <c r="F10" s="142">
        <v>0</v>
      </c>
      <c r="G10" s="142">
        <v>0</v>
      </c>
      <c r="H10" s="142"/>
      <c r="I10" s="142">
        <f>IFERROR(VLOOKUP(D10,'[7]pivot vin color'!#REF!,2,0),0)</f>
        <v>0</v>
      </c>
      <c r="J10" s="142">
        <f>IFERROR(VLOOKUP(D10,'[7]pivot vin color'!#REF!,3,0),0)</f>
        <v>0</v>
      </c>
      <c r="K10" s="142">
        <f>IFERROR(VLOOKUP(D10,'[7]pivot vin color'!#REF!,4,0),0)</f>
        <v>0</v>
      </c>
      <c r="L10" s="115">
        <v>0</v>
      </c>
      <c r="M10" s="115">
        <v>0</v>
      </c>
      <c r="N10" s="116">
        <v>0</v>
      </c>
      <c r="O10" s="67">
        <f>SUMIF(FLOAT!$D:$D,'3 D P'!$D$5:$D$89,FLOAT!$F:$F)</f>
        <v>0</v>
      </c>
    </row>
    <row r="11" spans="1:17" x14ac:dyDescent="0.25">
      <c r="A11" s="51" t="s">
        <v>369</v>
      </c>
      <c r="B11" s="142" t="s">
        <v>296</v>
      </c>
      <c r="C11" s="52" t="s">
        <v>141</v>
      </c>
      <c r="D11" s="112" t="s">
        <v>595</v>
      </c>
      <c r="E11" s="142">
        <v>0</v>
      </c>
      <c r="F11" s="142">
        <v>0</v>
      </c>
      <c r="G11" s="142">
        <v>0</v>
      </c>
      <c r="H11" s="142"/>
      <c r="I11" s="142">
        <f>IFERROR(VLOOKUP(D11,'[7]pivot vin color'!#REF!,2,0),0)</f>
        <v>0</v>
      </c>
      <c r="J11" s="142">
        <f>IFERROR(VLOOKUP(D11,'[7]pivot vin color'!#REF!,3,0),0)</f>
        <v>0</v>
      </c>
      <c r="K11" s="142">
        <f>IFERROR(VLOOKUP(D11,'[7]pivot vin color'!#REF!,4,0),0)</f>
        <v>0</v>
      </c>
      <c r="L11" s="115">
        <v>13</v>
      </c>
      <c r="M11" s="115">
        <v>0</v>
      </c>
      <c r="N11" s="116">
        <v>16</v>
      </c>
      <c r="O11" s="67">
        <f>SUMIF(FLOAT!$D:$D,'3 D P'!$D$5:$D$89,FLOAT!$F:$F)</f>
        <v>5</v>
      </c>
    </row>
    <row r="12" spans="1:17" x14ac:dyDescent="0.25">
      <c r="A12" s="51" t="s">
        <v>228</v>
      </c>
      <c r="B12" s="142" t="s">
        <v>296</v>
      </c>
      <c r="C12" s="52" t="s">
        <v>141</v>
      </c>
      <c r="D12" s="112" t="s">
        <v>596</v>
      </c>
      <c r="E12" s="142">
        <v>0</v>
      </c>
      <c r="F12" s="142">
        <v>0</v>
      </c>
      <c r="G12" s="142">
        <v>0</v>
      </c>
      <c r="H12" s="142"/>
      <c r="I12" s="142">
        <f>IFERROR(VLOOKUP(D12,'[7]pivot vin color'!#REF!,2,0),0)</f>
        <v>0</v>
      </c>
      <c r="J12" s="142">
        <f>IFERROR(VLOOKUP(D12,'[7]pivot vin color'!#REF!,3,0),0)</f>
        <v>0</v>
      </c>
      <c r="K12" s="142">
        <f>IFERROR(VLOOKUP(D12,'[7]pivot vin color'!#REF!,4,0),0)</f>
        <v>0</v>
      </c>
      <c r="L12" s="115">
        <v>36</v>
      </c>
      <c r="M12" s="115">
        <v>15</v>
      </c>
      <c r="N12" s="116">
        <v>21</v>
      </c>
      <c r="O12" s="67">
        <f>SUMIF(FLOAT!$D:$D,'3 D P'!$D$5:$D$89,FLOAT!$F:$F)</f>
        <v>13</v>
      </c>
    </row>
    <row r="13" spans="1:17" x14ac:dyDescent="0.25">
      <c r="A13" s="51" t="s">
        <v>227</v>
      </c>
      <c r="B13" s="142" t="s">
        <v>296</v>
      </c>
      <c r="C13" s="52" t="s">
        <v>141</v>
      </c>
      <c r="D13" s="112" t="s">
        <v>578</v>
      </c>
      <c r="E13" s="142">
        <v>0</v>
      </c>
      <c r="F13" s="142">
        <v>0</v>
      </c>
      <c r="G13" s="142">
        <v>0</v>
      </c>
      <c r="H13" s="142"/>
      <c r="I13" s="142">
        <f>IFERROR(VLOOKUP(D13,'[7]pivot vin color'!#REF!,2,0),0)</f>
        <v>0</v>
      </c>
      <c r="J13" s="142">
        <f>IFERROR(VLOOKUP(D13,'[7]pivot vin color'!#REF!,3,0),0)</f>
        <v>0</v>
      </c>
      <c r="K13" s="142">
        <f>IFERROR(VLOOKUP(D13,'[7]pivot vin color'!#REF!,4,0),0)</f>
        <v>0</v>
      </c>
      <c r="L13" s="115">
        <v>178</v>
      </c>
      <c r="M13" s="115">
        <v>144</v>
      </c>
      <c r="N13" s="116">
        <v>0</v>
      </c>
      <c r="O13" s="67">
        <f>SUMIF(FLOAT!$D:$D,'3 D P'!$D$5:$D$89,FLOAT!$F:$F)</f>
        <v>78</v>
      </c>
    </row>
    <row r="14" spans="1:17" x14ac:dyDescent="0.25">
      <c r="A14" s="51" t="s">
        <v>235</v>
      </c>
      <c r="B14" s="142" t="s">
        <v>296</v>
      </c>
      <c r="C14" s="52" t="s">
        <v>141</v>
      </c>
      <c r="D14" s="112" t="s">
        <v>580</v>
      </c>
      <c r="E14" s="142">
        <v>0</v>
      </c>
      <c r="F14" s="142">
        <v>0</v>
      </c>
      <c r="G14" s="142">
        <v>0</v>
      </c>
      <c r="H14" s="142"/>
      <c r="I14" s="142">
        <f>IFERROR(VLOOKUP(D14,'[7]pivot vin color'!#REF!,2,0),0)</f>
        <v>0</v>
      </c>
      <c r="J14" s="142">
        <f>IFERROR(VLOOKUP(D14,'[7]pivot vin color'!#REF!,3,0),0)</f>
        <v>0</v>
      </c>
      <c r="K14" s="142">
        <f>IFERROR(VLOOKUP(D14,'[7]pivot vin color'!#REF!,4,0),0)</f>
        <v>0</v>
      </c>
      <c r="L14" s="115">
        <v>1</v>
      </c>
      <c r="M14" s="115">
        <v>0</v>
      </c>
      <c r="N14" s="116">
        <v>0</v>
      </c>
      <c r="O14" s="67">
        <f>SUMIF(FLOAT!$D:$D,'3 D P'!$D$5:$D$89,FLOAT!$F:$F)</f>
        <v>59</v>
      </c>
    </row>
    <row r="15" spans="1:17" x14ac:dyDescent="0.25">
      <c r="A15" s="51" t="s">
        <v>152</v>
      </c>
      <c r="B15" s="142" t="s">
        <v>296</v>
      </c>
      <c r="C15" s="52" t="s">
        <v>141</v>
      </c>
      <c r="D15" s="112" t="s">
        <v>579</v>
      </c>
      <c r="E15" s="86">
        <v>18</v>
      </c>
      <c r="F15" s="86">
        <v>0</v>
      </c>
      <c r="G15" s="86">
        <v>13</v>
      </c>
      <c r="H15" s="63"/>
      <c r="I15" s="86">
        <f>SUM(I5:I14)</f>
        <v>0</v>
      </c>
      <c r="J15" s="86">
        <f>SUM(J5:J14)</f>
        <v>0</v>
      </c>
      <c r="K15" s="86">
        <f>SUM(K5:K14)</f>
        <v>0</v>
      </c>
      <c r="L15" s="115">
        <v>3</v>
      </c>
      <c r="M15" s="115">
        <v>0</v>
      </c>
      <c r="N15" s="116">
        <v>0</v>
      </c>
      <c r="O15" s="67">
        <f>SUMIF(FLOAT!$D:$D,'3 D P'!$D$5:$D$89,FLOAT!$F:$F)</f>
        <v>13</v>
      </c>
    </row>
    <row r="16" spans="1:17" x14ac:dyDescent="0.25">
      <c r="A16" s="51" t="s">
        <v>116</v>
      </c>
      <c r="B16" s="142" t="s">
        <v>296</v>
      </c>
      <c r="C16" s="52" t="s">
        <v>141</v>
      </c>
      <c r="D16" s="112" t="s">
        <v>581</v>
      </c>
      <c r="E16" s="142">
        <v>3</v>
      </c>
      <c r="F16" s="142">
        <v>0</v>
      </c>
      <c r="G16" s="142">
        <v>0</v>
      </c>
      <c r="H16" s="142"/>
      <c r="I16" s="142">
        <f>IFERROR(VLOOKUP(D16,'[7]pivot vin color'!#REF!,2,0),0)</f>
        <v>0</v>
      </c>
      <c r="J16" s="142">
        <f>IFERROR(VLOOKUP(D16,'[7]pivot vin color'!#REF!,3,0),0)</f>
        <v>0</v>
      </c>
      <c r="K16" s="142">
        <f>IFERROR(VLOOKUP(D16,'[7]pivot vin color'!#REF!,4,0),0)</f>
        <v>0</v>
      </c>
      <c r="L16" s="115">
        <v>1</v>
      </c>
      <c r="M16" s="115">
        <v>0</v>
      </c>
      <c r="N16" s="116">
        <v>0</v>
      </c>
      <c r="O16" s="67">
        <f>SUMIF(FLOAT!$D:$D,'3 D P'!$D$5:$D$89,FLOAT!$F:$F)</f>
        <v>23</v>
      </c>
    </row>
    <row r="17" spans="1:15" x14ac:dyDescent="0.25">
      <c r="A17" s="51" t="s">
        <v>288</v>
      </c>
      <c r="B17" s="142" t="s">
        <v>296</v>
      </c>
      <c r="C17" s="52" t="s">
        <v>141</v>
      </c>
      <c r="D17" s="112" t="s">
        <v>582</v>
      </c>
      <c r="E17" s="142"/>
      <c r="F17" s="142"/>
      <c r="G17" s="142"/>
      <c r="H17" s="142"/>
      <c r="I17" s="142"/>
      <c r="J17" s="142"/>
      <c r="K17" s="142"/>
      <c r="L17" s="115">
        <v>97</v>
      </c>
      <c r="M17" s="115">
        <v>112</v>
      </c>
      <c r="N17" s="116">
        <v>225</v>
      </c>
      <c r="O17" s="67">
        <f>SUMIF(FLOAT!$D:$D,'3 D P'!$D$5:$D$89,FLOAT!$F:$F)</f>
        <v>66</v>
      </c>
    </row>
    <row r="18" spans="1:15" x14ac:dyDescent="0.25">
      <c r="A18" s="51" t="s">
        <v>297</v>
      </c>
      <c r="B18" s="142" t="s">
        <v>296</v>
      </c>
      <c r="C18" s="52" t="s">
        <v>141</v>
      </c>
      <c r="D18" s="112" t="s">
        <v>602</v>
      </c>
      <c r="E18" s="142"/>
      <c r="F18" s="142"/>
      <c r="G18" s="142"/>
      <c r="H18" s="142"/>
      <c r="I18" s="142"/>
      <c r="J18" s="142"/>
      <c r="K18" s="142"/>
      <c r="L18" s="115">
        <v>13</v>
      </c>
      <c r="M18" s="115">
        <v>40</v>
      </c>
      <c r="N18" s="116">
        <v>11</v>
      </c>
      <c r="O18" s="67">
        <f>SUMIF(FLOAT!$D:$D,'3 D P'!$D$5:$D$89,FLOAT!$F:$F)</f>
        <v>23</v>
      </c>
    </row>
    <row r="19" spans="1:15" x14ac:dyDescent="0.25">
      <c r="A19" s="51" t="s">
        <v>153</v>
      </c>
      <c r="B19" s="142" t="s">
        <v>296</v>
      </c>
      <c r="C19" s="52" t="s">
        <v>141</v>
      </c>
      <c r="D19" s="112" t="s">
        <v>603</v>
      </c>
      <c r="E19" s="142"/>
      <c r="F19" s="142"/>
      <c r="G19" s="142"/>
      <c r="H19" s="142"/>
      <c r="I19" s="142"/>
      <c r="J19" s="142"/>
      <c r="K19" s="142"/>
      <c r="L19" s="115">
        <v>132</v>
      </c>
      <c r="M19" s="115">
        <v>234</v>
      </c>
      <c r="N19" s="116">
        <v>277</v>
      </c>
      <c r="O19" s="67">
        <f>SUMIF(FLOAT!$D:$D,'3 D P'!$D$5:$D$89,FLOAT!$F:$F)</f>
        <v>97</v>
      </c>
    </row>
    <row r="20" spans="1:15" x14ac:dyDescent="0.25">
      <c r="A20" s="51" t="s">
        <v>154</v>
      </c>
      <c r="B20" s="142" t="s">
        <v>296</v>
      </c>
      <c r="C20" s="52" t="s">
        <v>141</v>
      </c>
      <c r="D20" s="112" t="s">
        <v>604</v>
      </c>
      <c r="E20" s="142"/>
      <c r="F20" s="142"/>
      <c r="G20" s="142"/>
      <c r="H20" s="142"/>
      <c r="I20" s="142"/>
      <c r="J20" s="142"/>
      <c r="K20" s="142"/>
      <c r="L20" s="115">
        <v>29</v>
      </c>
      <c r="M20" s="115">
        <v>10</v>
      </c>
      <c r="N20" s="116">
        <v>21</v>
      </c>
      <c r="O20" s="67">
        <f>SUMIF(FLOAT!$D:$D,'3 D P'!$D$5:$D$89,FLOAT!$F:$F)</f>
        <v>27</v>
      </c>
    </row>
    <row r="21" spans="1:15" x14ac:dyDescent="0.25">
      <c r="A21" s="138" t="s">
        <v>298</v>
      </c>
      <c r="B21" s="111"/>
      <c r="C21" s="111"/>
      <c r="D21" s="112" t="s">
        <v>583</v>
      </c>
      <c r="E21" s="142"/>
      <c r="F21" s="142"/>
      <c r="G21" s="142"/>
      <c r="H21" s="142"/>
      <c r="I21" s="142"/>
      <c r="J21" s="142"/>
      <c r="K21" s="142"/>
      <c r="L21" s="115">
        <v>1</v>
      </c>
      <c r="M21" s="115">
        <v>0</v>
      </c>
      <c r="N21" s="116">
        <v>0</v>
      </c>
      <c r="O21" s="67">
        <f>SUMIF(FLOAT!$D:$D,'3 D P'!$D$5:$D$89,FLOAT!$F:$F)</f>
        <v>7</v>
      </c>
    </row>
    <row r="22" spans="1:15" x14ac:dyDescent="0.25">
      <c r="A22" s="51" t="s">
        <v>299</v>
      </c>
      <c r="B22" s="142" t="s">
        <v>300</v>
      </c>
      <c r="C22" s="52" t="s">
        <v>301</v>
      </c>
      <c r="D22" s="112" t="s">
        <v>584</v>
      </c>
      <c r="E22" s="142"/>
      <c r="F22" s="142"/>
      <c r="G22" s="142"/>
      <c r="H22" s="142"/>
      <c r="I22" s="142"/>
      <c r="J22" s="142"/>
      <c r="K22" s="142"/>
      <c r="L22" s="115">
        <v>28</v>
      </c>
      <c r="M22" s="115">
        <v>5</v>
      </c>
      <c r="N22" s="116">
        <v>36</v>
      </c>
      <c r="O22" s="67">
        <f>SUMIF(FLOAT!$D:$D,'3 D P'!$D$5:$D$89,FLOAT!$F:$F)</f>
        <v>12</v>
      </c>
    </row>
    <row r="23" spans="1:15" x14ac:dyDescent="0.25">
      <c r="A23" s="51" t="s">
        <v>302</v>
      </c>
      <c r="B23" s="142" t="s">
        <v>300</v>
      </c>
      <c r="C23" s="52" t="s">
        <v>301</v>
      </c>
      <c r="D23" s="112" t="s">
        <v>585</v>
      </c>
      <c r="E23" s="142"/>
      <c r="F23" s="142"/>
      <c r="G23" s="142"/>
      <c r="H23" s="142"/>
      <c r="I23" s="142"/>
      <c r="J23" s="142"/>
      <c r="K23" s="142"/>
      <c r="L23" s="115">
        <v>14</v>
      </c>
      <c r="M23" s="115">
        <v>34</v>
      </c>
      <c r="N23" s="116">
        <v>46</v>
      </c>
      <c r="O23" s="67">
        <f>SUMIF(FLOAT!$D:$D,'3 D P'!$D$5:$D$89,FLOAT!$F:$F)</f>
        <v>17</v>
      </c>
    </row>
    <row r="24" spans="1:15" x14ac:dyDescent="0.25">
      <c r="A24" s="51" t="s">
        <v>287</v>
      </c>
      <c r="B24" s="142" t="s">
        <v>300</v>
      </c>
      <c r="C24" s="52" t="s">
        <v>301</v>
      </c>
      <c r="D24" s="112" t="s">
        <v>586</v>
      </c>
      <c r="E24" s="142"/>
      <c r="F24" s="142"/>
      <c r="G24" s="142"/>
      <c r="H24" s="142"/>
      <c r="I24" s="142"/>
      <c r="J24" s="142"/>
      <c r="K24" s="142"/>
      <c r="L24" s="115">
        <v>15</v>
      </c>
      <c r="M24" s="115">
        <v>30</v>
      </c>
      <c r="N24" s="116">
        <v>67</v>
      </c>
      <c r="O24" s="67">
        <f>SUMIF(FLOAT!$D:$D,'3 D P'!$D$5:$D$89,FLOAT!$F:$F)</f>
        <v>16</v>
      </c>
    </row>
    <row r="25" spans="1:15" x14ac:dyDescent="0.25">
      <c r="A25" s="51" t="s">
        <v>303</v>
      </c>
      <c r="B25" s="142" t="s">
        <v>300</v>
      </c>
      <c r="C25" s="52" t="s">
        <v>304</v>
      </c>
      <c r="D25" s="112" t="s">
        <v>587</v>
      </c>
      <c r="E25" s="142"/>
      <c r="F25" s="142"/>
      <c r="G25" s="142"/>
      <c r="H25" s="142"/>
      <c r="I25" s="142"/>
      <c r="J25" s="142"/>
      <c r="K25" s="142"/>
      <c r="L25" s="115">
        <v>32</v>
      </c>
      <c r="M25" s="115">
        <v>19</v>
      </c>
      <c r="N25" s="116">
        <v>6</v>
      </c>
      <c r="O25" s="67">
        <f>SUMIF(FLOAT!$D:$D,'3 D P'!$D$5:$D$89,FLOAT!$F:$F)</f>
        <v>4</v>
      </c>
    </row>
    <row r="26" spans="1:15" x14ac:dyDescent="0.25">
      <c r="A26" s="51" t="s">
        <v>305</v>
      </c>
      <c r="B26" s="142" t="s">
        <v>300</v>
      </c>
      <c r="C26" s="52" t="s">
        <v>301</v>
      </c>
      <c r="D26" s="112" t="s">
        <v>573</v>
      </c>
      <c r="E26" s="142"/>
      <c r="F26" s="142"/>
      <c r="G26" s="142"/>
      <c r="H26" s="142"/>
      <c r="I26" s="142"/>
      <c r="J26" s="142"/>
      <c r="K26" s="142"/>
      <c r="L26" s="586">
        <v>2</v>
      </c>
      <c r="M26" s="586">
        <v>0</v>
      </c>
      <c r="N26" s="586">
        <v>0</v>
      </c>
      <c r="O26" s="67">
        <f>SUMIF(FLOAT!$D:$D,'3 D P'!$D$5:$D$89,FLOAT!$F:$F)</f>
        <v>13</v>
      </c>
    </row>
    <row r="27" spans="1:15" x14ac:dyDescent="0.25">
      <c r="A27" s="51" t="s">
        <v>233</v>
      </c>
      <c r="B27" s="142" t="s">
        <v>300</v>
      </c>
      <c r="C27" s="52" t="s">
        <v>301</v>
      </c>
      <c r="D27" s="112" t="s">
        <v>588</v>
      </c>
      <c r="E27" s="142"/>
      <c r="F27" s="142"/>
      <c r="G27" s="142"/>
      <c r="H27" s="142"/>
      <c r="I27" s="142"/>
      <c r="J27" s="142"/>
      <c r="K27" s="142"/>
      <c r="L27" s="115">
        <v>27</v>
      </c>
      <c r="M27" s="115">
        <v>17</v>
      </c>
      <c r="N27" s="116">
        <v>1</v>
      </c>
      <c r="O27" s="67">
        <f>SUMIF(FLOAT!$D:$D,'3 D P'!$D$5:$D$89,FLOAT!$F:$F)</f>
        <v>34</v>
      </c>
    </row>
    <row r="28" spans="1:15" x14ac:dyDescent="0.25">
      <c r="A28" s="51" t="s">
        <v>306</v>
      </c>
      <c r="B28" s="142" t="s">
        <v>300</v>
      </c>
      <c r="C28" s="52" t="s">
        <v>301</v>
      </c>
      <c r="D28" s="112" t="s">
        <v>576</v>
      </c>
      <c r="E28" s="142"/>
      <c r="F28" s="142"/>
      <c r="G28" s="142"/>
      <c r="H28" s="142"/>
      <c r="I28" s="142"/>
      <c r="J28" s="142"/>
      <c r="K28" s="142"/>
      <c r="L28" s="115">
        <v>28</v>
      </c>
      <c r="M28" s="115">
        <v>0</v>
      </c>
      <c r="N28" s="116">
        <v>0</v>
      </c>
      <c r="O28" s="67">
        <f>SUMIF(FLOAT!$D:$D,'3 D P'!$D$5:$D$89,FLOAT!$F:$F)</f>
        <v>11</v>
      </c>
    </row>
    <row r="29" spans="1:15" x14ac:dyDescent="0.25">
      <c r="A29" s="51" t="s">
        <v>307</v>
      </c>
      <c r="B29" s="142" t="s">
        <v>300</v>
      </c>
      <c r="C29" s="52" t="s">
        <v>308</v>
      </c>
      <c r="D29" s="112" t="s">
        <v>589</v>
      </c>
      <c r="E29" s="142"/>
      <c r="F29" s="142"/>
      <c r="G29" s="142"/>
      <c r="H29" s="142"/>
      <c r="I29" s="142"/>
      <c r="J29" s="142"/>
      <c r="K29" s="142"/>
      <c r="L29" s="115">
        <v>42</v>
      </c>
      <c r="M29" s="115">
        <v>0</v>
      </c>
      <c r="N29" s="116">
        <v>0</v>
      </c>
      <c r="O29" s="67">
        <f>SUMIF(FLOAT!$D:$D,'3 D P'!$D$5:$D$89,FLOAT!$F:$F)</f>
        <v>20</v>
      </c>
    </row>
    <row r="30" spans="1:15" x14ac:dyDescent="0.25">
      <c r="A30" s="51" t="s">
        <v>309</v>
      </c>
      <c r="B30" s="142" t="s">
        <v>300</v>
      </c>
      <c r="C30" s="52" t="s">
        <v>301</v>
      </c>
      <c r="D30" s="112" t="s">
        <v>686</v>
      </c>
      <c r="E30" s="142"/>
      <c r="F30" s="142"/>
      <c r="G30" s="142"/>
      <c r="H30" s="142"/>
      <c r="I30" s="142"/>
      <c r="J30" s="142"/>
      <c r="K30" s="142"/>
      <c r="L30" s="115">
        <v>0</v>
      </c>
      <c r="M30" s="115">
        <v>0</v>
      </c>
      <c r="N30" s="116">
        <v>0</v>
      </c>
      <c r="O30" s="67">
        <f>SUMIF(FLOAT!$D:$D,'3 D P'!$D$5:$D$89,FLOAT!$F:$F)</f>
        <v>0</v>
      </c>
    </row>
    <row r="31" spans="1:15" x14ac:dyDescent="0.25">
      <c r="A31" s="51" t="s">
        <v>310</v>
      </c>
      <c r="B31" s="142" t="s">
        <v>300</v>
      </c>
      <c r="C31" s="52" t="s">
        <v>301</v>
      </c>
      <c r="D31" s="113" t="s">
        <v>590</v>
      </c>
      <c r="E31" s="142"/>
      <c r="F31" s="142"/>
      <c r="G31" s="142"/>
      <c r="H31" s="142"/>
      <c r="I31" s="142"/>
      <c r="J31" s="142"/>
      <c r="K31" s="142"/>
      <c r="L31" s="115">
        <v>3</v>
      </c>
      <c r="M31" s="115">
        <v>0</v>
      </c>
      <c r="N31" s="116">
        <v>0</v>
      </c>
      <c r="O31" s="67">
        <f>SUMIF(FLOAT!$D:$D,'3 D P'!$D$5:$D$89,FLOAT!$F:$F)</f>
        <v>13</v>
      </c>
    </row>
    <row r="32" spans="1:15" x14ac:dyDescent="0.25">
      <c r="A32" s="51" t="s">
        <v>366</v>
      </c>
      <c r="B32" s="142" t="s">
        <v>300</v>
      </c>
      <c r="C32" s="52" t="s">
        <v>301</v>
      </c>
      <c r="D32" s="113" t="s">
        <v>593</v>
      </c>
      <c r="E32" s="142"/>
      <c r="F32" s="142"/>
      <c r="G32" s="142"/>
      <c r="H32" s="142"/>
      <c r="I32" s="142"/>
      <c r="J32" s="142"/>
      <c r="K32" s="142"/>
      <c r="L32" s="115">
        <v>0</v>
      </c>
      <c r="M32" s="115">
        <v>0</v>
      </c>
      <c r="N32" s="116">
        <v>0</v>
      </c>
      <c r="O32" s="67">
        <f>SUMIF(FLOAT!$D:$D,'3 D P'!$D$5:$D$89,FLOAT!$F:$F)</f>
        <v>0</v>
      </c>
    </row>
    <row r="33" spans="1:15" x14ac:dyDescent="0.25">
      <c r="A33" s="51" t="s">
        <v>311</v>
      </c>
      <c r="B33" s="142" t="s">
        <v>300</v>
      </c>
      <c r="C33" s="52" t="s">
        <v>301</v>
      </c>
      <c r="D33" s="772" t="s">
        <v>781</v>
      </c>
      <c r="E33" s="142"/>
      <c r="F33" s="142"/>
      <c r="G33" s="142"/>
      <c r="H33" s="142"/>
      <c r="I33" s="142"/>
      <c r="J33" s="142"/>
      <c r="K33" s="142"/>
      <c r="L33" s="115">
        <v>0</v>
      </c>
      <c r="M33" s="115">
        <v>0</v>
      </c>
      <c r="N33" s="116">
        <v>0</v>
      </c>
      <c r="O33" s="67">
        <f>SUMIF(FLOAT!$D:$D,'3 D P'!$D$5:$D$89,FLOAT!$F:$F)</f>
        <v>0</v>
      </c>
    </row>
    <row r="34" spans="1:15" x14ac:dyDescent="0.25">
      <c r="A34" s="51" t="s">
        <v>312</v>
      </c>
      <c r="B34" s="142" t="s">
        <v>300</v>
      </c>
      <c r="C34" s="52" t="s">
        <v>308</v>
      </c>
      <c r="D34" s="772" t="s">
        <v>783</v>
      </c>
      <c r="E34" s="142"/>
      <c r="F34" s="142"/>
      <c r="G34" s="142"/>
      <c r="H34" s="142"/>
      <c r="I34" s="142"/>
      <c r="J34" s="142"/>
      <c r="K34" s="142"/>
      <c r="L34" s="115">
        <v>0</v>
      </c>
      <c r="M34" s="115">
        <v>0</v>
      </c>
      <c r="N34" s="116">
        <v>0</v>
      </c>
      <c r="O34" s="67">
        <f>SUMIF(FLOAT!$D:$D,'3 D P'!$D$5:$D$89,FLOAT!$F:$F)</f>
        <v>0</v>
      </c>
    </row>
    <row r="35" spans="1:15" x14ac:dyDescent="0.25">
      <c r="A35" s="51" t="s">
        <v>364</v>
      </c>
      <c r="B35" s="142" t="s">
        <v>300</v>
      </c>
      <c r="C35" s="52" t="s">
        <v>308</v>
      </c>
      <c r="D35" s="772" t="s">
        <v>782</v>
      </c>
      <c r="E35" s="142"/>
      <c r="F35" s="142"/>
      <c r="G35" s="142"/>
      <c r="H35" s="142"/>
      <c r="I35" s="142"/>
      <c r="J35" s="142"/>
      <c r="K35" s="142"/>
      <c r="L35" s="115">
        <v>0</v>
      </c>
      <c r="M35" s="115">
        <v>0</v>
      </c>
      <c r="N35" s="116">
        <v>0</v>
      </c>
      <c r="O35" s="67">
        <f>SUMIF(FLOAT!$D:$D,'3 D P'!$D$5:$D$89,FLOAT!$F:$F)</f>
        <v>0</v>
      </c>
    </row>
    <row r="36" spans="1:15" x14ac:dyDescent="0.25">
      <c r="A36" s="51" t="s">
        <v>313</v>
      </c>
      <c r="B36" s="142" t="s">
        <v>300</v>
      </c>
      <c r="C36" s="52" t="s">
        <v>308</v>
      </c>
      <c r="D36" s="112" t="s">
        <v>687</v>
      </c>
      <c r="E36" s="142"/>
      <c r="F36" s="142"/>
      <c r="G36" s="142"/>
      <c r="H36" s="142"/>
      <c r="I36" s="142"/>
      <c r="J36" s="142"/>
      <c r="K36" s="142"/>
      <c r="L36" s="115">
        <v>0</v>
      </c>
      <c r="M36" s="115">
        <v>0</v>
      </c>
      <c r="N36" s="116">
        <v>0</v>
      </c>
      <c r="O36" s="67">
        <f>SUMIF(FLOAT!$D:$D,'3 D P'!$D$5:$D$89,FLOAT!$F:$F)</f>
        <v>0</v>
      </c>
    </row>
    <row r="37" spans="1:15" x14ac:dyDescent="0.25">
      <c r="A37" s="51" t="s">
        <v>237</v>
      </c>
      <c r="B37" s="142" t="s">
        <v>300</v>
      </c>
      <c r="C37" s="52" t="s">
        <v>308</v>
      </c>
      <c r="D37" s="112" t="s">
        <v>597</v>
      </c>
      <c r="E37" s="142"/>
      <c r="F37" s="142"/>
      <c r="G37" s="142"/>
      <c r="H37" s="142"/>
      <c r="I37" s="142"/>
      <c r="J37" s="142"/>
      <c r="K37" s="142"/>
      <c r="L37" s="115">
        <v>0</v>
      </c>
      <c r="M37" s="115">
        <v>0</v>
      </c>
      <c r="N37" s="116">
        <v>0</v>
      </c>
      <c r="O37" s="67">
        <f>SUMIF(FLOAT!$D:$D,'3 D P'!$D$5:$D$89,FLOAT!$F:$F)</f>
        <v>0</v>
      </c>
    </row>
    <row r="38" spans="1:15" x14ac:dyDescent="0.25">
      <c r="A38" s="51" t="s">
        <v>314</v>
      </c>
      <c r="B38" s="142" t="s">
        <v>300</v>
      </c>
      <c r="C38" s="52" t="s">
        <v>304</v>
      </c>
      <c r="D38" s="112" t="s">
        <v>591</v>
      </c>
      <c r="E38" s="142"/>
      <c r="F38" s="142"/>
      <c r="G38" s="142"/>
      <c r="H38" s="142"/>
      <c r="I38" s="142"/>
      <c r="J38" s="142"/>
      <c r="K38" s="142"/>
      <c r="L38" s="115">
        <v>1</v>
      </c>
      <c r="M38" s="115">
        <v>0</v>
      </c>
      <c r="N38" s="116">
        <v>1</v>
      </c>
      <c r="O38" s="67">
        <f>SUMIF(FLOAT!$D:$D,'3 D P'!$D$5:$D$89,FLOAT!$F:$F)</f>
        <v>1</v>
      </c>
    </row>
    <row r="39" spans="1:15" x14ac:dyDescent="0.25">
      <c r="A39" s="51" t="s">
        <v>314</v>
      </c>
      <c r="B39" s="142" t="s">
        <v>300</v>
      </c>
      <c r="C39" s="52" t="s">
        <v>304</v>
      </c>
      <c r="D39" s="112" t="s">
        <v>570</v>
      </c>
      <c r="E39" s="142"/>
      <c r="F39" s="142"/>
      <c r="G39" s="142"/>
      <c r="H39" s="142"/>
      <c r="I39" s="142"/>
      <c r="J39" s="142"/>
      <c r="K39" s="142"/>
      <c r="L39" s="115">
        <v>1</v>
      </c>
      <c r="M39" s="115">
        <v>0</v>
      </c>
      <c r="N39" s="116">
        <v>0</v>
      </c>
      <c r="O39" s="67">
        <f>SUMIF(FLOAT!$D:$D,'3 D P'!$D$5:$D$89,FLOAT!$F:$F)</f>
        <v>2</v>
      </c>
    </row>
    <row r="40" spans="1:15" x14ac:dyDescent="0.25">
      <c r="A40" s="51" t="s">
        <v>315</v>
      </c>
      <c r="B40" s="142" t="s">
        <v>300</v>
      </c>
      <c r="C40" s="52" t="s">
        <v>308</v>
      </c>
      <c r="D40" s="112" t="s">
        <v>574</v>
      </c>
      <c r="E40" s="142"/>
      <c r="F40" s="142"/>
      <c r="G40" s="142"/>
      <c r="H40" s="142"/>
      <c r="I40" s="142"/>
      <c r="J40" s="142"/>
      <c r="K40" s="142"/>
      <c r="L40" s="115">
        <v>10</v>
      </c>
      <c r="M40" s="115">
        <v>21</v>
      </c>
      <c r="N40" s="116">
        <v>0</v>
      </c>
      <c r="O40" s="67">
        <f>SUMIF(FLOAT!$D:$D,'3 D P'!$D$5:$D$89,FLOAT!$F:$F)</f>
        <v>3</v>
      </c>
    </row>
    <row r="41" spans="1:15" x14ac:dyDescent="0.25">
      <c r="A41" s="51" t="s">
        <v>316</v>
      </c>
      <c r="B41" s="142" t="s">
        <v>300</v>
      </c>
      <c r="C41" s="52" t="s">
        <v>301</v>
      </c>
      <c r="D41" s="370"/>
      <c r="E41" s="142"/>
      <c r="F41" s="142"/>
      <c r="G41" s="142"/>
      <c r="H41" s="142"/>
      <c r="I41" s="142"/>
      <c r="J41" s="142"/>
      <c r="K41" s="142"/>
      <c r="L41" s="115">
        <v>740</v>
      </c>
      <c r="M41" s="115">
        <v>735</v>
      </c>
      <c r="N41" s="116">
        <v>735</v>
      </c>
      <c r="O41" s="67">
        <f>SUMIF(FLOAT!$D:$D,'3 D P'!$D$5:$D$89,FLOAT!$F:$F)</f>
        <v>0</v>
      </c>
    </row>
    <row r="42" spans="1:15" x14ac:dyDescent="0.25">
      <c r="A42" s="51" t="s">
        <v>294</v>
      </c>
      <c r="B42" s="142" t="s">
        <v>300</v>
      </c>
      <c r="C42" s="52" t="s">
        <v>308</v>
      </c>
      <c r="D42" s="112" t="s">
        <v>719</v>
      </c>
      <c r="E42" s="142"/>
      <c r="F42" s="142"/>
      <c r="G42" s="142"/>
      <c r="H42" s="142"/>
      <c r="I42" s="142"/>
      <c r="J42" s="142"/>
      <c r="K42" s="142"/>
      <c r="L42" s="115">
        <v>78</v>
      </c>
      <c r="M42" s="115">
        <v>37</v>
      </c>
      <c r="N42" s="116">
        <v>115</v>
      </c>
      <c r="O42" s="67">
        <f>SUMIF(FLOAT!$D:$D,'3 D P'!$D$5:$D$89,FLOAT!$F:$F)</f>
        <v>115</v>
      </c>
    </row>
    <row r="43" spans="1:15" x14ac:dyDescent="0.25">
      <c r="A43" s="51" t="s">
        <v>289</v>
      </c>
      <c r="B43" s="142" t="s">
        <v>300</v>
      </c>
      <c r="C43" s="52" t="s">
        <v>308</v>
      </c>
      <c r="D43" s="112" t="s">
        <v>735</v>
      </c>
      <c r="E43" s="142"/>
      <c r="F43" s="142"/>
      <c r="G43" s="142"/>
      <c r="H43" s="142"/>
      <c r="I43" s="142"/>
      <c r="J43" s="142"/>
      <c r="K43" s="142"/>
      <c r="L43" s="115">
        <v>0</v>
      </c>
      <c r="M43" s="115">
        <v>0</v>
      </c>
      <c r="N43" s="116">
        <v>0</v>
      </c>
      <c r="O43" s="67">
        <f>SUMIF(FLOAT!$D:$D,'3 D P'!$D$5:$D$89,FLOAT!$F:$F)</f>
        <v>0</v>
      </c>
    </row>
    <row r="44" spans="1:15" x14ac:dyDescent="0.25">
      <c r="A44" s="51" t="s">
        <v>317</v>
      </c>
      <c r="B44" s="142" t="s">
        <v>300</v>
      </c>
      <c r="C44" s="52" t="s">
        <v>308</v>
      </c>
      <c r="D44" s="112" t="s">
        <v>738</v>
      </c>
      <c r="E44" s="142"/>
      <c r="F44" s="142"/>
      <c r="G44" s="142"/>
      <c r="H44" s="142"/>
      <c r="I44" s="142"/>
      <c r="J44" s="142"/>
      <c r="K44" s="142"/>
      <c r="L44" s="115">
        <v>0</v>
      </c>
      <c r="M44" s="115">
        <v>0</v>
      </c>
      <c r="N44" s="116">
        <v>0</v>
      </c>
      <c r="O44" s="67">
        <f>SUMIF(FLOAT!$D:$D,'3 D P'!$D$5:$D$89,FLOAT!$F:$F)</f>
        <v>0</v>
      </c>
    </row>
    <row r="45" spans="1:15" x14ac:dyDescent="0.25">
      <c r="A45" s="51" t="s">
        <v>318</v>
      </c>
      <c r="B45" s="142" t="s">
        <v>300</v>
      </c>
      <c r="C45" s="52" t="s">
        <v>301</v>
      </c>
      <c r="D45" s="112" t="s">
        <v>737</v>
      </c>
      <c r="E45" s="142"/>
      <c r="F45" s="142"/>
      <c r="G45" s="142"/>
      <c r="H45" s="142"/>
      <c r="I45" s="142"/>
      <c r="J45" s="142"/>
      <c r="K45" s="142"/>
      <c r="L45" s="115">
        <v>1</v>
      </c>
      <c r="M45" s="115">
        <v>51</v>
      </c>
      <c r="N45" s="116">
        <v>49</v>
      </c>
      <c r="O45" s="67">
        <f>SUMIF(FLOAT!$D:$D,'3 D P'!$D$5:$D$89,FLOAT!$F:$F)</f>
        <v>10</v>
      </c>
    </row>
    <row r="46" spans="1:15" x14ac:dyDescent="0.25">
      <c r="A46" s="51" t="s">
        <v>319</v>
      </c>
      <c r="B46" s="142" t="s">
        <v>300</v>
      </c>
      <c r="C46" s="52" t="s">
        <v>308</v>
      </c>
      <c r="D46" s="112" t="s">
        <v>733</v>
      </c>
      <c r="E46" s="142"/>
      <c r="F46" s="142"/>
      <c r="G46" s="142"/>
      <c r="H46" s="142"/>
      <c r="I46" s="142"/>
      <c r="J46" s="142"/>
      <c r="K46" s="142"/>
      <c r="L46" s="115">
        <v>81</v>
      </c>
      <c r="M46" s="115">
        <v>77</v>
      </c>
      <c r="N46" s="116">
        <v>1</v>
      </c>
      <c r="O46" s="67">
        <f>SUMIF(FLOAT!$D:$D,'3 D P'!$D$5:$D$89,FLOAT!$F:$F)</f>
        <v>52</v>
      </c>
    </row>
    <row r="47" spans="1:15" x14ac:dyDescent="0.25">
      <c r="A47" s="51" t="s">
        <v>320</v>
      </c>
      <c r="B47" s="142" t="s">
        <v>300</v>
      </c>
      <c r="C47" s="52" t="s">
        <v>301</v>
      </c>
      <c r="D47" s="112" t="s">
        <v>734</v>
      </c>
      <c r="E47" s="142"/>
      <c r="F47" s="142"/>
      <c r="G47" s="142"/>
      <c r="H47" s="142"/>
      <c r="I47" s="142"/>
      <c r="J47" s="142"/>
      <c r="K47" s="142"/>
      <c r="L47" s="115">
        <v>0</v>
      </c>
      <c r="M47" s="115">
        <v>0</v>
      </c>
      <c r="N47" s="116">
        <v>0</v>
      </c>
      <c r="O47" s="67">
        <f>SUMIF(FLOAT!$D:$D,'3 D P'!$D$5:$D$89,FLOAT!$F:$F)</f>
        <v>4</v>
      </c>
    </row>
    <row r="48" spans="1:15" x14ac:dyDescent="0.25">
      <c r="A48" s="51" t="s">
        <v>284</v>
      </c>
      <c r="B48" s="142" t="s">
        <v>300</v>
      </c>
      <c r="C48" s="52" t="s">
        <v>301</v>
      </c>
      <c r="D48" s="112" t="s">
        <v>738</v>
      </c>
      <c r="E48" s="142"/>
      <c r="F48" s="142"/>
      <c r="G48" s="142"/>
      <c r="H48" s="142"/>
      <c r="I48" s="142"/>
      <c r="J48" s="142"/>
      <c r="K48" s="142"/>
      <c r="L48" s="115">
        <v>0</v>
      </c>
      <c r="M48" s="115">
        <v>0</v>
      </c>
      <c r="N48" s="116">
        <v>0</v>
      </c>
      <c r="O48" s="67">
        <f>SUMIF(FLOAT!$D:$D,'3 D P'!$D$5:$D$89,FLOAT!$F:$F)</f>
        <v>0</v>
      </c>
    </row>
    <row r="49" spans="1:15" x14ac:dyDescent="0.25">
      <c r="A49" s="51" t="s">
        <v>290</v>
      </c>
      <c r="B49" s="142" t="s">
        <v>300</v>
      </c>
      <c r="C49" s="52" t="s">
        <v>301</v>
      </c>
      <c r="D49" s="112" t="s">
        <v>737</v>
      </c>
      <c r="E49" s="142"/>
      <c r="F49" s="142"/>
      <c r="G49" s="142"/>
      <c r="H49" s="142"/>
      <c r="I49" s="142"/>
      <c r="J49" s="142"/>
      <c r="K49" s="142"/>
      <c r="L49" s="115">
        <v>2</v>
      </c>
      <c r="M49" s="115">
        <v>0</v>
      </c>
      <c r="N49" s="116">
        <v>0</v>
      </c>
      <c r="O49" s="67">
        <f>SUMIF(FLOAT!$D:$D,'3 D P'!$D$5:$D$89,FLOAT!$F:$F)</f>
        <v>10</v>
      </c>
    </row>
    <row r="50" spans="1:15" x14ac:dyDescent="0.25">
      <c r="A50" s="51" t="s">
        <v>321</v>
      </c>
      <c r="B50" s="142" t="s">
        <v>300</v>
      </c>
      <c r="C50" s="52" t="s">
        <v>301</v>
      </c>
      <c r="D50" s="112" t="s">
        <v>690</v>
      </c>
      <c r="E50" s="142"/>
      <c r="F50" s="142"/>
      <c r="G50" s="142"/>
      <c r="H50" s="142"/>
      <c r="I50" s="142"/>
      <c r="J50" s="142"/>
      <c r="K50" s="142"/>
      <c r="L50" s="115">
        <v>0</v>
      </c>
      <c r="M50" s="115">
        <v>0</v>
      </c>
      <c r="N50" s="116">
        <v>0</v>
      </c>
      <c r="O50" s="67">
        <f>SUMIF(FLOAT!$D:$D,'3 D P'!$D$5:$D$89,FLOAT!$F:$F)</f>
        <v>0</v>
      </c>
    </row>
    <row r="51" spans="1:15" x14ac:dyDescent="0.25">
      <c r="A51" s="51" t="s">
        <v>322</v>
      </c>
      <c r="B51" s="142" t="s">
        <v>300</v>
      </c>
      <c r="C51" s="52" t="s">
        <v>301</v>
      </c>
      <c r="D51" s="112" t="s">
        <v>691</v>
      </c>
      <c r="E51" s="142"/>
      <c r="F51" s="142"/>
      <c r="G51" s="142"/>
      <c r="H51" s="142"/>
      <c r="I51" s="142"/>
      <c r="J51" s="142"/>
      <c r="K51" s="142"/>
      <c r="L51" s="115">
        <v>0</v>
      </c>
      <c r="M51" s="115">
        <v>0</v>
      </c>
      <c r="N51" s="116">
        <v>0</v>
      </c>
      <c r="O51" s="67">
        <f>SUMIF(FLOAT!$D:$D,'3 D P'!$D$5:$D$89,FLOAT!$F:$F)</f>
        <v>0</v>
      </c>
    </row>
    <row r="52" spans="1:15" x14ac:dyDescent="0.25">
      <c r="A52" s="51" t="s">
        <v>323</v>
      </c>
      <c r="B52" s="142" t="s">
        <v>300</v>
      </c>
      <c r="C52" s="52" t="s">
        <v>301</v>
      </c>
      <c r="D52" s="112" t="s">
        <v>692</v>
      </c>
      <c r="E52" s="142"/>
      <c r="F52" s="142"/>
      <c r="G52" s="142"/>
      <c r="H52" s="142"/>
      <c r="I52" s="142"/>
      <c r="J52" s="142"/>
      <c r="K52" s="142"/>
      <c r="L52" s="115">
        <v>0</v>
      </c>
      <c r="M52" s="115">
        <v>0</v>
      </c>
      <c r="N52" s="116">
        <v>0</v>
      </c>
      <c r="O52" s="67">
        <f>SUMIF(FLOAT!$D:$D,'3 D P'!$D$5:$D$89,FLOAT!$F:$F)</f>
        <v>0</v>
      </c>
    </row>
    <row r="53" spans="1:15" x14ac:dyDescent="0.25">
      <c r="A53" s="51" t="s">
        <v>290</v>
      </c>
      <c r="B53" s="142" t="s">
        <v>300</v>
      </c>
      <c r="C53" s="52" t="s">
        <v>301</v>
      </c>
      <c r="D53" s="112" t="s">
        <v>693</v>
      </c>
      <c r="E53" s="142"/>
      <c r="F53" s="142"/>
      <c r="G53" s="142"/>
      <c r="H53" s="142"/>
      <c r="I53" s="142"/>
      <c r="J53" s="142"/>
      <c r="K53" s="142"/>
      <c r="L53" s="115">
        <v>0</v>
      </c>
      <c r="M53" s="115">
        <v>0</v>
      </c>
      <c r="N53" s="116">
        <v>0</v>
      </c>
      <c r="O53" s="67">
        <f>SUMIF(FLOAT!$D:$D,'3 D P'!$D$5:$D$89,FLOAT!$F:$F)</f>
        <v>0</v>
      </c>
    </row>
    <row r="54" spans="1:15" x14ac:dyDescent="0.25">
      <c r="A54" s="66" t="s">
        <v>324</v>
      </c>
      <c r="B54" s="142" t="s">
        <v>300</v>
      </c>
      <c r="C54" s="52" t="s">
        <v>308</v>
      </c>
      <c r="D54" s="112" t="s">
        <v>694</v>
      </c>
      <c r="E54" s="142"/>
      <c r="F54" s="142"/>
      <c r="G54" s="142"/>
      <c r="H54" s="142"/>
      <c r="I54" s="142"/>
      <c r="J54" s="142"/>
      <c r="K54" s="142"/>
      <c r="L54" s="115">
        <v>0</v>
      </c>
      <c r="M54" s="115">
        <v>0</v>
      </c>
      <c r="N54" s="116">
        <v>0</v>
      </c>
      <c r="O54" s="67">
        <f>SUMIF(FLOAT!$D:$D,'3 D P'!$D$5:$D$89,FLOAT!$F:$F)</f>
        <v>0</v>
      </c>
    </row>
    <row r="55" spans="1:15" x14ac:dyDescent="0.25">
      <c r="A55" s="66" t="s">
        <v>325</v>
      </c>
      <c r="B55" s="142" t="s">
        <v>300</v>
      </c>
      <c r="C55" s="52" t="s">
        <v>304</v>
      </c>
      <c r="D55" s="112" t="s">
        <v>196</v>
      </c>
      <c r="E55" s="142"/>
      <c r="F55" s="142"/>
      <c r="G55" s="142"/>
      <c r="H55" s="142"/>
      <c r="I55" s="142"/>
      <c r="J55" s="142"/>
      <c r="K55" s="142"/>
      <c r="L55" s="115">
        <v>0</v>
      </c>
      <c r="M55" s="115">
        <v>0</v>
      </c>
      <c r="N55" s="116">
        <v>0</v>
      </c>
      <c r="O55" s="67">
        <f>SUMIF(FLOAT!$D:$D,'3 D P'!$D$5:$D$89,FLOAT!$F:$F)</f>
        <v>0</v>
      </c>
    </row>
    <row r="56" spans="1:15" x14ac:dyDescent="0.25">
      <c r="A56" s="51" t="s">
        <v>326</v>
      </c>
      <c r="B56" s="142" t="s">
        <v>300</v>
      </c>
      <c r="C56" s="52" t="s">
        <v>327</v>
      </c>
      <c r="D56" s="112" t="s">
        <v>197</v>
      </c>
      <c r="E56" s="142"/>
      <c r="F56" s="142"/>
      <c r="G56" s="142"/>
      <c r="H56" s="142"/>
      <c r="I56" s="142"/>
      <c r="J56" s="142"/>
      <c r="K56" s="142"/>
      <c r="L56" s="115">
        <v>0</v>
      </c>
      <c r="M56" s="115">
        <v>0</v>
      </c>
      <c r="N56" s="116">
        <v>0</v>
      </c>
      <c r="O56" s="67">
        <f>SUMIF(FLOAT!$D:$D,'3 D P'!$D$5:$D$89,FLOAT!$F:$F)</f>
        <v>0</v>
      </c>
    </row>
    <row r="57" spans="1:15" x14ac:dyDescent="0.25">
      <c r="A57" s="51" t="s">
        <v>328</v>
      </c>
      <c r="B57" s="142" t="s">
        <v>300</v>
      </c>
      <c r="C57" s="52" t="s">
        <v>327</v>
      </c>
      <c r="D57" s="112" t="s">
        <v>195</v>
      </c>
      <c r="E57" s="142"/>
      <c r="F57" s="142"/>
      <c r="G57" s="142"/>
      <c r="H57" s="142"/>
      <c r="I57" s="142"/>
      <c r="J57" s="142"/>
      <c r="K57" s="142"/>
      <c r="L57" s="115">
        <v>0</v>
      </c>
      <c r="M57" s="115">
        <v>0</v>
      </c>
      <c r="N57" s="116">
        <v>0</v>
      </c>
      <c r="O57" s="67">
        <f>SUMIF(FLOAT!$D:$D,'3 D P'!$D$5:$D$89,FLOAT!$F:$F)</f>
        <v>0</v>
      </c>
    </row>
    <row r="58" spans="1:15" x14ac:dyDescent="0.25">
      <c r="A58" s="51" t="s">
        <v>329</v>
      </c>
      <c r="B58" s="142" t="s">
        <v>300</v>
      </c>
      <c r="C58" s="52" t="s">
        <v>327</v>
      </c>
      <c r="D58" s="112" t="s">
        <v>194</v>
      </c>
      <c r="E58" s="142"/>
      <c r="F58" s="142"/>
      <c r="G58" s="142"/>
      <c r="H58" s="142"/>
      <c r="I58" s="142"/>
      <c r="J58" s="142"/>
      <c r="K58" s="142"/>
      <c r="L58" s="115">
        <v>0</v>
      </c>
      <c r="M58" s="115">
        <v>0</v>
      </c>
      <c r="N58" s="116">
        <v>0</v>
      </c>
      <c r="O58" s="67">
        <f>SUMIF(FLOAT!$D:$D,'3 D P'!$D$5:$D$89,FLOAT!$F:$F)</f>
        <v>0</v>
      </c>
    </row>
    <row r="59" spans="1:15" x14ac:dyDescent="0.25">
      <c r="A59" s="66" t="s">
        <v>330</v>
      </c>
      <c r="B59" s="142" t="s">
        <v>300</v>
      </c>
      <c r="C59" s="52" t="s">
        <v>301</v>
      </c>
      <c r="D59" s="112" t="s">
        <v>733</v>
      </c>
      <c r="E59" s="142"/>
      <c r="F59" s="142"/>
      <c r="G59" s="142"/>
      <c r="H59" s="142"/>
      <c r="I59" s="142"/>
      <c r="J59" s="142"/>
      <c r="K59" s="142"/>
      <c r="L59" s="115">
        <v>93</v>
      </c>
      <c r="M59" s="115">
        <v>81</v>
      </c>
      <c r="N59" s="116">
        <v>97</v>
      </c>
      <c r="O59" s="67">
        <f>SUMIF(FLOAT!$D:$D,'3 D P'!$D$5:$D$89,FLOAT!$F:$F)</f>
        <v>52</v>
      </c>
    </row>
    <row r="60" spans="1:15" x14ac:dyDescent="0.25">
      <c r="A60" s="66" t="s">
        <v>331</v>
      </c>
      <c r="B60" s="142" t="s">
        <v>300</v>
      </c>
      <c r="C60" s="52" t="s">
        <v>308</v>
      </c>
      <c r="D60" s="112" t="s">
        <v>734</v>
      </c>
      <c r="E60" s="142"/>
      <c r="F60" s="142"/>
      <c r="G60" s="142"/>
      <c r="H60" s="142"/>
      <c r="I60" s="142"/>
      <c r="J60" s="142"/>
      <c r="K60" s="142"/>
      <c r="L60" s="115">
        <v>7</v>
      </c>
      <c r="M60" s="115">
        <v>19</v>
      </c>
      <c r="N60" s="116">
        <v>3</v>
      </c>
      <c r="O60" s="67">
        <f>SUMIF(FLOAT!$D:$D,'3 D P'!$D$5:$D$89,FLOAT!$F:$F)</f>
        <v>4</v>
      </c>
    </row>
    <row r="61" spans="1:15" x14ac:dyDescent="0.25">
      <c r="A61" s="66" t="s">
        <v>332</v>
      </c>
      <c r="B61" s="142" t="s">
        <v>300</v>
      </c>
      <c r="C61" s="52" t="s">
        <v>308</v>
      </c>
      <c r="D61" s="112" t="s">
        <v>193</v>
      </c>
      <c r="E61" s="142"/>
      <c r="F61" s="142"/>
      <c r="G61" s="142"/>
      <c r="H61" s="142"/>
      <c r="I61" s="142"/>
      <c r="J61" s="142"/>
      <c r="K61" s="142"/>
      <c r="L61" s="115">
        <v>0</v>
      </c>
      <c r="M61" s="115">
        <v>0</v>
      </c>
      <c r="N61" s="116">
        <v>0</v>
      </c>
      <c r="O61" s="67">
        <f>SUMIF(FLOAT!$D:$D,'3 D P'!$D$5:$D$89,FLOAT!$F:$F)</f>
        <v>0</v>
      </c>
    </row>
    <row r="62" spans="1:15" x14ac:dyDescent="0.25">
      <c r="A62" s="66" t="s">
        <v>303</v>
      </c>
      <c r="B62" s="142" t="s">
        <v>300</v>
      </c>
      <c r="C62" s="52" t="s">
        <v>304</v>
      </c>
      <c r="D62" s="112" t="s">
        <v>192</v>
      </c>
      <c r="E62" s="142"/>
      <c r="F62" s="142"/>
      <c r="G62" s="142"/>
      <c r="H62" s="142"/>
      <c r="I62" s="142"/>
      <c r="J62" s="142"/>
      <c r="K62" s="142"/>
      <c r="L62" s="586">
        <v>0</v>
      </c>
      <c r="M62" s="586">
        <v>0</v>
      </c>
      <c r="N62" s="586">
        <v>0</v>
      </c>
      <c r="O62" s="67">
        <f>SUMIF(FLOAT!$D:$D,'3 D P'!$D$5:$D$89,FLOAT!$F:$F)</f>
        <v>0</v>
      </c>
    </row>
    <row r="63" spans="1:15" x14ac:dyDescent="0.25">
      <c r="A63" s="66" t="s">
        <v>333</v>
      </c>
      <c r="B63" s="142" t="s">
        <v>300</v>
      </c>
      <c r="C63" s="52" t="s">
        <v>308</v>
      </c>
      <c r="D63" s="112" t="s">
        <v>695</v>
      </c>
      <c r="E63" s="142"/>
      <c r="F63" s="142"/>
      <c r="G63" s="142"/>
      <c r="H63" s="142"/>
      <c r="I63" s="142"/>
      <c r="J63" s="142"/>
      <c r="K63" s="142"/>
      <c r="L63" s="115">
        <v>0</v>
      </c>
      <c r="M63" s="115">
        <v>0</v>
      </c>
      <c r="N63" s="116">
        <v>0</v>
      </c>
      <c r="O63" s="67">
        <f>SUMIF(FLOAT!$D:$D,'3 D P'!$D$5:$D$89,FLOAT!$F:$F)</f>
        <v>0</v>
      </c>
    </row>
    <row r="64" spans="1:15" x14ac:dyDescent="0.25">
      <c r="A64" s="66" t="s">
        <v>334</v>
      </c>
      <c r="B64" s="142" t="s">
        <v>300</v>
      </c>
      <c r="C64" s="52" t="s">
        <v>301</v>
      </c>
      <c r="D64" s="112" t="s">
        <v>158</v>
      </c>
      <c r="E64" s="142"/>
      <c r="F64" s="142"/>
      <c r="G64" s="142"/>
      <c r="H64" s="142"/>
      <c r="I64" s="142"/>
      <c r="J64" s="142"/>
      <c r="K64" s="142"/>
      <c r="L64" s="115">
        <v>0</v>
      </c>
      <c r="M64" s="115">
        <v>0</v>
      </c>
      <c r="N64" s="116">
        <v>0</v>
      </c>
      <c r="O64" s="67">
        <f>SUMIF(FLOAT!$D:$D,'3 D P'!$D$5:$D$89,FLOAT!$F:$F)</f>
        <v>0</v>
      </c>
    </row>
    <row r="65" spans="1:15" x14ac:dyDescent="0.25">
      <c r="A65" s="66" t="s">
        <v>335</v>
      </c>
      <c r="B65" s="142" t="s">
        <v>300</v>
      </c>
      <c r="C65" s="52" t="s">
        <v>304</v>
      </c>
      <c r="D65" s="112" t="s">
        <v>696</v>
      </c>
      <c r="E65" s="142"/>
      <c r="F65" s="142"/>
      <c r="G65" s="142"/>
      <c r="H65" s="142"/>
      <c r="I65" s="142"/>
      <c r="J65" s="142"/>
      <c r="K65" s="142"/>
      <c r="L65" s="115">
        <v>0</v>
      </c>
      <c r="M65" s="115">
        <v>0</v>
      </c>
      <c r="N65" s="116">
        <v>0</v>
      </c>
      <c r="O65" s="67">
        <f>SUMIF(FLOAT!$D:$D,'3 D P'!$D$5:$D$89,FLOAT!$F:$F)</f>
        <v>0</v>
      </c>
    </row>
    <row r="66" spans="1:15" x14ac:dyDescent="0.25">
      <c r="A66" s="66" t="s">
        <v>336</v>
      </c>
      <c r="B66" s="142" t="s">
        <v>337</v>
      </c>
      <c r="C66" s="52" t="s">
        <v>304</v>
      </c>
      <c r="D66" s="112" t="s">
        <v>161</v>
      </c>
      <c r="E66" s="142"/>
      <c r="F66" s="142"/>
      <c r="G66" s="142"/>
      <c r="H66" s="142"/>
      <c r="I66" s="142"/>
      <c r="J66" s="142"/>
      <c r="K66" s="142"/>
      <c r="L66" s="115">
        <v>0</v>
      </c>
      <c r="M66" s="115">
        <v>0</v>
      </c>
      <c r="N66" s="116">
        <v>0</v>
      </c>
      <c r="O66" s="67">
        <f>SUMIF(FLOAT!$D:$D,'3 D P'!$D$5:$D$89,FLOAT!$F:$F)</f>
        <v>0</v>
      </c>
    </row>
    <row r="67" spans="1:15" x14ac:dyDescent="0.25">
      <c r="A67" s="66" t="s">
        <v>338</v>
      </c>
      <c r="B67" s="142" t="s">
        <v>300</v>
      </c>
      <c r="C67" s="52" t="s">
        <v>308</v>
      </c>
      <c r="D67" s="112" t="s">
        <v>163</v>
      </c>
      <c r="E67" s="142"/>
      <c r="F67" s="142"/>
      <c r="G67" s="142"/>
      <c r="H67" s="142"/>
      <c r="I67" s="142"/>
      <c r="J67" s="142"/>
      <c r="K67" s="142"/>
      <c r="L67" s="115">
        <v>0</v>
      </c>
      <c r="M67" s="115">
        <v>0</v>
      </c>
      <c r="N67" s="116">
        <v>0</v>
      </c>
      <c r="O67" s="67">
        <f>SUMIF(FLOAT!$D:$D,'3 D P'!$D$5:$D$89,FLOAT!$F:$F)</f>
        <v>0</v>
      </c>
    </row>
    <row r="68" spans="1:15" x14ac:dyDescent="0.25">
      <c r="A68" s="66" t="s">
        <v>339</v>
      </c>
      <c r="B68" s="142" t="s">
        <v>300</v>
      </c>
      <c r="C68" s="52" t="s">
        <v>304</v>
      </c>
      <c r="D68" s="112" t="s">
        <v>164</v>
      </c>
      <c r="E68" s="142"/>
      <c r="F68" s="142"/>
      <c r="G68" s="142"/>
      <c r="H68" s="142"/>
      <c r="I68" s="142"/>
      <c r="J68" s="142"/>
      <c r="K68" s="142"/>
      <c r="L68" s="115">
        <v>0</v>
      </c>
      <c r="M68" s="115">
        <v>0</v>
      </c>
      <c r="N68" s="116">
        <v>0</v>
      </c>
      <c r="O68" s="67">
        <f>SUMIF(FLOAT!$D:$D,'3 D P'!$D$5:$D$89,FLOAT!$F:$F)</f>
        <v>0</v>
      </c>
    </row>
    <row r="69" spans="1:15" x14ac:dyDescent="0.25">
      <c r="A69" s="66" t="s">
        <v>340</v>
      </c>
      <c r="B69" s="142" t="s">
        <v>300</v>
      </c>
      <c r="C69" s="52" t="s">
        <v>304</v>
      </c>
      <c r="D69" s="112" t="s">
        <v>165</v>
      </c>
      <c r="E69" s="142"/>
      <c r="F69" s="142"/>
      <c r="G69" s="142"/>
      <c r="H69" s="142"/>
      <c r="I69" s="142"/>
      <c r="J69" s="142"/>
      <c r="K69" s="142"/>
      <c r="L69" s="115">
        <v>0</v>
      </c>
      <c r="M69" s="115">
        <v>0</v>
      </c>
      <c r="N69" s="116">
        <v>0</v>
      </c>
      <c r="O69" s="67">
        <f>SUMIF(FLOAT!$D:$D,'3 D P'!$D$5:$D$89,FLOAT!$F:$F)</f>
        <v>0</v>
      </c>
    </row>
    <row r="70" spans="1:15" x14ac:dyDescent="0.25">
      <c r="A70" s="138" t="s">
        <v>341</v>
      </c>
      <c r="B70" s="111">
        <v>0</v>
      </c>
      <c r="C70" s="111">
        <v>0</v>
      </c>
      <c r="D70" s="112" t="s">
        <v>166</v>
      </c>
      <c r="E70" s="142"/>
      <c r="F70" s="142"/>
      <c r="G70" s="142"/>
      <c r="H70" s="142"/>
      <c r="I70" s="142"/>
      <c r="J70" s="142"/>
      <c r="K70" s="142"/>
      <c r="L70" s="115">
        <v>0</v>
      </c>
      <c r="M70" s="115">
        <v>0</v>
      </c>
      <c r="N70" s="116">
        <v>0</v>
      </c>
      <c r="O70" s="67">
        <f>SUMIF(FLOAT!$D:$D,'3 D P'!$D$5:$D$89,FLOAT!$F:$F)</f>
        <v>0</v>
      </c>
    </row>
    <row r="71" spans="1:15" x14ac:dyDescent="0.25">
      <c r="A71" s="51" t="s">
        <v>85</v>
      </c>
      <c r="B71" s="142" t="s">
        <v>342</v>
      </c>
      <c r="C71" s="52" t="s">
        <v>343</v>
      </c>
      <c r="D71" s="112" t="s">
        <v>697</v>
      </c>
      <c r="E71" s="142"/>
      <c r="F71" s="142"/>
      <c r="G71" s="142"/>
      <c r="H71" s="142"/>
      <c r="I71" s="142"/>
      <c r="J71" s="142"/>
      <c r="K71" s="142"/>
      <c r="L71" s="115">
        <v>0</v>
      </c>
      <c r="M71" s="115">
        <v>0</v>
      </c>
      <c r="N71" s="116">
        <v>0</v>
      </c>
      <c r="O71" s="67">
        <f>SUMIF(FLOAT!$D:$D,'3 D P'!$D$5:$D$89,FLOAT!$F:$F)</f>
        <v>0</v>
      </c>
    </row>
    <row r="72" spans="1:15" x14ac:dyDescent="0.25">
      <c r="A72" s="51" t="s">
        <v>293</v>
      </c>
      <c r="B72" s="142" t="s">
        <v>342</v>
      </c>
      <c r="C72" s="52" t="s">
        <v>343</v>
      </c>
      <c r="D72" s="112" t="s">
        <v>698</v>
      </c>
      <c r="E72" s="142"/>
      <c r="F72" s="142"/>
      <c r="G72" s="142"/>
      <c r="H72" s="142"/>
      <c r="I72" s="142"/>
      <c r="J72" s="142"/>
      <c r="K72" s="142"/>
      <c r="L72" s="115">
        <v>0</v>
      </c>
      <c r="M72" s="115">
        <v>0</v>
      </c>
      <c r="N72" s="116">
        <v>0</v>
      </c>
      <c r="O72" s="67">
        <f>SUMIF(FLOAT!$D:$D,'3 D P'!$D$5:$D$89,FLOAT!$F:$F)</f>
        <v>0</v>
      </c>
    </row>
    <row r="73" spans="1:15" x14ac:dyDescent="0.25">
      <c r="A73" s="51" t="s">
        <v>344</v>
      </c>
      <c r="B73" s="142" t="s">
        <v>342</v>
      </c>
      <c r="C73" s="52" t="s">
        <v>343</v>
      </c>
      <c r="D73" s="112" t="s">
        <v>239</v>
      </c>
      <c r="E73" s="142"/>
      <c r="F73" s="142"/>
      <c r="G73" s="142"/>
      <c r="H73" s="142"/>
      <c r="I73" s="142"/>
      <c r="J73" s="142"/>
      <c r="K73" s="142"/>
      <c r="L73" s="115">
        <v>0</v>
      </c>
      <c r="M73" s="115">
        <v>0</v>
      </c>
      <c r="N73" s="116">
        <v>0</v>
      </c>
      <c r="O73" s="67">
        <f>SUMIF(FLOAT!$D:$D,'3 D P'!$D$5:$D$89,FLOAT!$F:$F)</f>
        <v>0</v>
      </c>
    </row>
    <row r="74" spans="1:15" x14ac:dyDescent="0.25">
      <c r="A74" s="51" t="s">
        <v>232</v>
      </c>
      <c r="B74" s="142" t="s">
        <v>342</v>
      </c>
      <c r="C74" s="52" t="s">
        <v>343</v>
      </c>
      <c r="D74" s="112" t="s">
        <v>699</v>
      </c>
      <c r="E74" s="142"/>
      <c r="F74" s="142"/>
      <c r="G74" s="142"/>
      <c r="H74" s="142"/>
      <c r="I74" s="142"/>
      <c r="J74" s="142"/>
      <c r="K74" s="142"/>
      <c r="L74" s="115">
        <v>0</v>
      </c>
      <c r="M74" s="115">
        <v>0</v>
      </c>
      <c r="N74" s="116">
        <v>0</v>
      </c>
      <c r="O74" s="67">
        <f>SUMIF(FLOAT!$D:$D,'3 D P'!$D$5:$D$89,FLOAT!$F:$F)</f>
        <v>0</v>
      </c>
    </row>
    <row r="75" spans="1:15" x14ac:dyDescent="0.25">
      <c r="A75" s="51" t="s">
        <v>83</v>
      </c>
      <c r="B75" s="142" t="s">
        <v>342</v>
      </c>
      <c r="C75" s="52" t="s">
        <v>343</v>
      </c>
      <c r="D75" s="112" t="s">
        <v>700</v>
      </c>
      <c r="E75" s="142"/>
      <c r="F75" s="142"/>
      <c r="G75" s="142"/>
      <c r="H75" s="142"/>
      <c r="I75" s="142"/>
      <c r="J75" s="142"/>
      <c r="K75" s="142"/>
      <c r="L75" s="115">
        <v>0</v>
      </c>
      <c r="M75" s="115">
        <v>0</v>
      </c>
      <c r="N75" s="116">
        <v>0</v>
      </c>
      <c r="O75" s="67">
        <f>SUMIF(FLOAT!$D:$D,'3 D P'!$D$5:$D$89,FLOAT!$F:$F)</f>
        <v>0</v>
      </c>
    </row>
    <row r="76" spans="1:15" x14ac:dyDescent="0.25">
      <c r="A76" s="51" t="s">
        <v>281</v>
      </c>
      <c r="B76" s="142" t="s">
        <v>342</v>
      </c>
      <c r="C76" s="52" t="s">
        <v>343</v>
      </c>
      <c r="D76" s="112" t="s">
        <v>701</v>
      </c>
      <c r="E76" s="142"/>
      <c r="F76" s="142"/>
      <c r="G76" s="142"/>
      <c r="H76" s="142"/>
      <c r="I76" s="142"/>
      <c r="J76" s="142"/>
      <c r="K76" s="142"/>
      <c r="L76" s="115">
        <v>0</v>
      </c>
      <c r="M76" s="115">
        <v>0</v>
      </c>
      <c r="N76" s="116">
        <v>0</v>
      </c>
      <c r="O76" s="67">
        <f>SUMIF(FLOAT!$D:$D,'3 D P'!$D$5:$D$89,FLOAT!$F:$F)</f>
        <v>0</v>
      </c>
    </row>
    <row r="77" spans="1:15" x14ac:dyDescent="0.25">
      <c r="A77" s="51" t="s">
        <v>81</v>
      </c>
      <c r="B77" s="142" t="s">
        <v>342</v>
      </c>
      <c r="C77" s="52" t="s">
        <v>343</v>
      </c>
      <c r="D77" s="112" t="s">
        <v>703</v>
      </c>
      <c r="E77" s="142"/>
      <c r="F77" s="142"/>
      <c r="G77" s="142"/>
      <c r="H77" s="142"/>
      <c r="I77" s="142"/>
      <c r="J77" s="142"/>
      <c r="K77" s="142"/>
      <c r="L77" s="115">
        <v>0</v>
      </c>
      <c r="M77" s="115">
        <v>0</v>
      </c>
      <c r="N77" s="116">
        <v>0</v>
      </c>
      <c r="O77" s="67">
        <f>SUMIF(FLOAT!$D:$D,'3 D P'!$D$5:$D$89,FLOAT!$F:$F)</f>
        <v>0</v>
      </c>
    </row>
    <row r="78" spans="1:15" x14ac:dyDescent="0.25">
      <c r="A78" s="51" t="s">
        <v>292</v>
      </c>
      <c r="B78" s="142" t="s">
        <v>342</v>
      </c>
      <c r="C78" s="52" t="s">
        <v>343</v>
      </c>
      <c r="D78" s="112" t="s">
        <v>195</v>
      </c>
      <c r="E78" s="142"/>
      <c r="F78" s="142"/>
      <c r="G78" s="142"/>
      <c r="H78" s="142"/>
      <c r="I78" s="142"/>
      <c r="J78" s="142"/>
      <c r="K78" s="142"/>
      <c r="L78" s="115">
        <v>0</v>
      </c>
      <c r="M78" s="115">
        <v>0</v>
      </c>
      <c r="N78" s="116">
        <v>0</v>
      </c>
      <c r="O78" s="67">
        <f>SUMIF(FLOAT!$D:$D,'3 D P'!$D$5:$D$89,FLOAT!$F:$F)</f>
        <v>0</v>
      </c>
    </row>
    <row r="79" spans="1:15" x14ac:dyDescent="0.25">
      <c r="A79" s="51" t="s">
        <v>282</v>
      </c>
      <c r="B79" s="142" t="s">
        <v>342</v>
      </c>
      <c r="C79" s="52" t="s">
        <v>343</v>
      </c>
      <c r="D79" s="112" t="s">
        <v>194</v>
      </c>
      <c r="E79" s="142"/>
      <c r="F79" s="142"/>
      <c r="G79" s="142"/>
      <c r="H79" s="142"/>
      <c r="I79" s="142"/>
      <c r="J79" s="142"/>
      <c r="K79" s="142"/>
      <c r="L79" s="115">
        <v>0</v>
      </c>
      <c r="M79" s="115">
        <v>0</v>
      </c>
      <c r="N79" s="116">
        <v>0</v>
      </c>
      <c r="O79" s="67">
        <f>SUMIF(FLOAT!$D:$D,'3 D P'!$D$5:$D$89,FLOAT!$F:$F)</f>
        <v>0</v>
      </c>
    </row>
    <row r="80" spans="1:15" x14ac:dyDescent="0.25">
      <c r="A80" s="66" t="s">
        <v>362</v>
      </c>
      <c r="B80" s="142" t="s">
        <v>342</v>
      </c>
      <c r="C80" s="52" t="s">
        <v>343</v>
      </c>
      <c r="D80" s="112" t="s">
        <v>733</v>
      </c>
      <c r="E80" s="142"/>
      <c r="F80" s="142"/>
      <c r="G80" s="142"/>
      <c r="H80" s="142"/>
      <c r="I80" s="142"/>
      <c r="J80" s="142"/>
      <c r="K80" s="142"/>
      <c r="L80" s="115">
        <v>2</v>
      </c>
      <c r="M80" s="115">
        <v>0</v>
      </c>
      <c r="N80" s="116">
        <v>1</v>
      </c>
      <c r="O80" s="67">
        <f>SUMIF(FLOAT!$D:$D,'3 D P'!$D$5:$D$89,FLOAT!$F:$F)</f>
        <v>52</v>
      </c>
    </row>
    <row r="81" spans="1:15" x14ac:dyDescent="0.25">
      <c r="A81" s="138" t="s">
        <v>345</v>
      </c>
      <c r="B81" s="111"/>
      <c r="C81" s="111">
        <v>0</v>
      </c>
      <c r="D81" s="112" t="s">
        <v>734</v>
      </c>
      <c r="E81" s="142"/>
      <c r="F81" s="142"/>
      <c r="G81" s="142"/>
      <c r="H81" s="142"/>
      <c r="I81" s="142"/>
      <c r="J81" s="142"/>
      <c r="K81" s="142"/>
      <c r="L81" s="115">
        <v>36</v>
      </c>
      <c r="M81" s="115">
        <v>67</v>
      </c>
      <c r="N81" s="116">
        <v>0</v>
      </c>
      <c r="O81" s="67">
        <f>SUMIF(FLOAT!$D:$D,'3 D P'!$D$5:$D$89,FLOAT!$F:$F)</f>
        <v>4</v>
      </c>
    </row>
    <row r="82" spans="1:15" x14ac:dyDescent="0.25">
      <c r="A82" s="139" t="s">
        <v>346</v>
      </c>
      <c r="B82" s="140" t="s">
        <v>300</v>
      </c>
      <c r="C82" s="141" t="s">
        <v>347</v>
      </c>
      <c r="D82" s="112" t="s">
        <v>193</v>
      </c>
      <c r="E82" s="142"/>
      <c r="F82" s="142"/>
      <c r="G82" s="142"/>
      <c r="H82" s="142"/>
      <c r="I82" s="142"/>
      <c r="J82" s="142"/>
      <c r="K82" s="142"/>
      <c r="L82" s="115">
        <v>0</v>
      </c>
      <c r="M82" s="115">
        <v>0</v>
      </c>
      <c r="N82" s="116">
        <v>0</v>
      </c>
      <c r="O82" s="67">
        <f>SUMIF(FLOAT!$D:$D,'3 D P'!$D$5:$D$89,FLOAT!$F:$F)</f>
        <v>0</v>
      </c>
    </row>
    <row r="83" spans="1:15" x14ac:dyDescent="0.25">
      <c r="A83" s="139" t="s">
        <v>278</v>
      </c>
      <c r="B83" s="140" t="s">
        <v>300</v>
      </c>
      <c r="C83" s="141" t="s">
        <v>348</v>
      </c>
      <c r="D83" s="112" t="s">
        <v>192</v>
      </c>
      <c r="E83" s="142"/>
      <c r="F83" s="142"/>
      <c r="G83" s="142"/>
      <c r="H83" s="142"/>
      <c r="I83" s="142"/>
      <c r="J83" s="142"/>
      <c r="K83" s="142"/>
      <c r="L83" s="115">
        <v>0</v>
      </c>
      <c r="M83" s="115">
        <v>0</v>
      </c>
      <c r="N83" s="116">
        <v>0</v>
      </c>
      <c r="O83" s="67">
        <f>SUMIF(FLOAT!$D:$D,'3 D P'!$D$5:$D$89,FLOAT!$F:$F)</f>
        <v>0</v>
      </c>
    </row>
    <row r="84" spans="1:15" x14ac:dyDescent="0.25">
      <c r="A84" s="139" t="s">
        <v>277</v>
      </c>
      <c r="B84" s="140" t="s">
        <v>300</v>
      </c>
      <c r="C84" s="141" t="s">
        <v>347</v>
      </c>
      <c r="D84" s="112" t="s">
        <v>695</v>
      </c>
      <c r="E84" s="142"/>
      <c r="F84" s="142"/>
      <c r="G84" s="142"/>
      <c r="H84" s="142"/>
      <c r="I84" s="142"/>
      <c r="J84" s="142"/>
      <c r="K84" s="142"/>
      <c r="L84" s="115">
        <v>0</v>
      </c>
      <c r="M84" s="115">
        <v>0</v>
      </c>
      <c r="N84" s="116">
        <v>0</v>
      </c>
      <c r="O84" s="67">
        <f>SUMIF(FLOAT!$D:$D,'3 D P'!$D$5:$D$89,FLOAT!$F:$F)</f>
        <v>0</v>
      </c>
    </row>
    <row r="85" spans="1:15" x14ac:dyDescent="0.25">
      <c r="A85" s="139" t="s">
        <v>160</v>
      </c>
      <c r="B85" s="140" t="s">
        <v>300</v>
      </c>
      <c r="C85" s="141" t="s">
        <v>348</v>
      </c>
      <c r="D85" s="112" t="s">
        <v>158</v>
      </c>
      <c r="E85" s="142"/>
      <c r="F85" s="142"/>
      <c r="G85" s="142"/>
      <c r="H85" s="142"/>
      <c r="I85" s="142"/>
      <c r="J85" s="142"/>
      <c r="K85" s="142"/>
      <c r="L85" s="115">
        <v>0</v>
      </c>
      <c r="M85" s="115">
        <v>0</v>
      </c>
      <c r="N85" s="116">
        <v>0</v>
      </c>
      <c r="O85" s="67">
        <f>SUMIF(FLOAT!$D:$D,'3 D P'!$D$5:$D$89,FLOAT!$F:$F)</f>
        <v>0</v>
      </c>
    </row>
    <row r="86" spans="1:15" x14ac:dyDescent="0.25">
      <c r="A86" s="139" t="s">
        <v>238</v>
      </c>
      <c r="B86" s="140" t="s">
        <v>300</v>
      </c>
      <c r="C86" s="141" t="s">
        <v>347</v>
      </c>
      <c r="D86" s="112" t="s">
        <v>696</v>
      </c>
      <c r="E86" s="142"/>
      <c r="F86" s="142"/>
      <c r="G86" s="142"/>
      <c r="H86" s="142"/>
      <c r="I86" s="142"/>
      <c r="J86" s="142"/>
      <c r="K86" s="142"/>
      <c r="L86" s="115">
        <v>0</v>
      </c>
      <c r="M86" s="115">
        <v>0</v>
      </c>
      <c r="N86" s="116">
        <v>0</v>
      </c>
      <c r="O86" s="67">
        <f>SUMIF(FLOAT!$D:$D,'3 D P'!$D$5:$D$89,FLOAT!$F:$F)</f>
        <v>0</v>
      </c>
    </row>
    <row r="87" spans="1:15" x14ac:dyDescent="0.25">
      <c r="A87" s="139" t="s">
        <v>349</v>
      </c>
      <c r="B87" s="140" t="s">
        <v>300</v>
      </c>
      <c r="C87" s="141" t="s">
        <v>347</v>
      </c>
      <c r="D87" s="112" t="s">
        <v>161</v>
      </c>
      <c r="E87" s="142"/>
      <c r="F87" s="142"/>
      <c r="G87" s="142"/>
      <c r="H87" s="142"/>
      <c r="I87" s="142"/>
      <c r="J87" s="142"/>
      <c r="K87" s="142"/>
      <c r="L87" s="115">
        <v>0</v>
      </c>
      <c r="M87" s="115">
        <v>0</v>
      </c>
      <c r="N87" s="116">
        <v>0</v>
      </c>
      <c r="O87" s="67">
        <f>SUMIF(FLOAT!$D:$D,'3 D P'!$D$5:$D$89,FLOAT!$F:$F)</f>
        <v>0</v>
      </c>
    </row>
    <row r="88" spans="1:15" x14ac:dyDescent="0.25">
      <c r="A88" s="139" t="s">
        <v>350</v>
      </c>
      <c r="B88" s="140" t="s">
        <v>300</v>
      </c>
      <c r="C88" s="141" t="s">
        <v>348</v>
      </c>
      <c r="D88" s="112" t="s">
        <v>163</v>
      </c>
      <c r="E88" s="142"/>
      <c r="F88" s="142"/>
      <c r="G88" s="142"/>
      <c r="H88" s="142"/>
      <c r="I88" s="142"/>
      <c r="J88" s="142"/>
      <c r="K88" s="142"/>
      <c r="L88" s="115">
        <v>0</v>
      </c>
      <c r="M88" s="115">
        <v>0</v>
      </c>
      <c r="N88" s="116">
        <v>0</v>
      </c>
      <c r="O88" s="67">
        <f>SUMIF(FLOAT!$D:$D,'3 D P'!$D$5:$D$89,FLOAT!$F:$F)</f>
        <v>0</v>
      </c>
    </row>
    <row r="89" spans="1:15" x14ac:dyDescent="0.25">
      <c r="A89" s="139" t="s">
        <v>351</v>
      </c>
      <c r="B89" s="140" t="s">
        <v>300</v>
      </c>
      <c r="C89" s="141" t="s">
        <v>348</v>
      </c>
      <c r="D89" s="112" t="s">
        <v>164</v>
      </c>
      <c r="E89" s="142"/>
      <c r="F89" s="142"/>
      <c r="G89" s="142"/>
      <c r="H89" s="142"/>
      <c r="I89" s="142"/>
      <c r="J89" s="142"/>
      <c r="K89" s="142"/>
      <c r="L89" s="115">
        <v>0</v>
      </c>
      <c r="M89" s="115">
        <v>0</v>
      </c>
      <c r="N89" s="116">
        <v>0</v>
      </c>
      <c r="O89" s="67">
        <f>SUMIF(FLOAT!$D:$D,'3 D P'!$D$5:$D$89,FLOAT!$F:$F)</f>
        <v>0</v>
      </c>
    </row>
    <row r="90" spans="1:15" x14ac:dyDescent="0.25">
      <c r="A90" s="139" t="s">
        <v>285</v>
      </c>
      <c r="B90" s="140" t="s">
        <v>300</v>
      </c>
      <c r="C90" s="141" t="s">
        <v>348</v>
      </c>
      <c r="D90" s="112" t="s">
        <v>165</v>
      </c>
      <c r="L90" s="115">
        <v>0</v>
      </c>
      <c r="M90" s="115">
        <v>0</v>
      </c>
      <c r="N90" s="116">
        <v>0</v>
      </c>
      <c r="O90" s="67">
        <f>SUMIF(FLOAT!$D:$D,'3 D P'!$D$5:$D$89,FLOAT!$F:$F)</f>
        <v>0</v>
      </c>
    </row>
    <row r="91" spans="1:15" x14ac:dyDescent="0.25">
      <c r="A91" s="139" t="s">
        <v>352</v>
      </c>
      <c r="B91" s="140" t="s">
        <v>300</v>
      </c>
      <c r="C91" s="141" t="s">
        <v>347</v>
      </c>
      <c r="D91" s="112" t="s">
        <v>166</v>
      </c>
      <c r="L91" s="115">
        <v>0</v>
      </c>
      <c r="M91" s="115">
        <v>0</v>
      </c>
      <c r="N91" s="116">
        <v>0</v>
      </c>
      <c r="O91" s="67">
        <f>SUMIF(FLOAT!$D:$D,'3 D P'!$D$5:$D$89,FLOAT!$F:$F)</f>
        <v>0</v>
      </c>
    </row>
    <row r="92" spans="1:15" x14ac:dyDescent="0.25">
      <c r="A92" s="139" t="s">
        <v>279</v>
      </c>
      <c r="B92" s="140" t="s">
        <v>300</v>
      </c>
      <c r="C92" s="141" t="s">
        <v>348</v>
      </c>
      <c r="D92" s="112" t="s">
        <v>697</v>
      </c>
      <c r="L92" s="115">
        <v>0</v>
      </c>
      <c r="M92" s="115">
        <v>0</v>
      </c>
      <c r="N92" s="116">
        <v>0</v>
      </c>
      <c r="O92" s="67">
        <f>SUMIF(FLOAT!$D:$D,'3 D P'!$D$5:$D$89,FLOAT!$F:$F)</f>
        <v>0</v>
      </c>
    </row>
    <row r="93" spans="1:15" x14ac:dyDescent="0.25">
      <c r="A93" s="139" t="s">
        <v>353</v>
      </c>
      <c r="B93" s="140" t="s">
        <v>300</v>
      </c>
      <c r="C93" s="141" t="s">
        <v>347</v>
      </c>
      <c r="D93" s="112" t="s">
        <v>698</v>
      </c>
      <c r="L93" s="115">
        <v>0</v>
      </c>
      <c r="M93" s="115">
        <v>0</v>
      </c>
      <c r="N93" s="116">
        <v>0</v>
      </c>
      <c r="O93" s="67">
        <f>SUMIF(FLOAT!$D:$D,'3 D P'!$D$5:$D$89,FLOAT!$F:$F)</f>
        <v>0</v>
      </c>
    </row>
    <row r="94" spans="1:15" x14ac:dyDescent="0.25">
      <c r="A94" s="139" t="s">
        <v>354</v>
      </c>
      <c r="B94" s="140" t="s">
        <v>300</v>
      </c>
      <c r="C94" s="141" t="s">
        <v>347</v>
      </c>
      <c r="D94" s="112" t="s">
        <v>239</v>
      </c>
      <c r="L94" s="115">
        <v>0</v>
      </c>
      <c r="M94" s="115">
        <v>0</v>
      </c>
      <c r="N94" s="116">
        <v>0</v>
      </c>
      <c r="O94" s="67">
        <f>SUMIF(FLOAT!$D:$D,'3 D P'!$D$5:$D$89,FLOAT!$F:$F)</f>
        <v>0</v>
      </c>
    </row>
    <row r="95" spans="1:15" x14ac:dyDescent="0.25">
      <c r="A95" s="139" t="s">
        <v>280</v>
      </c>
      <c r="B95" s="140" t="s">
        <v>300</v>
      </c>
      <c r="C95" s="141" t="s">
        <v>348</v>
      </c>
      <c r="D95" s="112" t="s">
        <v>699</v>
      </c>
      <c r="L95" s="115">
        <v>0</v>
      </c>
      <c r="M95" s="115">
        <v>0</v>
      </c>
      <c r="N95" s="116">
        <v>0</v>
      </c>
      <c r="O95" s="67">
        <f>SUMIF(FLOAT!$D:$D,'3 D P'!$D$5:$D$89,FLOAT!$F:$F)</f>
        <v>0</v>
      </c>
    </row>
    <row r="96" spans="1:15" x14ac:dyDescent="0.25">
      <c r="A96" s="139" t="s">
        <v>355</v>
      </c>
      <c r="B96" s="140" t="s">
        <v>300</v>
      </c>
      <c r="C96" s="141" t="s">
        <v>348</v>
      </c>
      <c r="D96" s="112" t="s">
        <v>700</v>
      </c>
      <c r="L96" s="115">
        <v>0</v>
      </c>
      <c r="M96" s="115">
        <v>0</v>
      </c>
      <c r="N96" s="116">
        <v>0</v>
      </c>
      <c r="O96" s="67">
        <f>SUMIF(FLOAT!$D:$D,'3 D P'!$D$5:$D$89,FLOAT!$F:$F)</f>
        <v>0</v>
      </c>
    </row>
    <row r="97" spans="1:15" x14ac:dyDescent="0.25">
      <c r="A97" s="139" t="s">
        <v>356</v>
      </c>
      <c r="B97" s="140" t="s">
        <v>300</v>
      </c>
      <c r="C97" s="141" t="s">
        <v>347</v>
      </c>
      <c r="D97" s="112" t="s">
        <v>701</v>
      </c>
      <c r="L97" s="115">
        <v>0</v>
      </c>
      <c r="M97" s="115">
        <v>0</v>
      </c>
      <c r="N97" s="116">
        <v>0</v>
      </c>
      <c r="O97" s="67">
        <f>SUMIF(FLOAT!$D:$D,'3 D P'!$D$5:$D$89,FLOAT!$F:$F)</f>
        <v>0</v>
      </c>
    </row>
    <row r="98" spans="1:15" x14ac:dyDescent="0.25">
      <c r="A98" s="139" t="s">
        <v>283</v>
      </c>
      <c r="B98" s="140" t="s">
        <v>300</v>
      </c>
      <c r="C98" s="141" t="s">
        <v>348</v>
      </c>
      <c r="D98" s="112" t="s">
        <v>703</v>
      </c>
      <c r="L98" s="115">
        <v>0</v>
      </c>
      <c r="M98" s="115">
        <v>0</v>
      </c>
      <c r="N98" s="116">
        <v>0</v>
      </c>
      <c r="O98" s="67">
        <f>SUMIF(FLOAT!$D:$D,'3 D P'!$D$5:$D$89,FLOAT!$F:$F)</f>
        <v>0</v>
      </c>
    </row>
    <row r="99" spans="1:15" x14ac:dyDescent="0.25">
      <c r="A99" s="139" t="s">
        <v>286</v>
      </c>
      <c r="B99" s="140" t="s">
        <v>300</v>
      </c>
      <c r="C99" s="141" t="s">
        <v>348</v>
      </c>
      <c r="D99" s="112"/>
      <c r="L99" s="115"/>
      <c r="M99" s="115"/>
      <c r="N99" s="116"/>
      <c r="O99" s="67">
        <f>SUMIF(FLOAT!$D:$D,'3 D P'!$D$5:$D$89,FLOAT!$F:$F)</f>
        <v>0</v>
      </c>
    </row>
    <row r="100" spans="1:15" x14ac:dyDescent="0.25">
      <c r="A100" s="139" t="s">
        <v>357</v>
      </c>
      <c r="B100" s="140" t="s">
        <v>300</v>
      </c>
      <c r="C100" s="141" t="s">
        <v>348</v>
      </c>
      <c r="D100" s="112"/>
      <c r="L100" s="142"/>
      <c r="M100" s="142"/>
      <c r="N100" s="143"/>
      <c r="O100" s="67">
        <f>SUMIF(FLOAT!$D:$D,'3 D P'!$D$5:$D$89,FLOAT!$F:$F)</f>
        <v>0</v>
      </c>
    </row>
  </sheetData>
  <mergeCells count="4">
    <mergeCell ref="A2:A3"/>
    <mergeCell ref="B2:B3"/>
    <mergeCell ref="D2:D3"/>
    <mergeCell ref="C2:C3"/>
  </mergeCells>
  <conditionalFormatting sqref="D1">
    <cfRule type="duplicateValues" dxfId="29" priority="3905"/>
    <cfRule type="duplicateValues" dxfId="28" priority="3907"/>
    <cfRule type="duplicateValues" dxfId="27" priority="3908"/>
    <cfRule type="duplicateValues" dxfId="26" priority="3909"/>
    <cfRule type="duplicateValues" dxfId="25" priority="3910"/>
    <cfRule type="duplicateValues" dxfId="24" priority="3911"/>
    <cfRule type="duplicateValues" dxfId="23" priority="3912"/>
    <cfRule type="duplicateValues" dxfId="22" priority="3913"/>
    <cfRule type="duplicateValues" dxfId="21" priority="3918"/>
    <cfRule type="duplicateValues" dxfId="20" priority="3919"/>
  </conditionalFormatting>
  <conditionalFormatting sqref="D2:D3">
    <cfRule type="duplicateValues" dxfId="19" priority="1680"/>
    <cfRule type="duplicateValues" dxfId="18" priority="1690"/>
    <cfRule type="duplicateValues" dxfId="17" priority="1698"/>
    <cfRule type="duplicateValues" dxfId="16" priority="1706"/>
    <cfRule type="duplicateValues" dxfId="15" priority="1707"/>
    <cfRule type="duplicateValues" dxfId="14" priority="1708"/>
    <cfRule type="duplicateValues" dxfId="13" priority="1709"/>
    <cfRule type="duplicateValues" dxfId="12" priority="1710"/>
    <cfRule type="duplicateValues" dxfId="11" priority="1711"/>
    <cfRule type="duplicateValues" dxfId="10" priority="1718"/>
    <cfRule type="duplicateValues" dxfId="9" priority="1720"/>
  </conditionalFormatting>
  <conditionalFormatting sqref="D4:D47">
    <cfRule type="duplicateValues" dxfId="8" priority="3"/>
  </conditionalFormatting>
  <conditionalFormatting sqref="D41">
    <cfRule type="duplicateValues" dxfId="7" priority="2"/>
  </conditionalFormatting>
  <conditionalFormatting sqref="D42:D45">
    <cfRule type="duplicateValues" dxfId="6" priority="1"/>
  </conditionalFormatting>
  <conditionalFormatting sqref="D46:D47 D4:D40">
    <cfRule type="duplicateValues" dxfId="5" priority="4"/>
  </conditionalFormatting>
  <conditionalFormatting sqref="D48:D54">
    <cfRule type="duplicateValues" dxfId="4" priority="18"/>
  </conditionalFormatting>
  <conditionalFormatting sqref="D55:D77">
    <cfRule type="duplicateValues" dxfId="3" priority="17"/>
  </conditionalFormatting>
  <conditionalFormatting sqref="D78:D98">
    <cfRule type="duplicateValues" dxfId="2" priority="98"/>
  </conditionalFormatting>
  <conditionalFormatting sqref="D99">
    <cfRule type="duplicateValues" dxfId="1" priority="131"/>
  </conditionalFormatting>
  <conditionalFormatting sqref="D100">
    <cfRule type="duplicateValues" dxfId="0" priority="20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58CBDF3E83A040A1527AAE64F0CD10" ma:contentTypeVersion="5" ma:contentTypeDescription="Create a new document." ma:contentTypeScope="" ma:versionID="2c14e77208bf4e32e348d787f1d3d60d">
  <xsd:schema xmlns:xsd="http://www.w3.org/2001/XMLSchema" xmlns:xs="http://www.w3.org/2001/XMLSchema" xmlns:p="http://schemas.microsoft.com/office/2006/metadata/properties" xmlns:ns3="360e06d1-726e-4616-8fc4-ad4ccab74656" targetNamespace="http://schemas.microsoft.com/office/2006/metadata/properties" ma:root="true" ma:fieldsID="5752d71297ca1c359c4f236d2c06cc08" ns3:_="">
    <xsd:import namespace="360e06d1-726e-4616-8fc4-ad4ccab746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e06d1-726e-4616-8fc4-ad4ccab746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0e06d1-726e-4616-8fc4-ad4ccab74656" xsi:nil="true"/>
  </documentManagement>
</p:properties>
</file>

<file path=customXml/itemProps1.xml><?xml version="1.0" encoding="utf-8"?>
<ds:datastoreItem xmlns:ds="http://schemas.openxmlformats.org/officeDocument/2006/customXml" ds:itemID="{A9827A4A-1F01-4916-9152-36010044B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0e06d1-726e-4616-8fc4-ad4ccab746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65086-F9F9-400F-8132-8F64FA1AFC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AC6205-2319-4C92-8BC7-94F34606D443}">
  <ds:schemaRefs>
    <ds:schemaRef ds:uri="http://schemas.microsoft.com/office/infopath/2007/PartnerControls"/>
    <ds:schemaRef ds:uri="http://www.w3.org/XML/1998/namespace"/>
    <ds:schemaRef ds:uri="360e06d1-726e-4616-8fc4-ad4ccab7465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Sheet2</vt:lpstr>
      <vt:lpstr>Fresh VIN PPC</vt:lpstr>
      <vt:lpstr>Sheet3</vt:lpstr>
      <vt:lpstr>SBR Summary</vt:lpstr>
      <vt:lpstr>As Per Pratik List</vt:lpstr>
      <vt:lpstr>Cockpit</vt:lpstr>
      <vt:lpstr>FRONT</vt:lpstr>
      <vt:lpstr>Summary</vt:lpstr>
      <vt:lpstr>BIW Lifting A Shift</vt:lpstr>
      <vt:lpstr>BIW Lifting B Shift</vt:lpstr>
      <vt:lpstr>Sheet1</vt:lpstr>
      <vt:lpstr>Yazaki Dispatch</vt:lpstr>
      <vt:lpstr>Front Dispatch</vt:lpstr>
      <vt:lpstr>Sap Inwarding</vt:lpstr>
      <vt:lpstr>Sample Parts</vt:lpstr>
      <vt:lpstr>FLOAT</vt:lpstr>
      <vt:lpstr>Consumption MTD</vt:lpstr>
      <vt:lpstr>Aptiv Dispatch</vt:lpstr>
      <vt:lpstr>3 D P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PADMAN [ PVBU, Operations, Pune ]</dc:creator>
  <cp:lastModifiedBy>PRADEEP ATNURE [ TMPV, PV Operations, Pune ]</cp:lastModifiedBy>
  <cp:lastPrinted>2026-06-06T12:49:29Z</cp:lastPrinted>
  <dcterms:created xsi:type="dcterms:W3CDTF">2023-03-08T01:41:49Z</dcterms:created>
  <dcterms:modified xsi:type="dcterms:W3CDTF">2026-07-18T01:04:51Z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0x0101000858CBDF3E83A040A1527AAE64F0CD10</vt:lpwstr>
  </property>
</Properties>
</file>