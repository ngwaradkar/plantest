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/>
  <xr:revisionPtr revIDLastSave="0" documentId="8_{D76842BF-C49F-4F95-9F7D-52F05A23C2B4}" xr6:coauthVersionLast="47" xr6:coauthVersionMax="47" xr10:uidLastSave="{00000000-0000-0000-0000-000000000000}"/>
  <bookViews>
    <workbookView xWindow="-120" yWindow="-120" windowWidth="24240" windowHeight="13020" tabRatio="738" firstSheet="3" activeTab="10" xr2:uid="{00000000-000D-0000-FFFF-FFFF00000000}"/>
  </bookViews>
  <sheets>
    <sheet name="Fresh VIN PPC" sheetId="12" r:id="rId1"/>
    <sheet name="Cockpit sheet" sheetId="13" r:id="rId2"/>
    <sheet name="Front" sheetId="15" r:id="rId3"/>
    <sheet name="Summary" sheetId="14" r:id="rId4"/>
    <sheet name="BIW Lifting A Shift" sheetId="2" r:id="rId5"/>
    <sheet name="BIW Lifting B Shift" sheetId="3" r:id="rId6"/>
    <sheet name="Daywise Dispatch" sheetId="4" r:id="rId7"/>
    <sheet name="Sheet4" sheetId="17" state="hidden" r:id="rId8"/>
    <sheet name="Front Dispatch" sheetId="16" r:id="rId9"/>
    <sheet name="SAP" sheetId="18" r:id="rId10"/>
    <sheet name="FLOAT" sheetId="6" r:id="rId11"/>
    <sheet name="Consumption MTD" sheetId="7" r:id="rId12"/>
    <sheet name="3 D P" sheetId="5" r:id="rId13"/>
  </sheets>
  <definedNames>
    <definedName name="_xlnm._FilterDatabase" localSheetId="12" hidden="1">'3 D P'!$A$3:$AT$73</definedName>
    <definedName name="_xlnm._FilterDatabase" localSheetId="1" hidden="1">'Cockpit sheet'!$A$9:$AM$16</definedName>
    <definedName name="_xlnm._FilterDatabase" localSheetId="11" hidden="1">'Consumption MTD'!$A$1:$C$35</definedName>
    <definedName name="_xlnm._FilterDatabase" localSheetId="6" hidden="1">'Daywise Dispatch'!$A$4:$FC$13</definedName>
    <definedName name="_xlnm._FilterDatabase" localSheetId="10" hidden="1">FLOAT!$A$3:$P$110</definedName>
    <definedName name="_xlnm._FilterDatabase" localSheetId="0" hidden="1">'Fresh VIN PPC'!$A$3:$U$19</definedName>
    <definedName name="_xlnm._FilterDatabase" localSheetId="2" hidden="1">Front!$A$1:$U$8</definedName>
    <definedName name="_xlnm._FilterDatabase" localSheetId="8" hidden="1">'Front Dispatch'!$A$4:$FC$11</definedName>
    <definedName name="_xlnm._FilterDatabase" localSheetId="7" hidden="1">Sheet4!$A$1:$P$1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5" l="1"/>
  <c r="C9" i="16"/>
  <c r="C7" i="16"/>
  <c r="C6" i="16"/>
  <c r="C8" i="16"/>
  <c r="C10" i="16"/>
  <c r="B6" i="16" l="1"/>
  <c r="B7" i="16"/>
  <c r="B9" i="16" l="1"/>
  <c r="C5" i="16" l="1"/>
  <c r="B5" i="16"/>
  <c r="C11" i="16" l="1"/>
  <c r="F14" i="12" l="1"/>
  <c r="F13" i="12"/>
  <c r="F13" i="13"/>
  <c r="F12" i="13"/>
  <c r="F16" i="12" l="1"/>
  <c r="F15" i="13"/>
  <c r="E11" i="13" l="1"/>
  <c r="E12" i="13"/>
  <c r="E13" i="13"/>
  <c r="E14" i="13"/>
  <c r="C11" i="4" s="1"/>
  <c r="E15" i="13"/>
  <c r="E10" i="13"/>
  <c r="C7" i="4" s="1"/>
  <c r="CR11" i="16"/>
  <c r="AG7" i="15"/>
  <c r="AM16" i="13"/>
  <c r="F16" i="13"/>
  <c r="V19" i="12"/>
  <c r="W8" i="15"/>
  <c r="X8" i="15"/>
  <c r="Y8" i="15"/>
  <c r="V8" i="15"/>
  <c r="V16" i="13"/>
  <c r="M3" i="15"/>
  <c r="M4" i="15"/>
  <c r="M5" i="15"/>
  <c r="M6" i="15"/>
  <c r="M7" i="15"/>
  <c r="M2" i="15"/>
  <c r="L3" i="15"/>
  <c r="L4" i="15"/>
  <c r="L5" i="15"/>
  <c r="L6" i="15"/>
  <c r="L7" i="15"/>
  <c r="L2" i="15"/>
  <c r="K3" i="15"/>
  <c r="K4" i="15"/>
  <c r="K5" i="15"/>
  <c r="K2" i="15"/>
  <c r="K6" i="15"/>
  <c r="K7" i="15"/>
  <c r="P15" i="13"/>
  <c r="Z3" i="15"/>
  <c r="AA3" i="15"/>
  <c r="AB3" i="15"/>
  <c r="AC3" i="15"/>
  <c r="AD3" i="15"/>
  <c r="AE3" i="15"/>
  <c r="AF3" i="15"/>
  <c r="AG3" i="15"/>
  <c r="AH3" i="15"/>
  <c r="AI3" i="15"/>
  <c r="AJ3" i="15"/>
  <c r="Z4" i="15"/>
  <c r="AA4" i="15"/>
  <c r="AB4" i="15"/>
  <c r="AC4" i="15"/>
  <c r="AD4" i="15"/>
  <c r="AE4" i="15"/>
  <c r="AF4" i="15"/>
  <c r="AH4" i="15"/>
  <c r="AI4" i="15"/>
  <c r="AJ4" i="15"/>
  <c r="AG4" i="15"/>
  <c r="Z5" i="15"/>
  <c r="AA5" i="15"/>
  <c r="AB5" i="15"/>
  <c r="AC5" i="15"/>
  <c r="AD5" i="15"/>
  <c r="AE5" i="15"/>
  <c r="AF5" i="15"/>
  <c r="AH5" i="15"/>
  <c r="AI5" i="15"/>
  <c r="AJ5" i="15"/>
  <c r="AG5" i="15"/>
  <c r="Z6" i="15"/>
  <c r="AA6" i="15"/>
  <c r="AB6" i="15"/>
  <c r="AC6" i="15"/>
  <c r="AD6" i="15"/>
  <c r="AE6" i="15"/>
  <c r="AF6" i="15"/>
  <c r="AH6" i="15"/>
  <c r="AI6" i="15"/>
  <c r="AJ6" i="15"/>
  <c r="AG6" i="15"/>
  <c r="Z7" i="15"/>
  <c r="AA7" i="15"/>
  <c r="AB7" i="15"/>
  <c r="AC7" i="15"/>
  <c r="AD7" i="15"/>
  <c r="AE7" i="15"/>
  <c r="AF7" i="15"/>
  <c r="AH7" i="15"/>
  <c r="AI7" i="15"/>
  <c r="AJ7" i="15"/>
  <c r="AJ2" i="15"/>
  <c r="AI2" i="15"/>
  <c r="AH2" i="15"/>
  <c r="AG2" i="15"/>
  <c r="AF2" i="15"/>
  <c r="AE2" i="15"/>
  <c r="AD2" i="15"/>
  <c r="AC2" i="15"/>
  <c r="AB2" i="15"/>
  <c r="AA2" i="15"/>
  <c r="Z2" i="15"/>
  <c r="U3" i="15"/>
  <c r="U4" i="15"/>
  <c r="U5" i="15"/>
  <c r="U6" i="15"/>
  <c r="U7" i="15"/>
  <c r="U2" i="15"/>
  <c r="Q3" i="15"/>
  <c r="Q4" i="15"/>
  <c r="Q5" i="15"/>
  <c r="Q6" i="15"/>
  <c r="Q7" i="15"/>
  <c r="Q2" i="15"/>
  <c r="P3" i="15"/>
  <c r="P4" i="15"/>
  <c r="P5" i="15"/>
  <c r="P6" i="15"/>
  <c r="P7" i="15"/>
  <c r="P2" i="15"/>
  <c r="CL11" i="16"/>
  <c r="B8" i="16"/>
  <c r="D8" i="16" s="1"/>
  <c r="N6" i="15"/>
  <c r="G6" i="15" s="1"/>
  <c r="D5" i="16"/>
  <c r="F8" i="15"/>
  <c r="FC11" i="16"/>
  <c r="FB11" i="16"/>
  <c r="FA11" i="16"/>
  <c r="EZ11" i="16"/>
  <c r="EY11" i="16"/>
  <c r="EX11" i="16"/>
  <c r="EW11" i="16"/>
  <c r="EV11" i="16"/>
  <c r="EU11" i="16"/>
  <c r="ET11" i="16"/>
  <c r="ES11" i="16"/>
  <c r="ER11" i="16"/>
  <c r="EQ11" i="16"/>
  <c r="EP11" i="16"/>
  <c r="EO11" i="16"/>
  <c r="EN11" i="16"/>
  <c r="EM11" i="16"/>
  <c r="EL11" i="16"/>
  <c r="EK11" i="16"/>
  <c r="EJ11" i="16"/>
  <c r="EI11" i="16"/>
  <c r="EH11" i="16"/>
  <c r="EG11" i="16"/>
  <c r="EF11" i="16"/>
  <c r="EE11" i="16"/>
  <c r="ED11" i="16"/>
  <c r="EC11" i="16"/>
  <c r="EB11" i="16"/>
  <c r="EA11" i="16"/>
  <c r="DZ11" i="16"/>
  <c r="DY11" i="16"/>
  <c r="DX11" i="16"/>
  <c r="DW11" i="16"/>
  <c r="DV11" i="16"/>
  <c r="DU11" i="16"/>
  <c r="DT11" i="16"/>
  <c r="DS11" i="16"/>
  <c r="DR11" i="16"/>
  <c r="DQ11" i="16"/>
  <c r="DP11" i="16"/>
  <c r="DO11" i="16"/>
  <c r="DN11" i="16"/>
  <c r="DM11" i="16"/>
  <c r="DL11" i="16"/>
  <c r="DK11" i="16"/>
  <c r="DJ11" i="16"/>
  <c r="DI11" i="16"/>
  <c r="DH11" i="16"/>
  <c r="DG11" i="16"/>
  <c r="DF11" i="16"/>
  <c r="DE11" i="16"/>
  <c r="DD11" i="16"/>
  <c r="DC11" i="16"/>
  <c r="DB11" i="16"/>
  <c r="DA11" i="16"/>
  <c r="CZ11" i="16"/>
  <c r="CY11" i="16"/>
  <c r="CX11" i="16"/>
  <c r="CW11" i="16"/>
  <c r="CV11" i="16"/>
  <c r="CU11" i="16"/>
  <c r="CT11" i="16"/>
  <c r="CS11" i="16"/>
  <c r="CQ11" i="16"/>
  <c r="CP11" i="16"/>
  <c r="CO11" i="16"/>
  <c r="CN11" i="16"/>
  <c r="CM11" i="16"/>
  <c r="CK11" i="16"/>
  <c r="CJ11" i="16"/>
  <c r="CI11" i="16"/>
  <c r="CH11" i="16"/>
  <c r="CG11" i="16"/>
  <c r="CF11" i="16"/>
  <c r="CE11" i="16"/>
  <c r="CD11" i="16"/>
  <c r="CC11" i="16"/>
  <c r="CB11" i="16"/>
  <c r="CA11" i="16"/>
  <c r="BZ11" i="16"/>
  <c r="BY11" i="16"/>
  <c r="BX11" i="16"/>
  <c r="BW11" i="16"/>
  <c r="BV11" i="16"/>
  <c r="BU11" i="16"/>
  <c r="BT11" i="16"/>
  <c r="BS11" i="16"/>
  <c r="BR11" i="16"/>
  <c r="BQ11" i="16"/>
  <c r="BP11" i="16"/>
  <c r="BO11" i="16"/>
  <c r="BN11" i="16"/>
  <c r="BM11" i="16"/>
  <c r="BL11" i="16"/>
  <c r="BK11" i="16"/>
  <c r="BJ11" i="16"/>
  <c r="BI11" i="16"/>
  <c r="BH11" i="16"/>
  <c r="BG11" i="16"/>
  <c r="BF11" i="16"/>
  <c r="BE11" i="16"/>
  <c r="BD11" i="16"/>
  <c r="BC11" i="16"/>
  <c r="BB11" i="16"/>
  <c r="BA11" i="16"/>
  <c r="AZ11" i="16"/>
  <c r="AY11" i="16"/>
  <c r="AX11" i="16"/>
  <c r="AW11" i="16"/>
  <c r="AV11" i="16"/>
  <c r="AU11" i="16"/>
  <c r="AT11" i="16"/>
  <c r="AS11" i="16"/>
  <c r="AR11" i="16"/>
  <c r="AQ11" i="16"/>
  <c r="AP11" i="16"/>
  <c r="AO11" i="16"/>
  <c r="AN11" i="16"/>
  <c r="AM11" i="16"/>
  <c r="AL11" i="16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7" i="16"/>
  <c r="N3" i="15"/>
  <c r="G3" i="15" s="1"/>
  <c r="O3" i="15"/>
  <c r="H3" i="15" s="1"/>
  <c r="O4" i="15"/>
  <c r="H4" i="15" s="1"/>
  <c r="O5" i="15"/>
  <c r="H5" i="15" s="1"/>
  <c r="O6" i="15"/>
  <c r="H6" i="15" s="1"/>
  <c r="O7" i="15"/>
  <c r="H7" i="15" s="1"/>
  <c r="O2" i="15"/>
  <c r="H2" i="15" s="1"/>
  <c r="E8" i="15"/>
  <c r="D8" i="15"/>
  <c r="M1" i="15"/>
  <c r="L1" i="15"/>
  <c r="K1" i="15"/>
  <c r="B10" i="16"/>
  <c r="D10" i="16" s="1"/>
  <c r="AJ15" i="13"/>
  <c r="AI15" i="13"/>
  <c r="AH15" i="13"/>
  <c r="AG15" i="13"/>
  <c r="AF15" i="13"/>
  <c r="AE15" i="13"/>
  <c r="AD15" i="13"/>
  <c r="AC15" i="13"/>
  <c r="AB15" i="13"/>
  <c r="AA15" i="13"/>
  <c r="AJ14" i="13"/>
  <c r="AI14" i="13"/>
  <c r="AH14" i="13"/>
  <c r="AG14" i="13"/>
  <c r="AF14" i="13"/>
  <c r="AE14" i="13"/>
  <c r="AD14" i="13"/>
  <c r="AC14" i="13"/>
  <c r="AB14" i="13"/>
  <c r="AA14" i="13"/>
  <c r="AJ13" i="13"/>
  <c r="AI13" i="13"/>
  <c r="AH13" i="13"/>
  <c r="AG13" i="13"/>
  <c r="AF13" i="13"/>
  <c r="AE13" i="13"/>
  <c r="AD13" i="13"/>
  <c r="AC13" i="13"/>
  <c r="AB13" i="13"/>
  <c r="AA13" i="13"/>
  <c r="AJ12" i="13"/>
  <c r="AI12" i="13"/>
  <c r="AH12" i="13"/>
  <c r="AG12" i="13"/>
  <c r="AF12" i="13"/>
  <c r="AE12" i="13"/>
  <c r="AD12" i="13"/>
  <c r="AC12" i="13"/>
  <c r="AB12" i="13"/>
  <c r="AA12" i="13"/>
  <c r="AJ11" i="13"/>
  <c r="AI11" i="13"/>
  <c r="AH11" i="13"/>
  <c r="AG11" i="13"/>
  <c r="AF11" i="13"/>
  <c r="AE11" i="13"/>
  <c r="AD11" i="13"/>
  <c r="AC11" i="13"/>
  <c r="AB11" i="13"/>
  <c r="AA11" i="13"/>
  <c r="AJ10" i="13"/>
  <c r="AI10" i="13"/>
  <c r="AH10" i="13"/>
  <c r="AF10" i="13"/>
  <c r="AE10" i="13"/>
  <c r="AD10" i="13"/>
  <c r="AC10" i="13"/>
  <c r="AB10" i="13"/>
  <c r="AA10" i="13"/>
  <c r="Z10" i="13"/>
  <c r="Z15" i="13"/>
  <c r="Z14" i="13"/>
  <c r="Z13" i="13"/>
  <c r="Z12" i="13"/>
  <c r="Z11" i="13"/>
  <c r="Q12" i="13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6" i="7"/>
  <c r="E7" i="7"/>
  <c r="E8" i="7"/>
  <c r="E9" i="7"/>
  <c r="E10" i="7"/>
  <c r="E11" i="7"/>
  <c r="E3" i="7"/>
  <c r="E4" i="7"/>
  <c r="E5" i="7"/>
  <c r="E2" i="7"/>
  <c r="P12" i="12"/>
  <c r="Q12" i="12"/>
  <c r="P13" i="12"/>
  <c r="Q13" i="12"/>
  <c r="P14" i="12"/>
  <c r="Q14" i="12"/>
  <c r="P15" i="12"/>
  <c r="Q15" i="12"/>
  <c r="P16" i="12"/>
  <c r="Q16" i="12"/>
  <c r="P17" i="12"/>
  <c r="Q17" i="12"/>
  <c r="P18" i="12"/>
  <c r="Q18" i="12"/>
  <c r="Q11" i="12"/>
  <c r="P11" i="12"/>
  <c r="P11" i="13"/>
  <c r="Q11" i="13"/>
  <c r="P12" i="13"/>
  <c r="P13" i="13"/>
  <c r="Q13" i="13"/>
  <c r="P14" i="13"/>
  <c r="Q14" i="13"/>
  <c r="Q15" i="13"/>
  <c r="Q10" i="13"/>
  <c r="P10" i="13"/>
  <c r="B7" i="4"/>
  <c r="N11" i="12" s="1"/>
  <c r="B8" i="4"/>
  <c r="N11" i="13" s="1"/>
  <c r="G11" i="13" s="1"/>
  <c r="B9" i="4"/>
  <c r="N12" i="13" s="1"/>
  <c r="G12" i="13" s="1"/>
  <c r="D16" i="13"/>
  <c r="D7" i="13"/>
  <c r="F19" i="12"/>
  <c r="D19" i="12"/>
  <c r="U15" i="13"/>
  <c r="O15" i="13"/>
  <c r="H15" i="13" s="1"/>
  <c r="I15" i="13" s="1"/>
  <c r="M15" i="13"/>
  <c r="L15" i="13"/>
  <c r="K15" i="13"/>
  <c r="U14" i="13"/>
  <c r="O14" i="13"/>
  <c r="H14" i="13" s="1"/>
  <c r="I14" i="13" s="1"/>
  <c r="M14" i="13"/>
  <c r="L14" i="13"/>
  <c r="K14" i="13"/>
  <c r="U13" i="13"/>
  <c r="O13" i="13"/>
  <c r="H13" i="13" s="1"/>
  <c r="M13" i="13"/>
  <c r="L13" i="13"/>
  <c r="K13" i="13"/>
  <c r="C10" i="4"/>
  <c r="U12" i="13"/>
  <c r="O12" i="13"/>
  <c r="H12" i="13" s="1"/>
  <c r="I12" i="13" s="1"/>
  <c r="M12" i="13"/>
  <c r="L12" i="13"/>
  <c r="K12" i="13"/>
  <c r="C9" i="4"/>
  <c r="U11" i="13"/>
  <c r="O11" i="13"/>
  <c r="H11" i="13" s="1"/>
  <c r="I11" i="13" s="1"/>
  <c r="M11" i="13"/>
  <c r="L11" i="13"/>
  <c r="K11" i="13"/>
  <c r="C8" i="4"/>
  <c r="U10" i="13"/>
  <c r="O10" i="13"/>
  <c r="H10" i="13" s="1"/>
  <c r="M10" i="13"/>
  <c r="L10" i="13"/>
  <c r="K10" i="13"/>
  <c r="M9" i="13"/>
  <c r="L9" i="13"/>
  <c r="K9" i="13"/>
  <c r="Y12" i="12"/>
  <c r="Z12" i="12"/>
  <c r="AA12" i="12"/>
  <c r="AB12" i="12"/>
  <c r="AC12" i="12"/>
  <c r="AD12" i="12"/>
  <c r="AE12" i="12"/>
  <c r="AF12" i="12"/>
  <c r="AG12" i="12"/>
  <c r="AH12" i="12"/>
  <c r="AI12" i="12"/>
  <c r="Y13" i="12"/>
  <c r="Z13" i="12"/>
  <c r="AA13" i="12"/>
  <c r="AB13" i="12"/>
  <c r="AC13" i="12"/>
  <c r="AD13" i="12"/>
  <c r="AE13" i="12"/>
  <c r="AF13" i="12"/>
  <c r="AG13" i="12"/>
  <c r="AH13" i="12"/>
  <c r="AI13" i="12"/>
  <c r="Y14" i="12"/>
  <c r="Z14" i="12"/>
  <c r="AA14" i="12"/>
  <c r="AB14" i="12"/>
  <c r="AC14" i="12"/>
  <c r="AD14" i="12"/>
  <c r="AE14" i="12"/>
  <c r="AF14" i="12"/>
  <c r="AG14" i="12"/>
  <c r="AH14" i="12"/>
  <c r="AI14" i="12"/>
  <c r="Y15" i="12"/>
  <c r="Z15" i="12"/>
  <c r="AA15" i="12"/>
  <c r="AB15" i="12"/>
  <c r="AC15" i="12"/>
  <c r="AD15" i="12"/>
  <c r="AE15" i="12"/>
  <c r="AF15" i="12"/>
  <c r="AG15" i="12"/>
  <c r="AH15" i="12"/>
  <c r="AI15" i="12"/>
  <c r="Y16" i="12"/>
  <c r="Z16" i="12"/>
  <c r="AA16" i="12"/>
  <c r="AB16" i="12"/>
  <c r="AC16" i="12"/>
  <c r="AD16" i="12"/>
  <c r="AE16" i="12"/>
  <c r="AF16" i="12"/>
  <c r="AG16" i="12"/>
  <c r="AH16" i="12"/>
  <c r="AI16" i="12"/>
  <c r="Y17" i="12"/>
  <c r="Z17" i="12"/>
  <c r="AA17" i="12"/>
  <c r="AB17" i="12"/>
  <c r="AC17" i="12"/>
  <c r="AD17" i="12"/>
  <c r="AE17" i="12"/>
  <c r="AF17" i="12"/>
  <c r="AG17" i="12"/>
  <c r="AH17" i="12"/>
  <c r="AI17" i="12"/>
  <c r="Y18" i="12"/>
  <c r="Z18" i="12"/>
  <c r="AA18" i="12"/>
  <c r="AB18" i="12"/>
  <c r="AC18" i="12"/>
  <c r="AD18" i="12"/>
  <c r="AE18" i="12"/>
  <c r="AF18" i="12"/>
  <c r="AG18" i="12"/>
  <c r="AH18" i="12"/>
  <c r="AI18" i="12"/>
  <c r="AI11" i="12"/>
  <c r="AH11" i="12"/>
  <c r="AG11" i="12"/>
  <c r="AF11" i="12"/>
  <c r="AD11" i="12"/>
  <c r="AC11" i="12"/>
  <c r="AB11" i="12"/>
  <c r="AA11" i="12"/>
  <c r="Z11" i="12"/>
  <c r="AE11" i="12"/>
  <c r="Y11" i="12"/>
  <c r="U12" i="12"/>
  <c r="U13" i="12"/>
  <c r="U14" i="12"/>
  <c r="U15" i="12"/>
  <c r="U16" i="12"/>
  <c r="U17" i="12"/>
  <c r="U18" i="12"/>
  <c r="U11" i="12"/>
  <c r="O12" i="12"/>
  <c r="H12" i="12" s="1"/>
  <c r="O13" i="12"/>
  <c r="H13" i="12" s="1"/>
  <c r="I13" i="12" s="1"/>
  <c r="O14" i="12"/>
  <c r="H14" i="12" s="1"/>
  <c r="I14" i="12" s="1"/>
  <c r="O15" i="12"/>
  <c r="H15" i="12" s="1"/>
  <c r="I15" i="12" s="1"/>
  <c r="O16" i="12"/>
  <c r="H16" i="12" s="1"/>
  <c r="I16" i="12" s="1"/>
  <c r="O17" i="12"/>
  <c r="H17" i="12" s="1"/>
  <c r="I17" i="12" s="1"/>
  <c r="O18" i="12"/>
  <c r="H18" i="12" s="1"/>
  <c r="I18" i="12" s="1"/>
  <c r="O11" i="12"/>
  <c r="H11" i="12" s="1"/>
  <c r="I11" i="12" s="1"/>
  <c r="N18" i="12"/>
  <c r="G18" i="12" s="1"/>
  <c r="M18" i="12"/>
  <c r="L18" i="12"/>
  <c r="K18" i="12"/>
  <c r="N17" i="12"/>
  <c r="G17" i="12" s="1"/>
  <c r="M17" i="12"/>
  <c r="L17" i="12"/>
  <c r="K17" i="12"/>
  <c r="M16" i="12"/>
  <c r="L16" i="12"/>
  <c r="K16" i="12"/>
  <c r="M15" i="12"/>
  <c r="L15" i="12"/>
  <c r="K15" i="12"/>
  <c r="M14" i="12"/>
  <c r="L14" i="12"/>
  <c r="K14" i="12"/>
  <c r="M13" i="12"/>
  <c r="L13" i="12"/>
  <c r="K13" i="12"/>
  <c r="M12" i="12"/>
  <c r="L12" i="12"/>
  <c r="K12" i="12"/>
  <c r="M11" i="12"/>
  <c r="L11" i="12"/>
  <c r="K11" i="12"/>
  <c r="M10" i="12"/>
  <c r="L10" i="12"/>
  <c r="K10" i="12"/>
  <c r="E19" i="12"/>
  <c r="C6" i="4"/>
  <c r="B6" i="4"/>
  <c r="N16" i="12" s="1"/>
  <c r="G16" i="12" s="1"/>
  <c r="B10" i="4"/>
  <c r="N14" i="12" s="1"/>
  <c r="G14" i="12" s="1"/>
  <c r="B11" i="4"/>
  <c r="N15" i="12" s="1"/>
  <c r="G15" i="12" s="1"/>
  <c r="N12" i="4"/>
  <c r="M12" i="4"/>
  <c r="L12" i="4"/>
  <c r="K12" i="4"/>
  <c r="J12" i="4"/>
  <c r="I12" i="4"/>
  <c r="H12" i="4"/>
  <c r="G12" i="4"/>
  <c r="F12" i="4"/>
  <c r="E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EL12" i="4"/>
  <c r="EM12" i="4"/>
  <c r="EN12" i="4"/>
  <c r="EO12" i="4"/>
  <c r="EP12" i="4"/>
  <c r="EQ12" i="4"/>
  <c r="ER12" i="4"/>
  <c r="ES12" i="4"/>
  <c r="ET12" i="4"/>
  <c r="EU12" i="4"/>
  <c r="EV12" i="4"/>
  <c r="EW12" i="4"/>
  <c r="EX12" i="4"/>
  <c r="EY12" i="4"/>
  <c r="EZ12" i="4"/>
  <c r="FA12" i="4"/>
  <c r="FB12" i="4"/>
  <c r="FC12" i="4"/>
  <c r="O12" i="4"/>
  <c r="M3" i="12"/>
  <c r="L3" i="12"/>
  <c r="K3" i="12"/>
  <c r="M2" i="13"/>
  <c r="L2" i="13"/>
  <c r="K2" i="13"/>
  <c r="L2" i="5"/>
  <c r="K2" i="5"/>
  <c r="J2" i="5"/>
  <c r="F7" i="13"/>
  <c r="AA4" i="13"/>
  <c r="AB4" i="13"/>
  <c r="AC4" i="13"/>
  <c r="AD4" i="13"/>
  <c r="AE4" i="13"/>
  <c r="AF4" i="13"/>
  <c r="AG4" i="13"/>
  <c r="AH4" i="13"/>
  <c r="AI4" i="13"/>
  <c r="AJ4" i="13"/>
  <c r="Q5" i="12"/>
  <c r="P5" i="12"/>
  <c r="O5" i="12"/>
  <c r="N5" i="12"/>
  <c r="M5" i="12"/>
  <c r="L5" i="12"/>
  <c r="K5" i="12"/>
  <c r="Q4" i="13"/>
  <c r="P4" i="13"/>
  <c r="O4" i="13"/>
  <c r="N4" i="13"/>
  <c r="N5" i="13"/>
  <c r="M4" i="13"/>
  <c r="L4" i="13"/>
  <c r="K4" i="13"/>
  <c r="AG5" i="12"/>
  <c r="AG4" i="12"/>
  <c r="AG6" i="12"/>
  <c r="AG7" i="12"/>
  <c r="AF5" i="12"/>
  <c r="AI5" i="12"/>
  <c r="AH5" i="12"/>
  <c r="AE5" i="12"/>
  <c r="AD5" i="12"/>
  <c r="AC5" i="12"/>
  <c r="AB5" i="12"/>
  <c r="AA5" i="12"/>
  <c r="Z5" i="12"/>
  <c r="Y5" i="12"/>
  <c r="U4" i="13"/>
  <c r="U5" i="12"/>
  <c r="B5" i="4"/>
  <c r="B12" i="4" s="1"/>
  <c r="M4" i="12"/>
  <c r="M6" i="12"/>
  <c r="M7" i="12"/>
  <c r="L4" i="12"/>
  <c r="L6" i="12"/>
  <c r="L7" i="12"/>
  <c r="K4" i="12"/>
  <c r="K6" i="12"/>
  <c r="K7" i="12"/>
  <c r="M3" i="13"/>
  <c r="M5" i="13"/>
  <c r="M6" i="13"/>
  <c r="L3" i="13"/>
  <c r="L5" i="13"/>
  <c r="L6" i="13"/>
  <c r="K3" i="13"/>
  <c r="K5" i="13"/>
  <c r="K6" i="13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AG10" i="13"/>
  <c r="U6" i="13"/>
  <c r="Q6" i="13"/>
  <c r="P6" i="13"/>
  <c r="O6" i="13"/>
  <c r="N6" i="13"/>
  <c r="AJ5" i="13"/>
  <c r="AI5" i="13"/>
  <c r="AH5" i="13"/>
  <c r="AG5" i="13"/>
  <c r="AF5" i="13"/>
  <c r="AE5" i="13"/>
  <c r="AD5" i="13"/>
  <c r="AC5" i="13"/>
  <c r="AB5" i="13"/>
  <c r="AA5" i="13"/>
  <c r="Z5" i="13"/>
  <c r="U5" i="13"/>
  <c r="Q5" i="13"/>
  <c r="P5" i="13"/>
  <c r="O5" i="13"/>
  <c r="AJ3" i="13"/>
  <c r="AI3" i="13"/>
  <c r="AH3" i="13"/>
  <c r="AG3" i="13"/>
  <c r="AF3" i="13"/>
  <c r="AE3" i="13"/>
  <c r="AD3" i="13"/>
  <c r="AC3" i="13"/>
  <c r="AB3" i="13"/>
  <c r="AA3" i="13"/>
  <c r="Z3" i="13"/>
  <c r="U3" i="13"/>
  <c r="Q3" i="13"/>
  <c r="P3" i="13"/>
  <c r="O3" i="13"/>
  <c r="D8" i="12"/>
  <c r="AI7" i="12"/>
  <c r="AH7" i="12"/>
  <c r="AF7" i="12"/>
  <c r="AE7" i="12"/>
  <c r="AD7" i="12"/>
  <c r="AC7" i="12"/>
  <c r="AB7" i="12"/>
  <c r="AA7" i="12"/>
  <c r="Z7" i="12"/>
  <c r="Y7" i="12"/>
  <c r="U7" i="12"/>
  <c r="Q7" i="12"/>
  <c r="P7" i="12"/>
  <c r="O7" i="12"/>
  <c r="N7" i="12"/>
  <c r="AI6" i="12"/>
  <c r="AH6" i="12"/>
  <c r="AH4" i="12"/>
  <c r="AF6" i="12"/>
  <c r="AE6" i="12"/>
  <c r="AD6" i="12"/>
  <c r="AC6" i="12"/>
  <c r="AB6" i="12"/>
  <c r="AB4" i="12"/>
  <c r="AA6" i="12"/>
  <c r="Z6" i="12"/>
  <c r="Y6" i="12"/>
  <c r="U6" i="12"/>
  <c r="Q6" i="12"/>
  <c r="P6" i="12"/>
  <c r="O6" i="12"/>
  <c r="N6" i="12"/>
  <c r="AI4" i="12"/>
  <c r="AF4" i="12"/>
  <c r="AE4" i="12"/>
  <c r="AD4" i="12"/>
  <c r="AC4" i="12"/>
  <c r="AA4" i="12"/>
  <c r="Z4" i="12"/>
  <c r="Y4" i="12"/>
  <c r="U4" i="12"/>
  <c r="Q4" i="12"/>
  <c r="P4" i="12"/>
  <c r="O4" i="12"/>
  <c r="E4" i="12"/>
  <c r="E8" i="12" s="1"/>
  <c r="E3" i="13"/>
  <c r="E7" i="13" s="1"/>
  <c r="D6" i="16"/>
  <c r="N5" i="15" l="1"/>
  <c r="G5" i="15" s="1"/>
  <c r="J5" i="15" s="1"/>
  <c r="AA8" i="15"/>
  <c r="I10" i="13"/>
  <c r="N2" i="15"/>
  <c r="G2" i="15" s="1"/>
  <c r="J2" i="15" s="1"/>
  <c r="K8" i="12"/>
  <c r="D9" i="16"/>
  <c r="D11" i="16" s="1"/>
  <c r="E16" i="13"/>
  <c r="D10" i="4"/>
  <c r="Y13" i="4"/>
  <c r="M16" i="13"/>
  <c r="L7" i="13"/>
  <c r="L8" i="15"/>
  <c r="AC8" i="15"/>
  <c r="D1" i="13"/>
  <c r="D11" i="4"/>
  <c r="N12" i="12"/>
  <c r="G12" i="12" s="1"/>
  <c r="J12" i="12" s="1"/>
  <c r="S12" i="12" s="1"/>
  <c r="T12" i="12" s="1"/>
  <c r="N15" i="13"/>
  <c r="G15" i="13" s="1"/>
  <c r="J15" i="13" s="1"/>
  <c r="S15" i="13" s="1"/>
  <c r="T15" i="13" s="1"/>
  <c r="N13" i="13"/>
  <c r="G13" i="13" s="1"/>
  <c r="J13" i="13" s="1"/>
  <c r="S13" i="13" s="1"/>
  <c r="T13" i="13" s="1"/>
  <c r="C5" i="4"/>
  <c r="C12" i="4" s="1"/>
  <c r="AE8" i="12"/>
  <c r="AE19" i="12" s="1"/>
  <c r="M8" i="15"/>
  <c r="K16" i="13"/>
  <c r="L16" i="13"/>
  <c r="K19" i="12"/>
  <c r="M19" i="12"/>
  <c r="EO13" i="4"/>
  <c r="L8" i="12"/>
  <c r="EE13" i="4"/>
  <c r="DF13" i="4"/>
  <c r="L19" i="12"/>
  <c r="K8" i="15"/>
  <c r="U7" i="13"/>
  <c r="K7" i="13"/>
  <c r="M7" i="13"/>
  <c r="M8" i="12"/>
  <c r="DK13" i="4"/>
  <c r="AI13" i="4"/>
  <c r="U8" i="15"/>
  <c r="F4" i="14" s="1"/>
  <c r="AF8" i="15"/>
  <c r="AG8" i="12"/>
  <c r="AG19" i="12" s="1"/>
  <c r="AB8" i="15"/>
  <c r="U8" i="12"/>
  <c r="U2" i="12" s="1"/>
  <c r="AJ15" i="12"/>
  <c r="AJ13" i="12"/>
  <c r="AJ14" i="12"/>
  <c r="AD8" i="15"/>
  <c r="D8" i="4"/>
  <c r="D6" i="4"/>
  <c r="AK11" i="13"/>
  <c r="O8" i="15"/>
  <c r="P8" i="15"/>
  <c r="AA8" i="12"/>
  <c r="AA19" i="12" s="1"/>
  <c r="P8" i="12"/>
  <c r="P2" i="12" s="1"/>
  <c r="BH13" i="4"/>
  <c r="Q19" i="12"/>
  <c r="AD8" i="12"/>
  <c r="AD19" i="12" s="1"/>
  <c r="DA13" i="4"/>
  <c r="AS13" i="4"/>
  <c r="N13" i="12"/>
  <c r="G13" i="12" s="1"/>
  <c r="J13" i="12" s="1"/>
  <c r="S13" i="12" s="1"/>
  <c r="T13" i="12" s="1"/>
  <c r="DZ13" i="4"/>
  <c r="CV13" i="4"/>
  <c r="AD13" i="4"/>
  <c r="BR13" i="4"/>
  <c r="AG8" i="15"/>
  <c r="AB8" i="12"/>
  <c r="AB19" i="12" s="1"/>
  <c r="CB13" i="4"/>
  <c r="O8" i="12"/>
  <c r="O7" i="13"/>
  <c r="AK4" i="13"/>
  <c r="U16" i="13"/>
  <c r="AJ11" i="12"/>
  <c r="AK10" i="13"/>
  <c r="AK12" i="13"/>
  <c r="AK13" i="13"/>
  <c r="AK14" i="13"/>
  <c r="AK15" i="13"/>
  <c r="Y8" i="12"/>
  <c r="Y19" i="12" s="1"/>
  <c r="AK3" i="13"/>
  <c r="Z8" i="12"/>
  <c r="Z19" i="12" s="1"/>
  <c r="U19" i="12"/>
  <c r="AJ18" i="12"/>
  <c r="AJ17" i="12"/>
  <c r="AJ12" i="12"/>
  <c r="AJ5" i="12"/>
  <c r="AF8" i="12"/>
  <c r="AF19" i="12" s="1"/>
  <c r="AK5" i="13"/>
  <c r="AC8" i="12"/>
  <c r="AC19" i="12" s="1"/>
  <c r="AI8" i="12"/>
  <c r="AI19" i="12" s="1"/>
  <c r="AI8" i="15"/>
  <c r="Z8" i="15"/>
  <c r="AJ8" i="15"/>
  <c r="AK6" i="15"/>
  <c r="AK5" i="15"/>
  <c r="AK4" i="15"/>
  <c r="AK3" i="15"/>
  <c r="D9" i="4"/>
  <c r="O16" i="13"/>
  <c r="J15" i="12"/>
  <c r="S15" i="12" s="1"/>
  <c r="T15" i="12" s="1"/>
  <c r="H3" i="13"/>
  <c r="I7" i="13" s="1"/>
  <c r="BW13" i="4"/>
  <c r="AN13" i="4"/>
  <c r="CG13" i="4"/>
  <c r="DP13" i="4"/>
  <c r="N14" i="13"/>
  <c r="G14" i="13" s="1"/>
  <c r="J14" i="13" s="1"/>
  <c r="N4" i="12"/>
  <c r="G4" i="12" s="1"/>
  <c r="G8" i="12" s="1"/>
  <c r="CQ13" i="4"/>
  <c r="EY13" i="4"/>
  <c r="EJ13" i="4"/>
  <c r="AX13" i="4"/>
  <c r="N3" i="13"/>
  <c r="G3" i="13" s="1"/>
  <c r="CL13" i="4"/>
  <c r="BM13" i="4"/>
  <c r="DU13" i="4"/>
  <c r="BC13" i="4"/>
  <c r="N4" i="15"/>
  <c r="G4" i="15" s="1"/>
  <c r="J4" i="15" s="1"/>
  <c r="S4" i="15" s="1"/>
  <c r="T4" i="15" s="1"/>
  <c r="B11" i="16"/>
  <c r="N7" i="15"/>
  <c r="ET13" i="4"/>
  <c r="D7" i="4"/>
  <c r="N10" i="13"/>
  <c r="G10" i="13" s="1"/>
  <c r="I7" i="15"/>
  <c r="I5" i="15"/>
  <c r="J3" i="15"/>
  <c r="I3" i="15"/>
  <c r="I2" i="15"/>
  <c r="H8" i="15"/>
  <c r="I6" i="15"/>
  <c r="J6" i="15"/>
  <c r="I12" i="12"/>
  <c r="I19" i="12" s="1"/>
  <c r="H19" i="12"/>
  <c r="I13" i="13"/>
  <c r="I4" i="15"/>
  <c r="H4" i="12"/>
  <c r="J16" i="12"/>
  <c r="R16" i="12" s="1"/>
  <c r="J18" i="12"/>
  <c r="S18" i="12" s="1"/>
  <c r="T18" i="12" s="1"/>
  <c r="J17" i="12"/>
  <c r="R17" i="12" s="1"/>
  <c r="O19" i="12"/>
  <c r="J14" i="12"/>
  <c r="S14" i="12" s="1"/>
  <c r="T14" i="12" s="1"/>
  <c r="J12" i="13"/>
  <c r="R12" i="13" s="1"/>
  <c r="J11" i="13"/>
  <c r="R11" i="13" s="1"/>
  <c r="AJ16" i="12"/>
  <c r="AJ7" i="12"/>
  <c r="AE8" i="15"/>
  <c r="AJ4" i="12"/>
  <c r="AK7" i="15"/>
  <c r="AH8" i="12"/>
  <c r="AH19" i="12" s="1"/>
  <c r="AJ6" i="12"/>
  <c r="AK2" i="15"/>
  <c r="AH8" i="15"/>
  <c r="Q8" i="12"/>
  <c r="Q2" i="12" s="1"/>
  <c r="Q16" i="13"/>
  <c r="Q7" i="13"/>
  <c r="Q8" i="15"/>
  <c r="P19" i="12"/>
  <c r="P16" i="13"/>
  <c r="P7" i="13"/>
  <c r="G11" i="12"/>
  <c r="J11" i="12" s="1"/>
  <c r="R11" i="12" s="1"/>
  <c r="C4" i="14" l="1"/>
  <c r="H16" i="13"/>
  <c r="F5" i="14"/>
  <c r="F6" i="14" s="1"/>
  <c r="D5" i="4"/>
  <c r="D12" i="4" s="1"/>
  <c r="J3" i="13"/>
  <c r="J7" i="13" s="1"/>
  <c r="R15" i="13"/>
  <c r="N19" i="12"/>
  <c r="AJ19" i="12"/>
  <c r="U1" i="13"/>
  <c r="H7" i="13"/>
  <c r="R15" i="12"/>
  <c r="AJ8" i="12"/>
  <c r="R4" i="15"/>
  <c r="G7" i="13"/>
  <c r="N16" i="13"/>
  <c r="N8" i="12"/>
  <c r="S11" i="13"/>
  <c r="T11" i="13" s="1"/>
  <c r="I16" i="13"/>
  <c r="N7" i="13"/>
  <c r="N8" i="15"/>
  <c r="G7" i="15"/>
  <c r="S16" i="12"/>
  <c r="T16" i="12" s="1"/>
  <c r="S14" i="13"/>
  <c r="T14" i="13" s="1"/>
  <c r="R14" i="13"/>
  <c r="G19" i="12"/>
  <c r="R13" i="13"/>
  <c r="S12" i="13"/>
  <c r="T12" i="13" s="1"/>
  <c r="R14" i="12"/>
  <c r="R13" i="12"/>
  <c r="C5" i="14"/>
  <c r="I8" i="15"/>
  <c r="J19" i="12"/>
  <c r="J2" i="12" s="1"/>
  <c r="R12" i="12"/>
  <c r="R3" i="15"/>
  <c r="S3" i="15"/>
  <c r="T3" i="15" s="1"/>
  <c r="S2" i="15"/>
  <c r="R2" i="15"/>
  <c r="S17" i="12"/>
  <c r="T17" i="12" s="1"/>
  <c r="S11" i="12"/>
  <c r="T11" i="12" s="1"/>
  <c r="I4" i="12"/>
  <c r="I8" i="12" s="1"/>
  <c r="H8" i="12"/>
  <c r="S5" i="15"/>
  <c r="T5" i="15" s="1"/>
  <c r="R5" i="15"/>
  <c r="J4" i="12"/>
  <c r="R4" i="12" s="1"/>
  <c r="R18" i="12"/>
  <c r="R6" i="15"/>
  <c r="S6" i="15"/>
  <c r="T6" i="15" s="1"/>
  <c r="AK8" i="15"/>
  <c r="Q1" i="13"/>
  <c r="P1" i="13"/>
  <c r="J10" i="13"/>
  <c r="G16" i="13"/>
  <c r="C6" i="14" l="1"/>
  <c r="S3" i="13"/>
  <c r="T3" i="13" s="1"/>
  <c r="R3" i="13"/>
  <c r="S4" i="12"/>
  <c r="T4" i="12" s="1"/>
  <c r="J8" i="12"/>
  <c r="G8" i="15"/>
  <c r="J7" i="15"/>
  <c r="T2" i="15"/>
  <c r="J16" i="13"/>
  <c r="J1" i="13" s="1"/>
  <c r="S10" i="13"/>
  <c r="T10" i="13" s="1"/>
  <c r="R10" i="13"/>
  <c r="C8" i="14" l="1"/>
  <c r="J8" i="15"/>
  <c r="R7" i="15"/>
  <c r="F8" i="14" s="1"/>
  <c r="S7" i="15"/>
  <c r="C9" i="14"/>
  <c r="C10" i="14"/>
  <c r="C7" i="14" s="1"/>
  <c r="T7" i="15" l="1"/>
  <c r="F10" i="14" s="1"/>
  <c r="F7" i="14" s="1"/>
  <c r="F9" i="14"/>
  <c r="AK7" i="13"/>
  <c r="AF7" i="13"/>
  <c r="AI7" i="13"/>
  <c r="AB7" i="13"/>
  <c r="Z7" i="13"/>
  <c r="AD7" i="13"/>
  <c r="AH7" i="13"/>
  <c r="AE7" i="13"/>
  <c r="AJ7" i="13"/>
  <c r="AG7" i="13"/>
  <c r="AC7" i="13"/>
  <c r="AA7" i="13"/>
</calcChain>
</file>

<file path=xl/sharedStrings.xml><?xml version="1.0" encoding="utf-8"?>
<sst xmlns="http://schemas.openxmlformats.org/spreadsheetml/2006/main" count="2325" uniqueCount="815">
  <si>
    <t>Model</t>
  </si>
  <si>
    <t>PLAN</t>
  </si>
  <si>
    <t>W/H Requirement</t>
  </si>
  <si>
    <t xml:space="preserve">Month O/P
</t>
  </si>
  <si>
    <t>Inwards</t>
  </si>
  <si>
    <t>Consumption</t>
  </si>
  <si>
    <t>Balance Production</t>
  </si>
  <si>
    <t>Today's O/P</t>
  </si>
  <si>
    <t>Cumulative Dispatch</t>
  </si>
  <si>
    <t>A SHIFT BIW LIFTING</t>
  </si>
  <si>
    <t>B SHIFT BIW LIFTING</t>
  </si>
  <si>
    <t>Float Coverage at 6:30am</t>
  </si>
  <si>
    <t>Float Coverage at 3 pm</t>
  </si>
  <si>
    <t>Float Coverage at 11:30 pm</t>
  </si>
  <si>
    <t>Paint float 06:30am</t>
  </si>
  <si>
    <t>TOTAL</t>
  </si>
  <si>
    <t>54682724A</t>
  </si>
  <si>
    <t>54682624A</t>
  </si>
  <si>
    <t>54682524A</t>
  </si>
  <si>
    <t>54682424A</t>
  </si>
  <si>
    <t>54682324A</t>
  </si>
  <si>
    <t>54682124A</t>
  </si>
  <si>
    <t>54682924A</t>
  </si>
  <si>
    <t>54682824A</t>
  </si>
  <si>
    <t>54680724A</t>
  </si>
  <si>
    <t>54680924A</t>
  </si>
  <si>
    <t>54680824A</t>
  </si>
  <si>
    <t>54680224A</t>
  </si>
  <si>
    <t>Persona 3 - Base VC
+ Everything Pack</t>
  </si>
  <si>
    <t>MODEL</t>
  </si>
  <si>
    <t>VEHICLE CODE</t>
  </si>
  <si>
    <t>Month Plan</t>
  </si>
  <si>
    <t>Balance</t>
  </si>
  <si>
    <t>Engine Type</t>
  </si>
  <si>
    <t>VC</t>
  </si>
  <si>
    <t>Day 1</t>
  </si>
  <si>
    <t>Day 2</t>
  </si>
  <si>
    <t>Day 3</t>
  </si>
  <si>
    <t>SALES DESCRIPTION</t>
  </si>
  <si>
    <t xml:space="preserve">TCF 1 Vin Generation _Plan  Altroz &amp; Punch </t>
  </si>
  <si>
    <t>Engine Part No</t>
  </si>
  <si>
    <t>54420000PTD003</t>
  </si>
  <si>
    <t>ALTROZ XM+1.5RTQ MT BS6PH2</t>
  </si>
  <si>
    <t>ALTROZ XZ+1.5RTQ MT BS6PH2</t>
  </si>
  <si>
    <t>ALTROZ XZ+S 1.5RTQ BS6PH2</t>
  </si>
  <si>
    <t>ALTROZ XZ+1.5RTQ MT DARK BS6PH2</t>
  </si>
  <si>
    <t>ALTROZ XT1.5 RTQ MT DRK BS6PH2</t>
  </si>
  <si>
    <t>Altroz Diesel</t>
  </si>
  <si>
    <t>ALTROZ XE 1.2P BS6PH2</t>
  </si>
  <si>
    <t>Petrol</t>
  </si>
  <si>
    <t>54420000PTP020</t>
  </si>
  <si>
    <t>54420000PTP024</t>
  </si>
  <si>
    <t>54420000PTP025</t>
  </si>
  <si>
    <t>ALTROZ DCA XZ+S DRK1.2PBS6PH2</t>
  </si>
  <si>
    <t>ALTROZ DCA XZ+OS 1.2PBS6PH2</t>
  </si>
  <si>
    <t>ALTROZ DCA XZ+S 1.2P BS6PH2</t>
  </si>
  <si>
    <t>ALTROZ XM 1.2P BS6 PH2</t>
  </si>
  <si>
    <t>ALTROZ XM + 1.2P BS6 PH2</t>
  </si>
  <si>
    <t>ALTROZ XM+S 1.2P BS6PH2</t>
  </si>
  <si>
    <t>ALTROZ XM S 1.2P BS6 PH2</t>
  </si>
  <si>
    <t>ALTROZ XT 1.2P BS6PH2</t>
  </si>
  <si>
    <t>ALTROZ DCA XM+1.2P BS6PH2</t>
  </si>
  <si>
    <t>ALTROZ XZ+S 1.2P TC BS6PH2</t>
  </si>
  <si>
    <t>ALTROZ DCA XT1.2P BS6PH2</t>
  </si>
  <si>
    <t>ALTROZ DCA XT1.2P DRK BS6PH2</t>
  </si>
  <si>
    <t>ALTROZ XZ1.2P TC MT BS6PH2</t>
  </si>
  <si>
    <t>ALTROZ DCA XZ+1.2P DRK BS6PH2</t>
  </si>
  <si>
    <t>ALTROZ XT1.2P MT DRK BS6PH2</t>
  </si>
  <si>
    <t>ALTROZ XT1.2P TC MT DRK BS6PH2</t>
  </si>
  <si>
    <t>ALTROZ XM+S 1.2P TC BS6PH2</t>
  </si>
  <si>
    <t>ALTROZ DCA XZ+1.2P BS6PH2</t>
  </si>
  <si>
    <t>ALTROZ XT1.2P TC MT BS6PH2</t>
  </si>
  <si>
    <t>ALTROZ XZ+OS 1.2P TC BS6PH2</t>
  </si>
  <si>
    <t>Altroz Petrol</t>
  </si>
  <si>
    <t>CNG</t>
  </si>
  <si>
    <t>54420000PTP028</t>
  </si>
  <si>
    <t>ALTROZ XE 1.2 CNG BS6PH2</t>
  </si>
  <si>
    <t>ALTROZ XM+1.2 CNG BS6PH2</t>
  </si>
  <si>
    <t>ALTROZ XZ 1.2 CNG BS6PH2</t>
  </si>
  <si>
    <t>ALTROZ XZ+ S1.2 CNG BS6PH2</t>
  </si>
  <si>
    <t>ALTROZ XM+S1.2 CNG BS6PH2</t>
  </si>
  <si>
    <t>Altroz  CNG</t>
  </si>
  <si>
    <t>PUNCH.EV EMP + S LR ACFC</t>
  </si>
  <si>
    <t>54681224A</t>
  </si>
  <si>
    <t>54681324A</t>
  </si>
  <si>
    <t>54681524A</t>
  </si>
  <si>
    <t>54681824A</t>
  </si>
  <si>
    <t>54682224A</t>
  </si>
  <si>
    <t>PUNCH.EV SMT +</t>
  </si>
  <si>
    <t>PUNCH.EV SMT</t>
  </si>
  <si>
    <t>54681624A</t>
  </si>
  <si>
    <t>PUNCH.EV EMP + LR</t>
  </si>
  <si>
    <t>54681724A</t>
  </si>
  <si>
    <t>Total</t>
  </si>
  <si>
    <t>SHORT VC</t>
  </si>
  <si>
    <t>TOTAL FLOAT</t>
  </si>
  <si>
    <t>PBS FLOAT</t>
  </si>
  <si>
    <t>PBS TO POLISHING</t>
  </si>
  <si>
    <t>POLISHING TO TOPCOAT</t>
  </si>
  <si>
    <t>TOPCOAT TO WETSANDING ROOFBLACK</t>
  </si>
  <si>
    <t>TOPCOAT TO WETSANDING FRESH</t>
  </si>
  <si>
    <t>WETSANDING TO SEALANT</t>
  </si>
  <si>
    <t>TOTAL UPTO SEALANT</t>
  </si>
  <si>
    <t>PT ENTRY TO SEALENT</t>
  </si>
  <si>
    <t>BIW LIFTING TO PT</t>
  </si>
  <si>
    <t>PT BYPASS</t>
  </si>
  <si>
    <t>PUNCH.EV ADV LR</t>
  </si>
  <si>
    <t>Grand Total</t>
  </si>
  <si>
    <t>ENGINE TYPE</t>
  </si>
  <si>
    <t>1.2 NGNA</t>
  </si>
  <si>
    <t>MODEL TYPE</t>
  </si>
  <si>
    <t>ABS MODEL</t>
  </si>
  <si>
    <t>TOTAL ABS FLOAT</t>
  </si>
  <si>
    <t xml:space="preserve">Total </t>
  </si>
  <si>
    <t>Cockpit WH Number</t>
  </si>
  <si>
    <t>Short VC No</t>
  </si>
  <si>
    <t>FAMB 170PS AT</t>
  </si>
  <si>
    <t>FAMB 170PS MT</t>
  </si>
  <si>
    <t>1.2 NGNA CNG</t>
  </si>
  <si>
    <t>ALTROZ DCA XZ+OS 1.2P 6AB</t>
  </si>
  <si>
    <t>ALTROZ XZ+OS 1.2P 6AB</t>
  </si>
  <si>
    <t>ALTROZ XZ+OS 1.2 CNG 6AB</t>
  </si>
  <si>
    <t>ALTROZ XZ+S LUX 1.2 CNG 6AB</t>
  </si>
  <si>
    <t>ALTROZ XZ+S LUX 1.2P 6AB</t>
  </si>
  <si>
    <t>ALTROZ XZ+S LUX DCA1.2P 6AB</t>
  </si>
  <si>
    <t>ALTROZ RACER R2 1.2P TC 6AB</t>
  </si>
  <si>
    <t>ALTROZ XZ+S LUX 1.5 RTQ 6AB</t>
  </si>
  <si>
    <t>ALTROZ XZ+S LUX D 1.5RTQ6AB</t>
  </si>
  <si>
    <t>ALTROZ XZ+SLUXD DCA1.2P6AB</t>
  </si>
  <si>
    <t>ALTROZ RACER R1 1.2P TC 6AB</t>
  </si>
  <si>
    <t>Morning Float</t>
  </si>
  <si>
    <t>Fresh Lifting</t>
  </si>
  <si>
    <t>Total Plan</t>
  </si>
  <si>
    <t>Coverage</t>
  </si>
  <si>
    <t>Shortfall Against Morning Float</t>
  </si>
  <si>
    <t>Shortfall Against 1st Shift Lifting</t>
  </si>
  <si>
    <t>Shortfall Against 2nd Shift Lifting</t>
  </si>
  <si>
    <t>PUNCH.EV EMP + S LR</t>
  </si>
  <si>
    <t>54683224A</t>
  </si>
  <si>
    <t>54683024A</t>
  </si>
  <si>
    <t>54683124A</t>
  </si>
  <si>
    <t>54681124A</t>
  </si>
  <si>
    <t>54681024A</t>
  </si>
  <si>
    <t>ALTROZ XE+1.5RTQ MT BS6PH2</t>
  </si>
  <si>
    <t>DIESEL</t>
  </si>
  <si>
    <t>ALTROZ XT1.5RTQ MT BS6PH2</t>
  </si>
  <si>
    <t>ALTROZ XZ1.5RTQ MT BS6PH2</t>
  </si>
  <si>
    <t>ALTROZ XZ LUX 1.5 RTQ</t>
  </si>
  <si>
    <t>ALTROZ XM+S 1.5RTQ BS6PH2</t>
  </si>
  <si>
    <t>ALTROZ XZ+S DRK1.5RTQ BS6PH2</t>
  </si>
  <si>
    <t>PETROL</t>
  </si>
  <si>
    <t>ALTROZ XT1.2P MT BS6PH2</t>
  </si>
  <si>
    <t>ALTROZ XZ1.2P MT BS6PH2</t>
  </si>
  <si>
    <t>ALTROZ XZ+OS 1.2P BS6PH2</t>
  </si>
  <si>
    <t>ALTROZ XZ LUX 1.2P</t>
  </si>
  <si>
    <t>ALTROZ XM+1.2P MT BS6PH2</t>
  </si>
  <si>
    <t>ALTROZ DCA XZ1.2P BS6PH2</t>
  </si>
  <si>
    <t>ALTROZ XE1.2P MT BS6PH2</t>
  </si>
  <si>
    <t>ALTROZ XE+1.2P MT BS6PH2</t>
  </si>
  <si>
    <t>ALTROZ XZ+S 1.2P BS6PH2</t>
  </si>
  <si>
    <t>ALTROZ XZ LUX DCA 1.2P</t>
  </si>
  <si>
    <t>ALTROZ XZ+S DRK 1.2P TCBS6PH2</t>
  </si>
  <si>
    <t>ALTROZ XZ+S DRK 1.2P BS6PH2</t>
  </si>
  <si>
    <t>ALTROZ DCA XM+S 1.2P BS6PH2</t>
  </si>
  <si>
    <t>ALTROZ XZ+S LUX D 1.2P 6AB</t>
  </si>
  <si>
    <t>ALTROZ RACER R3 1.2P TC 6AB</t>
  </si>
  <si>
    <t>54420000PTP021</t>
  </si>
  <si>
    <t>ALTROZ XZ+OS 1.2 CNG BS6PH2</t>
  </si>
  <si>
    <t>ALTROZ XZ LUX 1.2 CNG</t>
  </si>
  <si>
    <t>Paint float</t>
  </si>
  <si>
    <t>MARKET</t>
  </si>
  <si>
    <t>PRODUCT FAMILY</t>
  </si>
  <si>
    <t>PACK</t>
  </si>
  <si>
    <t>Domestic</t>
  </si>
  <si>
    <t>-</t>
  </si>
  <si>
    <t>ETURNA</t>
  </si>
  <si>
    <t>Total ETURNA</t>
  </si>
  <si>
    <t>GRAVITAS</t>
  </si>
  <si>
    <t>Total GRAVITAS</t>
  </si>
  <si>
    <t>HORNBILL</t>
  </si>
  <si>
    <t>Total HORNBILL</t>
  </si>
  <si>
    <t>NOVA</t>
  </si>
  <si>
    <t>Total NOVA</t>
  </si>
  <si>
    <t>Q5</t>
  </si>
  <si>
    <t>Total Q5</t>
  </si>
  <si>
    <t>54683324A</t>
  </si>
  <si>
    <t>54683524A</t>
  </si>
  <si>
    <t>54976524A</t>
  </si>
  <si>
    <t>54974424A</t>
  </si>
  <si>
    <t>54976724A</t>
  </si>
  <si>
    <t>54971124A</t>
  </si>
  <si>
    <t>54974824A</t>
  </si>
  <si>
    <t>54976224A</t>
  </si>
  <si>
    <t>54971524A</t>
  </si>
  <si>
    <t>54971724A</t>
  </si>
  <si>
    <t>54970924A</t>
  </si>
  <si>
    <t>54973824A</t>
  </si>
  <si>
    <t>54971824A</t>
  </si>
  <si>
    <t>54971424A</t>
  </si>
  <si>
    <t>54972624A</t>
  </si>
  <si>
    <t>54972124A</t>
  </si>
  <si>
    <t>54971024A</t>
  </si>
  <si>
    <t>54972824A</t>
  </si>
  <si>
    <t>54972224A</t>
  </si>
  <si>
    <t>54975024A</t>
  </si>
  <si>
    <t>54974024A</t>
  </si>
  <si>
    <t>54973424A</t>
  </si>
  <si>
    <t>54973324A</t>
  </si>
  <si>
    <t>1.2 NGNA AMT</t>
  </si>
  <si>
    <t>54973924A</t>
  </si>
  <si>
    <t>54974624A</t>
  </si>
  <si>
    <t>54972724A</t>
  </si>
  <si>
    <t>54686324A</t>
  </si>
  <si>
    <t>54973224A</t>
  </si>
  <si>
    <t>54975824A</t>
  </si>
  <si>
    <t>PUNCH ADVT PMT</t>
  </si>
  <si>
    <t>54970424A</t>
  </si>
  <si>
    <t>54970624A</t>
  </si>
  <si>
    <t>54971224A</t>
  </si>
  <si>
    <t>54971324A</t>
  </si>
  <si>
    <t>54975424A</t>
  </si>
  <si>
    <t>54975924A</t>
  </si>
  <si>
    <t>54976024A</t>
  </si>
  <si>
    <t>54976124A</t>
  </si>
  <si>
    <t>PUNCH PURE + PMT</t>
  </si>
  <si>
    <t>PUNCH PURE + CNG MT</t>
  </si>
  <si>
    <t>Taco Stock 31.12.2025</t>
  </si>
  <si>
    <t>Safety Stock</t>
  </si>
  <si>
    <t>54684224A</t>
  </si>
  <si>
    <t>54686824A</t>
  </si>
  <si>
    <t>PUNCH ADVT CNG MT</t>
  </si>
  <si>
    <t>MCE LR</t>
  </si>
  <si>
    <t>MCE EV LR</t>
  </si>
  <si>
    <t>54684124A</t>
  </si>
  <si>
    <t>54686224A</t>
  </si>
  <si>
    <t>54686724A</t>
  </si>
  <si>
    <t>PUNCH.EV SMT + LR</t>
  </si>
  <si>
    <t>PUNCH.EV EMP+ S 40</t>
  </si>
  <si>
    <t>PUNCH ADVT CNG AMT</t>
  </si>
  <si>
    <t>PUNCH.EV EMP + S LR SA</t>
  </si>
  <si>
    <t>NOVA-Cockpit Summary</t>
  </si>
  <si>
    <t>Eturna 4X2</t>
  </si>
  <si>
    <t>PUNCH PURE + S PMT</t>
  </si>
  <si>
    <t>Safety</t>
  </si>
  <si>
    <t>1100</t>
  </si>
  <si>
    <t>101</t>
  </si>
  <si>
    <t>8401612518</t>
  </si>
  <si>
    <t>546854620346</t>
  </si>
  <si>
    <t>WH FRONT</t>
  </si>
  <si>
    <t>KA21</t>
  </si>
  <si>
    <t>Y60391</t>
  </si>
  <si>
    <t>SDM860598</t>
  </si>
  <si>
    <t>SP2.PROWIZ/03.04.2026/18:45:31</t>
  </si>
  <si>
    <t>0</t>
  </si>
  <si>
    <t/>
  </si>
  <si>
    <t>2511129049</t>
  </si>
  <si>
    <t>8401612516</t>
  </si>
  <si>
    <t>546854620389</t>
  </si>
  <si>
    <t>SP2.PROWIZ/03.04.2026/18:58:42</t>
  </si>
  <si>
    <t>2511129048</t>
  </si>
  <si>
    <t>8401637959</t>
  </si>
  <si>
    <t>CTPVCRDOKI02</t>
  </si>
  <si>
    <t>CMMPVKRUSHNA/04.04.2026/12:46:59</t>
  </si>
  <si>
    <t>2611000761</t>
  </si>
  <si>
    <t>8401637952</t>
  </si>
  <si>
    <t>546854620355</t>
  </si>
  <si>
    <t>CMMPVKRUSHNA/04.04.2026/12:47:21</t>
  </si>
  <si>
    <t>2611000754</t>
  </si>
  <si>
    <t>8401637951</t>
  </si>
  <si>
    <t>CMMPVKRUSHNA/04.04.2026/12:46:45</t>
  </si>
  <si>
    <t>2611000753</t>
  </si>
  <si>
    <t>8401653001</t>
  </si>
  <si>
    <t>CTPVCRDOKI06</t>
  </si>
  <si>
    <t>CMMPVKRUSHNA/05.04.2026/09:09:28</t>
  </si>
  <si>
    <t>2611001145</t>
  </si>
  <si>
    <t>8401653000</t>
  </si>
  <si>
    <t>CMMPVKRUSHNA/05.04.2026/09:09:41</t>
  </si>
  <si>
    <t>2611001144</t>
  </si>
  <si>
    <t>8401672067</t>
  </si>
  <si>
    <t>CTPVCRDOKI01</t>
  </si>
  <si>
    <t>CMMPVKRUSHNA/07.04.2026/00:43:21</t>
  </si>
  <si>
    <t>2611001594</t>
  </si>
  <si>
    <t>8401657230</t>
  </si>
  <si>
    <t>CMMPVKRUSHNA/06.04.2026/12:13:51</t>
  </si>
  <si>
    <t>2611001229</t>
  </si>
  <si>
    <t>8401672068</t>
  </si>
  <si>
    <t>546854620387</t>
  </si>
  <si>
    <t>CMMPVKRUSHNA/07.04.2026/00:43:31</t>
  </si>
  <si>
    <t>2611001595</t>
  </si>
  <si>
    <t>8401672065</t>
  </si>
  <si>
    <t>CMMPVKRUSHNA/07.04.2026/00:43:10</t>
  </si>
  <si>
    <t>2611001593</t>
  </si>
  <si>
    <t>8401657199</t>
  </si>
  <si>
    <t>CMMPVKRUSHNA/06.04.2026/12:13:32</t>
  </si>
  <si>
    <t>2611001228</t>
  </si>
  <si>
    <t>8401683760</t>
  </si>
  <si>
    <t>AAD860617</t>
  </si>
  <si>
    <t>CMMPVKRUSHNA/07.04.2026/17:31:47</t>
  </si>
  <si>
    <t>2611001048</t>
  </si>
  <si>
    <t>8401681899</t>
  </si>
  <si>
    <t>CMMPVKRUSHNA/07.04.2026/17:37:51</t>
  </si>
  <si>
    <t>2611001877</t>
  </si>
  <si>
    <t>8401682110</t>
  </si>
  <si>
    <t>CMMPVKRUSHNA/07.04.2026/17:37:20</t>
  </si>
  <si>
    <t>2611001878</t>
  </si>
  <si>
    <t>8401683590</t>
  </si>
  <si>
    <t>CMMPVKRUSHNA/07.04.2026/17:32:56</t>
  </si>
  <si>
    <t>2611001057</t>
  </si>
  <si>
    <t>8401682116</t>
  </si>
  <si>
    <t>CMMPVKRUSHNA/07.04.2026/17:38:14</t>
  </si>
  <si>
    <t>2611001893</t>
  </si>
  <si>
    <t>8401696388</t>
  </si>
  <si>
    <t>CMMPVKRUSHNA/08.04.2026/13:21:01</t>
  </si>
  <si>
    <t>2611002381</t>
  </si>
  <si>
    <t>8401696387</t>
  </si>
  <si>
    <t>CMMPVKRUSHNA/08.04.2026/13:20:49</t>
  </si>
  <si>
    <t>2611002380</t>
  </si>
  <si>
    <t>8401720494</t>
  </si>
  <si>
    <t>CMMPVKRUSHNA/09.04.2026/16:18:31</t>
  </si>
  <si>
    <t>2611002788</t>
  </si>
  <si>
    <t>8401720495</t>
  </si>
  <si>
    <t>CMMPVKRUSHNA/09.04.2026/16:18:15</t>
  </si>
  <si>
    <t>2611002789</t>
  </si>
  <si>
    <t>8401720493</t>
  </si>
  <si>
    <t>CMMPVKRUSHNA/09.04.2026/16:18:41</t>
  </si>
  <si>
    <t>2611002787</t>
  </si>
  <si>
    <t>8401750375</t>
  </si>
  <si>
    <t>CTPVCRDOKI05</t>
  </si>
  <si>
    <t>CMMPVKRUSHNA/11.04.2026/01:21:37</t>
  </si>
  <si>
    <t>2611003617</t>
  </si>
  <si>
    <t>8401732970</t>
  </si>
  <si>
    <t>CMMPVKRUSHNA/10.04.2026/03:41:34</t>
  </si>
  <si>
    <t>2611003278</t>
  </si>
  <si>
    <t>8401750377</t>
  </si>
  <si>
    <t>CMMPVKRUSHNA/11.04.2026/01:21:55</t>
  </si>
  <si>
    <t>2611003618</t>
  </si>
  <si>
    <t>8401732973</t>
  </si>
  <si>
    <t>CMMPVKRUSHNA/10.04.2026/03:41:11</t>
  </si>
  <si>
    <t>2611003279</t>
  </si>
  <si>
    <t>8401750374</t>
  </si>
  <si>
    <t>CMMPVKRUSHNA/11.04.2026/01:21:44</t>
  </si>
  <si>
    <t>2611003616</t>
  </si>
  <si>
    <t>8401732969</t>
  </si>
  <si>
    <t>CMMPVKRUSHNA/10.04.2026/03:42:07</t>
  </si>
  <si>
    <t>2611003277</t>
  </si>
  <si>
    <t>8401759622</t>
  </si>
  <si>
    <t>CMMPVKRUSHNA/11.04.2026/18:29:59</t>
  </si>
  <si>
    <t>2611004019</t>
  </si>
  <si>
    <t>8401760280</t>
  </si>
  <si>
    <t>CMMPVKRUSHNA/11.04.2026/18:30:58</t>
  </si>
  <si>
    <t>2611004000</t>
  </si>
  <si>
    <t>8401759629</t>
  </si>
  <si>
    <t>CMMPVKRUSHNA/11.04.2026/18:30:07</t>
  </si>
  <si>
    <t>2611003999</t>
  </si>
  <si>
    <t>8401771031</t>
  </si>
  <si>
    <t>CMMPVKRUSHNA/12.04.2026/08:04:53</t>
  </si>
  <si>
    <t>2611004337</t>
  </si>
  <si>
    <t>8401771032</t>
  </si>
  <si>
    <t>CMMPVKRUSHNA/12.04.2026/08:06:10</t>
  </si>
  <si>
    <t>2611004338</t>
  </si>
  <si>
    <t>8401771030</t>
  </si>
  <si>
    <t>CMMPVKRUSHNA/12.04.2026/08:05:04</t>
  </si>
  <si>
    <t>2611004336</t>
  </si>
  <si>
    <t>8401792298</t>
  </si>
  <si>
    <t>CMMPVKRUSHNA/13.04.2026/23:25:56</t>
  </si>
  <si>
    <t>2611004795</t>
  </si>
  <si>
    <t>8401792227</t>
  </si>
  <si>
    <t>CMMPVKRUSHNA/13.04.2026/23:26:08</t>
  </si>
  <si>
    <t>2611004789</t>
  </si>
  <si>
    <t>8401777355</t>
  </si>
  <si>
    <t>CMMPVKRUSHNA/13.04.2026/09:41:47</t>
  </si>
  <si>
    <t>2611004474</t>
  </si>
  <si>
    <t>8401792244</t>
  </si>
  <si>
    <t>CMMPVKRUSHNA/13.04.2026/23:25:14</t>
  </si>
  <si>
    <t>2611004790</t>
  </si>
  <si>
    <t>8401777356</t>
  </si>
  <si>
    <t>CMMPVKRUSHNA/13.04.2026/09:41:55</t>
  </si>
  <si>
    <t>2611004475</t>
  </si>
  <si>
    <t>8401792303</t>
  </si>
  <si>
    <t>CMMPVKRUSHNA/13.04.2026/23:25:42</t>
  </si>
  <si>
    <t>2611004788</t>
  </si>
  <si>
    <t>8401777354</t>
  </si>
  <si>
    <t>CMMPVKRUSHNA/13.04.2026/09:41:41</t>
  </si>
  <si>
    <t>2611004473</t>
  </si>
  <si>
    <t>8401800667</t>
  </si>
  <si>
    <t>CTPVCRDOKI04</t>
  </si>
  <si>
    <t>RD.PROWIZ/14.04.2026/14:37:51</t>
  </si>
  <si>
    <t>2611005046</t>
  </si>
  <si>
    <t>8401795725</t>
  </si>
  <si>
    <t>CMMPVKRUSHNA/14.04.2026/08:36:26</t>
  </si>
  <si>
    <t>2611004964</t>
  </si>
  <si>
    <t>8401800549</t>
  </si>
  <si>
    <t>RD.PROWIZ/14.04.2026/14:40:31</t>
  </si>
  <si>
    <t>2611005047</t>
  </si>
  <si>
    <t>8401800548</t>
  </si>
  <si>
    <t>RD.PROWIZ/14.04.2026/14:40:40</t>
  </si>
  <si>
    <t>2611005048</t>
  </si>
  <si>
    <t>8401795724</t>
  </si>
  <si>
    <t>CMMPVKRUSHNA/14.04.2026/08:36:35</t>
  </si>
  <si>
    <t>2611004963</t>
  </si>
  <si>
    <t>8401800635</t>
  </si>
  <si>
    <t>RD.PROWIZ/14.04.2026/14:40:19</t>
  </si>
  <si>
    <t>2611005041</t>
  </si>
  <si>
    <t>8401800633</t>
  </si>
  <si>
    <t>RD.PROWIZ/14.04.2026/14:37:38</t>
  </si>
  <si>
    <t>2611005040</t>
  </si>
  <si>
    <t>8401795723</t>
  </si>
  <si>
    <t>CMMPVKRUSHNA/14.04.2026/08:36:41</t>
  </si>
  <si>
    <t>2611004962</t>
  </si>
  <si>
    <t>8401832076</t>
  </si>
  <si>
    <t>CMMPVKRUSHNA/15.04.2026/23:18:30</t>
  </si>
  <si>
    <t>2611005789</t>
  </si>
  <si>
    <t>8401815048</t>
  </si>
  <si>
    <t>CMMPVKRUSHNA/15.04.2026/10:50:46</t>
  </si>
  <si>
    <t>2611005454</t>
  </si>
  <si>
    <t>8401852255</t>
  </si>
  <si>
    <t>CMMPVKRUSHNA/16.04.2026/22:19:04</t>
  </si>
  <si>
    <t>2611006111</t>
  </si>
  <si>
    <t>8401837709</t>
  </si>
  <si>
    <t>CMMPVKRUSHNA/16.04.2026/13:40:24</t>
  </si>
  <si>
    <t>2611005967</t>
  </si>
  <si>
    <t>8401835176</t>
  </si>
  <si>
    <t>CTPVCRDOKI03</t>
  </si>
  <si>
    <t>CMMPVKRUSHNA/16.04.2026/08:08:21</t>
  </si>
  <si>
    <t>2611005897</t>
  </si>
  <si>
    <t>8401852233</t>
  </si>
  <si>
    <t>CMMPVKRUSHNA/16.04.2026/22:19:42</t>
  </si>
  <si>
    <t>2611006102</t>
  </si>
  <si>
    <t>8401852234</t>
  </si>
  <si>
    <t>CMMPVKRUSHNA/16.04.2026/22:19:25</t>
  </si>
  <si>
    <t>2611006103</t>
  </si>
  <si>
    <t>8401837667</t>
  </si>
  <si>
    <t>CMMPVKRUSHNA/16.04.2026/13:40:16</t>
  </si>
  <si>
    <t>2611005961</t>
  </si>
  <si>
    <t>8401835170</t>
  </si>
  <si>
    <t>CMMPVKRUSHNA/16.04.2026/08:08:06</t>
  </si>
  <si>
    <t>2611005891</t>
  </si>
  <si>
    <t>8401869641</t>
  </si>
  <si>
    <t>CMMPVKRUSHNA/17.04.2026/20:13:52</t>
  </si>
  <si>
    <t>2611006735</t>
  </si>
  <si>
    <t>8401856667</t>
  </si>
  <si>
    <t>CMMPVKRUSHNA/17.04.2026/08:33:37</t>
  </si>
  <si>
    <t>2611006453</t>
  </si>
  <si>
    <t>8401869642</t>
  </si>
  <si>
    <t>CMMPVKRUSHNA/17.04.2026/20:13:37</t>
  </si>
  <si>
    <t>2611006736</t>
  </si>
  <si>
    <t>8401856680</t>
  </si>
  <si>
    <t>CMMPVKRUSHNA/17.04.2026/08:33:43</t>
  </si>
  <si>
    <t>2611006454</t>
  </si>
  <si>
    <t>8401869640</t>
  </si>
  <si>
    <t>CMMPVKRUSHNA/17.04.2026/20:14:04</t>
  </si>
  <si>
    <t>2611006734</t>
  </si>
  <si>
    <t>8401856409</t>
  </si>
  <si>
    <t>CMMPVKRUSHNA/17.04.2026/08:33:30</t>
  </si>
  <si>
    <t>2611006452</t>
  </si>
  <si>
    <t>8401873417</t>
  </si>
  <si>
    <t>CMMPVKRUSHNA/18.04.2026/02:55:25</t>
  </si>
  <si>
    <t>2611006902</t>
  </si>
  <si>
    <t>8401873418</t>
  </si>
  <si>
    <t>CMMPVKRUSHNA/18.04.2026/02:55:15</t>
  </si>
  <si>
    <t>2611006903</t>
  </si>
  <si>
    <t>8401873416</t>
  </si>
  <si>
    <t>CMMPVKRUSHNA/18.04.2026/02:55:37</t>
  </si>
  <si>
    <t>2611006901</t>
  </si>
  <si>
    <t>Plant</t>
  </si>
  <si>
    <t>Movement Type</t>
  </si>
  <si>
    <t>Posting Date</t>
  </si>
  <si>
    <t>Time of Entry</t>
  </si>
  <si>
    <t>Material Document</t>
  </si>
  <si>
    <t>Material</t>
  </si>
  <si>
    <t>Material Description</t>
  </si>
  <si>
    <t>Quantity</t>
  </si>
  <si>
    <t>Amount in LC</t>
  </si>
  <si>
    <t>Storage Location</t>
  </si>
  <si>
    <t>Vendor</t>
  </si>
  <si>
    <t>User name</t>
  </si>
  <si>
    <t>Text</t>
  </si>
  <si>
    <t>Reason for Movement</t>
  </si>
  <si>
    <t>Cost Center</t>
  </si>
  <si>
    <t>Reference</t>
  </si>
  <si>
    <t>Row Labels</t>
  </si>
  <si>
    <t>Sum of Quantity</t>
  </si>
  <si>
    <t>Front WH Number</t>
  </si>
  <si>
    <t>NOVA-Front Summary</t>
  </si>
  <si>
    <t>HARRIER.EV FEA+ 75</t>
  </si>
  <si>
    <t>54731927A</t>
  </si>
  <si>
    <t>opening</t>
  </si>
  <si>
    <t>54683424A</t>
  </si>
  <si>
    <t>PUNCH.EV EMP 40</t>
  </si>
  <si>
    <t>PUNCH.EV SMT+ 40</t>
  </si>
  <si>
    <t>HARRIER.EV EMP 75</t>
  </si>
  <si>
    <t>54733127A</t>
  </si>
  <si>
    <t>PUNCH.EV SMT 30</t>
  </si>
  <si>
    <t>PUNCH.EV SMT+ 30</t>
  </si>
  <si>
    <t>PUNCH.EV ADV 40</t>
  </si>
  <si>
    <t>PUNCH SMART CNG MT</t>
  </si>
  <si>
    <t>PUNCH PURE + CNG AMT</t>
  </si>
  <si>
    <t>Safty</t>
  </si>
  <si>
    <t>833044</t>
  </si>
  <si>
    <t>833054</t>
  </si>
  <si>
    <t>ap</t>
  </si>
  <si>
    <t>867047</t>
  </si>
  <si>
    <t>634160</t>
  </si>
  <si>
    <t>634159</t>
  </si>
  <si>
    <t>634158</t>
  </si>
  <si>
    <t>867039</t>
  </si>
  <si>
    <t>867032</t>
  </si>
  <si>
    <t>634173</t>
  </si>
  <si>
    <t>634174</t>
  </si>
  <si>
    <t>867038</t>
  </si>
  <si>
    <t>867026</t>
  </si>
  <si>
    <t>634163</t>
  </si>
  <si>
    <t>634169</t>
  </si>
  <si>
    <t>634156</t>
  </si>
  <si>
    <t>833055</t>
  </si>
  <si>
    <t>PUNCH ADVT PAMT</t>
  </si>
  <si>
    <t>54976924A</t>
  </si>
  <si>
    <t>54977124A</t>
  </si>
  <si>
    <t>54977024A</t>
  </si>
  <si>
    <t>TAYRONA</t>
  </si>
  <si>
    <t>SAFARI.EV7S EMP AWD 75 ACFC</t>
  </si>
  <si>
    <t>54831927A</t>
  </si>
  <si>
    <t>Total TAYRONA</t>
  </si>
  <si>
    <t>PUNCH SMART PMT</t>
  </si>
  <si>
    <t>PUNCH ADVT S CNG AMT</t>
  </si>
  <si>
    <t>PUNCH ADVT S PMT</t>
  </si>
  <si>
    <t>867024</t>
  </si>
  <si>
    <t>634157</t>
  </si>
  <si>
    <t>867041</t>
  </si>
  <si>
    <t>634177</t>
  </si>
  <si>
    <t>634164</t>
  </si>
  <si>
    <t>867030</t>
  </si>
  <si>
    <t>867023</t>
  </si>
  <si>
    <t>pa</t>
  </si>
  <si>
    <t>833043</t>
  </si>
  <si>
    <t>tk</t>
  </si>
  <si>
    <t>HARRIER.EV EMP 75WOWMU</t>
  </si>
  <si>
    <t>54738227A</t>
  </si>
  <si>
    <t>HARRIER.EV FEA+ 75WOWMU</t>
  </si>
  <si>
    <t>54735327A</t>
  </si>
  <si>
    <t>SAFARI7S A BS6 D ACC UL RDK</t>
  </si>
  <si>
    <t>56055027A</t>
  </si>
  <si>
    <t>634170</t>
  </si>
  <si>
    <t>634166</t>
  </si>
  <si>
    <t>HARRIER.EV ADV S 65</t>
  </si>
  <si>
    <t>54731427A</t>
  </si>
  <si>
    <t>HARRIER.EV ADV S 65WOWMU</t>
  </si>
  <si>
    <t>54734627A</t>
  </si>
  <si>
    <t>PUNCH ADVT S CNG MT</t>
  </si>
  <si>
    <t>HARRIER M BS6 D PUR X</t>
  </si>
  <si>
    <t>56041327A</t>
  </si>
  <si>
    <t>TK</t>
  </si>
  <si>
    <t>PUNCH PURE CNG MT</t>
  </si>
  <si>
    <t>867028</t>
  </si>
  <si>
    <t>HARRIER.EV EMP ST 75WOWMU</t>
  </si>
  <si>
    <t>54738927A</t>
  </si>
  <si>
    <t>SAFARI7S A BS6 D ACC UL</t>
  </si>
  <si>
    <t>56059627A</t>
  </si>
  <si>
    <t>ADV X+</t>
  </si>
  <si>
    <t>PUNCH ACCOMP + S PAMT</t>
  </si>
  <si>
    <t>HARRIER A BS6 D ADV X+</t>
  </si>
  <si>
    <t>56049227A</t>
  </si>
  <si>
    <t>HARRIER A BS6 D ADV X+ DK</t>
  </si>
  <si>
    <t>56049427A</t>
  </si>
  <si>
    <t>867034</t>
  </si>
  <si>
    <t>pj</t>
  </si>
  <si>
    <t>HARRIER.EV EMP AWD 75</t>
  </si>
  <si>
    <t>54734327A</t>
  </si>
  <si>
    <t>ACC UL RDK</t>
  </si>
  <si>
    <t>SAFARI7S A BS6 P ADV X+ (TGDI)</t>
  </si>
  <si>
    <t>54794227A</t>
  </si>
  <si>
    <t>PUR X</t>
  </si>
  <si>
    <t>HARRIER M BS6 P PUR X (TGDI)</t>
  </si>
  <si>
    <t>54781327A</t>
  </si>
  <si>
    <t>Eturna 4X4</t>
  </si>
  <si>
    <t>TGDi AT</t>
  </si>
  <si>
    <t>PA</t>
  </si>
  <si>
    <t>8403264381</t>
  </si>
  <si>
    <t>NAB860618</t>
  </si>
  <si>
    <t>CMMPVKRUSHNA/04.07.2026/00:49:10</t>
  </si>
  <si>
    <t>2611037242</t>
  </si>
  <si>
    <t>8403264356</t>
  </si>
  <si>
    <t>CMMPVKRUSHNA/08.07.2026/15:51:44</t>
  </si>
  <si>
    <t>2611037241</t>
  </si>
  <si>
    <t>8403294585</t>
  </si>
  <si>
    <t>CMMPVKRUSHNA/03.07.2026/22:34:25</t>
  </si>
  <si>
    <t>2611037869</t>
  </si>
  <si>
    <t>8403294586</t>
  </si>
  <si>
    <t>CMMPVKRUSHNA/03.07.2026/22:34:18</t>
  </si>
  <si>
    <t>2611037870</t>
  </si>
  <si>
    <t>8403277511</t>
  </si>
  <si>
    <t>CMMPVKRUSHNA/03.07.2026/11:43:36</t>
  </si>
  <si>
    <t>2611037663</t>
  </si>
  <si>
    <t>8403294584</t>
  </si>
  <si>
    <t>CMMPVKRUSHNA/03.07.2026/22:34:32</t>
  </si>
  <si>
    <t>2611037868</t>
  </si>
  <si>
    <t>8403277510</t>
  </si>
  <si>
    <t>CMMPVKRUSHNA/03.07.2026/11:43:27</t>
  </si>
  <si>
    <t>2611037662</t>
  </si>
  <si>
    <t>8403298606</t>
  </si>
  <si>
    <t>CMMPVKRUSHNA/04.07.2026/09:12:31</t>
  </si>
  <si>
    <t>2611038102</t>
  </si>
  <si>
    <t>8403298577</t>
  </si>
  <si>
    <t>CMMPVKRUSHNA/04.07.2026/09:12:52</t>
  </si>
  <si>
    <t>2611038095</t>
  </si>
  <si>
    <t>8403310986</t>
  </si>
  <si>
    <t>CMMPVKRUSHNA/04.07.2026/19:04:51</t>
  </si>
  <si>
    <t>2611037615</t>
  </si>
  <si>
    <t>8403309858</t>
  </si>
  <si>
    <t>CMMPVKRUSHNA/04.07.2026/19:45:49</t>
  </si>
  <si>
    <t>2611038340</t>
  </si>
  <si>
    <t>8403309870</t>
  </si>
  <si>
    <t>CMMPVKRUSHNA/04.07.2026/19:45:57</t>
  </si>
  <si>
    <t>2611038341</t>
  </si>
  <si>
    <t>8403298663</t>
  </si>
  <si>
    <t>CMMPVKRUSHNA/04.07.2026/09:13:04</t>
  </si>
  <si>
    <t>2611038096</t>
  </si>
  <si>
    <t>8403298576</t>
  </si>
  <si>
    <t>CMMPVKRUSHNA/04.07.2026/09:12:10</t>
  </si>
  <si>
    <t>2611038094</t>
  </si>
  <si>
    <t>8403309857</t>
  </si>
  <si>
    <t>CMMPVKRUSHNA/04.07.2026/19:46:06</t>
  </si>
  <si>
    <t>2611038339</t>
  </si>
  <si>
    <t>8403310987</t>
  </si>
  <si>
    <t>CMMPVKRUSHNA/04.07.2026/19:04:57</t>
  </si>
  <si>
    <t>2611037614</t>
  </si>
  <si>
    <t>8403319402</t>
  </si>
  <si>
    <t>CMMPVKRUSHNA/05.07.2026/09:43:47</t>
  </si>
  <si>
    <t>2611038540</t>
  </si>
  <si>
    <t>8403319404</t>
  </si>
  <si>
    <t>CMMPVKRUSHNA/05.07.2026/09:43:58</t>
  </si>
  <si>
    <t>2611038541</t>
  </si>
  <si>
    <t>8403319401</t>
  </si>
  <si>
    <t>CMMPVKRUSHNA/05.07.2026/09:42:32</t>
  </si>
  <si>
    <t>2611038539</t>
  </si>
  <si>
    <t>8403333067</t>
  </si>
  <si>
    <t>CMMPVKRUSHNA/06.07.2026/19:12:52</t>
  </si>
  <si>
    <t>2611038863</t>
  </si>
  <si>
    <t>8403333068</t>
  </si>
  <si>
    <t>CMMPVKRUSHNA/06.07.2026/19:13:01</t>
  </si>
  <si>
    <t>2611038864</t>
  </si>
  <si>
    <t>8403333066</t>
  </si>
  <si>
    <t>CMMPVKRUSHNA/06.07.2026/19:12:42</t>
  </si>
  <si>
    <t>2611038862</t>
  </si>
  <si>
    <t>8403341621</t>
  </si>
  <si>
    <t>CMMPVKRUSHNA/07.07.2026/16:35:37</t>
  </si>
  <si>
    <t>2611039245</t>
  </si>
  <si>
    <t>8403357818</t>
  </si>
  <si>
    <t>CMMPVKRUSHNA/08.07.2026/11:02:55</t>
  </si>
  <si>
    <t>2611039737</t>
  </si>
  <si>
    <t>8403375575</t>
  </si>
  <si>
    <t>G0000020.PMP/09.07.2026/08:26:39</t>
  </si>
  <si>
    <t>2611040151</t>
  </si>
  <si>
    <t>8403375574</t>
  </si>
  <si>
    <t>G0000020.PMP/09.07.2026/08:26:51</t>
  </si>
  <si>
    <t>2611040150</t>
  </si>
  <si>
    <t>8403392411</t>
  </si>
  <si>
    <t>CMMPVKRUSHNA/09.07.2026/21:18:12</t>
  </si>
  <si>
    <t>2611040333</t>
  </si>
  <si>
    <t>8403398052</t>
  </si>
  <si>
    <t>CMMPVKRUSHNA/10.07.2026/13:25:48</t>
  </si>
  <si>
    <t>2611040689</t>
  </si>
  <si>
    <t>8403398054</t>
  </si>
  <si>
    <t>CMMPVKRUSHNA/10.07.2026/13:25:34</t>
  </si>
  <si>
    <t>2611040690</t>
  </si>
  <si>
    <t>8403398053</t>
  </si>
  <si>
    <t>CMMPVKRUSHNA/10.07.2026/13:25:25</t>
  </si>
  <si>
    <t>2611040688</t>
  </si>
  <si>
    <t>8403417582</t>
  </si>
  <si>
    <t>2611041065</t>
  </si>
  <si>
    <t>8403417581</t>
  </si>
  <si>
    <t>2611041064</t>
  </si>
  <si>
    <t>SAP inwarding Till</t>
  </si>
  <si>
    <t>PUNCH ACCOMP + S CNG AMT</t>
  </si>
  <si>
    <t>HARRIER A BS6 D PUR X DK</t>
  </si>
  <si>
    <t>56041627A</t>
  </si>
  <si>
    <t>sj</t>
  </si>
  <si>
    <t>CMMPVKRUSHNA/11.07.2026/02:58:04</t>
  </si>
  <si>
    <t>8403423701</t>
  </si>
  <si>
    <t>CMMPVKRUSHNA/11.07.2026/13:25:30</t>
  </si>
  <si>
    <t>2611041233</t>
  </si>
  <si>
    <t>8403438263</t>
  </si>
  <si>
    <t>2611041578</t>
  </si>
  <si>
    <t>8403423703</t>
  </si>
  <si>
    <t>CMMPVKRUSHNA/11.07.2026/13:25:41</t>
  </si>
  <si>
    <t>2611041234</t>
  </si>
  <si>
    <t>8403438262</t>
  </si>
  <si>
    <t>2611041577</t>
  </si>
  <si>
    <t>8403423678</t>
  </si>
  <si>
    <t>CMMPVKRUSHNA/11.07.2026/13:13:07</t>
  </si>
  <si>
    <t>2611041232</t>
  </si>
  <si>
    <t>CMMPVKRUSHNA/11.07.2026/02:57:55</t>
  </si>
  <si>
    <t xml:space="preserve">part </t>
  </si>
  <si>
    <t>Part</t>
  </si>
  <si>
    <t xml:space="preserve"> </t>
  </si>
  <si>
    <t>SAFARI7S M BS6 D ACC X+</t>
  </si>
  <si>
    <t>56051727A</t>
  </si>
  <si>
    <t>SAFARI7S M BS6 D PUR X DK</t>
  </si>
  <si>
    <t>56051527A</t>
  </si>
  <si>
    <t>634192</t>
  </si>
  <si>
    <t>CMMPVKRUSHNA/12.07.2026/01:10:11</t>
  </si>
  <si>
    <t>CMMPVKRUSHNA/12.07.2026/01:10:04</t>
  </si>
  <si>
    <t>8403442247</t>
  </si>
  <si>
    <t>2611041636</t>
  </si>
  <si>
    <t>8403442246</t>
  </si>
  <si>
    <t>2611041635</t>
  </si>
  <si>
    <t>CMMPVKRUSHNA/12.07.2026/11:16:01</t>
  </si>
  <si>
    <t>8403446260</t>
  </si>
  <si>
    <t>CMMPVKRUSHNA/12.07.2026/18:29:31</t>
  </si>
  <si>
    <t>2611041752</t>
  </si>
  <si>
    <t>8403446261</t>
  </si>
  <si>
    <t>CMMPVKRUSHNA/12.07.2026/18:31:43</t>
  </si>
  <si>
    <t>2611041753</t>
  </si>
  <si>
    <t>CMMPVKRUSHNA/12.07.2026/11:15:44</t>
  </si>
  <si>
    <t>8403446259</t>
  </si>
  <si>
    <t>CMMPVKRUSHNA/12.07.2026/18:31:53</t>
  </si>
  <si>
    <t>2611041751</t>
  </si>
  <si>
    <t>SAFARI6S A BS6 D ACC UL RDK</t>
  </si>
  <si>
    <t>56052827A</t>
  </si>
  <si>
    <t>SAFARI7S A BS6 D PUR X DK</t>
  </si>
  <si>
    <t>56051627A</t>
  </si>
  <si>
    <t>PUNCH ACCOMP + S PMT</t>
  </si>
  <si>
    <t>HARRIER A BS6 D FRL UL</t>
  </si>
  <si>
    <t>56049627A</t>
  </si>
  <si>
    <t>HARRIER.EV EMP AWD ST 75WOWMU</t>
  </si>
  <si>
    <t>54739027A</t>
  </si>
  <si>
    <t>HARRIER.EV FEA+ 65WOWMU</t>
  </si>
  <si>
    <t>54735427A</t>
  </si>
  <si>
    <t>SAFARI7S A BS6 P ACC X DK (TGDI)</t>
  </si>
  <si>
    <t>54793827A</t>
  </si>
  <si>
    <t>ACC X DK</t>
  </si>
  <si>
    <t>SAFARI7S M BS6 P PUR X (TGDI)</t>
  </si>
  <si>
    <t>54791327A</t>
  </si>
  <si>
    <t>PUNCH ACCOMP + S TC MT</t>
  </si>
  <si>
    <t>PUNCH ACCOMP PAMT</t>
  </si>
  <si>
    <t>PUNCH ACCOMP PMT</t>
  </si>
  <si>
    <t>PUNCH ADVT TC MT</t>
  </si>
  <si>
    <t>PUNCH PURE + S CNG MT</t>
  </si>
  <si>
    <t>PUNCH PURE + S PAMT</t>
  </si>
  <si>
    <t>PUNCH PURE PMT</t>
  </si>
  <si>
    <t>HARRIER M BS6 D PUR X DK</t>
  </si>
  <si>
    <t>56041527A</t>
  </si>
  <si>
    <t>1.2NGTC</t>
  </si>
  <si>
    <t>PJ</t>
  </si>
  <si>
    <t>HARRIER.EV FEA+ 65</t>
  </si>
  <si>
    <t>54732027A</t>
  </si>
  <si>
    <t>SAFARI7S M BS6 D ADV X+</t>
  </si>
  <si>
    <t>56059127A</t>
  </si>
  <si>
    <t>HARRIER A BS6 D FRLR X+</t>
  </si>
  <si>
    <t>56049027A</t>
  </si>
  <si>
    <t>HARRIER M BS6 D ADV X</t>
  </si>
  <si>
    <t>56044127A</t>
  </si>
  <si>
    <t>HARRIER M BS6 D ADV X+</t>
  </si>
  <si>
    <t>56049127A</t>
  </si>
  <si>
    <t>634190</t>
  </si>
  <si>
    <t>HARRIER.EV EMP AWD ST 75</t>
  </si>
  <si>
    <t>54734227A</t>
  </si>
  <si>
    <t>HARRIER.EV EMP ST 75</t>
  </si>
  <si>
    <t>54734027A</t>
  </si>
  <si>
    <t>SAFARI7S A BS6 P ACC UL RDK (TGDI)</t>
  </si>
  <si>
    <t>54795027A</t>
  </si>
  <si>
    <t>SAFARI7S M BS6 P SMT (TGDI)</t>
  </si>
  <si>
    <t>54790427A</t>
  </si>
  <si>
    <t>SMT</t>
  </si>
  <si>
    <t>PUNCH ACCOMP CNG MT</t>
  </si>
  <si>
    <t>PUNCH PURE + PAMT</t>
  </si>
  <si>
    <t>HARRIER A BS6 P FRLR X+ (TGDI)</t>
  </si>
  <si>
    <t>54789027A</t>
  </si>
  <si>
    <t>FRL X+</t>
  </si>
  <si>
    <t>HARRIER M BS6 P ADV X DK (TGDI)</t>
  </si>
  <si>
    <t>54784327A</t>
  </si>
  <si>
    <t>ADV X DK</t>
  </si>
  <si>
    <t>TGDi MT</t>
  </si>
  <si>
    <t xml:space="preserve">pj </t>
  </si>
  <si>
    <t>Paint Shop Cab Mapping on : Date - 7/18/2026 Time :-6:29 AM</t>
  </si>
  <si>
    <t>HARRIER.EV ADV 65</t>
  </si>
  <si>
    <t>54732427A</t>
  </si>
  <si>
    <t>HARRIER.EV ADV 65WOWMU</t>
  </si>
  <si>
    <t>54734527A</t>
  </si>
  <si>
    <t>HARRIER.EV EMP AWD 75WOWMU</t>
  </si>
  <si>
    <t>54738427A</t>
  </si>
  <si>
    <t>HARRIER.EV FEA+ AWD 75</t>
  </si>
  <si>
    <t>54734127A</t>
  </si>
  <si>
    <t>FEA+</t>
  </si>
  <si>
    <t>HARRIER.EV FEA+ AWD 75WOWMU</t>
  </si>
  <si>
    <t>54735527A</t>
  </si>
  <si>
    <t>SAFARI6S A BS6 D ACC X+</t>
  </si>
  <si>
    <t>56052227A</t>
  </si>
  <si>
    <t>SAFARI6S A BS6 P ACC X+ (TGDI)</t>
  </si>
  <si>
    <t>54792227A</t>
  </si>
  <si>
    <t>SAFARI6S M BS6 P ACC X+ (TGDI)</t>
  </si>
  <si>
    <t>54792127A</t>
  </si>
  <si>
    <t>SAFARI7S A BS6 D ACC X</t>
  </si>
  <si>
    <t>56053627A</t>
  </si>
  <si>
    <t>SAFARI7S A BS6 D ACC X DK</t>
  </si>
  <si>
    <t>56053827A</t>
  </si>
  <si>
    <t>SAFARI7S A BS6 D ACC X+</t>
  </si>
  <si>
    <t>56051827A</t>
  </si>
  <si>
    <t>SAFARI7S A BS6 D ADV X+</t>
  </si>
  <si>
    <t>56059227A</t>
  </si>
  <si>
    <t>SAFARI7S A BS6 D ADV X+ DK</t>
  </si>
  <si>
    <t>56059427A</t>
  </si>
  <si>
    <t>SAFARI7S A BS6 D PUR X</t>
  </si>
  <si>
    <t>56051427A</t>
  </si>
  <si>
    <t>SAFARI7S A BS6 P PUR X (TGDI)</t>
  </si>
  <si>
    <t>54791427A</t>
  </si>
  <si>
    <t>HARRIER A BS6 D ADV X DK</t>
  </si>
  <si>
    <t>56044427A</t>
  </si>
  <si>
    <t>HARRIER A BS6 P ADV X (TGDI)</t>
  </si>
  <si>
    <t>54784227A</t>
  </si>
  <si>
    <t>ADV X</t>
  </si>
  <si>
    <t>HARRIER A BS6 P ADV X DK (TGDI)</t>
  </si>
  <si>
    <t>54784427A</t>
  </si>
  <si>
    <t>HARRIER M BS6 P SMT (TGDI)</t>
  </si>
  <si>
    <t>54780427A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</si>
</sst>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9C5700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DEF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ECF6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F9E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6">
    <xf numFmtId="0" fontId="0" fillId="0" borderId="0"/>
    <xf numFmtId="0" fontId="1" fillId="0" borderId="0"/>
    <xf numFmtId="0" fontId="10" fillId="0" borderId="0"/>
    <xf numFmtId="0" fontId="17" fillId="0" borderId="0" applyNumberFormat="0" applyFill="0" applyBorder="0" applyAlignment="0" applyProtection="0"/>
    <xf numFmtId="0" fontId="18" fillId="0" borderId="22" applyNumberFormat="0" applyFill="0" applyAlignment="0" applyProtection="0"/>
    <xf numFmtId="0" fontId="19" fillId="0" borderId="23" applyNumberFormat="0" applyFill="0" applyAlignment="0" applyProtection="0"/>
    <xf numFmtId="0" fontId="20" fillId="0" borderId="24" applyNumberFormat="0" applyFill="0" applyAlignment="0" applyProtection="0"/>
    <xf numFmtId="0" fontId="20" fillId="0" borderId="0" applyNumberFormat="0" applyFill="0" applyBorder="0" applyAlignment="0" applyProtection="0"/>
    <xf numFmtId="0" fontId="21" fillId="15" borderId="0" applyNumberFormat="0" applyBorder="0" applyAlignment="0" applyProtection="0"/>
    <xf numFmtId="0" fontId="22" fillId="16" borderId="0" applyNumberFormat="0" applyBorder="0" applyAlignment="0" applyProtection="0"/>
    <xf numFmtId="0" fontId="23" fillId="17" borderId="0" applyNumberFormat="0" applyBorder="0" applyAlignment="0" applyProtection="0"/>
    <xf numFmtId="0" fontId="24" fillId="18" borderId="25" applyNumberFormat="0" applyAlignment="0" applyProtection="0"/>
    <xf numFmtId="0" fontId="25" fillId="19" borderId="26" applyNumberFormat="0" applyAlignment="0" applyProtection="0"/>
    <xf numFmtId="0" fontId="26" fillId="19" borderId="25" applyNumberFormat="0" applyAlignment="0" applyProtection="0"/>
    <xf numFmtId="0" fontId="27" fillId="0" borderId="27" applyNumberFormat="0" applyFill="0" applyAlignment="0" applyProtection="0"/>
    <xf numFmtId="0" fontId="28" fillId="20" borderId="28" applyNumberFormat="0" applyAlignment="0" applyProtection="0"/>
    <xf numFmtId="0" fontId="29" fillId="0" borderId="0" applyNumberFormat="0" applyFill="0" applyBorder="0" applyAlignment="0" applyProtection="0"/>
    <xf numFmtId="0" fontId="1" fillId="21" borderId="29" applyNumberFormat="0" applyFont="0" applyAlignment="0" applyProtection="0"/>
    <xf numFmtId="0" fontId="30" fillId="0" borderId="0" applyNumberFormat="0" applyFill="0" applyBorder="0" applyAlignment="0" applyProtection="0"/>
    <xf numFmtId="0" fontId="2" fillId="0" borderId="30" applyNumberFormat="0" applyFill="0" applyAlignment="0" applyProtection="0"/>
    <xf numFmtId="0" fontId="3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1" fillId="25" borderId="0" applyNumberFormat="0" applyBorder="0" applyAlignment="0" applyProtection="0"/>
    <xf numFmtId="0" fontId="3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31" fillId="45" borderId="0" applyNumberFormat="0" applyBorder="0" applyAlignment="0" applyProtection="0"/>
    <xf numFmtId="0" fontId="1" fillId="0" borderId="0"/>
    <xf numFmtId="0" fontId="10" fillId="0" borderId="0"/>
    <xf numFmtId="0" fontId="10" fillId="0" borderId="0"/>
    <xf numFmtId="0" fontId="10" fillId="0" borderId="0"/>
    <xf numFmtId="0" fontId="36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0" fillId="0" borderId="0"/>
  </cellStyleXfs>
  <cellXfs count="20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0" fillId="0" borderId="4" xfId="0" applyNumberForma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49" fontId="0" fillId="4" borderId="4" xfId="0" applyNumberFormat="1" applyFill="1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2" fillId="4" borderId="4" xfId="0" applyFont="1" applyFill="1" applyBorder="1" applyAlignment="1">
      <alignment horizontal="left" wrapText="1"/>
    </xf>
    <xf numFmtId="49" fontId="2" fillId="4" borderId="4" xfId="0" applyNumberFormat="1" applyFont="1" applyFill="1" applyBorder="1" applyAlignment="1">
      <alignment horizontal="left" wrapText="1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6" borderId="8" xfId="0" applyFill="1" applyBorder="1" applyAlignment="1">
      <alignment horizontal="centerContinuous" vertical="center"/>
    </xf>
    <xf numFmtId="0" fontId="0" fillId="9" borderId="2" xfId="0" applyFill="1" applyBorder="1" applyAlignment="1">
      <alignment horizontal="left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9" fillId="6" borderId="14" xfId="0" applyFont="1" applyFill="1" applyBorder="1" applyAlignment="1">
      <alignment horizontal="centerContinuous" vertical="center"/>
    </xf>
    <xf numFmtId="0" fontId="0" fillId="6" borderId="15" xfId="0" applyFill="1" applyBorder="1" applyAlignment="1">
      <alignment horizontal="centerContinuous" vertical="center"/>
    </xf>
    <xf numFmtId="0" fontId="0" fillId="6" borderId="3" xfId="0" applyFill="1" applyBorder="1" applyAlignment="1">
      <alignment horizontal="centerContinuous" vertical="center"/>
    </xf>
    <xf numFmtId="0" fontId="0" fillId="0" borderId="5" xfId="0" applyBorder="1" applyAlignment="1">
      <alignment horizontal="center" vertical="center"/>
    </xf>
    <xf numFmtId="16" fontId="14" fillId="7" borderId="10" xfId="2" applyNumberFormat="1" applyFont="1" applyFill="1" applyBorder="1" applyAlignment="1">
      <alignment horizontal="centerContinuous" vertical="center"/>
    </xf>
    <xf numFmtId="16" fontId="14" fillId="7" borderId="11" xfId="2" applyNumberFormat="1" applyFont="1" applyFill="1" applyBorder="1" applyAlignment="1">
      <alignment horizontal="centerContinuous" vertical="center"/>
    </xf>
    <xf numFmtId="0" fontId="0" fillId="0" borderId="11" xfId="0" applyBorder="1" applyAlignment="1">
      <alignment horizontal="center" vertical="center"/>
    </xf>
    <xf numFmtId="0" fontId="12" fillId="7" borderId="2" xfId="2" applyFont="1" applyFill="1" applyBorder="1" applyAlignment="1">
      <alignment horizontal="center" vertical="center" wrapText="1"/>
    </xf>
    <xf numFmtId="0" fontId="12" fillId="7" borderId="1" xfId="2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0" fillId="9" borderId="18" xfId="0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1" xfId="0" applyNumberFormat="1" applyBorder="1" applyAlignment="1">
      <alignment horizontal="center"/>
    </xf>
    <xf numFmtId="1" fontId="4" fillId="0" borderId="1" xfId="0" applyNumberFormat="1" applyFont="1" applyBorder="1" applyAlignment="1">
      <alignment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6" borderId="20" xfId="0" applyFill="1" applyBorder="1" applyAlignment="1">
      <alignment horizontal="centerContinuous" vertical="center"/>
    </xf>
    <xf numFmtId="0" fontId="0" fillId="6" borderId="1" xfId="0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wrapText="1"/>
    </xf>
    <xf numFmtId="0" fontId="4" fillId="14" borderId="1" xfId="0" applyFont="1" applyFill="1" applyBorder="1" applyAlignment="1">
      <alignment horizontal="center" vertical="center"/>
    </xf>
    <xf numFmtId="0" fontId="11" fillId="8" borderId="1" xfId="2" applyFont="1" applyFill="1" applyBorder="1" applyAlignment="1">
      <alignment horizontal="center" vertical="center" wrapText="1"/>
    </xf>
    <xf numFmtId="0" fontId="11" fillId="8" borderId="21" xfId="2" applyFont="1" applyFill="1" applyBorder="1" applyAlignment="1">
      <alignment horizontal="center" vertical="center" wrapText="1"/>
    </xf>
    <xf numFmtId="16" fontId="14" fillId="8" borderId="11" xfId="2" applyNumberFormat="1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vertical="center"/>
    </xf>
    <xf numFmtId="0" fontId="2" fillId="0" borderId="0" xfId="0" applyFont="1"/>
    <xf numFmtId="1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vertical="center"/>
    </xf>
    <xf numFmtId="0" fontId="3" fillId="0" borderId="15" xfId="0" applyFont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1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horizontal="center" vertical="center"/>
    </xf>
    <xf numFmtId="0" fontId="0" fillId="9" borderId="32" xfId="0" applyFill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13" fillId="0" borderId="5" xfId="0" applyFont="1" applyBorder="1" applyAlignment="1">
      <alignment horizontal="center" wrapText="1"/>
    </xf>
    <xf numFmtId="0" fontId="33" fillId="2" borderId="0" xfId="0" applyFont="1" applyFill="1" applyAlignment="1">
      <alignment horizontal="center" vertical="center"/>
    </xf>
    <xf numFmtId="0" fontId="0" fillId="2" borderId="1" xfId="0" applyFill="1" applyBorder="1"/>
    <xf numFmtId="0" fontId="7" fillId="3" borderId="4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1" fontId="6" fillId="5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2" fillId="0" borderId="4" xfId="0" applyNumberFormat="1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1" fontId="4" fillId="0" borderId="1" xfId="0" applyNumberFormat="1" applyFont="1" applyBorder="1" applyAlignment="1">
      <alignment vertical="center" wrapText="1"/>
    </xf>
    <xf numFmtId="49" fontId="35" fillId="0" borderId="4" xfId="0" applyNumberFormat="1" applyFont="1" applyBorder="1" applyAlignment="1">
      <alignment vertical="center" wrapText="1"/>
    </xf>
    <xf numFmtId="1" fontId="0" fillId="2" borderId="1" xfId="0" applyNumberFormat="1" applyFill="1" applyBorder="1" applyAlignment="1">
      <alignment horizontal="center"/>
    </xf>
    <xf numFmtId="1" fontId="3" fillId="14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13" borderId="15" xfId="0" applyFont="1" applyFill="1" applyBorder="1" applyAlignment="1">
      <alignment horizontal="center" vertical="center" wrapText="1"/>
    </xf>
    <xf numFmtId="1" fontId="6" fillId="47" borderId="1" xfId="1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/>
    </xf>
    <xf numFmtId="1" fontId="3" fillId="0" borderId="38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14" borderId="39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14" fontId="3" fillId="14" borderId="39" xfId="0" applyNumberFormat="1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2" fillId="13" borderId="42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7" fillId="0" borderId="1" xfId="55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textRotation="90" wrapText="1"/>
    </xf>
    <xf numFmtId="0" fontId="10" fillId="0" borderId="0" xfId="0" applyFont="1" applyAlignment="1">
      <alignment horizontal="center" vertical="center" textRotation="90"/>
    </xf>
    <xf numFmtId="0" fontId="2" fillId="13" borderId="3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3" fillId="0" borderId="2" xfId="0" applyFont="1" applyBorder="1"/>
    <xf numFmtId="1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2" xfId="0" applyFont="1" applyBorder="1"/>
    <xf numFmtId="0" fontId="3" fillId="0" borderId="45" xfId="0" applyFont="1" applyBorder="1" applyAlignment="1">
      <alignment horizontal="center"/>
    </xf>
    <xf numFmtId="0" fontId="3" fillId="48" borderId="32" xfId="0" applyFont="1" applyFill="1" applyBorder="1"/>
    <xf numFmtId="1" fontId="3" fillId="48" borderId="44" xfId="0" applyNumberFormat="1" applyFont="1" applyFill="1" applyBorder="1" applyAlignment="1">
      <alignment horizontal="center"/>
    </xf>
    <xf numFmtId="0" fontId="3" fillId="47" borderId="2" xfId="0" applyFont="1" applyFill="1" applyBorder="1"/>
    <xf numFmtId="0" fontId="3" fillId="47" borderId="21" xfId="0" applyFont="1" applyFill="1" applyBorder="1" applyAlignment="1">
      <alignment horizontal="center"/>
    </xf>
    <xf numFmtId="0" fontId="13" fillId="46" borderId="5" xfId="0" applyFont="1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0" borderId="44" xfId="0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" fontId="5" fillId="50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5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51" borderId="1" xfId="0" applyFill="1" applyBorder="1" applyAlignment="1">
      <alignment vertical="top"/>
    </xf>
    <xf numFmtId="0" fontId="0" fillId="51" borderId="1" xfId="0" applyFill="1" applyBorder="1" applyAlignment="1">
      <alignment vertical="top" wrapText="1"/>
    </xf>
    <xf numFmtId="0" fontId="0" fillId="0" borderId="0" xfId="0" pivotButton="1"/>
    <xf numFmtId="0" fontId="2" fillId="2" borderId="1" xfId="0" applyFont="1" applyFill="1" applyBorder="1" applyAlignment="1">
      <alignment horizontal="center" textRotation="90" wrapText="1"/>
    </xf>
    <xf numFmtId="1" fontId="0" fillId="0" borderId="0" xfId="0" applyNumberFormat="1" applyAlignment="1">
      <alignment horizontal="left"/>
    </xf>
    <xf numFmtId="0" fontId="0" fillId="0" borderId="1" xfId="0" applyBorder="1"/>
    <xf numFmtId="49" fontId="34" fillId="0" borderId="4" xfId="0" applyNumberFormat="1" applyFont="1" applyBorder="1" applyAlignment="1">
      <alignment horizontal="center" wrapText="1"/>
    </xf>
    <xf numFmtId="49" fontId="34" fillId="12" borderId="4" xfId="0" applyNumberFormat="1" applyFont="1" applyFill="1" applyBorder="1" applyAlignment="1">
      <alignment horizontal="center" wrapText="1"/>
    </xf>
    <xf numFmtId="49" fontId="15" fillId="52" borderId="4" xfId="0" applyNumberFormat="1" applyFont="1" applyFill="1" applyBorder="1" applyAlignment="1">
      <alignment horizontal="center" wrapText="1"/>
    </xf>
    <xf numFmtId="49" fontId="15" fillId="11" borderId="4" xfId="0" applyNumberFormat="1" applyFont="1" applyFill="1" applyBorder="1" applyAlignment="1">
      <alignment horizontal="center" wrapText="1"/>
    </xf>
    <xf numFmtId="0" fontId="5" fillId="46" borderId="1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wrapText="1"/>
    </xf>
    <xf numFmtId="0" fontId="0" fillId="2" borderId="1" xfId="0" quotePrefix="1" applyFill="1" applyBorder="1" applyAlignment="1">
      <alignment horizontal="center"/>
    </xf>
    <xf numFmtId="1" fontId="0" fillId="0" borderId="0" xfId="0" applyNumberFormat="1"/>
    <xf numFmtId="1" fontId="4" fillId="46" borderId="1" xfId="0" applyNumberFormat="1" applyFont="1" applyFill="1" applyBorder="1" applyAlignment="1">
      <alignment vertical="center"/>
    </xf>
    <xf numFmtId="49" fontId="35" fillId="46" borderId="4" xfId="0" applyNumberFormat="1" applyFont="1" applyFill="1" applyBorder="1" applyAlignment="1">
      <alignment vertical="center"/>
    </xf>
    <xf numFmtId="1" fontId="4" fillId="46" borderId="1" xfId="0" applyNumberFormat="1" applyFont="1" applyFill="1" applyBorder="1" applyAlignment="1">
      <alignment horizontal="center" vertical="center"/>
    </xf>
    <xf numFmtId="1" fontId="6" fillId="53" borderId="1" xfId="1" applyNumberFormat="1" applyFont="1" applyFill="1" applyBorder="1" applyAlignment="1">
      <alignment horizontal="center" vertical="center"/>
    </xf>
    <xf numFmtId="1" fontId="4" fillId="53" borderId="1" xfId="0" applyNumberFormat="1" applyFont="1" applyFill="1" applyBorder="1" applyAlignment="1">
      <alignment horizontal="center" vertical="center"/>
    </xf>
    <xf numFmtId="1" fontId="4" fillId="53" borderId="1" xfId="0" applyNumberFormat="1" applyFont="1" applyFill="1" applyBorder="1" applyAlignment="1">
      <alignment vertical="center"/>
    </xf>
    <xf numFmtId="1" fontId="6" fillId="54" borderId="1" xfId="1" applyNumberFormat="1" applyFont="1" applyFill="1" applyBorder="1" applyAlignment="1">
      <alignment horizontal="center" vertical="center"/>
    </xf>
    <xf numFmtId="1" fontId="4" fillId="54" borderId="1" xfId="0" applyNumberFormat="1" applyFont="1" applyFill="1" applyBorder="1" applyAlignment="1">
      <alignment horizontal="center" vertical="center"/>
    </xf>
    <xf numFmtId="1" fontId="4" fillId="54" borderId="1" xfId="0" applyNumberFormat="1" applyFont="1" applyFill="1" applyBorder="1" applyAlignment="1">
      <alignment vertical="center"/>
    </xf>
    <xf numFmtId="1" fontId="6" fillId="55" borderId="1" xfId="1" applyNumberFormat="1" applyFont="1" applyFill="1" applyBorder="1" applyAlignment="1">
      <alignment horizontal="center" vertical="center"/>
    </xf>
    <xf numFmtId="1" fontId="4" fillId="55" borderId="1" xfId="0" applyNumberFormat="1" applyFont="1" applyFill="1" applyBorder="1" applyAlignment="1">
      <alignment horizontal="center" vertical="center"/>
    </xf>
    <xf numFmtId="1" fontId="4" fillId="55" borderId="1" xfId="0" applyNumberFormat="1" applyFont="1" applyFill="1" applyBorder="1" applyAlignment="1">
      <alignment vertical="center"/>
    </xf>
    <xf numFmtId="0" fontId="34" fillId="0" borderId="4" xfId="0" applyFont="1" applyBorder="1" applyAlignment="1">
      <alignment horizontal="center" wrapText="1"/>
    </xf>
    <xf numFmtId="0" fontId="34" fillId="12" borderId="4" xfId="0" applyFont="1" applyFill="1" applyBorder="1" applyAlignment="1">
      <alignment horizontal="center" wrapText="1"/>
    </xf>
    <xf numFmtId="0" fontId="15" fillId="52" borderId="4" xfId="0" applyFont="1" applyFill="1" applyBorder="1" applyAlignment="1">
      <alignment horizontal="center" wrapText="1"/>
    </xf>
    <xf numFmtId="1" fontId="5" fillId="0" borderId="35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46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4" fillId="13" borderId="1" xfId="0" applyNumberFormat="1" applyFont="1" applyFill="1" applyBorder="1" applyAlignment="1">
      <alignment horizontal="center" vertical="center"/>
    </xf>
    <xf numFmtId="0" fontId="3" fillId="49" borderId="38" xfId="0" applyFont="1" applyFill="1" applyBorder="1" applyAlignment="1">
      <alignment horizontal="center"/>
    </xf>
    <xf numFmtId="0" fontId="3" fillId="49" borderId="43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2" borderId="5" xfId="0" applyNumberFormat="1" applyFill="1" applyBorder="1" applyAlignment="1">
      <alignment horizontal="center"/>
    </xf>
    <xf numFmtId="14" fontId="0" fillId="2" borderId="6" xfId="0" applyNumberFormat="1" applyFill="1" applyBorder="1" applyAlignment="1">
      <alignment horizontal="center"/>
    </xf>
    <xf numFmtId="14" fontId="0" fillId="2" borderId="7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49" fontId="16" fillId="12" borderId="4" xfId="0" applyNumberFormat="1" applyFont="1" applyFill="1" applyBorder="1" applyAlignment="1">
      <alignment horizontal="center" wrapText="1"/>
    </xf>
    <xf numFmtId="0" fontId="16" fillId="12" borderId="4" xfId="0" applyFont="1" applyFill="1" applyBorder="1" applyAlignment="1">
      <alignment horizontal="center" wrapText="1"/>
    </xf>
  </cellXfs>
  <cellStyles count="56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1 2" xfId="49" xr:uid="{00000000-0005-0000-0000-00000D000000}"/>
    <cellStyle name="60% - Accent2" xfId="27" builtinId="36" customBuiltin="1"/>
    <cellStyle name="60% - Accent2 2" xfId="50" xr:uid="{00000000-0005-0000-0000-00000F000000}"/>
    <cellStyle name="60% - Accent3" xfId="31" builtinId="40" customBuiltin="1"/>
    <cellStyle name="60% - Accent3 2" xfId="51" xr:uid="{00000000-0005-0000-0000-000011000000}"/>
    <cellStyle name="60% - Accent4" xfId="35" builtinId="44" customBuiltin="1"/>
    <cellStyle name="60% - Accent4 2" xfId="52" xr:uid="{00000000-0005-0000-0000-000013000000}"/>
    <cellStyle name="60% - Accent5" xfId="39" builtinId="48" customBuiltin="1"/>
    <cellStyle name="60% - Accent5 2" xfId="53" xr:uid="{00000000-0005-0000-0000-000015000000}"/>
    <cellStyle name="60% - Accent6" xfId="43" builtinId="52" customBuiltin="1"/>
    <cellStyle name="60% - Accent6 2" xfId="54" xr:uid="{00000000-0005-0000-0000-000017000000}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eutral 2" xfId="48" xr:uid="{00000000-0005-0000-0000-00002A000000}"/>
    <cellStyle name="Normal" xfId="0" builtinId="0"/>
    <cellStyle name="Normal - Style1" xfId="45" xr:uid="{00000000-0005-0000-0000-00002C000000}"/>
    <cellStyle name="Normal 11" xfId="46" xr:uid="{00000000-0005-0000-0000-00002D000000}"/>
    <cellStyle name="Normal 2" xfId="2" xr:uid="{00000000-0005-0000-0000-00002E000000}"/>
    <cellStyle name="Normal 3" xfId="47" xr:uid="{00000000-0005-0000-0000-00002F000000}"/>
    <cellStyle name="Normal 574" xfId="1" xr:uid="{00000000-0005-0000-0000-000030000000}"/>
    <cellStyle name="Normal 575" xfId="44" xr:uid="{00000000-0005-0000-0000-000031000000}"/>
    <cellStyle name="Normal_Book_111" xfId="55" xr:uid="{00000000-0005-0000-0000-000032000000}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1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D7D"/>
      <color rgb="FFFF5D5D"/>
      <color rgb="FFFF7575"/>
      <color rgb="FFFF7979"/>
      <color rgb="FFF977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30.545766435185" createdVersion="6" refreshedVersion="6" minRefreshableVersion="3" recordCount="67" xr:uid="{00000000-000A-0000-FFFF-FFFF01000000}">
  <cacheSource type="worksheet">
    <worksheetSource ref="A1:P68" sheet="Sheet4"/>
  </cacheSource>
  <cacheFields count="16">
    <cacheField name="Plant" numFmtId="0">
      <sharedItems/>
    </cacheField>
    <cacheField name="Movement Type" numFmtId="0">
      <sharedItems/>
    </cacheField>
    <cacheField name="Posting Date" numFmtId="14">
      <sharedItems containsSemiMixedTypes="0" containsNonDate="0" containsDate="1" containsString="0" minDate="2026-04-02T00:00:00" maxDate="2026-04-19T00:00:00"/>
    </cacheField>
    <cacheField name="Time of Entry" numFmtId="164">
      <sharedItems containsSemiMixedTypes="0" containsNonDate="0" containsDate="1" containsString="0" minDate="1899-12-30T01:25:01" maxDate="1899-12-30T22:00:50"/>
    </cacheField>
    <cacheField name="Material Document" numFmtId="0">
      <sharedItems/>
    </cacheField>
    <cacheField name="Material" numFmtId="0">
      <sharedItems count="4">
        <s v="546854620346"/>
        <s v="546854620389"/>
        <s v="546854620355"/>
        <s v="546854620387"/>
      </sharedItems>
    </cacheField>
    <cacheField name="Material Description" numFmtId="0">
      <sharedItems/>
    </cacheField>
    <cacheField name="Quantity" numFmtId="3">
      <sharedItems containsSemiMixedTypes="0" containsString="0" containsNumber="1" containsInteger="1" minValue="3" maxValue="81"/>
    </cacheField>
    <cacheField name="Amount in LC" numFmtId="4">
      <sharedItems containsSemiMixedTypes="0" containsString="0" containsNumber="1" minValue="26237.759999999998" maxValue="713591.37"/>
    </cacheField>
    <cacheField name="Storage Location" numFmtId="0">
      <sharedItems/>
    </cacheField>
    <cacheField name="Vendor" numFmtId="0">
      <sharedItems/>
    </cacheField>
    <cacheField name="User name" numFmtId="0">
      <sharedItems/>
    </cacheField>
    <cacheField name="Text" numFmtId="0">
      <sharedItems/>
    </cacheField>
    <cacheField name="Reason for Movement" numFmtId="0">
      <sharedItems/>
    </cacheField>
    <cacheField name="Cost Center" numFmtId="0">
      <sharedItems/>
    </cacheField>
    <cacheField name="Refer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7">
  <r>
    <s v="1100"/>
    <s v="101"/>
    <d v="2026-04-02T00:00:00"/>
    <d v="1899-12-30T13:32:59"/>
    <s v="8401612518"/>
    <x v="0"/>
    <s v="WH FRONT"/>
    <n v="4"/>
    <n v="36579.68"/>
    <s v="KA21"/>
    <s v="Y60391"/>
    <s v="SDM860598"/>
    <s v="SP2.PROWIZ/03.04.2026/18:45:31"/>
    <s v="0"/>
    <s v=""/>
    <s v="2511129049"/>
  </r>
  <r>
    <s v="1100"/>
    <s v="101"/>
    <d v="2026-04-02T00:00:00"/>
    <d v="1899-12-30T13:32:31"/>
    <s v="8401612516"/>
    <x v="1"/>
    <s v="WH FRONT"/>
    <n v="75"/>
    <n v="678325.5"/>
    <s v="KA21"/>
    <s v="Y60391"/>
    <s v="SDM860598"/>
    <s v="SP2.PROWIZ/03.04.2026/18:58:42"/>
    <s v="0"/>
    <s v=""/>
    <s v="2511129048"/>
  </r>
  <r>
    <s v="1100"/>
    <s v="101"/>
    <d v="2026-04-04T00:00:00"/>
    <d v="1899-12-30T08:21:30"/>
    <s v="8401637959"/>
    <x v="0"/>
    <s v="WH FRONT"/>
    <n v="11"/>
    <n v="100594.12"/>
    <s v="KA21"/>
    <s v="Y60391"/>
    <s v="CTPVCRDOKI02"/>
    <s v="CMMPVKRUSHNA/04.04.2026/12:46:59"/>
    <s v="0"/>
    <s v=""/>
    <s v="2611000761"/>
  </r>
  <r>
    <s v="1100"/>
    <s v="101"/>
    <d v="2026-04-04T00:00:00"/>
    <d v="1899-12-30T08:19:53"/>
    <s v="8401637952"/>
    <x v="2"/>
    <s v="WH FRONT"/>
    <n v="10"/>
    <n v="88097.7"/>
    <s v="KA21"/>
    <s v="Y60391"/>
    <s v="CTPVCRDOKI02"/>
    <s v="CMMPVKRUSHNA/04.04.2026/12:47:21"/>
    <s v="0"/>
    <s v=""/>
    <s v="2611000754"/>
  </r>
  <r>
    <s v="1100"/>
    <s v="101"/>
    <d v="2026-04-04T00:00:00"/>
    <d v="1899-12-30T08:19:39"/>
    <s v="8401637951"/>
    <x v="1"/>
    <s v="WH FRONT"/>
    <n v="70"/>
    <n v="633103.80000000005"/>
    <s v="KA21"/>
    <s v="Y60391"/>
    <s v="CTPVCRDOKI02"/>
    <s v="CMMPVKRUSHNA/04.04.2026/12:46:45"/>
    <s v="0"/>
    <s v=""/>
    <s v="2611000753"/>
  </r>
  <r>
    <s v="1100"/>
    <s v="101"/>
    <d v="2026-04-05T00:00:00"/>
    <d v="1899-12-30T06:07:07"/>
    <s v="8401653001"/>
    <x v="2"/>
    <s v="WH FRONT"/>
    <n v="15"/>
    <n v="132146.54999999999"/>
    <s v="KA21"/>
    <s v="Y60391"/>
    <s v="CTPVCRDOKI06"/>
    <s v="CMMPVKRUSHNA/05.04.2026/09:09:28"/>
    <s v="0"/>
    <s v=""/>
    <s v="2611001145"/>
  </r>
  <r>
    <s v="1100"/>
    <s v="101"/>
    <d v="2026-04-05T00:00:00"/>
    <d v="1899-12-30T06:06:51"/>
    <s v="8401653000"/>
    <x v="1"/>
    <s v="WH FRONT"/>
    <n v="10"/>
    <n v="90443.4"/>
    <s v="KA21"/>
    <s v="Y60391"/>
    <s v="CTPVCRDOKI06"/>
    <s v="CMMPVKRUSHNA/05.04.2026/09:09:41"/>
    <s v="0"/>
    <s v=""/>
    <s v="2611001144"/>
  </r>
  <r>
    <s v="1100"/>
    <s v="101"/>
    <d v="2026-04-06T00:00:00"/>
    <d v="1899-12-30T21:37:39"/>
    <s v="8401672067"/>
    <x v="2"/>
    <s v="WH FRONT"/>
    <n v="40"/>
    <n v="352390.8"/>
    <s v="KA21"/>
    <s v="Y60391"/>
    <s v="CTPVCRDOKI01"/>
    <s v="CMMPVKRUSHNA/07.04.2026/00:43:21"/>
    <s v="0"/>
    <s v=""/>
    <s v="2611001594"/>
  </r>
  <r>
    <s v="1100"/>
    <s v="101"/>
    <d v="2026-04-06T00:00:00"/>
    <d v="1899-12-30T09:20:14"/>
    <s v="8401657230"/>
    <x v="2"/>
    <s v="WH FRONT"/>
    <n v="10"/>
    <n v="88097.7"/>
    <s v="KA21"/>
    <s v="Y60391"/>
    <s v="CTPVCRDOKI02"/>
    <s v="CMMPVKRUSHNA/06.04.2026/12:13:51"/>
    <s v="0"/>
    <s v=""/>
    <s v="2611001229"/>
  </r>
  <r>
    <s v="1100"/>
    <s v="101"/>
    <d v="2026-04-06T00:00:00"/>
    <d v="1899-12-30T21:37:49"/>
    <s v="8401672068"/>
    <x v="3"/>
    <s v="WH FRONT"/>
    <n v="5"/>
    <n v="43729.599999999999"/>
    <s v="KA21"/>
    <s v="Y60391"/>
    <s v="CTPVCRDOKI01"/>
    <s v="CMMPVKRUSHNA/07.04.2026/00:43:31"/>
    <s v="0"/>
    <s v=""/>
    <s v="2611001595"/>
  </r>
  <r>
    <s v="1100"/>
    <s v="101"/>
    <d v="2026-04-06T00:00:00"/>
    <d v="1899-12-30T21:37:28"/>
    <s v="8401672065"/>
    <x v="1"/>
    <s v="WH FRONT"/>
    <n v="5"/>
    <n v="45221.7"/>
    <s v="KA21"/>
    <s v="Y60391"/>
    <s v="CTPVCRDOKI01"/>
    <s v="CMMPVKRUSHNA/07.04.2026/00:43:10"/>
    <s v="0"/>
    <s v=""/>
    <s v="2611001593"/>
  </r>
  <r>
    <s v="1100"/>
    <s v="101"/>
    <d v="2026-04-06T00:00:00"/>
    <d v="1899-12-30T09:20:00"/>
    <s v="8401657199"/>
    <x v="1"/>
    <s v="WH FRONT"/>
    <n v="30"/>
    <n v="271330.2"/>
    <s v="KA21"/>
    <s v="Y60391"/>
    <s v="CTPVCRDOKI02"/>
    <s v="CMMPVKRUSHNA/06.04.2026/12:13:32"/>
    <s v="0"/>
    <s v=""/>
    <s v="2611001228"/>
  </r>
  <r>
    <s v="1100"/>
    <s v="101"/>
    <d v="2026-04-07T00:00:00"/>
    <d v="1899-12-30T15:04:47"/>
    <s v="8401683760"/>
    <x v="2"/>
    <s v="WH FRONT"/>
    <n v="81"/>
    <n v="713591.37"/>
    <s v="KA21"/>
    <s v="Y60391"/>
    <s v="AAD860617"/>
    <s v="CMMPVKRUSHNA/07.04.2026/17:31:47"/>
    <s v="0"/>
    <s v=""/>
    <s v="2611001048"/>
  </r>
  <r>
    <s v="1100"/>
    <s v="101"/>
    <d v="2026-04-07T00:00:00"/>
    <d v="1899-12-30T14:00:46"/>
    <s v="8401681899"/>
    <x v="2"/>
    <s v="WH FRONT"/>
    <n v="20"/>
    <n v="176195.4"/>
    <s v="KA21"/>
    <s v="Y60391"/>
    <s v="CTPVCRDOKI02"/>
    <s v="CMMPVKRUSHNA/07.04.2026/17:37:51"/>
    <s v="0"/>
    <s v=""/>
    <s v="2611001877"/>
  </r>
  <r>
    <s v="1100"/>
    <s v="101"/>
    <d v="2026-04-07T00:00:00"/>
    <d v="1899-12-30T14:00:59"/>
    <s v="8401682110"/>
    <x v="3"/>
    <s v="WH FRONT"/>
    <n v="5"/>
    <n v="43729.599999999999"/>
    <s v="KA21"/>
    <s v="Y60391"/>
    <s v="CTPVCRDOKI02"/>
    <s v="CMMPVKRUSHNA/07.04.2026/17:37:20"/>
    <s v="0"/>
    <s v=""/>
    <s v="2611001878"/>
  </r>
  <r>
    <s v="1100"/>
    <s v="101"/>
    <d v="2026-04-07T00:00:00"/>
    <d v="1899-12-30T15:00:50"/>
    <s v="8401683590"/>
    <x v="1"/>
    <s v="WH FRONT"/>
    <n v="44"/>
    <n v="397950.96"/>
    <s v="KA21"/>
    <s v="Y60391"/>
    <s v="AAD860617"/>
    <s v="CMMPVKRUSHNA/07.04.2026/17:32:56"/>
    <s v="0"/>
    <s v=""/>
    <s v="2611001057"/>
  </r>
  <r>
    <s v="1100"/>
    <s v="101"/>
    <d v="2026-04-07T00:00:00"/>
    <d v="1899-12-30T14:02:20"/>
    <s v="8401682116"/>
    <x v="1"/>
    <s v="WH FRONT"/>
    <n v="40"/>
    <n v="361773.6"/>
    <s v="KA21"/>
    <s v="Y60391"/>
    <s v="CTPVCRDOKI02"/>
    <s v="CMMPVKRUSHNA/07.04.2026/17:38:14"/>
    <s v="0"/>
    <s v=""/>
    <s v="2611001893"/>
  </r>
  <r>
    <s v="1100"/>
    <s v="101"/>
    <d v="2026-04-08T00:00:00"/>
    <d v="1899-12-30T11:36:04"/>
    <s v="8401696388"/>
    <x v="2"/>
    <s v="WH FRONT"/>
    <n v="11"/>
    <n v="96907.47"/>
    <s v="KA21"/>
    <s v="Y60391"/>
    <s v="CTPVCRDOKI02"/>
    <s v="CMMPVKRUSHNA/08.04.2026/13:21:01"/>
    <s v="0"/>
    <s v=""/>
    <s v="2611002381"/>
  </r>
  <r>
    <s v="1100"/>
    <s v="101"/>
    <d v="2026-04-08T00:00:00"/>
    <d v="1899-12-30T11:35:52"/>
    <s v="8401696387"/>
    <x v="1"/>
    <s v="WH FRONT"/>
    <n v="45"/>
    <n v="406995.3"/>
    <s v="KA21"/>
    <s v="Y60391"/>
    <s v="CTPVCRDOKI02"/>
    <s v="CMMPVKRUSHNA/08.04.2026/13:20:49"/>
    <s v="0"/>
    <s v=""/>
    <s v="2611002380"/>
  </r>
  <r>
    <s v="1100"/>
    <s v="101"/>
    <d v="2026-04-09T00:00:00"/>
    <d v="1899-12-30T13:28:24"/>
    <s v="8401720494"/>
    <x v="2"/>
    <s v="WH FRONT"/>
    <n v="15"/>
    <n v="132146.54999999999"/>
    <s v="KA21"/>
    <s v="Y60391"/>
    <s v="CTPVCRDOKI06"/>
    <s v="CMMPVKRUSHNA/09.04.2026/16:18:31"/>
    <s v="0"/>
    <s v=""/>
    <s v="2611002788"/>
  </r>
  <r>
    <s v="1100"/>
    <s v="101"/>
    <d v="2026-04-09T00:00:00"/>
    <d v="1899-12-30T13:28:36"/>
    <s v="8401720495"/>
    <x v="3"/>
    <s v="WH FRONT"/>
    <n v="5"/>
    <n v="43729.599999999999"/>
    <s v="KA21"/>
    <s v="Y60391"/>
    <s v="CTPVCRDOKI06"/>
    <s v="CMMPVKRUSHNA/09.04.2026/16:18:15"/>
    <s v="0"/>
    <s v=""/>
    <s v="2611002789"/>
  </r>
  <r>
    <s v="1100"/>
    <s v="101"/>
    <d v="2026-04-09T00:00:00"/>
    <d v="1899-12-30T13:28:13"/>
    <s v="8401720493"/>
    <x v="1"/>
    <s v="WH FRONT"/>
    <n v="55"/>
    <n v="497438.7"/>
    <s v="KA21"/>
    <s v="Y60391"/>
    <s v="CTPVCRDOKI06"/>
    <s v="CMMPVKRUSHNA/09.04.2026/16:18:41"/>
    <s v="0"/>
    <s v=""/>
    <s v="2611002787"/>
  </r>
  <r>
    <s v="1100"/>
    <s v="101"/>
    <d v="2026-04-10T00:00:00"/>
    <d v="1899-12-30T22:00:37"/>
    <s v="8401750375"/>
    <x v="2"/>
    <s v="WH FRONT"/>
    <n v="15"/>
    <n v="132146.54999999999"/>
    <s v="KA21"/>
    <s v="Y60391"/>
    <s v="CTPVCRDOKI05"/>
    <s v="CMMPVKRUSHNA/11.04.2026/01:21:37"/>
    <s v="0"/>
    <s v=""/>
    <s v="2611003617"/>
  </r>
  <r>
    <s v="1100"/>
    <s v="101"/>
    <d v="2026-04-10T00:00:00"/>
    <d v="1899-12-30T01:39:48"/>
    <s v="8401732970"/>
    <x v="2"/>
    <s v="WH FRONT"/>
    <n v="12"/>
    <n v="105717.24"/>
    <s v="KA21"/>
    <s v="Y60391"/>
    <s v="CTPVCRDOKI02"/>
    <s v="CMMPVKRUSHNA/10.04.2026/03:41:34"/>
    <s v="0"/>
    <s v=""/>
    <s v="2611003278"/>
  </r>
  <r>
    <s v="1100"/>
    <s v="101"/>
    <d v="2026-04-10T00:00:00"/>
    <d v="1899-12-30T22:00:50"/>
    <s v="8401750377"/>
    <x v="3"/>
    <s v="WH FRONT"/>
    <n v="10"/>
    <n v="87459.199999999997"/>
    <s v="KA21"/>
    <s v="Y60391"/>
    <s v="CTPVCRDOKI05"/>
    <s v="CMMPVKRUSHNA/11.04.2026/01:21:55"/>
    <s v="0"/>
    <s v=""/>
    <s v="2611003618"/>
  </r>
  <r>
    <s v="1100"/>
    <s v="101"/>
    <d v="2026-04-10T00:00:00"/>
    <d v="1899-12-30T01:40:06"/>
    <s v="8401732973"/>
    <x v="3"/>
    <s v="WH FRONT"/>
    <n v="5"/>
    <n v="43729.599999999999"/>
    <s v="KA21"/>
    <s v="Y60391"/>
    <s v="CTPVCRDOKI02"/>
    <s v="CMMPVKRUSHNA/10.04.2026/03:41:11"/>
    <s v="0"/>
    <s v=""/>
    <s v="2611003279"/>
  </r>
  <r>
    <s v="1100"/>
    <s v="101"/>
    <d v="2026-04-10T00:00:00"/>
    <d v="1899-12-30T22:00:25"/>
    <s v="8401750374"/>
    <x v="1"/>
    <s v="WH FRONT"/>
    <n v="50"/>
    <n v="452217"/>
    <s v="KA21"/>
    <s v="Y60391"/>
    <s v="CTPVCRDOKI05"/>
    <s v="CMMPVKRUSHNA/11.04.2026/01:21:44"/>
    <s v="0"/>
    <s v=""/>
    <s v="2611003616"/>
  </r>
  <r>
    <s v="1100"/>
    <s v="101"/>
    <d v="2026-04-10T00:00:00"/>
    <d v="1899-12-30T01:39:36"/>
    <s v="8401732969"/>
    <x v="1"/>
    <s v="WH FRONT"/>
    <n v="55"/>
    <n v="497438.7"/>
    <s v="KA21"/>
    <s v="Y60391"/>
    <s v="CTPVCRDOKI02"/>
    <s v="CMMPVKRUSHNA/10.04.2026/03:42:07"/>
    <s v="0"/>
    <s v=""/>
    <s v="2611003277"/>
  </r>
  <r>
    <s v="1100"/>
    <s v="101"/>
    <d v="2026-04-11T00:00:00"/>
    <d v="1899-12-30T13:39:33"/>
    <s v="8401759622"/>
    <x v="2"/>
    <s v="WH FRONT"/>
    <n v="30"/>
    <n v="264293.09999999998"/>
    <s v="KA21"/>
    <s v="Y60391"/>
    <s v="CTPVCRDOKI05"/>
    <s v="CMMPVKRUSHNA/11.04.2026/18:29:59"/>
    <s v="0"/>
    <s v=""/>
    <s v="2611004019"/>
  </r>
  <r>
    <s v="1100"/>
    <s v="101"/>
    <d v="2026-04-11T00:00:00"/>
    <d v="1899-12-30T13:41:57"/>
    <s v="8401760280"/>
    <x v="3"/>
    <s v="WH FRONT"/>
    <n v="21"/>
    <n v="183664.32"/>
    <s v="KA21"/>
    <s v="Y60391"/>
    <s v="CTPVCRDOKI05"/>
    <s v="CMMPVKRUSHNA/11.04.2026/18:30:58"/>
    <s v="0"/>
    <s v=""/>
    <s v="2611004000"/>
  </r>
  <r>
    <s v="1100"/>
    <s v="101"/>
    <d v="2026-04-11T00:00:00"/>
    <d v="1899-12-30T13:41:44"/>
    <s v="8401759629"/>
    <x v="1"/>
    <s v="WH FRONT"/>
    <n v="30"/>
    <n v="271330.2"/>
    <s v="KA21"/>
    <s v="Y60391"/>
    <s v="CTPVCRDOKI05"/>
    <s v="CMMPVKRUSHNA/11.04.2026/18:30:07"/>
    <s v="0"/>
    <s v=""/>
    <s v="2611003999"/>
  </r>
  <r>
    <s v="1100"/>
    <s v="101"/>
    <d v="2026-04-12T00:00:00"/>
    <d v="1899-12-30T03:47:19"/>
    <s v="8401771031"/>
    <x v="2"/>
    <s v="WH FRONT"/>
    <n v="50"/>
    <n v="440488.5"/>
    <s v="KA21"/>
    <s v="Y60391"/>
    <s v="CTPVCRDOKI06"/>
    <s v="CMMPVKRUSHNA/12.04.2026/08:04:53"/>
    <s v="0"/>
    <s v=""/>
    <s v="2611004337"/>
  </r>
  <r>
    <s v="1100"/>
    <s v="101"/>
    <d v="2026-04-12T00:00:00"/>
    <d v="1899-12-30T03:47:31"/>
    <s v="8401771032"/>
    <x v="3"/>
    <s v="WH FRONT"/>
    <n v="5"/>
    <n v="43729.599999999999"/>
    <s v="KA21"/>
    <s v="Y60391"/>
    <s v="CTPVCRDOKI06"/>
    <s v="CMMPVKRUSHNA/12.04.2026/08:06:10"/>
    <s v="0"/>
    <s v=""/>
    <s v="2611004338"/>
  </r>
  <r>
    <s v="1100"/>
    <s v="101"/>
    <d v="2026-04-12T00:00:00"/>
    <d v="1899-12-30T03:47:00"/>
    <s v="8401771030"/>
    <x v="1"/>
    <s v="WH FRONT"/>
    <n v="65"/>
    <n v="587882.1"/>
    <s v="KA21"/>
    <s v="Y60391"/>
    <s v="CTPVCRDOKI06"/>
    <s v="CMMPVKRUSHNA/12.04.2026/08:05:04"/>
    <s v="0"/>
    <s v=""/>
    <s v="2611004336"/>
  </r>
  <r>
    <s v="1100"/>
    <s v="101"/>
    <d v="2026-04-13T00:00:00"/>
    <d v="1899-12-30T18:59:57"/>
    <s v="8401792298"/>
    <x v="0"/>
    <s v="WH FRONT"/>
    <n v="14"/>
    <n v="128028.88"/>
    <s v="KA21"/>
    <s v="Y60391"/>
    <s v="CTPVCRDOKI06"/>
    <s v="CMMPVKRUSHNA/13.04.2026/23:25:56"/>
    <s v="0"/>
    <s v=""/>
    <s v="2611004795"/>
  </r>
  <r>
    <s v="1100"/>
    <s v="101"/>
    <d v="2026-04-13T00:00:00"/>
    <d v="1899-12-30T18:58:52"/>
    <s v="8401792227"/>
    <x v="2"/>
    <s v="WH FRONT"/>
    <n v="20"/>
    <n v="178579"/>
    <s v="KA21"/>
    <s v="Y60391"/>
    <s v="CTPVCRDOKI06"/>
    <s v="CMMPVKRUSHNA/13.04.2026/23:26:08"/>
    <s v="0"/>
    <s v=""/>
    <s v="2611004789"/>
  </r>
  <r>
    <s v="1100"/>
    <s v="101"/>
    <d v="2026-04-13T00:00:00"/>
    <d v="1899-12-30T07:53:19"/>
    <s v="8401777355"/>
    <x v="2"/>
    <s v="WH FRONT"/>
    <n v="11"/>
    <n v="96907.47"/>
    <s v="KA21"/>
    <s v="Y60391"/>
    <s v="CTPVCRDOKI02"/>
    <s v="CMMPVKRUSHNA/13.04.2026/09:41:47"/>
    <s v="0"/>
    <s v=""/>
    <s v="2611004474"/>
  </r>
  <r>
    <s v="1100"/>
    <s v="101"/>
    <d v="2026-04-13T00:00:00"/>
    <d v="1899-12-30T18:59:02"/>
    <s v="8401792244"/>
    <x v="3"/>
    <s v="WH FRONT"/>
    <n v="27"/>
    <n v="239357.7"/>
    <s v="KA21"/>
    <s v="Y60391"/>
    <s v="CTPVCRDOKI06"/>
    <s v="CMMPVKRUSHNA/13.04.2026/23:25:14"/>
    <s v="0"/>
    <s v=""/>
    <s v="2611004790"/>
  </r>
  <r>
    <s v="1100"/>
    <s v="101"/>
    <d v="2026-04-13T00:00:00"/>
    <d v="1899-12-30T07:53:30"/>
    <s v="8401777356"/>
    <x v="3"/>
    <s v="WH FRONT"/>
    <n v="3"/>
    <n v="26237.759999999998"/>
    <s v="KA21"/>
    <s v="Y60391"/>
    <s v="CTPVCRDOKI02"/>
    <s v="CMMPVKRUSHNA/13.04.2026/09:41:55"/>
    <s v="0"/>
    <s v=""/>
    <s v="2611004475"/>
  </r>
  <r>
    <s v="1100"/>
    <s v="101"/>
    <d v="2026-04-13T00:00:00"/>
    <d v="1899-12-30T19:00:52"/>
    <s v="8401792303"/>
    <x v="1"/>
    <s v="WH FRONT"/>
    <n v="50"/>
    <n v="458176"/>
    <s v="KA21"/>
    <s v="Y60391"/>
    <s v="CTPVCRDOKI06"/>
    <s v="CMMPVKRUSHNA/13.04.2026/23:25:42"/>
    <s v="0"/>
    <s v=""/>
    <s v="2611004788"/>
  </r>
  <r>
    <s v="1100"/>
    <s v="101"/>
    <d v="2026-04-13T00:00:00"/>
    <d v="1899-12-30T07:53:07"/>
    <s v="8401777354"/>
    <x v="1"/>
    <s v="WH FRONT"/>
    <n v="40"/>
    <n v="361773.6"/>
    <s v="KA21"/>
    <s v="Y60391"/>
    <s v="CTPVCRDOKI02"/>
    <s v="CMMPVKRUSHNA/13.04.2026/09:41:41"/>
    <s v="0"/>
    <s v=""/>
    <s v="2611004473"/>
  </r>
  <r>
    <s v="1100"/>
    <s v="101"/>
    <d v="2026-04-14T00:00:00"/>
    <d v="1899-12-30T11:43:01"/>
    <s v="8401800667"/>
    <x v="0"/>
    <s v="WH FRONT"/>
    <n v="16"/>
    <n v="146318.72"/>
    <s v="KA21"/>
    <s v="Y60391"/>
    <s v="CTPVCRDOKI04"/>
    <s v="RD.PROWIZ/14.04.2026/14:37:51"/>
    <s v="0"/>
    <s v=""/>
    <s v="2611005046"/>
  </r>
  <r>
    <s v="1100"/>
    <s v="101"/>
    <d v="2026-04-14T00:00:00"/>
    <d v="1899-12-30T02:12:20"/>
    <s v="8401795725"/>
    <x v="0"/>
    <s v="WH FRONT"/>
    <n v="8"/>
    <n v="73159.360000000001"/>
    <s v="KA21"/>
    <s v="Y60391"/>
    <s v="CTPVCRDOKI06"/>
    <s v="CMMPVKRUSHNA/14.04.2026/08:36:26"/>
    <s v="0"/>
    <s v=""/>
    <s v="2611004964"/>
  </r>
  <r>
    <s v="1100"/>
    <s v="101"/>
    <d v="2026-04-14T00:00:00"/>
    <d v="1899-12-30T11:40:31"/>
    <s v="8401800549"/>
    <x v="2"/>
    <s v="WH FRONT"/>
    <n v="40"/>
    <n v="357158"/>
    <s v="KA21"/>
    <s v="Y60391"/>
    <s v="CTPVCRDOKI04"/>
    <s v="RD.PROWIZ/14.04.2026/14:40:31"/>
    <s v="0"/>
    <s v=""/>
    <s v="2611005047"/>
  </r>
  <r>
    <s v="1100"/>
    <s v="101"/>
    <d v="2026-04-14T00:00:00"/>
    <d v="1899-12-30T11:40:16"/>
    <s v="8401800548"/>
    <x v="2"/>
    <s v="WH FRONT"/>
    <n v="20"/>
    <n v="178579"/>
    <s v="KA21"/>
    <s v="Y60391"/>
    <s v="CTPVCRDOKI04"/>
    <s v="RD.PROWIZ/14.04.2026/14:40:40"/>
    <s v="0"/>
    <s v=""/>
    <s v="2611005048"/>
  </r>
  <r>
    <s v="1100"/>
    <s v="101"/>
    <d v="2026-04-14T00:00:00"/>
    <d v="1899-12-30T02:12:03"/>
    <s v="8401795724"/>
    <x v="2"/>
    <s v="WH FRONT"/>
    <n v="3"/>
    <n v="26786.85"/>
    <s v="KA21"/>
    <s v="Y60391"/>
    <s v="CTPVCRDOKI06"/>
    <s v="CMMPVKRUSHNA/14.04.2026/08:36:35"/>
    <s v="0"/>
    <s v=""/>
    <s v="2611004963"/>
  </r>
  <r>
    <s v="1100"/>
    <s v="101"/>
    <d v="2026-04-14T00:00:00"/>
    <d v="1899-12-30T11:41:36"/>
    <s v="8401800635"/>
    <x v="3"/>
    <s v="WH FRONT"/>
    <n v="16"/>
    <n v="141841.60000000001"/>
    <s v="KA21"/>
    <s v="Y60391"/>
    <s v="CTPVCRDOKI04"/>
    <s v="RD.PROWIZ/14.04.2026/14:40:19"/>
    <s v="0"/>
    <s v=""/>
    <s v="2611005041"/>
  </r>
  <r>
    <s v="1100"/>
    <s v="101"/>
    <d v="2026-04-14T00:00:00"/>
    <d v="1899-12-30T11:41:20"/>
    <s v="8401800633"/>
    <x v="1"/>
    <s v="WH FRONT"/>
    <n v="46"/>
    <n v="421521.91999999998"/>
    <s v="KA21"/>
    <s v="Y60391"/>
    <s v="CTPVCRDOKI04"/>
    <s v="RD.PROWIZ/14.04.2026/14:37:38"/>
    <s v="0"/>
    <s v=""/>
    <s v="2611005040"/>
  </r>
  <r>
    <s v="1100"/>
    <s v="101"/>
    <d v="2026-04-14T00:00:00"/>
    <d v="1899-12-30T02:11:48"/>
    <s v="8401795723"/>
    <x v="1"/>
    <s v="WH FRONT"/>
    <n v="35"/>
    <n v="320723.20000000001"/>
    <s v="KA21"/>
    <s v="Y60391"/>
    <s v="CTPVCRDOKI06"/>
    <s v="CMMPVKRUSHNA/14.04.2026/08:36:41"/>
    <s v="0"/>
    <s v=""/>
    <s v="2611004962"/>
  </r>
  <r>
    <s v="1100"/>
    <s v="101"/>
    <d v="2026-04-15T00:00:00"/>
    <d v="1899-12-30T21:47:32"/>
    <s v="8401832076"/>
    <x v="1"/>
    <s v="WH FRONT"/>
    <n v="55"/>
    <n v="503993.59999999998"/>
    <s v="KA21"/>
    <s v="Y60391"/>
    <s v="CTPVCRDOKI02"/>
    <s v="CMMPVKRUSHNA/15.04.2026/23:18:30"/>
    <s v="0"/>
    <s v=""/>
    <s v="2611005789"/>
  </r>
  <r>
    <s v="1100"/>
    <s v="101"/>
    <d v="2026-04-15T00:00:00"/>
    <d v="1899-12-30T06:30:12"/>
    <s v="8401815048"/>
    <x v="1"/>
    <s v="WH FRONT"/>
    <n v="63"/>
    <n v="577301.76000000001"/>
    <s v="KA21"/>
    <s v="Y60391"/>
    <s v="CTPVCRDOKI04"/>
    <s v="CMMPVKRUSHNA/15.04.2026/10:50:46"/>
    <s v="0"/>
    <s v=""/>
    <s v="2611005454"/>
  </r>
  <r>
    <s v="1100"/>
    <s v="101"/>
    <d v="2026-04-16T00:00:00"/>
    <d v="1899-12-30T19:46:34"/>
    <s v="8401852255"/>
    <x v="0"/>
    <s v="WH FRONT"/>
    <n v="20"/>
    <n v="182898.4"/>
    <s v="KA21"/>
    <s v="Y60391"/>
    <s v="CTPVCRDOKI02"/>
    <s v="CMMPVKRUSHNA/16.04.2026/22:19:04"/>
    <s v="0"/>
    <s v=""/>
    <s v="2611006111"/>
  </r>
  <r>
    <s v="1100"/>
    <s v="101"/>
    <d v="2026-04-16T00:00:00"/>
    <d v="1899-12-30T10:16:38"/>
    <s v="8401837709"/>
    <x v="0"/>
    <s v="WH FRONT"/>
    <n v="8"/>
    <n v="73159.360000000001"/>
    <s v="KA21"/>
    <s v="Y60391"/>
    <s v="CTPVCRDOKI05"/>
    <s v="CMMPVKRUSHNA/16.04.2026/13:40:24"/>
    <s v="0"/>
    <s v=""/>
    <s v="2611005967"/>
  </r>
  <r>
    <s v="1100"/>
    <s v="101"/>
    <d v="2026-04-16T00:00:00"/>
    <d v="1899-12-30T05:41:08"/>
    <s v="8401835176"/>
    <x v="0"/>
    <s v="WH FRONT"/>
    <n v="6"/>
    <n v="54869.52"/>
    <s v="KA21"/>
    <s v="Y60391"/>
    <s v="CTPVCRDOKI03"/>
    <s v="CMMPVKRUSHNA/16.04.2026/08:08:21"/>
    <s v="0"/>
    <s v=""/>
    <s v="2611005897"/>
  </r>
  <r>
    <s v="1100"/>
    <s v="101"/>
    <d v="2026-04-16T00:00:00"/>
    <d v="1899-12-30T19:44:48"/>
    <s v="8401852233"/>
    <x v="2"/>
    <s v="WH FRONT"/>
    <n v="8"/>
    <n v="71431.600000000006"/>
    <s v="KA21"/>
    <s v="Y60391"/>
    <s v="CTPVCRDOKI02"/>
    <s v="CMMPVKRUSHNA/16.04.2026/22:19:42"/>
    <s v="0"/>
    <s v=""/>
    <s v="2611006102"/>
  </r>
  <r>
    <s v="1100"/>
    <s v="101"/>
    <d v="2026-04-16T00:00:00"/>
    <d v="1899-12-30T19:45:01"/>
    <s v="8401852234"/>
    <x v="3"/>
    <s v="WH FRONT"/>
    <n v="13"/>
    <n v="115246.3"/>
    <s v="KA21"/>
    <s v="Y60391"/>
    <s v="CTPVCRDOKI02"/>
    <s v="CMMPVKRUSHNA/16.04.2026/22:19:25"/>
    <s v="0"/>
    <s v=""/>
    <s v="2611006103"/>
  </r>
  <r>
    <s v="1100"/>
    <s v="101"/>
    <d v="2026-04-16T00:00:00"/>
    <d v="1899-12-30T10:14:31"/>
    <s v="8401837667"/>
    <x v="1"/>
    <s v="WH FRONT"/>
    <n v="16"/>
    <n v="146616.32000000001"/>
    <s v="KA21"/>
    <s v="Y60391"/>
    <s v="CTPVCRDOKI05"/>
    <s v="CMMPVKRUSHNA/16.04.2026/13:40:16"/>
    <s v="0"/>
    <s v=""/>
    <s v="2611005961"/>
  </r>
  <r>
    <s v="1100"/>
    <s v="101"/>
    <d v="2026-04-16T00:00:00"/>
    <d v="1899-12-30T05:39:28"/>
    <s v="8401835170"/>
    <x v="1"/>
    <s v="WH FRONT"/>
    <n v="53"/>
    <n v="485666.56"/>
    <s v="KA21"/>
    <s v="Y60391"/>
    <s v="CTPVCRDOKI03"/>
    <s v="CMMPVKRUSHNA/16.04.2026/08:08:06"/>
    <s v="0"/>
    <s v=""/>
    <s v="2611005891"/>
  </r>
  <r>
    <s v="1100"/>
    <s v="101"/>
    <d v="2026-04-17T00:00:00"/>
    <d v="1899-12-30T19:04:14"/>
    <s v="8401869641"/>
    <x v="2"/>
    <s v="WH FRONT"/>
    <n v="33"/>
    <n v="294655.34999999998"/>
    <s v="KA21"/>
    <s v="Y60391"/>
    <s v="CTPVCRDOKI02"/>
    <s v="CMMPVKRUSHNA/17.04.2026/20:13:52"/>
    <s v="0"/>
    <s v=""/>
    <s v="2611006735"/>
  </r>
  <r>
    <s v="1100"/>
    <s v="101"/>
    <d v="2026-04-17T00:00:00"/>
    <d v="1899-12-30T05:16:35"/>
    <s v="8401856667"/>
    <x v="2"/>
    <s v="WH FRONT"/>
    <n v="26"/>
    <n v="232152.7"/>
    <s v="KA21"/>
    <s v="Y60391"/>
    <s v="CTPVCRDOKI05"/>
    <s v="CMMPVKRUSHNA/17.04.2026/08:33:37"/>
    <s v="0"/>
    <s v=""/>
    <s v="2611006453"/>
  </r>
  <r>
    <s v="1100"/>
    <s v="101"/>
    <d v="2026-04-17T00:00:00"/>
    <d v="1899-12-30T19:04:26"/>
    <s v="8401869642"/>
    <x v="3"/>
    <s v="WH FRONT"/>
    <n v="4"/>
    <n v="35460.400000000001"/>
    <s v="KA21"/>
    <s v="Y60391"/>
    <s v="CTPVCRDOKI02"/>
    <s v="CMMPVKRUSHNA/17.04.2026/20:13:37"/>
    <s v="0"/>
    <s v=""/>
    <s v="2611006736"/>
  </r>
  <r>
    <s v="1100"/>
    <s v="101"/>
    <d v="2026-04-17T00:00:00"/>
    <d v="1899-12-30T05:16:43"/>
    <s v="8401856680"/>
    <x v="3"/>
    <s v="WH FRONT"/>
    <n v="8"/>
    <n v="70920.800000000003"/>
    <s v="KA21"/>
    <s v="Y60391"/>
    <s v="CTPVCRDOKI06"/>
    <s v="CMMPVKRUSHNA/17.04.2026/08:33:43"/>
    <s v="0"/>
    <s v=""/>
    <s v="2611006454"/>
  </r>
  <r>
    <s v="1100"/>
    <s v="101"/>
    <d v="2026-04-17T00:00:00"/>
    <d v="1899-12-30T19:04:03"/>
    <s v="8401869640"/>
    <x v="1"/>
    <s v="WH FRONT"/>
    <n v="73"/>
    <n v="668936.95999999996"/>
    <s v="KA21"/>
    <s v="Y60391"/>
    <s v="CTPVCRDOKI02"/>
    <s v="CMMPVKRUSHNA/17.04.2026/20:14:04"/>
    <s v="0"/>
    <s v=""/>
    <s v="2611006734"/>
  </r>
  <r>
    <s v="1100"/>
    <s v="101"/>
    <d v="2026-04-17T00:00:00"/>
    <d v="1899-12-30T05:16:31"/>
    <s v="8401856409"/>
    <x v="1"/>
    <s v="WH FRONT"/>
    <n v="24"/>
    <n v="219924.48000000001"/>
    <s v="KA21"/>
    <s v="Y60391"/>
    <s v="CTPVCRDOKI06"/>
    <s v="CMMPVKRUSHNA/17.04.2026/08:33:30"/>
    <s v="0"/>
    <s v=""/>
    <s v="2611006452"/>
  </r>
  <r>
    <s v="1100"/>
    <s v="101"/>
    <d v="2026-04-18T00:00:00"/>
    <d v="1899-12-30T01:25:28"/>
    <s v="8401873417"/>
    <x v="2"/>
    <s v="WH FRONT"/>
    <n v="10"/>
    <n v="89289.5"/>
    <s v="KA21"/>
    <s v="Y60391"/>
    <s v="CTPVCRDOKI02"/>
    <s v="CMMPVKRUSHNA/18.04.2026/02:55:25"/>
    <s v="0"/>
    <s v=""/>
    <s v="2611006902"/>
  </r>
  <r>
    <s v="1100"/>
    <s v="101"/>
    <d v="2026-04-18T00:00:00"/>
    <d v="1899-12-30T01:25:45"/>
    <s v="8401873418"/>
    <x v="3"/>
    <s v="WH FRONT"/>
    <n v="30"/>
    <n v="265953"/>
    <s v="KA21"/>
    <s v="Y60391"/>
    <s v="CTPVCRDOKI02"/>
    <s v="CMMPVKRUSHNA/18.04.2026/02:55:15"/>
    <s v="0"/>
    <s v=""/>
    <s v="2611006903"/>
  </r>
  <r>
    <s v="1100"/>
    <s v="101"/>
    <d v="2026-04-18T00:00:00"/>
    <d v="1899-12-30T01:25:01"/>
    <s v="8401873416"/>
    <x v="1"/>
    <s v="WH FRONT"/>
    <n v="56"/>
    <n v="513157.12"/>
    <s v="KA21"/>
    <s v="Y60391"/>
    <s v="CTPVCRDOKI02"/>
    <s v="CMMPVKRUSHNA/18.04.2026/02:55:37"/>
    <s v="0"/>
    <s v=""/>
    <s v="26110069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Q2:R7" firstHeaderRow="1" firstDataRow="1" firstDataCol="1"/>
  <pivotFields count="16">
    <pivotField showAll="0"/>
    <pivotField showAll="0"/>
    <pivotField numFmtId="14" showAll="0"/>
    <pivotField numFmtId="164"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numFmtId="3" showAll="0"/>
    <pivotField numFmtId="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7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0.39997558519241921"/>
  </sheetPr>
  <dimension ref="A2:AJ28"/>
  <sheetViews>
    <sheetView topLeftCell="A2" zoomScale="85" zoomScaleNormal="85" workbookViewId="0">
      <selection activeCell="R13" sqref="R13"/>
    </sheetView>
  </sheetViews>
  <sheetFormatPr defaultColWidth="9.140625" defaultRowHeight="15" x14ac:dyDescent="0.25"/>
  <cols>
    <col min="1" max="1" width="18.42578125" style="1" customWidth="1"/>
    <col min="2" max="2" width="16.5703125" style="2" customWidth="1"/>
    <col min="3" max="3" width="28.5703125" style="2" customWidth="1"/>
    <col min="4" max="4" width="8.42578125" style="2" hidden="1" customWidth="1"/>
    <col min="5" max="6" width="10.140625" style="2" hidden="1" customWidth="1"/>
    <col min="7" max="7" width="10.28515625" style="2" hidden="1" customWidth="1"/>
    <col min="8" max="8" width="9.85546875" style="2" hidden="1" customWidth="1"/>
    <col min="9" max="9" width="10.28515625" style="2" hidden="1" customWidth="1"/>
    <col min="10" max="10" width="9.140625" style="2" customWidth="1"/>
    <col min="11" max="11" width="12.140625" style="2" hidden="1" customWidth="1"/>
    <col min="12" max="12" width="12.28515625" style="2" hidden="1" customWidth="1"/>
    <col min="13" max="13" width="12.140625" style="2" hidden="1" customWidth="1"/>
    <col min="14" max="14" width="9.5703125" style="2" hidden="1" customWidth="1"/>
    <col min="15" max="15" width="8.140625" style="2" customWidth="1"/>
    <col min="16" max="16" width="9.42578125" style="2" customWidth="1"/>
    <col min="17" max="18" width="10.28515625" style="2" customWidth="1"/>
    <col min="19" max="19" width="9.7109375" style="2" customWidth="1"/>
    <col min="20" max="20" width="9.28515625" style="2" customWidth="1"/>
    <col min="21" max="21" width="10.5703125" style="2" customWidth="1"/>
    <col min="22" max="23" width="9.140625" style="2" hidden="1" customWidth="1"/>
    <col min="24" max="25" width="9.140625" style="2" customWidth="1"/>
    <col min="26" max="29" width="9.140625" style="2"/>
    <col min="30" max="30" width="9.140625" style="2" customWidth="1"/>
    <col min="31" max="31" width="9.140625" style="2"/>
    <col min="32" max="32" width="9.140625" style="2" hidden="1" customWidth="1"/>
    <col min="33" max="16384" width="9.140625" style="2"/>
  </cols>
  <sheetData>
    <row r="2" spans="1:36" ht="15.75" thickBot="1" x14ac:dyDescent="0.3">
      <c r="J2" s="40">
        <f>J19</f>
        <v>438</v>
      </c>
      <c r="P2" s="2">
        <f>P8</f>
        <v>0</v>
      </c>
      <c r="Q2" s="2">
        <f>Q8</f>
        <v>0</v>
      </c>
      <c r="U2" s="2">
        <f>U8</f>
        <v>0</v>
      </c>
    </row>
    <row r="3" spans="1:36" s="6" customFormat="1" ht="78.75" x14ac:dyDescent="0.2">
      <c r="A3" s="84" t="s">
        <v>114</v>
      </c>
      <c r="B3" s="85" t="s">
        <v>115</v>
      </c>
      <c r="C3" s="85" t="s">
        <v>0</v>
      </c>
      <c r="D3" s="62" t="s">
        <v>1</v>
      </c>
      <c r="E3" s="62" t="s">
        <v>2</v>
      </c>
      <c r="F3" s="62" t="s">
        <v>3</v>
      </c>
      <c r="G3" s="62" t="s">
        <v>4</v>
      </c>
      <c r="H3" s="62" t="s">
        <v>5</v>
      </c>
      <c r="I3" s="62" t="s">
        <v>6</v>
      </c>
      <c r="J3" s="63" t="s">
        <v>7</v>
      </c>
      <c r="K3" s="64">
        <f ca="1">TODAY()</f>
        <v>46221</v>
      </c>
      <c r="L3" s="64">
        <f ca="1">TODAY()+1</f>
        <v>46222</v>
      </c>
      <c r="M3" s="64">
        <f ca="1">TODAY()+2</f>
        <v>46223</v>
      </c>
      <c r="N3" s="62" t="s">
        <v>8</v>
      </c>
      <c r="O3" s="62" t="s">
        <v>5</v>
      </c>
      <c r="P3" s="65" t="s">
        <v>9</v>
      </c>
      <c r="Q3" s="65" t="s">
        <v>10</v>
      </c>
      <c r="R3" s="65" t="s">
        <v>11</v>
      </c>
      <c r="S3" s="65" t="s">
        <v>12</v>
      </c>
      <c r="T3" s="65" t="s">
        <v>13</v>
      </c>
      <c r="U3" s="66" t="s">
        <v>14</v>
      </c>
      <c r="V3" s="60"/>
      <c r="W3" s="92" t="s">
        <v>243</v>
      </c>
      <c r="X3" s="92"/>
      <c r="Y3" s="51" t="s">
        <v>95</v>
      </c>
      <c r="Z3" s="51" t="s">
        <v>96</v>
      </c>
      <c r="AA3" s="51" t="s">
        <v>97</v>
      </c>
      <c r="AB3" s="51" t="s">
        <v>98</v>
      </c>
      <c r="AC3" s="51" t="s">
        <v>99</v>
      </c>
      <c r="AD3" s="51" t="s">
        <v>100</v>
      </c>
      <c r="AE3" s="51" t="s">
        <v>101</v>
      </c>
      <c r="AF3" s="51" t="s">
        <v>102</v>
      </c>
      <c r="AG3" s="51" t="s">
        <v>103</v>
      </c>
      <c r="AH3" s="51" t="s">
        <v>104</v>
      </c>
      <c r="AI3" s="51" t="s">
        <v>105</v>
      </c>
      <c r="AJ3" s="50" t="s">
        <v>93</v>
      </c>
    </row>
    <row r="4" spans="1:36" s="7" customFormat="1" ht="18.75" x14ac:dyDescent="0.25">
      <c r="A4" s="176">
        <v>546854600231</v>
      </c>
      <c r="B4" s="3" t="s">
        <v>27</v>
      </c>
      <c r="C4" s="43" t="s">
        <v>28</v>
      </c>
      <c r="D4" s="7">
        <v>0</v>
      </c>
      <c r="E4" s="174">
        <f>SUM(D4:D7)</f>
        <v>75</v>
      </c>
      <c r="F4" s="174">
        <v>8</v>
      </c>
      <c r="G4" s="174">
        <f>N4</f>
        <v>0</v>
      </c>
      <c r="H4" s="174">
        <f>SUM(O4:O7)</f>
        <v>0</v>
      </c>
      <c r="I4" s="174">
        <f>E4-H4</f>
        <v>75</v>
      </c>
      <c r="J4" s="173">
        <f>F4+G4-H4</f>
        <v>8</v>
      </c>
      <c r="K4" s="7">
        <f>SUMIF('3 D P'!$E:$E,'Fresh VIN PPC'!$B:$B,'3 D P'!$J:$J)</f>
        <v>0</v>
      </c>
      <c r="L4" s="7">
        <f>SUMIF('3 D P'!$E:$E,'Fresh VIN PPC'!$B:$B,'3 D P'!$K:$K)</f>
        <v>0</v>
      </c>
      <c r="M4" s="7">
        <f>SUMIF('3 D P'!$E:$E,'Fresh VIN PPC'!$B:$B,'3 D P'!$L:$L)</f>
        <v>0</v>
      </c>
      <c r="N4" s="7">
        <f>IFERROR(VLOOKUP(A4,'Daywise Dispatch'!$A:$B,2,FALSE),0)</f>
        <v>0</v>
      </c>
      <c r="O4" s="7">
        <f>SUMIF('Consumption MTD'!$B:$B,$B$4:$B$7,'Consumption MTD'!$C:$C)</f>
        <v>0</v>
      </c>
      <c r="P4" s="7">
        <f>SUMIF('BIW Lifting A Shift'!$B:$B,$B$4:$B$7,'BIW Lifting A Shift'!$C:$C)</f>
        <v>0</v>
      </c>
      <c r="Q4" s="7">
        <f>SUMIF('BIW Lifting B Shift'!$B:$B,$B$4:$B$7,'BIW Lifting B Shift'!$C:$C)</f>
        <v>0</v>
      </c>
      <c r="R4" s="171">
        <f>J4-U4-U6-U7-U5</f>
        <v>8</v>
      </c>
      <c r="S4" s="171">
        <f>J4-P4-P6-P7-U4-U6-U7-U5-P5</f>
        <v>8</v>
      </c>
      <c r="T4" s="171">
        <f>S4-Q4-Q6-Q7-Q5</f>
        <v>8</v>
      </c>
      <c r="U4" s="47">
        <f>SUMIF(FLOAT!$D:$D,$B$4:$B$7,FLOAT!$F:$F)</f>
        <v>0</v>
      </c>
      <c r="V4" s="174"/>
      <c r="Y4" s="7">
        <f>SUMIF(FLOAT!$D:$D,$B$4:$B$7,FLOAT!$F:$F)</f>
        <v>0</v>
      </c>
      <c r="Z4" s="7">
        <f>SUMIF(FLOAT!$D:$D,$B$4:$B$7,FLOAT!$G:$G)</f>
        <v>0</v>
      </c>
      <c r="AA4" s="7">
        <f>SUMIF(FLOAT!$D:$D,$B$4:$B$7,FLOAT!$H:$H)</f>
        <v>0</v>
      </c>
      <c r="AB4" s="7">
        <f>SUMIF(FLOAT!$D:$D,$B$4:$B$7,FLOAT!$I:$I)</f>
        <v>0</v>
      </c>
      <c r="AC4" s="7">
        <f>SUMIF(FLOAT!$D:$D,$B$4:$B$7,FLOAT!$J:$J)</f>
        <v>0</v>
      </c>
      <c r="AD4" s="7">
        <f>SUMIF(FLOAT!$D:$D,$B$4:$B$7,FLOAT!$K:$K)</f>
        <v>0</v>
      </c>
      <c r="AE4" s="7">
        <f>SUMIF(FLOAT!$D:$D,$B$4:$B$7,FLOAT!$L:$L)</f>
        <v>0</v>
      </c>
      <c r="AF4" s="7">
        <f>SUMIF(FLOAT!$D:$D,$B$4:$B$7,FLOAT!$M:$M)</f>
        <v>0</v>
      </c>
      <c r="AG4" s="7">
        <f>SUMIF(FLOAT!$D:$D,$B$4:$B$7,FLOAT!$N:$N)</f>
        <v>0</v>
      </c>
      <c r="AH4" s="7">
        <f>SUMIF(FLOAT!$D:$D,$B$4:$B$7,FLOAT!$O:$O)</f>
        <v>0</v>
      </c>
      <c r="AI4" s="7">
        <f>SUMIF(FLOAT!$D:$D,$B$4:$B$7,FLOAT!$P:$P)</f>
        <v>0</v>
      </c>
      <c r="AJ4" s="7">
        <f>SUM(Z4:AE4)+SUM(AG4:AI4)</f>
        <v>0</v>
      </c>
    </row>
    <row r="5" spans="1:36" s="7" customFormat="1" ht="18.75" x14ac:dyDescent="0.25">
      <c r="A5" s="176"/>
      <c r="B5" s="3" t="s">
        <v>186</v>
      </c>
      <c r="C5" s="82" t="s">
        <v>82</v>
      </c>
      <c r="D5" s="7">
        <v>0</v>
      </c>
      <c r="E5" s="174"/>
      <c r="F5" s="174"/>
      <c r="G5" s="174"/>
      <c r="H5" s="174"/>
      <c r="I5" s="174"/>
      <c r="J5" s="173"/>
      <c r="K5" s="7">
        <f>SUMIF('3 D P'!$E:$E,'Fresh VIN PPC'!$B:$B,'3 D P'!$J:$J)</f>
        <v>0</v>
      </c>
      <c r="L5" s="7">
        <f>SUMIF('3 D P'!$E:$E,'Fresh VIN PPC'!$B:$B,'3 D P'!$K:$K)</f>
        <v>0</v>
      </c>
      <c r="M5" s="7">
        <f>SUMIF('3 D P'!$E:$E,'Fresh VIN PPC'!$B:$B,'3 D P'!$L:$L)</f>
        <v>0</v>
      </c>
      <c r="N5" s="7">
        <f>IFERROR(VLOOKUP(A5,'Daywise Dispatch'!$A:$B,2,FALSE),0)</f>
        <v>0</v>
      </c>
      <c r="O5" s="7">
        <f>SUMIF('Consumption MTD'!$B:$B,$B$4:$B$7,'Consumption MTD'!$C:$C)</f>
        <v>0</v>
      </c>
      <c r="P5" s="7">
        <f>SUMIF('BIW Lifting A Shift'!$B:$B,$B$4:$B$7,'BIW Lifting A Shift'!$C:$C)</f>
        <v>0</v>
      </c>
      <c r="Q5" s="7">
        <f>SUMIF('BIW Lifting B Shift'!$B:$B,$B$4:$B$7,'BIW Lifting B Shift'!$C:$C)</f>
        <v>0</v>
      </c>
      <c r="R5" s="171"/>
      <c r="S5" s="171"/>
      <c r="T5" s="171"/>
      <c r="U5" s="47">
        <f>SUMIF(FLOAT!$D:$D,$B$4:$B$7,FLOAT!$F:$F)</f>
        <v>0</v>
      </c>
      <c r="V5" s="174"/>
      <c r="Y5" s="7">
        <f>SUMIF(FLOAT!$D:$D,$B$4:$B$7,FLOAT!$F:$F)</f>
        <v>0</v>
      </c>
      <c r="Z5" s="7">
        <f>SUMIF(FLOAT!$D:$D,$B$4:$B$7,FLOAT!$G:$G)</f>
        <v>0</v>
      </c>
      <c r="AA5" s="7">
        <f>SUMIF(FLOAT!$D:$D,$B$4:$B$7,FLOAT!$H:$H)</f>
        <v>0</v>
      </c>
      <c r="AB5" s="7">
        <f>SUMIF(FLOAT!$D:$D,$B$4:$B$7,FLOAT!$I:$I)</f>
        <v>0</v>
      </c>
      <c r="AC5" s="7">
        <f>SUMIF(FLOAT!$D:$D,$B$4:$B$7,FLOAT!$J:$J)</f>
        <v>0</v>
      </c>
      <c r="AD5" s="7">
        <f>SUMIF(FLOAT!$D:$D,$B$4:$B$7,FLOAT!$K:$K)</f>
        <v>0</v>
      </c>
      <c r="AE5" s="7">
        <f>SUMIF(FLOAT!$D:$D,$B$4:$B$7,FLOAT!$L:$L)</f>
        <v>0</v>
      </c>
      <c r="AF5" s="7">
        <f>SUMIF(FLOAT!$D:$D,$B$4:$B$7,FLOAT!$M:$M)</f>
        <v>0</v>
      </c>
      <c r="AG5" s="7">
        <f>SUMIF(FLOAT!$D:$D,$B$4:$B$7,FLOAT!$N:$N)</f>
        <v>0</v>
      </c>
      <c r="AH5" s="7">
        <f>SUMIF(FLOAT!$D:$D,$B$4:$B$7,FLOAT!$O:$O)</f>
        <v>0</v>
      </c>
      <c r="AI5" s="7">
        <f>SUMIF(FLOAT!$D:$D,$B$4:$B$7,FLOAT!$P:$P)</f>
        <v>0</v>
      </c>
      <c r="AJ5" s="7">
        <f>SUM(Z5:AE5)+SUM(AG5:AI5)</f>
        <v>0</v>
      </c>
    </row>
    <row r="6" spans="1:36" s="5" customFormat="1" ht="19.5" customHeight="1" x14ac:dyDescent="0.25">
      <c r="A6" s="176"/>
      <c r="B6" s="3" t="s">
        <v>86</v>
      </c>
      <c r="C6" s="81" t="s">
        <v>28</v>
      </c>
      <c r="D6" s="7">
        <v>0</v>
      </c>
      <c r="E6" s="174"/>
      <c r="F6" s="174"/>
      <c r="G6" s="174"/>
      <c r="H6" s="174"/>
      <c r="I6" s="174"/>
      <c r="J6" s="173"/>
      <c r="K6" s="7">
        <f>SUMIF('3 D P'!$E:$E,'Fresh VIN PPC'!$B:$B,'3 D P'!$J:$J)</f>
        <v>0</v>
      </c>
      <c r="L6" s="7">
        <f>SUMIF('3 D P'!$E:$E,'Fresh VIN PPC'!$B:$B,'3 D P'!$K:$K)</f>
        <v>0</v>
      </c>
      <c r="M6" s="7">
        <f>SUMIF('3 D P'!$E:$E,'Fresh VIN PPC'!$B:$B,'3 D P'!$L:$L)</f>
        <v>0</v>
      </c>
      <c r="N6" s="7">
        <f>IFERROR(VLOOKUP(A6,'Daywise Dispatch'!$A:$B,2,FALSE),0)</f>
        <v>0</v>
      </c>
      <c r="O6" s="7">
        <f>SUMIF('Consumption MTD'!$B:$B,$B$4:$B$7,'Consumption MTD'!$C:$C)</f>
        <v>0</v>
      </c>
      <c r="P6" s="7">
        <f>SUMIF('BIW Lifting A Shift'!$B:$B,$B$4:$B$7,'BIW Lifting A Shift'!$C:$C)</f>
        <v>0</v>
      </c>
      <c r="Q6" s="7">
        <f>SUMIF('BIW Lifting B Shift'!$B:$B,$B$4:$B$7,'BIW Lifting B Shift'!$C:$C)</f>
        <v>0</v>
      </c>
      <c r="R6" s="171"/>
      <c r="S6" s="171"/>
      <c r="T6" s="171"/>
      <c r="U6" s="47">
        <f>SUMIF(FLOAT!$D:$D,$B$4:$B$7,FLOAT!$F:$F)</f>
        <v>0</v>
      </c>
      <c r="V6" s="174"/>
      <c r="W6" s="7"/>
      <c r="X6" s="7"/>
      <c r="Y6" s="7">
        <f>SUMIF(FLOAT!$D:$D,$B$4:$B$7,FLOAT!$F:$F)</f>
        <v>0</v>
      </c>
      <c r="Z6" s="7">
        <f>SUMIF(FLOAT!$D:$D,$B$4:$B$7,FLOAT!$G:$G)</f>
        <v>0</v>
      </c>
      <c r="AA6" s="7">
        <f>SUMIF(FLOAT!$D:$D,$B$4:$B$7,FLOAT!$H:$H)</f>
        <v>0</v>
      </c>
      <c r="AB6" s="7">
        <f>SUMIF(FLOAT!$D:$D,$B$4:$B$7,FLOAT!$I:$I)</f>
        <v>0</v>
      </c>
      <c r="AC6" s="7">
        <f>SUMIF(FLOAT!$D:$D,$B$4:$B$7,FLOAT!$J:$J)</f>
        <v>0</v>
      </c>
      <c r="AD6" s="7">
        <f>SUMIF(FLOAT!$D:$D,$B$4:$B$7,FLOAT!$K:$K)</f>
        <v>0</v>
      </c>
      <c r="AE6" s="7">
        <f>SUMIF(FLOAT!$D:$D,$B$4:$B$7,FLOAT!$L:$L)</f>
        <v>0</v>
      </c>
      <c r="AF6" s="7">
        <f>SUMIF(FLOAT!$D:$D,$B$4:$B$7,FLOAT!$M:$M)</f>
        <v>0</v>
      </c>
      <c r="AG6" s="7">
        <f>SUMIF(FLOAT!$D:$D,$B$4:$B$7,FLOAT!$N:$N)</f>
        <v>0</v>
      </c>
      <c r="AH6" s="7">
        <f>SUMIF(FLOAT!$D:$D,$B$4:$B$7,FLOAT!$O:$O)</f>
        <v>0</v>
      </c>
      <c r="AI6" s="7">
        <f>SUMIF(FLOAT!$D:$D,$B$4:$B$7,FLOAT!$P:$P)</f>
        <v>0</v>
      </c>
      <c r="AJ6" s="7">
        <f>SUM(Z6:AE6)+SUM(AG6:AI6)</f>
        <v>0</v>
      </c>
    </row>
    <row r="7" spans="1:36" ht="18.75" x14ac:dyDescent="0.25">
      <c r="A7" s="176"/>
      <c r="B7" s="58" t="s">
        <v>140</v>
      </c>
      <c r="C7" s="59" t="s">
        <v>239</v>
      </c>
      <c r="D7" s="7">
        <v>75</v>
      </c>
      <c r="E7" s="174"/>
      <c r="F7" s="174"/>
      <c r="G7" s="174"/>
      <c r="H7" s="174"/>
      <c r="I7" s="174"/>
      <c r="J7" s="173"/>
      <c r="K7" s="7">
        <f>SUMIF('3 D P'!$E:$E,'Fresh VIN PPC'!$B:$B,'3 D P'!$J:$J)</f>
        <v>0</v>
      </c>
      <c r="L7" s="7">
        <f>SUMIF('3 D P'!$E:$E,'Fresh VIN PPC'!$B:$B,'3 D P'!$K:$K)</f>
        <v>0</v>
      </c>
      <c r="M7" s="7">
        <f>SUMIF('3 D P'!$E:$E,'Fresh VIN PPC'!$B:$B,'3 D P'!$L:$L)</f>
        <v>0</v>
      </c>
      <c r="N7" s="7">
        <f>IFERROR(VLOOKUP(A7,'Daywise Dispatch'!$A:$B,2,FALSE),0)</f>
        <v>0</v>
      </c>
      <c r="O7" s="7">
        <f>SUMIF('Consumption MTD'!$B:$B,$B$4:$B$7,'Consumption MTD'!$C:$C)</f>
        <v>0</v>
      </c>
      <c r="P7" s="7">
        <f>SUMIF('BIW Lifting A Shift'!$B:$B,$B$4:$B$7,'BIW Lifting A Shift'!$C:$C)</f>
        <v>0</v>
      </c>
      <c r="Q7" s="7">
        <f>SUMIF('BIW Lifting B Shift'!$B:$B,$B$4:$B$7,'BIW Lifting B Shift'!$C:$C)</f>
        <v>0</v>
      </c>
      <c r="R7" s="171"/>
      <c r="S7" s="171"/>
      <c r="T7" s="171"/>
      <c r="U7" s="47">
        <f>SUMIF(FLOAT!$D:$D,$B$4:$B$7,FLOAT!$F:$F)</f>
        <v>0</v>
      </c>
      <c r="V7" s="174"/>
      <c r="W7" s="7"/>
      <c r="X7" s="7"/>
      <c r="Y7" s="7">
        <f>SUMIF(FLOAT!$D:$D,$B$4:$B$7,FLOAT!$F:$F)</f>
        <v>0</v>
      </c>
      <c r="Z7" s="7">
        <f>SUMIF(FLOAT!$D:$D,$B$4:$B$7,FLOAT!$G:$G)</f>
        <v>0</v>
      </c>
      <c r="AA7" s="7">
        <f>SUMIF(FLOAT!$D:$D,$B$4:$B$7,FLOAT!$H:$H)</f>
        <v>0</v>
      </c>
      <c r="AB7" s="7">
        <f>SUMIF(FLOAT!$D:$D,$B$4:$B$7,FLOAT!$I:$I)</f>
        <v>0</v>
      </c>
      <c r="AC7" s="7">
        <f>SUMIF(FLOAT!$D:$D,$B$4:$B$7,FLOAT!$J:$J)</f>
        <v>0</v>
      </c>
      <c r="AD7" s="7">
        <f>SUMIF(FLOAT!$D:$D,$B$4:$B$7,FLOAT!$K:$K)</f>
        <v>0</v>
      </c>
      <c r="AE7" s="7">
        <f>SUMIF(FLOAT!$D:$D,$B$4:$B$7,FLOAT!$L:$L)</f>
        <v>0</v>
      </c>
      <c r="AF7" s="7">
        <f>SUMIF(FLOAT!$D:$D,$B$4:$B$7,FLOAT!$M:$M)</f>
        <v>0</v>
      </c>
      <c r="AG7" s="7">
        <f>SUMIF(FLOAT!$D:$D,$B$4:$B$7,FLOAT!$N:$N)</f>
        <v>0</v>
      </c>
      <c r="AH7" s="7">
        <f>SUMIF(FLOAT!$D:$D,$B$4:$B$7,FLOAT!$O:$O)</f>
        <v>0</v>
      </c>
      <c r="AI7" s="7">
        <f>SUMIF(FLOAT!$D:$D,$B$4:$B$7,FLOAT!$P:$P)</f>
        <v>0</v>
      </c>
      <c r="AJ7" s="7">
        <f>SUM(Z7:AE7)+SUM(AG7:AI7)</f>
        <v>0</v>
      </c>
    </row>
    <row r="8" spans="1:36" x14ac:dyDescent="0.25">
      <c r="D8" s="61">
        <f>SUM(D4:D7)</f>
        <v>75</v>
      </c>
      <c r="E8" s="61">
        <f>SUM(E4:E7)</f>
        <v>75</v>
      </c>
      <c r="F8" s="61">
        <v>786</v>
      </c>
      <c r="G8" s="61">
        <f t="shared" ref="G8:Q8" si="0">SUM(G4:G7)</f>
        <v>0</v>
      </c>
      <c r="H8" s="61">
        <f t="shared" si="0"/>
        <v>0</v>
      </c>
      <c r="I8" s="61">
        <f t="shared" si="0"/>
        <v>75</v>
      </c>
      <c r="J8" s="61">
        <f t="shared" si="0"/>
        <v>8</v>
      </c>
      <c r="K8" s="61">
        <f t="shared" si="0"/>
        <v>0</v>
      </c>
      <c r="L8" s="61">
        <f t="shared" si="0"/>
        <v>0</v>
      </c>
      <c r="M8" s="61">
        <f t="shared" si="0"/>
        <v>0</v>
      </c>
      <c r="N8" s="61">
        <f t="shared" si="0"/>
        <v>0</v>
      </c>
      <c r="O8" s="61">
        <f t="shared" si="0"/>
        <v>0</v>
      </c>
      <c r="P8" s="61">
        <f t="shared" si="0"/>
        <v>0</v>
      </c>
      <c r="Q8" s="61">
        <f t="shared" si="0"/>
        <v>0</v>
      </c>
      <c r="R8" s="61"/>
      <c r="S8" s="61"/>
      <c r="T8" s="61"/>
      <c r="U8" s="61">
        <f>SUM(U4:U7)</f>
        <v>0</v>
      </c>
      <c r="Y8" s="44">
        <f t="shared" ref="Y8:AJ8" si="1">SUM(Y4:Y7)</f>
        <v>0</v>
      </c>
      <c r="Z8" s="44">
        <f t="shared" si="1"/>
        <v>0</v>
      </c>
      <c r="AA8" s="44">
        <f t="shared" si="1"/>
        <v>0</v>
      </c>
      <c r="AB8" s="44">
        <f t="shared" si="1"/>
        <v>0</v>
      </c>
      <c r="AC8" s="44">
        <f t="shared" si="1"/>
        <v>0</v>
      </c>
      <c r="AD8" s="44">
        <f t="shared" si="1"/>
        <v>0</v>
      </c>
      <c r="AE8" s="44">
        <f t="shared" si="1"/>
        <v>0</v>
      </c>
      <c r="AF8" s="44">
        <f t="shared" si="1"/>
        <v>0</v>
      </c>
      <c r="AG8" s="44">
        <f t="shared" si="1"/>
        <v>0</v>
      </c>
      <c r="AH8" s="44">
        <f t="shared" si="1"/>
        <v>0</v>
      </c>
      <c r="AI8" s="44">
        <f t="shared" si="1"/>
        <v>0</v>
      </c>
      <c r="AJ8" s="46">
        <f t="shared" si="1"/>
        <v>0</v>
      </c>
    </row>
    <row r="9" spans="1:36" ht="15.75" thickBot="1" x14ac:dyDescent="0.3"/>
    <row r="10" spans="1:36" ht="78.75" x14ac:dyDescent="0.2">
      <c r="A10" s="84" t="s">
        <v>114</v>
      </c>
      <c r="B10" s="85" t="s">
        <v>115</v>
      </c>
      <c r="C10" s="85" t="s">
        <v>0</v>
      </c>
      <c r="D10" s="62" t="s">
        <v>1</v>
      </c>
      <c r="E10" s="62" t="s">
        <v>2</v>
      </c>
      <c r="F10" s="62" t="s">
        <v>3</v>
      </c>
      <c r="G10" s="62" t="s">
        <v>4</v>
      </c>
      <c r="H10" s="62" t="s">
        <v>5</v>
      </c>
      <c r="I10" s="62" t="s">
        <v>6</v>
      </c>
      <c r="J10" s="63" t="s">
        <v>7</v>
      </c>
      <c r="K10" s="64">
        <f ca="1">TODAY()</f>
        <v>46221</v>
      </c>
      <c r="L10" s="64">
        <f ca="1">TODAY()+1</f>
        <v>46222</v>
      </c>
      <c r="M10" s="64">
        <f ca="1">TODAY()+2</f>
        <v>46223</v>
      </c>
      <c r="N10" s="62" t="s">
        <v>8</v>
      </c>
      <c r="O10" s="62" t="s">
        <v>5</v>
      </c>
      <c r="P10" s="65" t="s">
        <v>9</v>
      </c>
      <c r="Q10" s="65" t="s">
        <v>10</v>
      </c>
      <c r="R10" s="65" t="s">
        <v>11</v>
      </c>
      <c r="S10" s="65" t="s">
        <v>12</v>
      </c>
      <c r="T10" s="65" t="s">
        <v>13</v>
      </c>
      <c r="U10" s="66" t="s">
        <v>14</v>
      </c>
      <c r="V10" s="2" t="s">
        <v>486</v>
      </c>
      <c r="Y10" s="51" t="s">
        <v>95</v>
      </c>
      <c r="Z10" s="51" t="s">
        <v>96</v>
      </c>
      <c r="AA10" s="51" t="s">
        <v>97</v>
      </c>
      <c r="AB10" s="51" t="s">
        <v>98</v>
      </c>
      <c r="AC10" s="51" t="s">
        <v>99</v>
      </c>
      <c r="AD10" s="51" t="s">
        <v>100</v>
      </c>
      <c r="AE10" s="51" t="s">
        <v>101</v>
      </c>
      <c r="AF10" s="51" t="s">
        <v>102</v>
      </c>
      <c r="AG10" s="51" t="s">
        <v>103</v>
      </c>
      <c r="AH10" s="51" t="s">
        <v>104</v>
      </c>
      <c r="AI10" s="51" t="s">
        <v>105</v>
      </c>
      <c r="AJ10" s="50" t="s">
        <v>93</v>
      </c>
    </row>
    <row r="11" spans="1:36" ht="18.75" x14ac:dyDescent="0.25">
      <c r="A11" s="107">
        <v>546854650101</v>
      </c>
      <c r="B11" s="3" t="s">
        <v>233</v>
      </c>
      <c r="C11" s="43" t="s">
        <v>89</v>
      </c>
      <c r="D11" s="7">
        <v>16</v>
      </c>
      <c r="E11" s="7">
        <v>16</v>
      </c>
      <c r="F11" s="89">
        <v>5</v>
      </c>
      <c r="G11" s="7">
        <f t="shared" ref="G11:G18" si="2">N11</f>
        <v>0</v>
      </c>
      <c r="H11" s="7">
        <f t="shared" ref="H11:H18" si="3">O11</f>
        <v>0</v>
      </c>
      <c r="I11" s="7">
        <f t="shared" ref="I11:I18" si="4">E11-H11</f>
        <v>16</v>
      </c>
      <c r="J11" s="52">
        <f t="shared" ref="J11:J18" si="5">F11+G11-H11</f>
        <v>5</v>
      </c>
      <c r="K11" s="7">
        <f>SUMIF('3 D P'!$E:$E,'Fresh VIN PPC'!$B:$B,'3 D P'!$J:$J)</f>
        <v>0</v>
      </c>
      <c r="L11" s="7">
        <f>SUMIF('3 D P'!$E:$E,'Fresh VIN PPC'!$B:$B,'3 D P'!$K:$K)</f>
        <v>0</v>
      </c>
      <c r="M11" s="7">
        <f>SUMIF('3 D P'!$E:$E,'Fresh VIN PPC'!$B:$B,'3 D P'!$L:$L)</f>
        <v>0</v>
      </c>
      <c r="N11" s="7">
        <f>IFERROR(VLOOKUP(A11,'Daywise Dispatch'!$A:$B,2,FALSE),0)</f>
        <v>0</v>
      </c>
      <c r="O11" s="7">
        <f>SUMIF('Consumption MTD'!$B:$B,$B$4:$B$20,'Consumption MTD'!$C:$C)</f>
        <v>0</v>
      </c>
      <c r="P11" s="7">
        <f>SUMIF('BIW Lifting A Shift'!$B:$B,$B$4:$B$18,'BIW Lifting A Shift'!$C:$C)</f>
        <v>0</v>
      </c>
      <c r="Q11" s="7">
        <f>SUMIF('BIW Lifting B Shift'!$B:$B,$B$4:$B$18,'BIW Lifting B Shift'!$C:$C)</f>
        <v>0</v>
      </c>
      <c r="R11" s="47">
        <f t="shared" ref="R11:R18" si="6">J11-U11</f>
        <v>5</v>
      </c>
      <c r="S11" s="47">
        <f t="shared" ref="S11:S18" si="7">J11-P11-U11</f>
        <v>5</v>
      </c>
      <c r="T11" s="47">
        <f>S11-Q11</f>
        <v>5</v>
      </c>
      <c r="U11" s="47">
        <f>SUMIF(FLOAT!$D:$D,$B$4:$B$18,FLOAT!$F:$F)</f>
        <v>0</v>
      </c>
      <c r="V11" s="2">
        <v>5</v>
      </c>
      <c r="W11" s="2">
        <v>1</v>
      </c>
      <c r="X11" s="2">
        <v>5</v>
      </c>
      <c r="Y11" s="7">
        <f>SUMIF(FLOAT!$D:$D,$B$4:$B$18,FLOAT!$F:$F)</f>
        <v>0</v>
      </c>
      <c r="Z11" s="7">
        <f>SUMIF(FLOAT!$D:$D,$B$4:$B$18,FLOAT!$G:$G)</f>
        <v>0</v>
      </c>
      <c r="AA11" s="7">
        <f>SUMIF(FLOAT!$D:$D,$B$4:$B$18,FLOAT!$H:$H)</f>
        <v>0</v>
      </c>
      <c r="AB11" s="7">
        <f>SUMIF(FLOAT!$D:$D,$B$4:$B$18,FLOAT!$I:$I)</f>
        <v>0</v>
      </c>
      <c r="AC11" s="7">
        <f>SUMIF(FLOAT!$D:$D,$B$4:$B$18,FLOAT!$J:$J)</f>
        <v>0</v>
      </c>
      <c r="AD11" s="7">
        <f>SUMIF(FLOAT!$D:$D,$B$4:$B$19,FLOAT!$K:$K)</f>
        <v>0</v>
      </c>
      <c r="AE11" s="7">
        <f>SUMIF(FLOAT!$D:$D,$B$4:$B$20,FLOAT!$L:$L)</f>
        <v>0</v>
      </c>
      <c r="AF11" s="7">
        <f>SUMIF(FLOAT!$D:$D,$B$4:$B$18,FLOAT!$M:$M)</f>
        <v>0</v>
      </c>
      <c r="AG11" s="7">
        <f>SUMIF(FLOAT!$D:$D,$B$4:$B$19,FLOAT!$N:$N)</f>
        <v>0</v>
      </c>
      <c r="AH11" s="7">
        <f>SUMIF(FLOAT!$D:$D,$B$4:$B$19,FLOAT!$O:$O)</f>
        <v>0</v>
      </c>
      <c r="AI11" s="7">
        <f>SUMIF(FLOAT!$D:$D,$B$4:$B$719,FLOAT!$P:$P)</f>
        <v>0</v>
      </c>
      <c r="AJ11" s="7">
        <f>SUM(Z11:AE11)+SUM(AG11:AI11)</f>
        <v>0</v>
      </c>
    </row>
    <row r="12" spans="1:36" ht="18.75" x14ac:dyDescent="0.25">
      <c r="A12" s="108">
        <v>546854650102</v>
      </c>
      <c r="B12" s="3" t="s">
        <v>228</v>
      </c>
      <c r="C12" s="43" t="s">
        <v>88</v>
      </c>
      <c r="D12" s="7">
        <v>22</v>
      </c>
      <c r="E12" s="7">
        <v>22</v>
      </c>
      <c r="F12" s="7">
        <v>6</v>
      </c>
      <c r="G12" s="7">
        <f t="shared" si="2"/>
        <v>0</v>
      </c>
      <c r="H12" s="7">
        <f t="shared" si="3"/>
        <v>0</v>
      </c>
      <c r="I12" s="7">
        <f t="shared" si="4"/>
        <v>22</v>
      </c>
      <c r="J12" s="52">
        <f t="shared" si="5"/>
        <v>6</v>
      </c>
      <c r="K12" s="7">
        <f>SUMIF('3 D P'!$E:$E,'Fresh VIN PPC'!$B:$B,'3 D P'!$J:$J)</f>
        <v>0</v>
      </c>
      <c r="L12" s="7">
        <f>SUMIF('3 D P'!$E:$E,'Fresh VIN PPC'!$B:$B,'3 D P'!$K:$K)</f>
        <v>0</v>
      </c>
      <c r="M12" s="7">
        <f>SUMIF('3 D P'!$E:$E,'Fresh VIN PPC'!$B:$B,'3 D P'!$L:$L)</f>
        <v>0</v>
      </c>
      <c r="N12" s="7">
        <f>IFERROR(VLOOKUP(A12,'Daywise Dispatch'!$A:$B,2,FALSE),0)</f>
        <v>0</v>
      </c>
      <c r="O12" s="7">
        <f>SUMIF('Consumption MTD'!$B:$B,$B$4:$B$20,'Consumption MTD'!$C:$C)</f>
        <v>0</v>
      </c>
      <c r="P12" s="7">
        <f>SUMIF('BIW Lifting A Shift'!$B:$B,$B$4:$B$18,'BIW Lifting A Shift'!$C:$C)</f>
        <v>0</v>
      </c>
      <c r="Q12" s="7">
        <f>SUMIF('BIW Lifting B Shift'!$B:$B,$B$4:$B$18,'BIW Lifting B Shift'!$C:$C)</f>
        <v>0</v>
      </c>
      <c r="R12" s="47">
        <f t="shared" si="6"/>
        <v>6</v>
      </c>
      <c r="S12" s="47">
        <f t="shared" si="7"/>
        <v>6</v>
      </c>
      <c r="T12" s="47">
        <f t="shared" ref="T12:T18" si="8">S12-Q12</f>
        <v>6</v>
      </c>
      <c r="U12" s="47">
        <f>SUMIF(FLOAT!$D:$D,$B$4:$B$18,FLOAT!$F:$F)</f>
        <v>0</v>
      </c>
      <c r="V12" s="2">
        <v>6</v>
      </c>
      <c r="W12" s="2">
        <v>1</v>
      </c>
      <c r="X12" s="2">
        <v>6</v>
      </c>
      <c r="Y12" s="7">
        <f>SUMIF(FLOAT!$D:$D,$B$4:$B$18,FLOAT!$F:$F)</f>
        <v>0</v>
      </c>
      <c r="Z12" s="7">
        <f>SUMIF(FLOAT!$D:$D,$B$4:$B$18,FLOAT!$G:$G)</f>
        <v>0</v>
      </c>
      <c r="AA12" s="7">
        <f>SUMIF(FLOAT!$D:$D,$B$4:$B$18,FLOAT!$H:$H)</f>
        <v>0</v>
      </c>
      <c r="AB12" s="7">
        <f>SUMIF(FLOAT!$D:$D,$B$4:$B$18,FLOAT!$I:$I)</f>
        <v>0</v>
      </c>
      <c r="AC12" s="7">
        <f>SUMIF(FLOAT!$D:$D,$B$4:$B$18,FLOAT!$J:$J)</f>
        <v>0</v>
      </c>
      <c r="AD12" s="7">
        <f>SUMIF(FLOAT!$D:$D,$B$4:$B$19,FLOAT!$K:$K)</f>
        <v>0</v>
      </c>
      <c r="AE12" s="7">
        <f>SUMIF(FLOAT!$D:$D,$B$4:$B$20,FLOAT!$L:$L)</f>
        <v>0</v>
      </c>
      <c r="AF12" s="7">
        <f>SUMIF(FLOAT!$D:$D,$B$4:$B$18,FLOAT!$M:$M)</f>
        <v>0</v>
      </c>
      <c r="AG12" s="7">
        <f>SUMIF(FLOAT!$D:$D,$B$4:$B$19,FLOAT!$N:$N)</f>
        <v>0</v>
      </c>
      <c r="AH12" s="7">
        <f>SUMIF(FLOAT!$D:$D,$B$4:$B$19,FLOAT!$O:$O)</f>
        <v>0</v>
      </c>
      <c r="AI12" s="7">
        <f>SUMIF(FLOAT!$D:$D,$B$4:$B$719,FLOAT!$P:$P)</f>
        <v>0</v>
      </c>
      <c r="AJ12" s="7">
        <f t="shared" ref="AJ12:AJ18" si="9">SUM(Z12:AE12)+SUM(AG12:AI12)</f>
        <v>0</v>
      </c>
    </row>
    <row r="13" spans="1:36" ht="18.75" x14ac:dyDescent="0.25">
      <c r="A13" s="108">
        <v>546854650110</v>
      </c>
      <c r="B13" s="3" t="s">
        <v>234</v>
      </c>
      <c r="C13" s="43" t="s">
        <v>236</v>
      </c>
      <c r="D13" s="7">
        <v>412</v>
      </c>
      <c r="E13" s="7">
        <v>412</v>
      </c>
      <c r="F13" s="5">
        <f>19-5</f>
        <v>14</v>
      </c>
      <c r="G13" s="7">
        <f t="shared" si="2"/>
        <v>385</v>
      </c>
      <c r="H13" s="7">
        <f t="shared" si="3"/>
        <v>300</v>
      </c>
      <c r="I13" s="7">
        <f t="shared" si="4"/>
        <v>112</v>
      </c>
      <c r="J13" s="52">
        <f t="shared" si="5"/>
        <v>99</v>
      </c>
      <c r="K13" s="7">
        <f>SUMIF('3 D P'!$E:$E,'Fresh VIN PPC'!$B:$B,'3 D P'!$J:$J)</f>
        <v>3</v>
      </c>
      <c r="L13" s="7">
        <f>SUMIF('3 D P'!$E:$E,'Fresh VIN PPC'!$B:$B,'3 D P'!$K:$K)</f>
        <v>51</v>
      </c>
      <c r="M13" s="7">
        <f>SUMIF('3 D P'!$E:$E,'Fresh VIN PPC'!$B:$B,'3 D P'!$L:$L)</f>
        <v>49</v>
      </c>
      <c r="N13" s="7">
        <f>IFERROR(VLOOKUP(A13,'Daywise Dispatch'!$A:$B,2,FALSE),0)</f>
        <v>385</v>
      </c>
      <c r="O13" s="7">
        <f>SUMIF('Consumption MTD'!$B:$B,$B$4:$B$20,'Consumption MTD'!$C:$C)</f>
        <v>300</v>
      </c>
      <c r="P13" s="7">
        <f>SUMIF('BIW Lifting A Shift'!$B:$B,$B$4:$B$18,'BIW Lifting A Shift'!$C:$C)</f>
        <v>0</v>
      </c>
      <c r="Q13" s="7">
        <f>SUMIF('BIW Lifting B Shift'!$B:$B,$B$4:$B$18,'BIW Lifting B Shift'!$C:$C)</f>
        <v>0</v>
      </c>
      <c r="R13" s="47">
        <f t="shared" si="6"/>
        <v>89</v>
      </c>
      <c r="S13" s="47">
        <f t="shared" si="7"/>
        <v>89</v>
      </c>
      <c r="T13" s="47">
        <f t="shared" si="8"/>
        <v>89</v>
      </c>
      <c r="U13" s="47">
        <f>SUMIF(FLOAT!$D:$D,$B$4:$B$18,FLOAT!$F:$F)</f>
        <v>10</v>
      </c>
      <c r="V13" s="2">
        <v>15</v>
      </c>
      <c r="X13" s="2">
        <v>17</v>
      </c>
      <c r="Y13" s="7">
        <f>SUMIF(FLOAT!$D:$D,$B$4:$B$18,FLOAT!$F:$F)</f>
        <v>10</v>
      </c>
      <c r="Z13" s="7">
        <f>SUMIF(FLOAT!$D:$D,$B$4:$B$18,FLOAT!$G:$G)</f>
        <v>3</v>
      </c>
      <c r="AA13" s="7">
        <f>SUMIF(FLOAT!$D:$D,$B$4:$B$18,FLOAT!$H:$H)</f>
        <v>1</v>
      </c>
      <c r="AB13" s="7">
        <f>SUMIF(FLOAT!$D:$D,$B$4:$B$18,FLOAT!$I:$I)</f>
        <v>0</v>
      </c>
      <c r="AC13" s="7">
        <f>SUMIF(FLOAT!$D:$D,$B$4:$B$18,FLOAT!$J:$J)</f>
        <v>0</v>
      </c>
      <c r="AD13" s="7">
        <f>SUMIF(FLOAT!$D:$D,$B$4:$B$19,FLOAT!$K:$K)</f>
        <v>1</v>
      </c>
      <c r="AE13" s="7">
        <f>SUMIF(FLOAT!$D:$D,$B$4:$B$20,FLOAT!$L:$L)</f>
        <v>1</v>
      </c>
      <c r="AF13" s="7">
        <f>SUMIF(FLOAT!$D:$D,$B$4:$B$18,FLOAT!$M:$M)</f>
        <v>6</v>
      </c>
      <c r="AG13" s="7">
        <f>SUMIF(FLOAT!$D:$D,$B$4:$B$19,FLOAT!$N:$N)</f>
        <v>0</v>
      </c>
      <c r="AH13" s="7">
        <f>SUMIF(FLOAT!$D:$D,$B$4:$B$19,FLOAT!$O:$O)</f>
        <v>4</v>
      </c>
      <c r="AI13" s="7">
        <f>SUMIF(FLOAT!$D:$D,$B$4:$B$719,FLOAT!$P:$P)</f>
        <v>0</v>
      </c>
      <c r="AJ13" s="7">
        <f t="shared" si="9"/>
        <v>10</v>
      </c>
    </row>
    <row r="14" spans="1:36" ht="18.75" x14ac:dyDescent="0.25">
      <c r="A14" s="108">
        <v>546854650111</v>
      </c>
      <c r="B14" s="3" t="s">
        <v>212</v>
      </c>
      <c r="C14" s="43" t="s">
        <v>106</v>
      </c>
      <c r="D14" s="7">
        <v>376</v>
      </c>
      <c r="E14" s="7">
        <v>376</v>
      </c>
      <c r="F14" s="5">
        <f>122-1</f>
        <v>121</v>
      </c>
      <c r="G14" s="7">
        <f t="shared" si="2"/>
        <v>369</v>
      </c>
      <c r="H14" s="7">
        <f t="shared" si="3"/>
        <v>290</v>
      </c>
      <c r="I14" s="7">
        <f t="shared" si="4"/>
        <v>86</v>
      </c>
      <c r="J14" s="52">
        <f t="shared" si="5"/>
        <v>200</v>
      </c>
      <c r="K14" s="7">
        <f>SUMIF('3 D P'!$E:$E,'Fresh VIN PPC'!$B:$B,'3 D P'!$J:$J)</f>
        <v>174</v>
      </c>
      <c r="L14" s="7">
        <f>SUMIF('3 D P'!$E:$E,'Fresh VIN PPC'!$B:$B,'3 D P'!$K:$K)</f>
        <v>158</v>
      </c>
      <c r="M14" s="7">
        <f>SUMIF('3 D P'!$E:$E,'Fresh VIN PPC'!$B:$B,'3 D P'!$L:$L)</f>
        <v>98</v>
      </c>
      <c r="N14" s="7">
        <f>IFERROR(VLOOKUP(A14,'Daywise Dispatch'!$A:$B,2,FALSE),0)</f>
        <v>369</v>
      </c>
      <c r="O14" s="7">
        <f>SUMIF('Consumption MTD'!$B:$B,$B$4:$B$20,'Consumption MTD'!$C:$C)</f>
        <v>290</v>
      </c>
      <c r="P14" s="7">
        <f>SUMIF('BIW Lifting A Shift'!$B:$B,$B$4:$B$18,'BIW Lifting A Shift'!$C:$C)</f>
        <v>0</v>
      </c>
      <c r="Q14" s="7">
        <f>SUMIF('BIW Lifting B Shift'!$B:$B,$B$4:$B$18,'BIW Lifting B Shift'!$C:$C)</f>
        <v>0</v>
      </c>
      <c r="R14" s="47">
        <f t="shared" si="6"/>
        <v>148</v>
      </c>
      <c r="S14" s="47">
        <f t="shared" si="7"/>
        <v>148</v>
      </c>
      <c r="T14" s="47">
        <f t="shared" si="8"/>
        <v>148</v>
      </c>
      <c r="U14" s="47">
        <f>SUMIF(FLOAT!$D:$D,$B$4:$B$18,FLOAT!$F:$F)</f>
        <v>52</v>
      </c>
      <c r="V14" s="2">
        <v>9</v>
      </c>
      <c r="X14" s="2">
        <v>34</v>
      </c>
      <c r="Y14" s="7">
        <f>SUMIF(FLOAT!$D:$D,$B$4:$B$18,FLOAT!$F:$F)</f>
        <v>52</v>
      </c>
      <c r="Z14" s="7">
        <f>SUMIF(FLOAT!$D:$D,$B$4:$B$18,FLOAT!$G:$G)</f>
        <v>2</v>
      </c>
      <c r="AA14" s="7">
        <f>SUMIF(FLOAT!$D:$D,$B$4:$B$18,FLOAT!$H:$H)</f>
        <v>2</v>
      </c>
      <c r="AB14" s="7">
        <f>SUMIF(FLOAT!$D:$D,$B$4:$B$18,FLOAT!$I:$I)</f>
        <v>8</v>
      </c>
      <c r="AC14" s="7">
        <f>SUMIF(FLOAT!$D:$D,$B$4:$B$18,FLOAT!$J:$J)</f>
        <v>0</v>
      </c>
      <c r="AD14" s="7">
        <f>SUMIF(FLOAT!$D:$D,$B$4:$B$19,FLOAT!$K:$K)</f>
        <v>5</v>
      </c>
      <c r="AE14" s="7">
        <f>SUMIF(FLOAT!$D:$D,$B$4:$B$20,FLOAT!$L:$L)</f>
        <v>11</v>
      </c>
      <c r="AF14" s="7">
        <f>SUMIF(FLOAT!$D:$D,$B$4:$B$18,FLOAT!$M:$M)</f>
        <v>28</v>
      </c>
      <c r="AG14" s="7">
        <f>SUMIF(FLOAT!$D:$D,$B$4:$B$19,FLOAT!$N:$N)</f>
        <v>13</v>
      </c>
      <c r="AH14" s="7">
        <f>SUMIF(FLOAT!$D:$D,$B$4:$B$19,FLOAT!$O:$O)</f>
        <v>11</v>
      </c>
      <c r="AI14" s="7">
        <f>SUMIF(FLOAT!$D:$D,$B$4:$B$719,FLOAT!$P:$P)</f>
        <v>0</v>
      </c>
      <c r="AJ14" s="7">
        <f t="shared" si="9"/>
        <v>52</v>
      </c>
    </row>
    <row r="15" spans="1:36" ht="18.75" x14ac:dyDescent="0.25">
      <c r="A15" s="108">
        <v>546854650115</v>
      </c>
      <c r="B15" s="3" t="s">
        <v>235</v>
      </c>
      <c r="C15" s="43" t="s">
        <v>91</v>
      </c>
      <c r="D15" s="7">
        <v>309</v>
      </c>
      <c r="E15" s="7">
        <v>309</v>
      </c>
      <c r="F15" s="5">
        <v>38</v>
      </c>
      <c r="G15" s="7">
        <f t="shared" si="2"/>
        <v>99</v>
      </c>
      <c r="H15" s="7">
        <f t="shared" si="3"/>
        <v>132</v>
      </c>
      <c r="I15" s="7">
        <f t="shared" si="4"/>
        <v>177</v>
      </c>
      <c r="J15" s="52">
        <f t="shared" si="5"/>
        <v>5</v>
      </c>
      <c r="K15" s="7">
        <f>SUMIF('3 D P'!$E:$E,'Fresh VIN PPC'!$B:$B,'3 D P'!$J:$J)</f>
        <v>7</v>
      </c>
      <c r="L15" s="7">
        <f>SUMIF('3 D P'!$E:$E,'Fresh VIN PPC'!$B:$B,'3 D P'!$K:$K)</f>
        <v>19</v>
      </c>
      <c r="M15" s="7">
        <f>SUMIF('3 D P'!$E:$E,'Fresh VIN PPC'!$B:$B,'3 D P'!$L:$L)</f>
        <v>3</v>
      </c>
      <c r="N15" s="7">
        <f>IFERROR(VLOOKUP(A15,'Daywise Dispatch'!$A:$B,2,FALSE),0)</f>
        <v>99</v>
      </c>
      <c r="O15" s="7">
        <f>SUMIF('Consumption MTD'!$B:$B,$B$4:$B$20,'Consumption MTD'!$C:$C)</f>
        <v>132</v>
      </c>
      <c r="P15" s="7">
        <f>SUMIF('BIW Lifting A Shift'!$B:$B,$B$4:$B$18,'BIW Lifting A Shift'!$C:$C)</f>
        <v>0</v>
      </c>
      <c r="Q15" s="7">
        <f>SUMIF('BIW Lifting B Shift'!$B:$B,$B$4:$B$18,'BIW Lifting B Shift'!$C:$C)</f>
        <v>0</v>
      </c>
      <c r="R15" s="47">
        <f t="shared" si="6"/>
        <v>1</v>
      </c>
      <c r="S15" s="47">
        <f t="shared" si="7"/>
        <v>1</v>
      </c>
      <c r="T15" s="47">
        <f t="shared" si="8"/>
        <v>1</v>
      </c>
      <c r="U15" s="47">
        <f>SUMIF(FLOAT!$D:$D,$B$4:$B$18,FLOAT!$F:$F)</f>
        <v>4</v>
      </c>
      <c r="V15" s="2">
        <v>6</v>
      </c>
      <c r="W15" s="2">
        <v>1</v>
      </c>
      <c r="X15" s="2">
        <v>53</v>
      </c>
      <c r="Y15" s="7">
        <f>SUMIF(FLOAT!$D:$D,$B$4:$B$18,FLOAT!$F:$F)</f>
        <v>4</v>
      </c>
      <c r="Z15" s="7">
        <f>SUMIF(FLOAT!$D:$D,$B$4:$B$18,FLOAT!$G:$G)</f>
        <v>1</v>
      </c>
      <c r="AA15" s="7">
        <f>SUMIF(FLOAT!$D:$D,$B$4:$B$18,FLOAT!$H:$H)</f>
        <v>1</v>
      </c>
      <c r="AB15" s="7">
        <f>SUMIF(FLOAT!$D:$D,$B$4:$B$18,FLOAT!$I:$I)</f>
        <v>0</v>
      </c>
      <c r="AC15" s="7">
        <f>SUMIF(FLOAT!$D:$D,$B$4:$B$18,FLOAT!$J:$J)</f>
        <v>0</v>
      </c>
      <c r="AD15" s="7">
        <f>SUMIF(FLOAT!$D:$D,$B$4:$B$19,FLOAT!$K:$K)</f>
        <v>0</v>
      </c>
      <c r="AE15" s="7">
        <f>SUMIF(FLOAT!$D:$D,$B$4:$B$20,FLOAT!$L:$L)</f>
        <v>0</v>
      </c>
      <c r="AF15" s="7">
        <f>SUMIF(FLOAT!$D:$D,$B$4:$B$18,FLOAT!$M:$M)</f>
        <v>2</v>
      </c>
      <c r="AG15" s="7">
        <f>SUMIF(FLOAT!$D:$D,$B$4:$B$19,FLOAT!$N:$N)</f>
        <v>1</v>
      </c>
      <c r="AH15" s="7">
        <f>SUMIF(FLOAT!$D:$D,$B$4:$B$19,FLOAT!$O:$O)</f>
        <v>1</v>
      </c>
      <c r="AI15" s="7">
        <f>SUMIF(FLOAT!$D:$D,$B$4:$B$719,FLOAT!$P:$P)</f>
        <v>0</v>
      </c>
      <c r="AJ15" s="7">
        <f t="shared" si="9"/>
        <v>4</v>
      </c>
    </row>
    <row r="16" spans="1:36" ht="18.75" x14ac:dyDescent="0.25">
      <c r="A16" s="108">
        <v>546854650116</v>
      </c>
      <c r="B16" s="3" t="s">
        <v>229</v>
      </c>
      <c r="C16" s="43" t="s">
        <v>137</v>
      </c>
      <c r="D16" s="7">
        <v>2976</v>
      </c>
      <c r="E16" s="7">
        <v>2976</v>
      </c>
      <c r="F16" s="5">
        <f>167</f>
        <v>167</v>
      </c>
      <c r="G16" s="7">
        <f t="shared" si="2"/>
        <v>1282</v>
      </c>
      <c r="H16" s="7">
        <f t="shared" si="3"/>
        <v>1326</v>
      </c>
      <c r="I16" s="7">
        <f t="shared" si="4"/>
        <v>1650</v>
      </c>
      <c r="J16" s="52">
        <f t="shared" si="5"/>
        <v>123</v>
      </c>
      <c r="K16" s="7">
        <f>SUMIF('3 D P'!$E:$E,'Fresh VIN PPC'!$B:$B,'3 D P'!$J:$J)</f>
        <v>78</v>
      </c>
      <c r="L16" s="7">
        <f>SUMIF('3 D P'!$E:$E,'Fresh VIN PPC'!$B:$B,'3 D P'!$K:$K)</f>
        <v>37</v>
      </c>
      <c r="M16" s="7">
        <f>SUMIF('3 D P'!$E:$E,'Fresh VIN PPC'!$B:$B,'3 D P'!$L:$L)</f>
        <v>115</v>
      </c>
      <c r="N16" s="7">
        <f>IFERROR(VLOOKUP(A16,'Daywise Dispatch'!$A:$B,2,FALSE),0)</f>
        <v>1282</v>
      </c>
      <c r="O16" s="7">
        <f>SUMIF('Consumption MTD'!$B:$B,$B$4:$B$20,'Consumption MTD'!$C:$C)</f>
        <v>1326</v>
      </c>
      <c r="P16" s="7">
        <f>SUMIF('BIW Lifting A Shift'!$B:$B,$B$4:$B$18,'BIW Lifting A Shift'!$C:$C)</f>
        <v>0</v>
      </c>
      <c r="Q16" s="7">
        <f>SUMIF('BIW Lifting B Shift'!$B:$B,$B$4:$B$18,'BIW Lifting B Shift'!$C:$C)</f>
        <v>0</v>
      </c>
      <c r="R16" s="47">
        <f t="shared" si="6"/>
        <v>8</v>
      </c>
      <c r="S16" s="47">
        <f t="shared" si="7"/>
        <v>8</v>
      </c>
      <c r="T16" s="47">
        <f t="shared" si="8"/>
        <v>8</v>
      </c>
      <c r="U16" s="47">
        <f>SUMIF(FLOAT!$D:$D,$B$4:$B$18,FLOAT!$F:$F)</f>
        <v>115</v>
      </c>
      <c r="V16" s="2">
        <v>194</v>
      </c>
      <c r="W16" s="2">
        <v>1</v>
      </c>
      <c r="X16" s="2">
        <v>68</v>
      </c>
      <c r="Y16" s="7">
        <f>SUMIF(FLOAT!$D:$D,$B$4:$B$18,FLOAT!$F:$F)</f>
        <v>115</v>
      </c>
      <c r="Z16" s="7">
        <f>SUMIF(FLOAT!$D:$D,$B$4:$B$18,FLOAT!$G:$G)</f>
        <v>24</v>
      </c>
      <c r="AA16" s="7">
        <f>SUMIF(FLOAT!$D:$D,$B$4:$B$18,FLOAT!$H:$H)</f>
        <v>5</v>
      </c>
      <c r="AB16" s="7">
        <f>SUMIF(FLOAT!$D:$D,$B$4:$B$18,FLOAT!$I:$I)</f>
        <v>14</v>
      </c>
      <c r="AC16" s="7">
        <f>SUMIF(FLOAT!$D:$D,$B$4:$B$18,FLOAT!$J:$J)</f>
        <v>1</v>
      </c>
      <c r="AD16" s="7">
        <f>SUMIF(FLOAT!$D:$D,$B$4:$B$19,FLOAT!$K:$K)</f>
        <v>5</v>
      </c>
      <c r="AE16" s="7">
        <f>SUMIF(FLOAT!$D:$D,$B$4:$B$20,FLOAT!$L:$L)</f>
        <v>24</v>
      </c>
      <c r="AF16" s="7">
        <f>SUMIF(FLOAT!$D:$D,$B$4:$B$18,FLOAT!$M:$M)</f>
        <v>73</v>
      </c>
      <c r="AG16" s="7">
        <f>SUMIF(FLOAT!$D:$D,$B$4:$B$19,FLOAT!$N:$N)</f>
        <v>16</v>
      </c>
      <c r="AH16" s="7">
        <f>SUMIF(FLOAT!$D:$D,$B$4:$B$19,FLOAT!$O:$O)</f>
        <v>26</v>
      </c>
      <c r="AI16" s="7">
        <f>SUMIF(FLOAT!$D:$D,$B$4:$B$719,FLOAT!$P:$P)</f>
        <v>0</v>
      </c>
      <c r="AJ16" s="7">
        <f t="shared" si="9"/>
        <v>115</v>
      </c>
    </row>
    <row r="17" spans="1:36" ht="18.75" x14ac:dyDescent="0.25">
      <c r="A17" s="3"/>
      <c r="B17" s="3"/>
      <c r="C17" s="43"/>
      <c r="D17" s="7">
        <v>0</v>
      </c>
      <c r="E17" s="7">
        <v>0</v>
      </c>
      <c r="F17" s="7">
        <v>0</v>
      </c>
      <c r="G17" s="7">
        <f t="shared" si="2"/>
        <v>0</v>
      </c>
      <c r="H17" s="7">
        <f t="shared" si="3"/>
        <v>0</v>
      </c>
      <c r="I17" s="7">
        <f t="shared" si="4"/>
        <v>0</v>
      </c>
      <c r="J17" s="52">
        <f t="shared" si="5"/>
        <v>0</v>
      </c>
      <c r="K17" s="7">
        <f>SUMIF('3 D P'!$E:$E,'Fresh VIN PPC'!$B:$B,'3 D P'!$J:$J)</f>
        <v>0</v>
      </c>
      <c r="L17" s="7">
        <f>SUMIF('3 D P'!$E:$E,'Fresh VIN PPC'!$B:$B,'3 D P'!$K:$K)</f>
        <v>0</v>
      </c>
      <c r="M17" s="7">
        <f>SUMIF('3 D P'!$E:$E,'Fresh VIN PPC'!$B:$B,'3 D P'!$L:$L)</f>
        <v>0</v>
      </c>
      <c r="N17" s="7">
        <f>IFERROR(VLOOKUP(A17,'Daywise Dispatch'!$A:$B,2,FALSE),0)</f>
        <v>0</v>
      </c>
      <c r="O17" s="7">
        <f>SUMIF('Consumption MTD'!$B:$B,$B$4:$B$20,'Consumption MTD'!$C:$C)</f>
        <v>0</v>
      </c>
      <c r="P17" s="7">
        <f>SUMIF('BIW Lifting A Shift'!$B:$B,$B$4:$B$18,'BIW Lifting A Shift'!$C:$C)</f>
        <v>0</v>
      </c>
      <c r="Q17" s="7">
        <f>SUMIF('BIW Lifting B Shift'!$B:$B,$B$4:$B$18,'BIW Lifting B Shift'!$C:$C)</f>
        <v>0</v>
      </c>
      <c r="R17" s="47">
        <f t="shared" si="6"/>
        <v>0</v>
      </c>
      <c r="S17" s="47">
        <f t="shared" si="7"/>
        <v>0</v>
      </c>
      <c r="T17" s="47">
        <f t="shared" si="8"/>
        <v>0</v>
      </c>
      <c r="U17" s="47">
        <f>SUMIF(FLOAT!$D:$D,$B$4:$B$18,FLOAT!$F:$F)</f>
        <v>0</v>
      </c>
      <c r="Y17" s="7">
        <f>SUMIF(FLOAT!$D:$D,$B$4:$B$18,FLOAT!$F:$F)</f>
        <v>0</v>
      </c>
      <c r="Z17" s="7">
        <f>SUMIF(FLOAT!$D:$D,$B$4:$B$18,FLOAT!$G:$G)</f>
        <v>0</v>
      </c>
      <c r="AA17" s="7">
        <f>SUMIF(FLOAT!$D:$D,$B$4:$B$18,FLOAT!$H:$H)</f>
        <v>0</v>
      </c>
      <c r="AB17" s="7">
        <f>SUMIF(FLOAT!$D:$D,$B$4:$B$18,FLOAT!$I:$I)</f>
        <v>0</v>
      </c>
      <c r="AC17" s="7">
        <f>SUMIF(FLOAT!$D:$D,$B$4:$B$18,FLOAT!$J:$J)</f>
        <v>0</v>
      </c>
      <c r="AD17" s="7">
        <f>SUMIF(FLOAT!$D:$D,$B$4:$B$19,FLOAT!$K:$K)</f>
        <v>0</v>
      </c>
      <c r="AE17" s="7">
        <f>SUMIF(FLOAT!$D:$D,$B$4:$B$20,FLOAT!$L:$L)</f>
        <v>0</v>
      </c>
      <c r="AF17" s="7">
        <f>SUMIF(FLOAT!$D:$D,$B$4:$B$18,FLOAT!$M:$M)</f>
        <v>0</v>
      </c>
      <c r="AG17" s="7">
        <f>SUMIF(FLOAT!$D:$D,$B$4:$B$19,FLOAT!$N:$N)</f>
        <v>0</v>
      </c>
      <c r="AH17" s="7">
        <f>SUMIF(FLOAT!$D:$D,$B$4:$B$19,FLOAT!$O:$O)</f>
        <v>0</v>
      </c>
      <c r="AI17" s="7">
        <f>SUMIF(FLOAT!$D:$D,$B$4:$B$719,FLOAT!$P:$P)</f>
        <v>0</v>
      </c>
      <c r="AJ17" s="7">
        <f t="shared" si="9"/>
        <v>0</v>
      </c>
    </row>
    <row r="18" spans="1:36" ht="18.75" x14ac:dyDescent="0.25">
      <c r="A18" s="3"/>
      <c r="B18" s="3"/>
      <c r="C18" s="43"/>
      <c r="D18" s="7">
        <v>0</v>
      </c>
      <c r="E18" s="7"/>
      <c r="F18" s="7">
        <v>0</v>
      </c>
      <c r="G18" s="7">
        <f t="shared" si="2"/>
        <v>0</v>
      </c>
      <c r="H18" s="7">
        <f t="shared" si="3"/>
        <v>0</v>
      </c>
      <c r="I18" s="7">
        <f t="shared" si="4"/>
        <v>0</v>
      </c>
      <c r="J18" s="52">
        <f t="shared" si="5"/>
        <v>0</v>
      </c>
      <c r="K18" s="7">
        <f>SUMIF('3 D P'!$E:$E,'Fresh VIN PPC'!$B:$B,'3 D P'!$J:$J)</f>
        <v>0</v>
      </c>
      <c r="L18" s="7">
        <f>SUMIF('3 D P'!$E:$E,'Fresh VIN PPC'!$B:$B,'3 D P'!$K:$K)</f>
        <v>0</v>
      </c>
      <c r="M18" s="7">
        <f>SUMIF('3 D P'!$E:$E,'Fresh VIN PPC'!$B:$B,'3 D P'!$L:$L)</f>
        <v>0</v>
      </c>
      <c r="N18" s="7">
        <f>IFERROR(VLOOKUP(A18,'Daywise Dispatch'!$A:$B,2,FALSE),0)</f>
        <v>0</v>
      </c>
      <c r="O18" s="7">
        <f>SUMIF('Consumption MTD'!$B:$B,$B$4:$B$20,'Consumption MTD'!$C:$C)</f>
        <v>0</v>
      </c>
      <c r="P18" s="7">
        <f>SUMIF('BIW Lifting A Shift'!$B:$B,$B$4:$B$18,'BIW Lifting A Shift'!$C:$C)</f>
        <v>0</v>
      </c>
      <c r="Q18" s="7">
        <f>SUMIF('BIW Lifting B Shift'!$B:$B,$B$4:$B$18,'BIW Lifting B Shift'!$C:$C)</f>
        <v>0</v>
      </c>
      <c r="R18" s="47">
        <f t="shared" si="6"/>
        <v>0</v>
      </c>
      <c r="S18" s="47">
        <f t="shared" si="7"/>
        <v>0</v>
      </c>
      <c r="T18" s="47">
        <f t="shared" si="8"/>
        <v>0</v>
      </c>
      <c r="U18" s="47">
        <f>SUMIF(FLOAT!$D:$D,$B$4:$B$18,FLOAT!$F:$F)</f>
        <v>0</v>
      </c>
      <c r="Y18" s="7">
        <f>SUMIF(FLOAT!$D:$D,$B$4:$B$18,FLOAT!$F:$F)</f>
        <v>0</v>
      </c>
      <c r="Z18" s="7">
        <f>SUMIF(FLOAT!$D:$D,$B$4:$B$18,FLOAT!$G:$G)</f>
        <v>0</v>
      </c>
      <c r="AA18" s="7">
        <f>SUMIF(FLOAT!$D:$D,$B$4:$B$18,FLOAT!$H:$H)</f>
        <v>0</v>
      </c>
      <c r="AB18" s="7">
        <f>SUMIF(FLOAT!$D:$D,$B$4:$B$18,FLOAT!$I:$I)</f>
        <v>0</v>
      </c>
      <c r="AC18" s="7">
        <f>SUMIF(FLOAT!$D:$D,$B$4:$B$18,FLOAT!$J:$J)</f>
        <v>0</v>
      </c>
      <c r="AD18" s="7">
        <f>SUMIF(FLOAT!$D:$D,$B$4:$B$19,FLOAT!$K:$K)</f>
        <v>0</v>
      </c>
      <c r="AE18" s="7">
        <f>SUMIF(FLOAT!$D:$D,$B$4:$B$20,FLOAT!$L:$L)</f>
        <v>0</v>
      </c>
      <c r="AF18" s="7">
        <f>SUMIF(FLOAT!$D:$D,$B$4:$B$18,FLOAT!$M:$M)</f>
        <v>0</v>
      </c>
      <c r="AG18" s="7">
        <f>SUMIF(FLOAT!$D:$D,$B$4:$B$19,FLOAT!$N:$N)</f>
        <v>0</v>
      </c>
      <c r="AH18" s="7">
        <f>SUMIF(FLOAT!$D:$D,$B$4:$B$19,FLOAT!$O:$O)</f>
        <v>0</v>
      </c>
      <c r="AI18" s="7">
        <f>SUMIF(FLOAT!$D:$D,$B$4:$B$719,FLOAT!$P:$P)</f>
        <v>0</v>
      </c>
      <c r="AJ18" s="7">
        <f t="shared" si="9"/>
        <v>0</v>
      </c>
    </row>
    <row r="19" spans="1:36" x14ac:dyDescent="0.25">
      <c r="D19" s="61">
        <f t="shared" ref="D19:Q19" si="10">SUM(D11:D18)</f>
        <v>4111</v>
      </c>
      <c r="E19" s="61">
        <f t="shared" si="10"/>
        <v>4111</v>
      </c>
      <c r="F19" s="61">
        <f t="shared" si="10"/>
        <v>351</v>
      </c>
      <c r="G19" s="61">
        <f t="shared" si="10"/>
        <v>2135</v>
      </c>
      <c r="H19" s="61">
        <f t="shared" si="10"/>
        <v>2048</v>
      </c>
      <c r="I19" s="61">
        <f t="shared" si="10"/>
        <v>2063</v>
      </c>
      <c r="J19" s="61">
        <f t="shared" si="10"/>
        <v>438</v>
      </c>
      <c r="K19" s="61">
        <f t="shared" si="10"/>
        <v>262</v>
      </c>
      <c r="L19" s="61">
        <f t="shared" si="10"/>
        <v>265</v>
      </c>
      <c r="M19" s="61">
        <f t="shared" si="10"/>
        <v>265</v>
      </c>
      <c r="N19" s="61">
        <f t="shared" si="10"/>
        <v>2135</v>
      </c>
      <c r="O19" s="61">
        <f t="shared" si="10"/>
        <v>2048</v>
      </c>
      <c r="P19" s="61">
        <f t="shared" si="10"/>
        <v>0</v>
      </c>
      <c r="Q19" s="61">
        <f t="shared" si="10"/>
        <v>0</v>
      </c>
      <c r="R19" s="61"/>
      <c r="S19" s="61"/>
      <c r="T19" s="61"/>
      <c r="U19" s="61">
        <f>SUM(U11:U18)</f>
        <v>181</v>
      </c>
      <c r="V19" s="61">
        <f>SUM(V11:V18)</f>
        <v>235</v>
      </c>
      <c r="Y19" s="44">
        <f t="shared" ref="Y19:AI19" si="11">SUM(Y4:Y18)</f>
        <v>181</v>
      </c>
      <c r="Z19" s="44">
        <f t="shared" si="11"/>
        <v>30</v>
      </c>
      <c r="AA19" s="44">
        <f t="shared" si="11"/>
        <v>9</v>
      </c>
      <c r="AB19" s="44">
        <f t="shared" si="11"/>
        <v>22</v>
      </c>
      <c r="AC19" s="44">
        <f t="shared" si="11"/>
        <v>1</v>
      </c>
      <c r="AD19" s="44">
        <f t="shared" si="11"/>
        <v>11</v>
      </c>
      <c r="AE19" s="44">
        <f t="shared" si="11"/>
        <v>36</v>
      </c>
      <c r="AF19" s="44">
        <f t="shared" si="11"/>
        <v>109</v>
      </c>
      <c r="AG19" s="44">
        <f t="shared" si="11"/>
        <v>30</v>
      </c>
      <c r="AH19" s="44">
        <f t="shared" si="11"/>
        <v>42</v>
      </c>
      <c r="AI19" s="44">
        <f t="shared" si="11"/>
        <v>0</v>
      </c>
      <c r="AJ19" s="46">
        <f>SUM(AJ11+AJ7+AJ12+AJ13+AJ14+AJ15+AJ16+AJ17+AJ18)</f>
        <v>181</v>
      </c>
    </row>
    <row r="21" spans="1:36" x14ac:dyDescent="0.25">
      <c r="B21" s="109"/>
      <c r="C21" s="109"/>
      <c r="D21" s="109"/>
      <c r="E21" s="109"/>
      <c r="F21" s="110"/>
      <c r="G21" s="110"/>
    </row>
    <row r="23" spans="1:36" x14ac:dyDescent="0.25">
      <c r="B23" s="109"/>
    </row>
    <row r="24" spans="1:36" x14ac:dyDescent="0.25">
      <c r="B24" s="109"/>
    </row>
    <row r="25" spans="1:36" x14ac:dyDescent="0.25">
      <c r="B25" s="109"/>
    </row>
    <row r="26" spans="1:36" x14ac:dyDescent="0.25">
      <c r="B26" s="109"/>
    </row>
    <row r="27" spans="1:36" x14ac:dyDescent="0.25">
      <c r="B27" s="110"/>
    </row>
    <row r="28" spans="1:36" x14ac:dyDescent="0.25">
      <c r="B28" s="110"/>
    </row>
  </sheetData>
  <sheetProtection algorithmName="SHA-512" hashValue="5A3mCWPp0g3VLrTNRG55P4YjPKVmVM31WJWpX04gdFn8+fdbYMdlThzUDmAn5+ba/1amRCrtpYL2XmnHsiIHSg==" saltValue="+mJxLBMgWpyCSmudoV7Y5Q==" spinCount="100000" sheet="1" formatCells="0" formatColumns="0" formatRows="0" insertColumns="0" insertRows="0"/>
  <autoFilter ref="A3:U19" xr:uid="{00000000-0009-0000-0000-000000000000}"/>
  <mergeCells count="11">
    <mergeCell ref="V4:V7"/>
    <mergeCell ref="A4:A7"/>
    <mergeCell ref="F4:F7"/>
    <mergeCell ref="G4:G7"/>
    <mergeCell ref="H4:H7"/>
    <mergeCell ref="E4:E7"/>
    <mergeCell ref="J4:J7"/>
    <mergeCell ref="R4:R7"/>
    <mergeCell ref="I4:I7"/>
    <mergeCell ref="S4:S7"/>
    <mergeCell ref="T4:T7"/>
  </mergeCells>
  <conditionalFormatting sqref="A11:A16">
    <cfRule type="duplicateValues" dxfId="100" priority="36"/>
  </conditionalFormatting>
  <conditionalFormatting sqref="B5">
    <cfRule type="duplicateValues" dxfId="99" priority="41"/>
  </conditionalFormatting>
  <conditionalFormatting sqref="B6 B4">
    <cfRule type="duplicateValues" dxfId="98" priority="72"/>
  </conditionalFormatting>
  <conditionalFormatting sqref="B7">
    <cfRule type="duplicateValues" dxfId="97" priority="68"/>
  </conditionalFormatting>
  <conditionalFormatting sqref="B10:B18">
    <cfRule type="duplicateValues" dxfId="96" priority="37"/>
  </conditionalFormatting>
  <conditionalFormatting sqref="B11:B18">
    <cfRule type="duplicateValues" dxfId="95" priority="39"/>
  </conditionalFormatting>
  <conditionalFormatting sqref="B19:B20 B1:B9 B22 B29:B1048576">
    <cfRule type="duplicateValues" dxfId="94" priority="40"/>
  </conditionalFormatting>
  <conditionalFormatting sqref="B21 F21">
    <cfRule type="duplicateValues" dxfId="93" priority="35"/>
  </conditionalFormatting>
  <conditionalFormatting sqref="B23 B27">
    <cfRule type="duplicateValues" dxfId="92" priority="18"/>
  </conditionalFormatting>
  <conditionalFormatting sqref="B24">
    <cfRule type="duplicateValues" dxfId="91" priority="6"/>
    <cfRule type="duplicateValues" dxfId="90" priority="7"/>
    <cfRule type="duplicateValues" dxfId="89" priority="8"/>
    <cfRule type="duplicateValues" dxfId="88" priority="9"/>
  </conditionalFormatting>
  <conditionalFormatting sqref="B25">
    <cfRule type="duplicateValues" dxfId="87" priority="2"/>
    <cfRule type="duplicateValues" dxfId="86" priority="3"/>
    <cfRule type="duplicateValues" dxfId="85" priority="4"/>
    <cfRule type="duplicateValues" dxfId="84" priority="5"/>
  </conditionalFormatting>
  <conditionalFormatting sqref="B26">
    <cfRule type="duplicateValues" dxfId="83" priority="14"/>
    <cfRule type="duplicateValues" dxfId="82" priority="15"/>
    <cfRule type="duplicateValues" dxfId="81" priority="16"/>
    <cfRule type="duplicateValues" dxfId="80" priority="17"/>
  </conditionalFormatting>
  <conditionalFormatting sqref="B28">
    <cfRule type="duplicateValues" dxfId="79" priority="13"/>
    <cfRule type="duplicateValues" dxfId="78" priority="11"/>
    <cfRule type="duplicateValues" dxfId="77" priority="10"/>
    <cfRule type="duplicateValues" dxfId="76" priority="12"/>
  </conditionalFormatting>
  <conditionalFormatting sqref="C21">
    <cfRule type="duplicateValues" dxfId="75" priority="26"/>
    <cfRule type="duplicateValues" dxfId="74" priority="23"/>
    <cfRule type="duplicateValues" dxfId="73" priority="24"/>
    <cfRule type="duplicateValues" dxfId="72" priority="25"/>
  </conditionalFormatting>
  <conditionalFormatting sqref="D21">
    <cfRule type="duplicateValues" dxfId="71" priority="22"/>
    <cfRule type="duplicateValues" dxfId="70" priority="21"/>
    <cfRule type="duplicateValues" dxfId="69" priority="20"/>
    <cfRule type="duplicateValues" dxfId="68" priority="19"/>
  </conditionalFormatting>
  <conditionalFormatting sqref="E21">
    <cfRule type="duplicateValues" dxfId="67" priority="31"/>
    <cfRule type="duplicateValues" dxfId="66" priority="32"/>
    <cfRule type="duplicateValues" dxfId="65" priority="33"/>
    <cfRule type="duplicateValues" dxfId="64" priority="34"/>
  </conditionalFormatting>
  <conditionalFormatting sqref="G21">
    <cfRule type="duplicateValues" dxfId="63" priority="27"/>
    <cfRule type="duplicateValues" dxfId="62" priority="28"/>
    <cfRule type="duplicateValues" dxfId="61" priority="29"/>
    <cfRule type="duplicateValues" dxfId="60" priority="30"/>
  </conditionalFormatting>
  <conditionalFormatting sqref="J11:J16">
    <cfRule type="cellIs" dxfId="59" priority="1" operator="lessThan">
      <formula>0</formula>
    </cfRule>
  </conditionalFormatting>
  <conditionalFormatting sqref="R4:T5">
    <cfRule type="cellIs" dxfId="58" priority="42" operator="lessThan">
      <formula>0</formula>
    </cfRule>
  </conditionalFormatting>
  <conditionalFormatting sqref="R11:T18">
    <cfRule type="cellIs" dxfId="57" priority="38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18"/>
  <sheetViews>
    <sheetView zoomScale="67" zoomScaleNormal="67" workbookViewId="0">
      <pane xSplit="2" ySplit="2" topLeftCell="C5" activePane="bottomRight" state="frozen"/>
      <selection activeCell="I30" sqref="I30"/>
      <selection pane="topRight" activeCell="I30" sqref="I30"/>
      <selection pane="bottomLeft" activeCell="I30" sqref="I30"/>
      <selection pane="bottomRight" activeCell="J18" sqref="J18"/>
    </sheetView>
  </sheetViews>
  <sheetFormatPr defaultColWidth="9.140625" defaultRowHeight="15" x14ac:dyDescent="0.25"/>
  <cols>
    <col min="1" max="1" width="21.140625" style="1" customWidth="1"/>
    <col min="2" max="2" width="16.5703125" style="2" customWidth="1"/>
    <col min="3" max="3" width="28" style="2" customWidth="1"/>
    <col min="4" max="4" width="8.42578125" style="2" customWidth="1"/>
    <col min="5" max="6" width="10.140625" style="2" customWidth="1"/>
    <col min="7" max="7" width="10.28515625" style="2" customWidth="1"/>
    <col min="8" max="8" width="9.85546875" style="2" customWidth="1"/>
    <col min="9" max="9" width="10.28515625" style="2" customWidth="1"/>
    <col min="10" max="10" width="9.140625" style="2" customWidth="1"/>
    <col min="11" max="11" width="12.85546875" style="2" hidden="1" customWidth="1"/>
    <col min="12" max="12" width="13" style="2" hidden="1" customWidth="1"/>
    <col min="13" max="13" width="13.42578125" style="2" hidden="1" customWidth="1"/>
    <col min="14" max="14" width="9.5703125" style="2" hidden="1" customWidth="1"/>
    <col min="15" max="15" width="8.140625" style="2" hidden="1" customWidth="1"/>
    <col min="16" max="16" width="9.42578125" style="2" customWidth="1"/>
    <col min="17" max="18" width="10.28515625" style="2" customWidth="1"/>
    <col min="19" max="19" width="9.7109375" style="2" customWidth="1"/>
    <col min="20" max="20" width="9.28515625" style="2" customWidth="1"/>
    <col min="21" max="22" width="10.5703125" style="2" customWidth="1"/>
    <col min="23" max="23" width="10.5703125" style="2" hidden="1" customWidth="1"/>
    <col min="24" max="25" width="9.140625" style="2" hidden="1" customWidth="1"/>
    <col min="26" max="38" width="9.140625" style="2" customWidth="1"/>
    <col min="39" max="39" width="9.140625" style="2" hidden="1" customWidth="1"/>
    <col min="40" max="40" width="9.140625" style="2" customWidth="1"/>
    <col min="41" max="16384" width="9.140625" style="2"/>
  </cols>
  <sheetData>
    <row r="1" spans="1:40" ht="21.75" thickBot="1" x14ac:dyDescent="0.3">
      <c r="D1" s="94">
        <f>D7+D16</f>
        <v>3651</v>
      </c>
      <c r="J1" s="73">
        <f>SUM(J7+J16)</f>
        <v>442</v>
      </c>
      <c r="P1" s="68">
        <f>SUM(P7+P16)</f>
        <v>0</v>
      </c>
      <c r="Q1" s="68">
        <f>SUM(Q7+Q16)</f>
        <v>0</v>
      </c>
      <c r="U1" s="95">
        <f>SUM(U7+U16)</f>
        <v>181</v>
      </c>
      <c r="V1" s="91"/>
      <c r="W1" s="68"/>
    </row>
    <row r="2" spans="1:40" s="6" customFormat="1" ht="49.5" customHeight="1" thickBot="1" x14ac:dyDescent="0.25">
      <c r="A2" s="96" t="s">
        <v>114</v>
      </c>
      <c r="B2" s="97" t="s">
        <v>115</v>
      </c>
      <c r="C2" s="97" t="s">
        <v>0</v>
      </c>
      <c r="D2" s="98" t="s">
        <v>1</v>
      </c>
      <c r="E2" s="98" t="s">
        <v>2</v>
      </c>
      <c r="F2" s="98" t="s">
        <v>3</v>
      </c>
      <c r="G2" s="98" t="s">
        <v>4</v>
      </c>
      <c r="H2" s="98" t="s">
        <v>5</v>
      </c>
      <c r="I2" s="98" t="s">
        <v>6</v>
      </c>
      <c r="J2" s="99" t="s">
        <v>7</v>
      </c>
      <c r="K2" s="100">
        <f ca="1">TODAY()</f>
        <v>46221</v>
      </c>
      <c r="L2" s="100">
        <f ca="1">TODAY()+1</f>
        <v>46222</v>
      </c>
      <c r="M2" s="100">
        <f ca="1">TODAY()</f>
        <v>46221</v>
      </c>
      <c r="N2" s="98" t="s">
        <v>8</v>
      </c>
      <c r="O2" s="98" t="s">
        <v>5</v>
      </c>
      <c r="P2" s="101" t="s">
        <v>9</v>
      </c>
      <c r="Q2" s="101" t="s">
        <v>10</v>
      </c>
      <c r="R2" s="101" t="s">
        <v>11</v>
      </c>
      <c r="S2" s="101" t="s">
        <v>12</v>
      </c>
      <c r="T2" s="103" t="s">
        <v>13</v>
      </c>
      <c r="U2" s="102" t="s">
        <v>14</v>
      </c>
      <c r="V2" s="92"/>
      <c r="W2" s="102"/>
      <c r="X2" s="87" t="s">
        <v>226</v>
      </c>
      <c r="Y2" s="86" t="s">
        <v>227</v>
      </c>
      <c r="Z2" s="51" t="s">
        <v>95</v>
      </c>
      <c r="AA2" s="67" t="s">
        <v>96</v>
      </c>
      <c r="AB2" s="67" t="s">
        <v>97</v>
      </c>
      <c r="AC2" s="67" t="s">
        <v>98</v>
      </c>
      <c r="AD2" s="67" t="s">
        <v>99</v>
      </c>
      <c r="AE2" s="67" t="s">
        <v>100</v>
      </c>
      <c r="AF2" s="67" t="s">
        <v>101</v>
      </c>
      <c r="AG2" s="67" t="s">
        <v>102</v>
      </c>
      <c r="AH2" s="67" t="s">
        <v>103</v>
      </c>
      <c r="AI2" s="67" t="s">
        <v>104</v>
      </c>
      <c r="AJ2" s="67" t="s">
        <v>105</v>
      </c>
      <c r="AK2" s="50" t="s">
        <v>93</v>
      </c>
    </row>
    <row r="3" spans="1:40" s="7" customFormat="1" ht="18.75" x14ac:dyDescent="0.25">
      <c r="A3" s="172">
        <v>546854600231</v>
      </c>
      <c r="B3" s="3" t="s">
        <v>27</v>
      </c>
      <c r="C3" s="150" t="s">
        <v>28</v>
      </c>
      <c r="D3" s="89">
        <v>0</v>
      </c>
      <c r="E3" s="174">
        <f>SUM(D3:D6)</f>
        <v>0</v>
      </c>
      <c r="F3" s="174">
        <v>8</v>
      </c>
      <c r="G3" s="174">
        <f>N3</f>
        <v>0</v>
      </c>
      <c r="H3" s="174">
        <f>SUM(O3:O6)</f>
        <v>0</v>
      </c>
      <c r="I3" s="174" t="s">
        <v>694</v>
      </c>
      <c r="J3" s="173">
        <f>F3+G3-H3</f>
        <v>8</v>
      </c>
      <c r="K3" s="7">
        <f>SUMIF('3 D P'!$E:$E,'Cockpit sheet'!$B:$B,'3 D P'!$J:$J)</f>
        <v>0</v>
      </c>
      <c r="L3" s="7">
        <f>SUMIF('3 D P'!$E:$E,'Cockpit sheet'!$B:$B,'3 D P'!$K:$K)</f>
        <v>0</v>
      </c>
      <c r="M3" s="7">
        <f>SUMIF('3 D P'!$E:$E,'Cockpit sheet'!$B:$B,'3 D P'!$L:$L)</f>
        <v>0</v>
      </c>
      <c r="N3" s="7">
        <f>IFERROR(VLOOKUP(A3,'Daywise Dispatch'!$A:$B,2,FALSE),0)</f>
        <v>0</v>
      </c>
      <c r="O3" s="7">
        <f>SUMIF('Consumption MTD'!$B:$B,$B$3:$B$6,'Consumption MTD'!$C:$C)</f>
        <v>0</v>
      </c>
      <c r="P3" s="7">
        <f>SUMIF('BIW Lifting A Shift'!$B:$B,$B$3:$B$6,'BIW Lifting A Shift'!$C:$C)</f>
        <v>0</v>
      </c>
      <c r="Q3" s="7">
        <f>SUMIF('BIW Lifting B Shift'!$B:$B,$B$3:$B$6,'BIW Lifting B Shift'!$C:$C)</f>
        <v>0</v>
      </c>
      <c r="R3" s="171">
        <f>J3-U3-U5-U6-U4</f>
        <v>8</v>
      </c>
      <c r="S3" s="171">
        <f>J3-P3-P5-P6-U3-U5-U6</f>
        <v>8</v>
      </c>
      <c r="T3" s="175">
        <f>S3-Q3-Q5-Q6</f>
        <v>8</v>
      </c>
      <c r="U3" s="105">
        <f>SUMIF(FLOAT!$D:$D,$B$3:$B$6,FLOAT!$F:$F)</f>
        <v>0</v>
      </c>
      <c r="V3" s="93"/>
      <c r="W3" s="105"/>
      <c r="X3" s="165"/>
      <c r="Y3" s="168"/>
      <c r="Z3" s="7">
        <f>SUMIF(FLOAT!$D:$D,$B$3:$B$6,FLOAT!$F:$F)</f>
        <v>0</v>
      </c>
      <c r="AA3" s="7">
        <f>SUMIF(FLOAT!$D:$D,$B$3:$B$6,FLOAT!$G:$G)</f>
        <v>0</v>
      </c>
      <c r="AB3" s="7">
        <f>SUMIF(FLOAT!$D:$D,$B$3:$B$6,FLOAT!$H:$H)</f>
        <v>0</v>
      </c>
      <c r="AC3" s="7">
        <f>SUMIF(FLOAT!$D:$D,$B$3:$B$6,FLOAT!$I:$I)</f>
        <v>0</v>
      </c>
      <c r="AD3" s="7">
        <f>SUMIF(FLOAT!$D:$D,$B$3:$B$6,FLOAT!$J:$J)</f>
        <v>0</v>
      </c>
      <c r="AE3" s="7">
        <f>SUMIF(FLOAT!$D:$D,$B$3:$B$6,FLOAT!$K:$K)</f>
        <v>0</v>
      </c>
      <c r="AF3" s="7">
        <f>SUMIF(FLOAT!$D:$D,$B$3:$B$6,FLOAT!$L:$L)</f>
        <v>0</v>
      </c>
      <c r="AG3" s="7">
        <f>SUMIF(FLOAT!$D:$D,$B$3:$B$6,FLOAT!$M:$M)</f>
        <v>0</v>
      </c>
      <c r="AH3" s="7">
        <f>SUMIF(FLOAT!$D:$D,$B$3:$B$6,FLOAT!$N:$N)</f>
        <v>0</v>
      </c>
      <c r="AI3" s="7">
        <f>SUMIF(FLOAT!$D:$D,$B$3:$B$6,FLOAT!$O:$O)</f>
        <v>0</v>
      </c>
      <c r="AJ3" s="7">
        <f>SUMIF(FLOAT!$D:$D,$B$3:$B$6,FLOAT!$P:$P)</f>
        <v>0</v>
      </c>
      <c r="AK3" s="7">
        <f>SUM(AA3:AF3)+SUM(AH3:AJ3)</f>
        <v>0</v>
      </c>
    </row>
    <row r="4" spans="1:40" s="7" customFormat="1" ht="18.75" x14ac:dyDescent="0.25">
      <c r="A4" s="172"/>
      <c r="B4" s="152" t="s">
        <v>186</v>
      </c>
      <c r="C4" s="151" t="s">
        <v>82</v>
      </c>
      <c r="D4" s="89">
        <v>0</v>
      </c>
      <c r="E4" s="174"/>
      <c r="F4" s="174"/>
      <c r="G4" s="174"/>
      <c r="H4" s="174"/>
      <c r="I4" s="174"/>
      <c r="J4" s="173"/>
      <c r="K4" s="7">
        <f>SUMIF('3 D P'!$E:$E,'Cockpit sheet'!$B:$B,'3 D P'!$J:$J)</f>
        <v>0</v>
      </c>
      <c r="L4" s="7">
        <f>SUMIF('3 D P'!$E:$E,'Cockpit sheet'!$B:$B,'3 D P'!$K:$K)</f>
        <v>0</v>
      </c>
      <c r="M4" s="7">
        <f>SUMIF('3 D P'!$E:$E,'Cockpit sheet'!$B:$B,'3 D P'!$L:$L)</f>
        <v>0</v>
      </c>
      <c r="N4" s="7">
        <f>IFERROR(VLOOKUP(A4,'Daywise Dispatch'!$A:$B,2,FALSE),0)</f>
        <v>0</v>
      </c>
      <c r="O4" s="7">
        <f>SUMIF('Consumption MTD'!$B:$B,$B$3:$B$6,'Consumption MTD'!$C:$C)</f>
        <v>0</v>
      </c>
      <c r="P4" s="7">
        <f>SUMIF('BIW Lifting A Shift'!$B:$B,$B$3:$B$6,'BIW Lifting A Shift'!$C:$C)</f>
        <v>0</v>
      </c>
      <c r="Q4" s="7">
        <f>SUMIF('BIW Lifting B Shift'!$B:$B,$B$3:$B$6,'BIW Lifting B Shift'!$C:$C)</f>
        <v>0</v>
      </c>
      <c r="R4" s="171"/>
      <c r="S4" s="171"/>
      <c r="T4" s="175"/>
      <c r="U4" s="105">
        <f>SUMIF(FLOAT!$D:$D,$B$3:$B$6,FLOAT!$F:$F)</f>
        <v>0</v>
      </c>
      <c r="V4" s="93"/>
      <c r="W4" s="105"/>
      <c r="X4" s="166"/>
      <c r="Y4" s="169"/>
      <c r="AA4" s="7">
        <f>SUMIF(FLOAT!$D:$D,$B$3:$B$6,FLOAT!$G:$G)</f>
        <v>0</v>
      </c>
      <c r="AB4" s="7">
        <f>SUMIF(FLOAT!$D:$D,$B$3:$B$6,FLOAT!$H:$H)</f>
        <v>0</v>
      </c>
      <c r="AC4" s="7">
        <f>SUMIF(FLOAT!$D:$D,$B$3:$B$6,FLOAT!$I:$I)</f>
        <v>0</v>
      </c>
      <c r="AD4" s="7">
        <f>SUMIF(FLOAT!$D:$D,$B$3:$B$6,FLOAT!$J:$J)</f>
        <v>0</v>
      </c>
      <c r="AE4" s="7">
        <f>SUMIF(FLOAT!$D:$D,$B$3:$B$6,FLOAT!$K:$K)</f>
        <v>0</v>
      </c>
      <c r="AF4" s="7">
        <f>SUMIF(FLOAT!$D:$D,$B$3:$B$6,FLOAT!$L:$L)</f>
        <v>0</v>
      </c>
      <c r="AG4" s="7">
        <f>SUMIF(FLOAT!$D:$D,$B$3:$B$6,FLOAT!$M:$M)</f>
        <v>0</v>
      </c>
      <c r="AH4" s="7">
        <f>SUMIF(FLOAT!$D:$D,$B$3:$B$6,FLOAT!$N:$N)</f>
        <v>0</v>
      </c>
      <c r="AI4" s="7">
        <f>SUMIF(FLOAT!$D:$D,$B$3:$B$6,FLOAT!$O:$O)</f>
        <v>0</v>
      </c>
      <c r="AJ4" s="7">
        <f>SUMIF(FLOAT!$D:$D,$B$3:$B$6,FLOAT!$P:$P)</f>
        <v>0</v>
      </c>
      <c r="AK4" s="7">
        <f>SUM(AA4:AF4)+SUM(AH4:AJ4)</f>
        <v>0</v>
      </c>
    </row>
    <row r="5" spans="1:40" s="5" customFormat="1" ht="18.75" x14ac:dyDescent="0.25">
      <c r="A5" s="172"/>
      <c r="B5" s="3" t="s">
        <v>86</v>
      </c>
      <c r="C5" s="150" t="s">
        <v>28</v>
      </c>
      <c r="D5" s="89">
        <v>0</v>
      </c>
      <c r="E5" s="174"/>
      <c r="F5" s="174"/>
      <c r="G5" s="174"/>
      <c r="H5" s="174"/>
      <c r="I5" s="174"/>
      <c r="J5" s="173"/>
      <c r="K5" s="7">
        <f>SUMIF('3 D P'!$E:$E,'Cockpit sheet'!$B:$B,'3 D P'!$J:$J)</f>
        <v>0</v>
      </c>
      <c r="L5" s="7">
        <f>SUMIF('3 D P'!$E:$E,'Cockpit sheet'!$B:$B,'3 D P'!$K:$K)</f>
        <v>0</v>
      </c>
      <c r="M5" s="7">
        <f>SUMIF('3 D P'!$E:$E,'Cockpit sheet'!$B:$B,'3 D P'!$L:$L)</f>
        <v>0</v>
      </c>
      <c r="N5" s="7">
        <f>IFERROR(VLOOKUP(A5,'Daywise Dispatch'!$A:$B,2,FALSE),0)</f>
        <v>0</v>
      </c>
      <c r="O5" s="7">
        <f>SUMIF('Consumption MTD'!$B:$B,$B$3:$B$6,'Consumption MTD'!$C:$C)</f>
        <v>0</v>
      </c>
      <c r="P5" s="7">
        <f>SUMIF('BIW Lifting A Shift'!$B:$B,$B$3:$B$6,'BIW Lifting A Shift'!$C:$C)</f>
        <v>0</v>
      </c>
      <c r="Q5" s="7">
        <f>SUMIF('BIW Lifting B Shift'!$B:$B,$B$3:$B$6,'BIW Lifting B Shift'!$C:$C)</f>
        <v>0</v>
      </c>
      <c r="R5" s="171"/>
      <c r="S5" s="171"/>
      <c r="T5" s="175"/>
      <c r="U5" s="105">
        <f>SUMIF(FLOAT!$D:$D,$B$3:$B$6,FLOAT!$F:$F)</f>
        <v>0</v>
      </c>
      <c r="V5" s="93"/>
      <c r="W5" s="105"/>
      <c r="X5" s="166"/>
      <c r="Y5" s="169"/>
      <c r="Z5" s="7">
        <f>SUMIF(FLOAT!$D:$D,$B$3:$B$6,FLOAT!$F:$F)</f>
        <v>0</v>
      </c>
      <c r="AA5" s="7">
        <f>SUMIF(FLOAT!$D:$D,$B$3:$B$6,FLOAT!$G:$G)</f>
        <v>0</v>
      </c>
      <c r="AB5" s="7">
        <f>SUMIF(FLOAT!$D:$D,$B$3:$B$6,FLOAT!$H:$H)</f>
        <v>0</v>
      </c>
      <c r="AC5" s="7">
        <f>SUMIF(FLOAT!$D:$D,$B$3:$B$6,FLOAT!$I:$I)</f>
        <v>0</v>
      </c>
      <c r="AD5" s="7">
        <f>SUMIF(FLOAT!$D:$D,$B$3:$B$6,FLOAT!$J:$J)</f>
        <v>0</v>
      </c>
      <c r="AE5" s="7">
        <f>SUMIF(FLOAT!$D:$D,$B$3:$B$6,FLOAT!$K:$K)</f>
        <v>0</v>
      </c>
      <c r="AF5" s="7">
        <f>SUMIF(FLOAT!$D:$D,$B$3:$B$6,FLOAT!$L:$L)</f>
        <v>0</v>
      </c>
      <c r="AG5" s="7">
        <f>SUMIF(FLOAT!$D:$D,$B$3:$B$6,FLOAT!$M:$M)</f>
        <v>0</v>
      </c>
      <c r="AH5" s="7">
        <f>SUMIF(FLOAT!$D:$D,$B$3:$B$6,FLOAT!$N:$N)</f>
        <v>0</v>
      </c>
      <c r="AI5" s="7">
        <f>SUMIF(FLOAT!$D:$D,$B$3:$B$6,FLOAT!$O:$O)</f>
        <v>0</v>
      </c>
      <c r="AJ5" s="7">
        <f>SUMIF(FLOAT!$D:$D,$B$3:$B$6,FLOAT!$P:$P)</f>
        <v>0</v>
      </c>
      <c r="AK5" s="7">
        <f>SUM(AA5:AF5)+SUM(AH5:AJ5)</f>
        <v>0</v>
      </c>
    </row>
    <row r="6" spans="1:40" ht="18.75" x14ac:dyDescent="0.25">
      <c r="A6" s="172"/>
      <c r="B6" s="3" t="s">
        <v>140</v>
      </c>
      <c r="C6" s="150" t="s">
        <v>137</v>
      </c>
      <c r="D6" s="7">
        <v>0</v>
      </c>
      <c r="E6" s="174"/>
      <c r="F6" s="174"/>
      <c r="G6" s="174"/>
      <c r="H6" s="174"/>
      <c r="I6" s="174"/>
      <c r="J6" s="173"/>
      <c r="K6" s="7">
        <f>SUMIF('3 D P'!$E:$E,'Cockpit sheet'!$B:$B,'3 D P'!$J:$J)</f>
        <v>0</v>
      </c>
      <c r="L6" s="7">
        <f>SUMIF('3 D P'!$E:$E,'Cockpit sheet'!$B:$B,'3 D P'!$K:$K)</f>
        <v>0</v>
      </c>
      <c r="M6" s="7">
        <f>SUMIF('3 D P'!$E:$E,'Cockpit sheet'!$B:$B,'3 D P'!$L:$L)</f>
        <v>0</v>
      </c>
      <c r="N6" s="7">
        <f>IFERROR(VLOOKUP(A6,'Daywise Dispatch'!$A:$B,2,FALSE),0)</f>
        <v>0</v>
      </c>
      <c r="O6" s="7">
        <f>SUMIF('Consumption MTD'!$B:$B,$B$3:$B$6,'Consumption MTD'!$C:$C)</f>
        <v>0</v>
      </c>
      <c r="P6" s="7">
        <f>SUMIF('BIW Lifting A Shift'!$B:$B,$B$3:$B$6,'BIW Lifting A Shift'!$C:$C)</f>
        <v>0</v>
      </c>
      <c r="Q6" s="7">
        <f>SUMIF('BIW Lifting B Shift'!$B:$B,$B$3:$B$6,'BIW Lifting B Shift'!$C:$C)</f>
        <v>0</v>
      </c>
      <c r="R6" s="171"/>
      <c r="S6" s="171"/>
      <c r="T6" s="175"/>
      <c r="U6" s="105">
        <f>SUMIF(FLOAT!$D:$D,$B$3:$B$6,FLOAT!$F:$F)</f>
        <v>0</v>
      </c>
      <c r="V6" s="93"/>
      <c r="W6" s="105"/>
      <c r="X6" s="167"/>
      <c r="Y6" s="170"/>
    </row>
    <row r="7" spans="1:40" ht="15" customHeight="1" thickBot="1" x14ac:dyDescent="0.3">
      <c r="D7" s="61">
        <f t="shared" ref="D7:Q7" si="0">SUM(D3:D6)</f>
        <v>0</v>
      </c>
      <c r="E7" s="61">
        <f t="shared" si="0"/>
        <v>0</v>
      </c>
      <c r="F7" s="61">
        <f t="shared" si="0"/>
        <v>8</v>
      </c>
      <c r="G7" s="61">
        <f t="shared" si="0"/>
        <v>0</v>
      </c>
      <c r="H7" s="61">
        <f t="shared" si="0"/>
        <v>0</v>
      </c>
      <c r="I7" s="61">
        <f t="shared" si="0"/>
        <v>0</v>
      </c>
      <c r="J7" s="61">
        <f t="shared" si="0"/>
        <v>8</v>
      </c>
      <c r="K7" s="61">
        <f t="shared" si="0"/>
        <v>0</v>
      </c>
      <c r="L7" s="61">
        <f t="shared" si="0"/>
        <v>0</v>
      </c>
      <c r="M7" s="61">
        <f t="shared" si="0"/>
        <v>0</v>
      </c>
      <c r="N7" s="61">
        <f t="shared" si="0"/>
        <v>0</v>
      </c>
      <c r="O7" s="61">
        <f t="shared" si="0"/>
        <v>0</v>
      </c>
      <c r="P7" s="61">
        <f t="shared" si="0"/>
        <v>0</v>
      </c>
      <c r="Q7" s="61">
        <f t="shared" si="0"/>
        <v>0</v>
      </c>
      <c r="R7" s="61"/>
      <c r="S7" s="61"/>
      <c r="T7" s="104"/>
      <c r="U7" s="106">
        <f>SUM(U3:U6)</f>
        <v>0</v>
      </c>
      <c r="V7" s="90"/>
      <c r="W7" s="106"/>
      <c r="Z7" s="44">
        <f t="shared" ref="Z7:AK7" ca="1" si="1">SUM(Z3:Z10)</f>
        <v>0</v>
      </c>
      <c r="AA7" s="44">
        <f t="shared" ca="1" si="1"/>
        <v>0</v>
      </c>
      <c r="AB7" s="44">
        <f t="shared" ca="1" si="1"/>
        <v>0</v>
      </c>
      <c r="AC7" s="44">
        <f t="shared" ca="1" si="1"/>
        <v>0</v>
      </c>
      <c r="AD7" s="44">
        <f t="shared" ca="1" si="1"/>
        <v>0</v>
      </c>
      <c r="AE7" s="44">
        <f t="shared" ca="1" si="1"/>
        <v>0</v>
      </c>
      <c r="AF7" s="44">
        <f t="shared" ca="1" si="1"/>
        <v>0</v>
      </c>
      <c r="AG7" s="44">
        <f t="shared" ca="1" si="1"/>
        <v>0</v>
      </c>
      <c r="AH7" s="44">
        <f t="shared" ca="1" si="1"/>
        <v>0</v>
      </c>
      <c r="AI7" s="44">
        <f t="shared" ca="1" si="1"/>
        <v>0</v>
      </c>
      <c r="AJ7" s="44">
        <f t="shared" ca="1" si="1"/>
        <v>0</v>
      </c>
      <c r="AK7" s="46">
        <f t="shared" ca="1" si="1"/>
        <v>0</v>
      </c>
    </row>
    <row r="8" spans="1:40" ht="15.75" thickBot="1" x14ac:dyDescent="0.3"/>
    <row r="9" spans="1:40" ht="57" customHeight="1" x14ac:dyDescent="0.2">
      <c r="A9" s="84" t="s">
        <v>114</v>
      </c>
      <c r="B9" s="85" t="s">
        <v>115</v>
      </c>
      <c r="C9" s="85" t="s">
        <v>0</v>
      </c>
      <c r="D9" s="62" t="s">
        <v>1</v>
      </c>
      <c r="E9" s="62" t="s">
        <v>2</v>
      </c>
      <c r="F9" s="62" t="s">
        <v>3</v>
      </c>
      <c r="G9" s="62" t="s">
        <v>4</v>
      </c>
      <c r="H9" s="62" t="s">
        <v>5</v>
      </c>
      <c r="I9" s="62" t="s">
        <v>6</v>
      </c>
      <c r="J9" s="63" t="s">
        <v>7</v>
      </c>
      <c r="K9" s="64">
        <f ca="1">TODAY()</f>
        <v>46221</v>
      </c>
      <c r="L9" s="64">
        <f ca="1">TODAY()+1</f>
        <v>46222</v>
      </c>
      <c r="M9" s="64">
        <f ca="1">TODAY()+2</f>
        <v>46223</v>
      </c>
      <c r="N9" s="62" t="s">
        <v>8</v>
      </c>
      <c r="O9" s="62" t="s">
        <v>5</v>
      </c>
      <c r="P9" s="65" t="s">
        <v>9</v>
      </c>
      <c r="Q9" s="65" t="s">
        <v>10</v>
      </c>
      <c r="R9" s="65" t="s">
        <v>11</v>
      </c>
      <c r="S9" s="65" t="s">
        <v>12</v>
      </c>
      <c r="T9" s="65" t="s">
        <v>13</v>
      </c>
      <c r="U9" s="66" t="s">
        <v>14</v>
      </c>
      <c r="W9" s="51"/>
      <c r="X9" s="51"/>
      <c r="Y9" s="51"/>
      <c r="Z9" s="51" t="s">
        <v>95</v>
      </c>
      <c r="AA9" s="67" t="s">
        <v>96</v>
      </c>
      <c r="AB9" s="67" t="s">
        <v>97</v>
      </c>
      <c r="AC9" s="67" t="s">
        <v>98</v>
      </c>
      <c r="AD9" s="67" t="s">
        <v>99</v>
      </c>
      <c r="AE9" s="67" t="s">
        <v>100</v>
      </c>
      <c r="AF9" s="67" t="s">
        <v>101</v>
      </c>
      <c r="AG9" s="67" t="s">
        <v>102</v>
      </c>
      <c r="AH9" s="67" t="s">
        <v>103</v>
      </c>
      <c r="AI9" s="67" t="s">
        <v>104</v>
      </c>
      <c r="AJ9" s="67" t="s">
        <v>105</v>
      </c>
      <c r="AK9" s="50" t="s">
        <v>93</v>
      </c>
      <c r="AM9" s="5" t="s">
        <v>497</v>
      </c>
    </row>
    <row r="10" spans="1:40" ht="18.75" x14ac:dyDescent="0.25">
      <c r="A10" s="153">
        <v>546854650101</v>
      </c>
      <c r="B10" s="154" t="s">
        <v>233</v>
      </c>
      <c r="C10" s="155" t="s">
        <v>492</v>
      </c>
      <c r="D10" s="7">
        <v>0</v>
      </c>
      <c r="E10" s="7">
        <f>D10</f>
        <v>0</v>
      </c>
      <c r="F10" s="5">
        <v>5</v>
      </c>
      <c r="G10" s="7">
        <f t="shared" ref="G10:H15" si="2">N10</f>
        <v>0</v>
      </c>
      <c r="H10" s="7">
        <f t="shared" si="2"/>
        <v>0</v>
      </c>
      <c r="I10" s="7">
        <f t="shared" ref="I10:I15" si="3">E10-H10</f>
        <v>0</v>
      </c>
      <c r="J10" s="52">
        <f t="shared" ref="J10:J15" si="4">F10+G10-H10</f>
        <v>5</v>
      </c>
      <c r="K10" s="7">
        <f>SUMIF('3 D P'!$E:$E,'Fresh VIN PPC'!$B:$B,'3 D P'!$J:$J)</f>
        <v>0</v>
      </c>
      <c r="L10" s="7">
        <f>SUMIF('3 D P'!$E:$E,'Fresh VIN PPC'!$B:$B,'3 D P'!$K:$K)</f>
        <v>0</v>
      </c>
      <c r="M10" s="7">
        <f>SUMIF('3 D P'!$E:$E,'Fresh VIN PPC'!$B:$B,'3 D P'!$L:$L)</f>
        <v>0</v>
      </c>
      <c r="N10" s="7">
        <f>IFERROR(VLOOKUP(A10,'Daywise Dispatch'!$A:$B,2,FALSE),0)</f>
        <v>0</v>
      </c>
      <c r="O10" s="7">
        <f>SUMIF('Consumption MTD'!$B:$B,$B$3:$B$17,'Consumption MTD'!$C:$C)</f>
        <v>0</v>
      </c>
      <c r="P10" s="7">
        <f>SUMIF('BIW Lifting A Shift'!$B:$B,$B$3:$B$15,'BIW Lifting A Shift'!$C:$C)</f>
        <v>0</v>
      </c>
      <c r="Q10" s="7">
        <f>SUMIF('BIW Lifting B Shift'!$B:$B,$B$3:$B$15,'BIW Lifting B Shift'!$C:$C)</f>
        <v>0</v>
      </c>
      <c r="R10" s="47">
        <f t="shared" ref="R10:R15" si="5">J10-U10</f>
        <v>5</v>
      </c>
      <c r="S10" s="47">
        <f t="shared" ref="S10:S15" si="6">J10-P10-U10</f>
        <v>5</v>
      </c>
      <c r="T10" s="47">
        <f>S10-Q10</f>
        <v>5</v>
      </c>
      <c r="U10" s="47">
        <f>SUMIF(FLOAT!$D:$D,$B$3:$B$15,FLOAT!$F:$F)</f>
        <v>0</v>
      </c>
      <c r="V10" s="2">
        <v>5</v>
      </c>
      <c r="W10" s="7"/>
      <c r="X10" s="7"/>
      <c r="Y10" s="7">
        <v>1</v>
      </c>
      <c r="Z10" s="7">
        <f>SUMIF(FLOAT!$D:$D,$B$3:$B$15,FLOAT!$F:$F)</f>
        <v>0</v>
      </c>
      <c r="AA10" s="7">
        <f>SUMIF(FLOAT!$D:$D,$B$3:$B$15,FLOAT!$G:$G)</f>
        <v>0</v>
      </c>
      <c r="AB10" s="7">
        <f>SUMIF(FLOAT!$D:$D,$B$3:$B$15,FLOAT!$H:$H)</f>
        <v>0</v>
      </c>
      <c r="AC10" s="7">
        <f>SUMIF(FLOAT!$D:$D,$B$3:$B$15,FLOAT!$I:$I)</f>
        <v>0</v>
      </c>
      <c r="AD10" s="7">
        <f>SUMIF(FLOAT!$D:$D,$B$3:$B$15,FLOAT!$J:$J)</f>
        <v>0</v>
      </c>
      <c r="AE10" s="7">
        <f>SUMIF(FLOAT!$D:$D,$B$3:$B$15,FLOAT!$K:$K)</f>
        <v>0</v>
      </c>
      <c r="AF10" s="7">
        <f>SUMIF(FLOAT!$D:$D,$B$3:$B$15,FLOAT!$L:$L)</f>
        <v>0</v>
      </c>
      <c r="AG10" s="7">
        <f>SUMIF(FLOAT!$D:$D,$B$3:$B$6,FLOAT!$M:$M)</f>
        <v>0</v>
      </c>
      <c r="AH10" s="7">
        <f>SUMIF(FLOAT!$D:$D,$B$3:$B$15,FLOAT!$N:$N)</f>
        <v>0</v>
      </c>
      <c r="AI10" s="7">
        <f>SUMIF(FLOAT!$D:$D,$B$3:$B$15,FLOAT!$O:$O)</f>
        <v>0</v>
      </c>
      <c r="AJ10" s="7">
        <f>SUMIF(FLOAT!$D:$D,$B$3:$B$15,FLOAT!$P:$P)</f>
        <v>0</v>
      </c>
      <c r="AK10" s="7">
        <f>SUM(AA10:AF10)+SUM(AH10:AJ10)</f>
        <v>0</v>
      </c>
      <c r="AM10" s="5">
        <v>1</v>
      </c>
      <c r="AN10" s="2">
        <v>5</v>
      </c>
    </row>
    <row r="11" spans="1:40" ht="18.75" x14ac:dyDescent="0.25">
      <c r="A11" s="153">
        <v>546854650102</v>
      </c>
      <c r="B11" s="154" t="s">
        <v>228</v>
      </c>
      <c r="C11" s="155" t="s">
        <v>493</v>
      </c>
      <c r="D11" s="7">
        <v>0</v>
      </c>
      <c r="E11" s="7">
        <f t="shared" ref="E11:E15" si="7">D11</f>
        <v>0</v>
      </c>
      <c r="F11" s="5">
        <v>6</v>
      </c>
      <c r="G11" s="7">
        <f t="shared" si="2"/>
        <v>0</v>
      </c>
      <c r="H11" s="7">
        <f t="shared" si="2"/>
        <v>0</v>
      </c>
      <c r="I11" s="7">
        <f t="shared" si="3"/>
        <v>0</v>
      </c>
      <c r="J11" s="52">
        <f t="shared" si="4"/>
        <v>6</v>
      </c>
      <c r="K11" s="7">
        <f>SUMIF('3 D P'!$E:$E,'Fresh VIN PPC'!$B:$B,'3 D P'!$J:$J)</f>
        <v>0</v>
      </c>
      <c r="L11" s="7">
        <f>SUMIF('3 D P'!$E:$E,'Fresh VIN PPC'!$B:$B,'3 D P'!$K:$K)</f>
        <v>0</v>
      </c>
      <c r="M11" s="7">
        <f>SUMIF('3 D P'!$E:$E,'Fresh VIN PPC'!$B:$B,'3 D P'!$L:$L)</f>
        <v>0</v>
      </c>
      <c r="N11" s="7">
        <f>IFERROR(VLOOKUP(A11,'Daywise Dispatch'!$A:$B,2,FALSE),0)</f>
        <v>0</v>
      </c>
      <c r="O11" s="7">
        <f>SUMIF('Consumption MTD'!$B:$B,$B$3:$B$17,'Consumption MTD'!$C:$C)</f>
        <v>0</v>
      </c>
      <c r="P11" s="7">
        <f>SUMIF('BIW Lifting A Shift'!$B:$B,$B$3:$B$15,'BIW Lifting A Shift'!$C:$C)</f>
        <v>0</v>
      </c>
      <c r="Q11" s="7">
        <f>SUMIF('BIW Lifting B Shift'!$B:$B,$B$3:$B$15,'BIW Lifting B Shift'!$C:$C)</f>
        <v>0</v>
      </c>
      <c r="R11" s="47">
        <f t="shared" si="5"/>
        <v>6</v>
      </c>
      <c r="S11" s="47">
        <f t="shared" si="6"/>
        <v>6</v>
      </c>
      <c r="T11" s="47">
        <f t="shared" ref="T11:T15" si="8">S11-Q11</f>
        <v>6</v>
      </c>
      <c r="U11" s="47">
        <f>SUMIF(FLOAT!$D:$D,$B$3:$B$15,FLOAT!$F:$F)</f>
        <v>0</v>
      </c>
      <c r="V11" s="2">
        <v>6</v>
      </c>
      <c r="W11" s="7"/>
      <c r="X11" s="7"/>
      <c r="Y11" s="7">
        <v>1</v>
      </c>
      <c r="Z11" s="7">
        <f>SUMIF(FLOAT!$D:$D,$B$3:$B$6,FLOAT!$F:$F)</f>
        <v>0</v>
      </c>
      <c r="AA11" s="7">
        <f>SUMIF(FLOAT!$D:$D,$B$3:$B$15,FLOAT!$G:$G)</f>
        <v>0</v>
      </c>
      <c r="AB11" s="7">
        <f>SUMIF(FLOAT!$D:$D,$B$3:$B$15,FLOAT!$H:$H)</f>
        <v>0</v>
      </c>
      <c r="AC11" s="7">
        <f>SUMIF(FLOAT!$D:$D,$B$3:$B$15,FLOAT!$I:$I)</f>
        <v>0</v>
      </c>
      <c r="AD11" s="7">
        <f>SUMIF(FLOAT!$D:$D,$B$3:$B$15,FLOAT!$J:$J)</f>
        <v>0</v>
      </c>
      <c r="AE11" s="7">
        <f>SUMIF(FLOAT!$D:$D,$B$3:$B$15,FLOAT!$K:$K)</f>
        <v>0</v>
      </c>
      <c r="AF11" s="7">
        <f>SUMIF(FLOAT!$D:$D,$B$3:$B$15,FLOAT!$L:$L)</f>
        <v>0</v>
      </c>
      <c r="AG11" s="7">
        <f>SUMIF(FLOAT!$D:$D,$B$3:$B$6,FLOAT!$M:$M)</f>
        <v>0</v>
      </c>
      <c r="AH11" s="7">
        <f>SUMIF(FLOAT!$D:$D,$B$3:$B$15,FLOAT!$N:$N)</f>
        <v>0</v>
      </c>
      <c r="AI11" s="7">
        <f>SUMIF(FLOAT!$D:$D,$B$3:$B$15,FLOAT!$O:$O)</f>
        <v>0</v>
      </c>
      <c r="AJ11" s="7">
        <f>SUMIF(FLOAT!$D:$D,$B$3:$B$15,FLOAT!$P:$P)</f>
        <v>0</v>
      </c>
      <c r="AK11" s="7">
        <f t="shared" ref="AK11:AK15" si="9">SUM(AA11:AF11)+SUM(AH11:AJ11)</f>
        <v>0</v>
      </c>
      <c r="AM11" s="5">
        <v>1</v>
      </c>
      <c r="AN11" s="2">
        <v>6</v>
      </c>
    </row>
    <row r="12" spans="1:40" ht="18.75" x14ac:dyDescent="0.25">
      <c r="A12" s="153">
        <v>546854650110</v>
      </c>
      <c r="B12" s="154" t="s">
        <v>234</v>
      </c>
      <c r="C12" s="155" t="s">
        <v>489</v>
      </c>
      <c r="D12" s="7">
        <v>294</v>
      </c>
      <c r="E12" s="7">
        <f t="shared" si="7"/>
        <v>294</v>
      </c>
      <c r="F12" s="5">
        <f>19-5</f>
        <v>14</v>
      </c>
      <c r="G12" s="7">
        <f t="shared" si="2"/>
        <v>385</v>
      </c>
      <c r="H12" s="7">
        <f t="shared" si="2"/>
        <v>300</v>
      </c>
      <c r="I12" s="7">
        <f t="shared" si="3"/>
        <v>-6</v>
      </c>
      <c r="J12" s="52">
        <f t="shared" si="4"/>
        <v>99</v>
      </c>
      <c r="K12" s="7">
        <f>SUMIF('3 D P'!$E:$E,'Fresh VIN PPC'!$B:$B,'3 D P'!$J:$J)</f>
        <v>0</v>
      </c>
      <c r="L12" s="7">
        <f>SUMIF('3 D P'!$E:$E,'Fresh VIN PPC'!$B:$B,'3 D P'!$K:$K)</f>
        <v>0</v>
      </c>
      <c r="M12" s="7">
        <f>SUMIF('3 D P'!$E:$E,'Fresh VIN PPC'!$B:$B,'3 D P'!$L:$L)</f>
        <v>0</v>
      </c>
      <c r="N12" s="7">
        <f>IFERROR(VLOOKUP(A12,'Daywise Dispatch'!$A:$B,2,FALSE),0)</f>
        <v>385</v>
      </c>
      <c r="O12" s="7">
        <f>SUMIF('Consumption MTD'!$B:$B,$B$3:$B$17,'Consumption MTD'!$C:$C)</f>
        <v>300</v>
      </c>
      <c r="P12" s="7">
        <f>SUMIF('BIW Lifting A Shift'!$B:$B,$B$3:$B$15,'BIW Lifting A Shift'!$C:$C)</f>
        <v>0</v>
      </c>
      <c r="Q12" s="7">
        <f>SUMIF('BIW Lifting B Shift'!$B:$B,$B$3:$B$15,'BIW Lifting B Shift'!$C:$C)</f>
        <v>0</v>
      </c>
      <c r="R12" s="47">
        <f t="shared" si="5"/>
        <v>89</v>
      </c>
      <c r="S12" s="47">
        <f t="shared" si="6"/>
        <v>89</v>
      </c>
      <c r="T12" s="47">
        <f t="shared" si="8"/>
        <v>89</v>
      </c>
      <c r="U12" s="47">
        <f>SUMIF(FLOAT!$D:$D,$B$3:$B$15,FLOAT!$F:$F)</f>
        <v>10</v>
      </c>
      <c r="V12" s="2">
        <v>17</v>
      </c>
      <c r="W12" s="7"/>
      <c r="X12" s="7"/>
      <c r="Y12" s="7">
        <v>1</v>
      </c>
      <c r="Z12" s="7">
        <f>SUMIF(FLOAT!$D:$D,$B$3:$B$6,FLOAT!$F:$F)</f>
        <v>0</v>
      </c>
      <c r="AA12" s="7">
        <f>SUMIF(FLOAT!$D:$D,$B$3:$B$15,FLOAT!$G:$G)</f>
        <v>3</v>
      </c>
      <c r="AB12" s="7">
        <f>SUMIF(FLOAT!$D:$D,$B$3:$B$15,FLOAT!$H:$H)</f>
        <v>1</v>
      </c>
      <c r="AC12" s="7">
        <f>SUMIF(FLOAT!$D:$D,$B$3:$B$15,FLOAT!$I:$I)</f>
        <v>0</v>
      </c>
      <c r="AD12" s="7">
        <f>SUMIF(FLOAT!$D:$D,$B$3:$B$15,FLOAT!$J:$J)</f>
        <v>0</v>
      </c>
      <c r="AE12" s="7">
        <f>SUMIF(FLOAT!$D:$D,$B$3:$B$15,FLOAT!$K:$K)</f>
        <v>1</v>
      </c>
      <c r="AF12" s="7">
        <f>SUMIF(FLOAT!$D:$D,$B$3:$B$15,FLOAT!$L:$L)</f>
        <v>1</v>
      </c>
      <c r="AG12" s="7">
        <f>SUMIF(FLOAT!$D:$D,$B$3:$B$6,FLOAT!$M:$M)</f>
        <v>0</v>
      </c>
      <c r="AH12" s="7">
        <f>SUMIF(FLOAT!$D:$D,$B$3:$B$15,FLOAT!$N:$N)</f>
        <v>0</v>
      </c>
      <c r="AI12" s="7">
        <f>SUMIF(FLOAT!$D:$D,$B$3:$B$15,FLOAT!$O:$O)</f>
        <v>4</v>
      </c>
      <c r="AJ12" s="7">
        <f>SUMIF(FLOAT!$D:$D,$B$3:$B$15,FLOAT!$P:$P)</f>
        <v>0</v>
      </c>
      <c r="AK12" s="7">
        <f t="shared" si="9"/>
        <v>10</v>
      </c>
      <c r="AM12" s="5">
        <v>4</v>
      </c>
      <c r="AN12" s="2">
        <v>19</v>
      </c>
    </row>
    <row r="13" spans="1:40" ht="18.75" x14ac:dyDescent="0.25">
      <c r="A13" s="156">
        <v>546854650111</v>
      </c>
      <c r="B13" s="157" t="s">
        <v>212</v>
      </c>
      <c r="C13" s="158" t="s">
        <v>494</v>
      </c>
      <c r="D13" s="7">
        <v>830</v>
      </c>
      <c r="E13" s="7">
        <f t="shared" si="7"/>
        <v>830</v>
      </c>
      <c r="F13" s="5">
        <f>122-5</f>
        <v>117</v>
      </c>
      <c r="G13" s="7">
        <f t="shared" si="2"/>
        <v>369</v>
      </c>
      <c r="H13" s="7">
        <f t="shared" si="2"/>
        <v>290</v>
      </c>
      <c r="I13" s="7">
        <f t="shared" si="3"/>
        <v>540</v>
      </c>
      <c r="J13" s="52">
        <f t="shared" si="4"/>
        <v>196</v>
      </c>
      <c r="K13" s="7">
        <f>SUMIF('3 D P'!$E:$E,'Fresh VIN PPC'!$B:$B,'3 D P'!$J:$J)</f>
        <v>3</v>
      </c>
      <c r="L13" s="7">
        <f>SUMIF('3 D P'!$E:$E,'Fresh VIN PPC'!$B:$B,'3 D P'!$K:$K)</f>
        <v>51</v>
      </c>
      <c r="M13" s="7">
        <f>SUMIF('3 D P'!$E:$E,'Fresh VIN PPC'!$B:$B,'3 D P'!$L:$L)</f>
        <v>49</v>
      </c>
      <c r="N13" s="7">
        <f>IFERROR(VLOOKUP(A13,'Daywise Dispatch'!$A:$B,2,FALSE),0)</f>
        <v>369</v>
      </c>
      <c r="O13" s="7">
        <f>SUMIF('Consumption MTD'!$B:$B,$B$3:$B$17,'Consumption MTD'!$C:$C)</f>
        <v>290</v>
      </c>
      <c r="P13" s="7">
        <f>SUMIF('BIW Lifting A Shift'!$B:$B,$B$3:$B$15,'BIW Lifting A Shift'!$C:$C)</f>
        <v>0</v>
      </c>
      <c r="Q13" s="7">
        <f>SUMIF('BIW Lifting B Shift'!$B:$B,$B$3:$B$15,'BIW Lifting B Shift'!$C:$C)</f>
        <v>0</v>
      </c>
      <c r="R13" s="47">
        <f t="shared" si="5"/>
        <v>144</v>
      </c>
      <c r="S13" s="47">
        <f t="shared" si="6"/>
        <v>144</v>
      </c>
      <c r="T13" s="47">
        <f t="shared" si="8"/>
        <v>144</v>
      </c>
      <c r="U13" s="47">
        <f>SUMIF(FLOAT!$D:$D,$B$3:$B$15,FLOAT!$F:$F)</f>
        <v>52</v>
      </c>
      <c r="V13" s="2">
        <v>34</v>
      </c>
      <c r="W13" s="7"/>
      <c r="X13" s="7"/>
      <c r="Y13" s="7">
        <v>1</v>
      </c>
      <c r="Z13" s="7">
        <f>SUMIF(FLOAT!$D:$D,$B$3:$B$6,FLOAT!$F:$F)</f>
        <v>0</v>
      </c>
      <c r="AA13" s="7">
        <f>SUMIF(FLOAT!$D:$D,$B$3:$B$15,FLOAT!$G:$G)</f>
        <v>2</v>
      </c>
      <c r="AB13" s="7">
        <f>SUMIF(FLOAT!$D:$D,$B$3:$B$15,FLOAT!$H:$H)</f>
        <v>2</v>
      </c>
      <c r="AC13" s="7">
        <f>SUMIF(FLOAT!$D:$D,$B$3:$B$15,FLOAT!$I:$I)</f>
        <v>8</v>
      </c>
      <c r="AD13" s="7">
        <f>SUMIF(FLOAT!$D:$D,$B$3:$B$15,FLOAT!$J:$J)</f>
        <v>0</v>
      </c>
      <c r="AE13" s="7">
        <f>SUMIF(FLOAT!$D:$D,$B$3:$B$15,FLOAT!$K:$K)</f>
        <v>5</v>
      </c>
      <c r="AF13" s="7">
        <f>SUMIF(FLOAT!$D:$D,$B$3:$B$15,FLOAT!$L:$L)</f>
        <v>11</v>
      </c>
      <c r="AG13" s="7">
        <f>SUMIF(FLOAT!$D:$D,$B$3:$B$6,FLOAT!$M:$M)</f>
        <v>0</v>
      </c>
      <c r="AH13" s="7">
        <f>SUMIF(FLOAT!$D:$D,$B$3:$B$15,FLOAT!$N:$N)</f>
        <v>13</v>
      </c>
      <c r="AI13" s="7">
        <f>SUMIF(FLOAT!$D:$D,$B$3:$B$15,FLOAT!$O:$O)</f>
        <v>11</v>
      </c>
      <c r="AJ13" s="7">
        <f>SUMIF(FLOAT!$D:$D,$B$3:$B$15,FLOAT!$P:$P)</f>
        <v>0</v>
      </c>
      <c r="AK13" s="7">
        <f t="shared" si="9"/>
        <v>52</v>
      </c>
      <c r="AM13" s="5">
        <v>3</v>
      </c>
      <c r="AN13" s="2">
        <v>122</v>
      </c>
    </row>
    <row r="14" spans="1:40" ht="18.75" x14ac:dyDescent="0.25">
      <c r="A14" s="159">
        <v>546854650115</v>
      </c>
      <c r="B14" s="160" t="s">
        <v>235</v>
      </c>
      <c r="C14" s="161" t="s">
        <v>488</v>
      </c>
      <c r="D14" s="7">
        <v>230</v>
      </c>
      <c r="E14" s="7">
        <f t="shared" si="7"/>
        <v>230</v>
      </c>
      <c r="F14" s="5">
        <v>38</v>
      </c>
      <c r="G14" s="7">
        <f t="shared" si="2"/>
        <v>99</v>
      </c>
      <c r="H14" s="7">
        <f t="shared" si="2"/>
        <v>132</v>
      </c>
      <c r="I14" s="7">
        <f t="shared" si="3"/>
        <v>98</v>
      </c>
      <c r="J14" s="52">
        <f t="shared" si="4"/>
        <v>5</v>
      </c>
      <c r="K14" s="7">
        <f>SUMIF('3 D P'!$E:$E,'Fresh VIN PPC'!$B:$B,'3 D P'!$J:$J)</f>
        <v>174</v>
      </c>
      <c r="L14" s="7">
        <f>SUMIF('3 D P'!$E:$E,'Fresh VIN PPC'!$B:$B,'3 D P'!$K:$K)</f>
        <v>158</v>
      </c>
      <c r="M14" s="7">
        <f>SUMIF('3 D P'!$E:$E,'Fresh VIN PPC'!$B:$B,'3 D P'!$L:$L)</f>
        <v>98</v>
      </c>
      <c r="N14" s="7">
        <f>IFERROR(VLOOKUP(A14,'Daywise Dispatch'!$A:$B,2,FALSE),0)</f>
        <v>99</v>
      </c>
      <c r="O14" s="7">
        <f>SUMIF('Consumption MTD'!$B:$B,$B$3:$B$17,'Consumption MTD'!$C:$C)</f>
        <v>132</v>
      </c>
      <c r="P14" s="7">
        <f>SUMIF('BIW Lifting A Shift'!$B:$B,$B$3:$B$15,'BIW Lifting A Shift'!$C:$C)</f>
        <v>0</v>
      </c>
      <c r="Q14" s="7">
        <f>SUMIF('BIW Lifting B Shift'!$B:$B,$B$3:$B$15,'BIW Lifting B Shift'!$C:$C)</f>
        <v>0</v>
      </c>
      <c r="R14" s="47">
        <f t="shared" si="5"/>
        <v>1</v>
      </c>
      <c r="S14" s="47">
        <f t="shared" si="6"/>
        <v>1</v>
      </c>
      <c r="T14" s="47">
        <f t="shared" si="8"/>
        <v>1</v>
      </c>
      <c r="U14" s="47">
        <f>SUMIF(FLOAT!$D:$D,$B$3:$B$15,FLOAT!$F:$F)</f>
        <v>4</v>
      </c>
      <c r="V14" s="2">
        <v>53</v>
      </c>
      <c r="W14" s="7"/>
      <c r="X14" s="7"/>
      <c r="Y14" s="7">
        <v>1</v>
      </c>
      <c r="Z14" s="7">
        <f>SUMIF(FLOAT!$D:$D,$B$3:$B$6,FLOAT!$F:$F)</f>
        <v>0</v>
      </c>
      <c r="AA14" s="7">
        <f>SUMIF(FLOAT!$D:$D,$B$3:$B$15,FLOAT!$G:$G)</f>
        <v>1</v>
      </c>
      <c r="AB14" s="7">
        <f>SUMIF(FLOAT!$D:$D,$B$3:$B$15,FLOAT!$H:$H)</f>
        <v>1</v>
      </c>
      <c r="AC14" s="7">
        <f>SUMIF(FLOAT!$D:$D,$B$3:$B$15,FLOAT!$I:$I)</f>
        <v>0</v>
      </c>
      <c r="AD14" s="7">
        <f>SUMIF(FLOAT!$D:$D,$B$3:$B$15,FLOAT!$J:$J)</f>
        <v>0</v>
      </c>
      <c r="AE14" s="7">
        <f>SUMIF(FLOAT!$D:$D,$B$3:$B$15,FLOAT!$K:$K)</f>
        <v>0</v>
      </c>
      <c r="AF14" s="7">
        <f>SUMIF(FLOAT!$D:$D,$B$3:$B$15,FLOAT!$L:$L)</f>
        <v>0</v>
      </c>
      <c r="AG14" s="7">
        <f>SUMIF(FLOAT!$D:$D,$B$3:$B$6,FLOAT!$M:$M)</f>
        <v>0</v>
      </c>
      <c r="AH14" s="7">
        <f>SUMIF(FLOAT!$D:$D,$B$3:$B$15,FLOAT!$N:$N)</f>
        <v>1</v>
      </c>
      <c r="AI14" s="7">
        <f>SUMIF(FLOAT!$D:$D,$B$3:$B$15,FLOAT!$O:$O)</f>
        <v>1</v>
      </c>
      <c r="AJ14" s="7">
        <f>SUMIF(FLOAT!$D:$D,$B$3:$B$15,FLOAT!$P:$P)</f>
        <v>0</v>
      </c>
      <c r="AK14" s="7">
        <f t="shared" si="9"/>
        <v>4</v>
      </c>
      <c r="AM14" s="5">
        <v>3</v>
      </c>
      <c r="AN14" s="2">
        <v>38</v>
      </c>
    </row>
    <row r="15" spans="1:40" ht="18.75" x14ac:dyDescent="0.25">
      <c r="A15" s="159">
        <v>546854650116</v>
      </c>
      <c r="B15" s="160" t="s">
        <v>229</v>
      </c>
      <c r="C15" s="161" t="s">
        <v>237</v>
      </c>
      <c r="D15" s="7">
        <v>2297</v>
      </c>
      <c r="E15" s="7">
        <f t="shared" si="7"/>
        <v>2297</v>
      </c>
      <c r="F15" s="5">
        <f>167</f>
        <v>167</v>
      </c>
      <c r="G15" s="7">
        <f t="shared" si="2"/>
        <v>1282</v>
      </c>
      <c r="H15" s="7">
        <f t="shared" si="2"/>
        <v>1326</v>
      </c>
      <c r="I15" s="7">
        <f t="shared" si="3"/>
        <v>971</v>
      </c>
      <c r="J15" s="52">
        <f t="shared" si="4"/>
        <v>123</v>
      </c>
      <c r="K15" s="7">
        <f>SUMIF('3 D P'!$E:$E,'Fresh VIN PPC'!$B:$B,'3 D P'!$J:$J)</f>
        <v>7</v>
      </c>
      <c r="L15" s="7">
        <f>SUMIF('3 D P'!$E:$E,'Fresh VIN PPC'!$B:$B,'3 D P'!$K:$K)</f>
        <v>19</v>
      </c>
      <c r="M15" s="7">
        <f>SUMIF('3 D P'!$E:$E,'Fresh VIN PPC'!$B:$B,'3 D P'!$L:$L)</f>
        <v>3</v>
      </c>
      <c r="N15" s="7">
        <f>IFERROR(VLOOKUP(A15,'Daywise Dispatch'!$A:$B,2,FALSE),0)</f>
        <v>1282</v>
      </c>
      <c r="O15" s="7">
        <f>SUMIF('Consumption MTD'!$B:$B,$B$3:$B$17,'Consumption MTD'!$C:$C)</f>
        <v>1326</v>
      </c>
      <c r="P15" s="7">
        <f>SUMIF('BIW Lifting A Shift'!$B:$B,$B$3:$B$15,'BIW Lifting A Shift'!$C:$C)</f>
        <v>0</v>
      </c>
      <c r="Q15" s="7">
        <f>SUMIF('BIW Lifting B Shift'!$B:$B,$B$3:$B$15,'BIW Lifting B Shift'!$C:$C)</f>
        <v>0</v>
      </c>
      <c r="R15" s="47">
        <f t="shared" si="5"/>
        <v>8</v>
      </c>
      <c r="S15" s="47">
        <f t="shared" si="6"/>
        <v>8</v>
      </c>
      <c r="T15" s="47">
        <f t="shared" si="8"/>
        <v>8</v>
      </c>
      <c r="U15" s="47">
        <f>SUMIF(FLOAT!$D:$D,$B$3:$B$15,FLOAT!$F:$F)</f>
        <v>115</v>
      </c>
      <c r="V15" s="2">
        <v>68</v>
      </c>
      <c r="W15" s="7"/>
      <c r="X15" s="7"/>
      <c r="Y15" s="7">
        <v>1</v>
      </c>
      <c r="Z15" s="7">
        <f>SUMIF(FLOAT!$D:$D,$B$3:$B$6,FLOAT!$F:$F)</f>
        <v>0</v>
      </c>
      <c r="AA15" s="7">
        <f>SUMIF(FLOAT!$D:$D,$B$3:$B$15,FLOAT!$G:$G)</f>
        <v>24</v>
      </c>
      <c r="AB15" s="7">
        <f>SUMIF(FLOAT!$D:$D,$B$3:$B$15,FLOAT!$H:$H)</f>
        <v>5</v>
      </c>
      <c r="AC15" s="7">
        <f>SUMIF(FLOAT!$D:$D,$B$3:$B$15,FLOAT!$I:$I)</f>
        <v>14</v>
      </c>
      <c r="AD15" s="7">
        <f>SUMIF(FLOAT!$D:$D,$B$3:$B$15,FLOAT!$J:$J)</f>
        <v>1</v>
      </c>
      <c r="AE15" s="7">
        <f>SUMIF(FLOAT!$D:$D,$B$3:$B$15,FLOAT!$K:$K)</f>
        <v>5</v>
      </c>
      <c r="AF15" s="7">
        <f>SUMIF(FLOAT!$D:$D,$B$3:$B$15,FLOAT!$L:$L)</f>
        <v>24</v>
      </c>
      <c r="AG15" s="7">
        <f>SUMIF(FLOAT!$D:$D,$B$3:$B$6,FLOAT!$M:$M)</f>
        <v>0</v>
      </c>
      <c r="AH15" s="7">
        <f>SUMIF(FLOAT!$D:$D,$B$3:$B$15,FLOAT!$N:$N)</f>
        <v>16</v>
      </c>
      <c r="AI15" s="7">
        <f>SUMIF(FLOAT!$D:$D,$B$3:$B$15,FLOAT!$O:$O)</f>
        <v>26</v>
      </c>
      <c r="AJ15" s="7">
        <f>SUMIF(FLOAT!$D:$D,$B$3:$B$15,FLOAT!$P:$P)</f>
        <v>0</v>
      </c>
      <c r="AK15" s="7">
        <f t="shared" si="9"/>
        <v>115</v>
      </c>
      <c r="AM15" s="5">
        <v>6</v>
      </c>
      <c r="AN15" s="2">
        <v>167</v>
      </c>
    </row>
    <row r="16" spans="1:40" x14ac:dyDescent="0.25">
      <c r="D16" s="61">
        <f t="shared" ref="D16:Q16" si="10">SUM(D10:D15)</f>
        <v>3651</v>
      </c>
      <c r="E16" s="61">
        <f t="shared" si="10"/>
        <v>3651</v>
      </c>
      <c r="F16" s="61">
        <f t="shared" si="10"/>
        <v>347</v>
      </c>
      <c r="G16" s="61">
        <f t="shared" si="10"/>
        <v>2135</v>
      </c>
      <c r="H16" s="61">
        <f t="shared" si="10"/>
        <v>2048</v>
      </c>
      <c r="I16" s="61">
        <f t="shared" si="10"/>
        <v>1603</v>
      </c>
      <c r="J16" s="61">
        <f t="shared" si="10"/>
        <v>434</v>
      </c>
      <c r="K16" s="61">
        <f t="shared" si="10"/>
        <v>184</v>
      </c>
      <c r="L16" s="61">
        <f t="shared" si="10"/>
        <v>228</v>
      </c>
      <c r="M16" s="61">
        <f t="shared" si="10"/>
        <v>150</v>
      </c>
      <c r="N16" s="61">
        <f t="shared" si="10"/>
        <v>2135</v>
      </c>
      <c r="O16" s="61">
        <f t="shared" si="10"/>
        <v>2048</v>
      </c>
      <c r="P16" s="61">
        <f t="shared" si="10"/>
        <v>0</v>
      </c>
      <c r="Q16" s="61">
        <f t="shared" si="10"/>
        <v>0</v>
      </c>
      <c r="R16" s="61"/>
      <c r="S16" s="61"/>
      <c r="T16" s="61"/>
      <c r="U16" s="61">
        <f>SUM(U10:U15)</f>
        <v>181</v>
      </c>
      <c r="V16" s="61">
        <f>SUM(V10:V15)</f>
        <v>183</v>
      </c>
      <c r="W16" s="44"/>
      <c r="X16" s="44"/>
      <c r="Y16" s="44"/>
      <c r="Z16" s="44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M16" s="61">
        <f>SUM(AM10:AM15)</f>
        <v>18</v>
      </c>
    </row>
    <row r="17" spans="26:37" ht="18.75" x14ac:dyDescent="0.25"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</row>
    <row r="18" spans="26:37" ht="18.75" x14ac:dyDescent="0.25"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</row>
  </sheetData>
  <autoFilter ref="A9:AM16" xr:uid="{00000000-0009-0000-0000-000001000000}"/>
  <mergeCells count="12">
    <mergeCell ref="X3:X6"/>
    <mergeCell ref="Y3:Y6"/>
    <mergeCell ref="R3:R6"/>
    <mergeCell ref="A3:A6"/>
    <mergeCell ref="J3:J6"/>
    <mergeCell ref="I3:I6"/>
    <mergeCell ref="S3:S6"/>
    <mergeCell ref="T3:T6"/>
    <mergeCell ref="E3:E6"/>
    <mergeCell ref="F3:F6"/>
    <mergeCell ref="G3:G6"/>
    <mergeCell ref="H3:H6"/>
  </mergeCells>
  <conditionalFormatting sqref="A10:A15">
    <cfRule type="duplicateValues" dxfId="56" priority="7"/>
    <cfRule type="duplicateValues" dxfId="55" priority="8"/>
  </conditionalFormatting>
  <conditionalFormatting sqref="B3:B5">
    <cfRule type="duplicateValues" dxfId="54" priority="1420"/>
  </conditionalFormatting>
  <conditionalFormatting sqref="B6">
    <cfRule type="duplicateValues" dxfId="53" priority="3"/>
    <cfRule type="duplicateValues" dxfId="52" priority="4"/>
  </conditionalFormatting>
  <conditionalFormatting sqref="B9:B15">
    <cfRule type="duplicateValues" dxfId="51" priority="1592"/>
  </conditionalFormatting>
  <conditionalFormatting sqref="B10:B15">
    <cfRule type="duplicateValues" dxfId="50" priority="1593"/>
  </conditionalFormatting>
  <conditionalFormatting sqref="R1:T8 W1:W8 J1:J17 I1:I1048576 R17:T17 W17 H18:H19 Q18:S23 V18:V23 H21:H23 J24:J1048576 R24:T1048576 W24:W1048576">
    <cfRule type="cellIs" dxfId="49" priority="2" operator="lessThan">
      <formula>0</formula>
    </cfRule>
  </conditionalFormatting>
  <conditionalFormatting sqref="R10:T15">
    <cfRule type="cellIs" dxfId="48" priority="1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A1:AO8"/>
  <sheetViews>
    <sheetView zoomScale="80" zoomScaleNormal="80" workbookViewId="0">
      <selection activeCell="R14" sqref="R14"/>
    </sheetView>
  </sheetViews>
  <sheetFormatPr defaultRowHeight="15" x14ac:dyDescent="0.25"/>
  <cols>
    <col min="1" max="1" width="21.42578125" bestFit="1" customWidth="1"/>
    <col min="2" max="2" width="14.5703125" bestFit="1" customWidth="1"/>
    <col min="3" max="3" width="26.28515625" bestFit="1" customWidth="1"/>
    <col min="4" max="4" width="7" customWidth="1"/>
    <col min="5" max="5" width="8.5703125" customWidth="1"/>
    <col min="6" max="6" width="7.7109375" customWidth="1"/>
    <col min="7" max="8" width="8.7109375" customWidth="1"/>
    <col min="9" max="9" width="8.85546875" customWidth="1"/>
    <col min="10" max="10" width="8.42578125" bestFit="1" customWidth="1"/>
    <col min="11" max="13" width="12" hidden="1" customWidth="1"/>
    <col min="14" max="14" width="0" hidden="1" customWidth="1"/>
    <col min="15" max="15" width="8.7109375" hidden="1" customWidth="1"/>
    <col min="16" max="17" width="8.28515625" bestFit="1" customWidth="1"/>
    <col min="18" max="20" width="8.85546875" bestFit="1" customWidth="1"/>
    <col min="23" max="24" width="0" hidden="1" customWidth="1"/>
    <col min="25" max="25" width="2.7109375" hidden="1" customWidth="1"/>
    <col min="26" max="26" width="7.140625" hidden="1" customWidth="1"/>
    <col min="27" max="27" width="7.140625" bestFit="1" customWidth="1"/>
    <col min="28" max="28" width="8.5703125" bestFit="1" customWidth="1"/>
    <col min="29" max="29" width="8.85546875" bestFit="1" customWidth="1"/>
    <col min="30" max="32" width="9" bestFit="1" customWidth="1"/>
    <col min="33" max="33" width="8.42578125" bestFit="1" customWidth="1"/>
    <col min="34" max="35" width="8.28515625" bestFit="1" customWidth="1"/>
    <col min="36" max="36" width="8.5703125" bestFit="1" customWidth="1"/>
    <col min="37" max="37" width="6" bestFit="1" customWidth="1"/>
  </cols>
  <sheetData>
    <row r="1" spans="1:41" ht="78.75" x14ac:dyDescent="0.25">
      <c r="A1" s="84" t="s">
        <v>482</v>
      </c>
      <c r="B1" s="85" t="s">
        <v>115</v>
      </c>
      <c r="C1" s="85" t="s">
        <v>0</v>
      </c>
      <c r="D1" s="62" t="s">
        <v>1</v>
      </c>
      <c r="E1" s="62" t="s">
        <v>2</v>
      </c>
      <c r="F1" s="62" t="s">
        <v>3</v>
      </c>
      <c r="G1" s="62" t="s">
        <v>4</v>
      </c>
      <c r="H1" s="62" t="s">
        <v>5</v>
      </c>
      <c r="I1" s="62" t="s">
        <v>6</v>
      </c>
      <c r="J1" s="63" t="s">
        <v>7</v>
      </c>
      <c r="K1" s="64">
        <f ca="1">TODAY()</f>
        <v>46221</v>
      </c>
      <c r="L1" s="64">
        <f ca="1">TODAY()+1</f>
        <v>46222</v>
      </c>
      <c r="M1" s="64">
        <f ca="1">TODAY()+2</f>
        <v>46223</v>
      </c>
      <c r="N1" s="62" t="s">
        <v>8</v>
      </c>
      <c r="O1" s="62" t="s">
        <v>5</v>
      </c>
      <c r="P1" s="65" t="s">
        <v>9</v>
      </c>
      <c r="Q1" s="65" t="s">
        <v>10</v>
      </c>
      <c r="R1" s="65" t="s">
        <v>11</v>
      </c>
      <c r="S1" s="65" t="s">
        <v>12</v>
      </c>
      <c r="T1" s="65" t="s">
        <v>13</v>
      </c>
      <c r="U1" s="66" t="s">
        <v>14</v>
      </c>
      <c r="V1" s="2"/>
      <c r="W1" s="51"/>
      <c r="X1" s="51"/>
      <c r="Y1" s="51"/>
      <c r="Z1" s="51" t="s">
        <v>95</v>
      </c>
      <c r="AA1" s="67" t="s">
        <v>96</v>
      </c>
      <c r="AB1" s="67" t="s">
        <v>97</v>
      </c>
      <c r="AC1" s="67" t="s">
        <v>98</v>
      </c>
      <c r="AD1" s="67" t="s">
        <v>99</v>
      </c>
      <c r="AE1" s="67" t="s">
        <v>100</v>
      </c>
      <c r="AF1" s="67" t="s">
        <v>101</v>
      </c>
      <c r="AG1" s="67" t="s">
        <v>102</v>
      </c>
      <c r="AH1" s="67" t="s">
        <v>103</v>
      </c>
      <c r="AI1" s="67" t="s">
        <v>104</v>
      </c>
      <c r="AJ1" s="67" t="s">
        <v>105</v>
      </c>
      <c r="AK1" s="50" t="s">
        <v>93</v>
      </c>
    </row>
    <row r="2" spans="1:41" ht="18.75" x14ac:dyDescent="0.25">
      <c r="A2" s="107">
        <v>546854620381</v>
      </c>
      <c r="B2" s="3" t="s">
        <v>233</v>
      </c>
      <c r="C2" s="43" t="s">
        <v>89</v>
      </c>
      <c r="D2" s="7">
        <v>0</v>
      </c>
      <c r="E2" s="7">
        <v>0</v>
      </c>
      <c r="F2" s="89">
        <v>5</v>
      </c>
      <c r="G2" s="7">
        <f t="shared" ref="G2:H7" si="0">N2</f>
        <v>0</v>
      </c>
      <c r="H2" s="7">
        <f t="shared" si="0"/>
        <v>0</v>
      </c>
      <c r="I2" s="7">
        <f t="shared" ref="I2:I7" si="1">E2-H2</f>
        <v>0</v>
      </c>
      <c r="J2" s="52">
        <f t="shared" ref="J2:J7" si="2">F2+G2-H2</f>
        <v>5</v>
      </c>
      <c r="K2" s="7">
        <f>SUMIF('3 D P'!$E:$E,Front!$B:$B,'3 D P'!J:J)</f>
        <v>0</v>
      </c>
      <c r="L2" s="7">
        <f>SUMIF('3 D P'!$E:$E,Front!$B:$B,'3 D P'!K:K)</f>
        <v>0</v>
      </c>
      <c r="M2" s="7">
        <f>SUMIF('3 D P'!$E:$E,Front!$B:$B,'3 D P'!L:L)</f>
        <v>0</v>
      </c>
      <c r="N2" s="7">
        <f>IFERROR(VLOOKUP(A2,'Front Dispatch'!A:B,2,0),0)</f>
        <v>0</v>
      </c>
      <c r="O2" s="7">
        <f>SUMIF('Consumption MTD'!$B:$B,$B$2:$B$17,'Consumption MTD'!$C:$C)</f>
        <v>0</v>
      </c>
      <c r="P2" s="7">
        <f>SUMIF('BIW Lifting A Shift'!$B:$B,$B$2:$B$15,'BIW Lifting A Shift'!$C:$C)</f>
        <v>0</v>
      </c>
      <c r="Q2" s="7">
        <f>SUMIF('BIW Lifting B Shift'!$B:$B,$B$2:$B$15,'BIW Lifting B Shift'!$C:$C)</f>
        <v>0</v>
      </c>
      <c r="R2" s="47">
        <f t="shared" ref="R2:R7" si="3">J2-U2</f>
        <v>5</v>
      </c>
      <c r="S2" s="47">
        <f t="shared" ref="S2:S7" si="4">J2-P2-U2</f>
        <v>5</v>
      </c>
      <c r="T2" s="47">
        <f>S2-Q2</f>
        <v>5</v>
      </c>
      <c r="U2" s="47">
        <f>SUMIF(FLOAT!$D:$D,$B$2:$B$15,FLOAT!$F:$F)</f>
        <v>0</v>
      </c>
      <c r="V2" s="2">
        <v>6</v>
      </c>
      <c r="W2" s="7"/>
      <c r="X2" s="7"/>
      <c r="Y2" s="7">
        <v>1</v>
      </c>
      <c r="Z2" s="7">
        <f>SUMIF(FLOAT!$D:$D,$B$2:$B$14,FLOAT!$F:$F)</f>
        <v>0</v>
      </c>
      <c r="AA2" s="7">
        <f>SUMIF(FLOAT!$D:$D,$B$2:$B$13,FLOAT!$G:$G)</f>
        <v>0</v>
      </c>
      <c r="AB2" s="7">
        <f>SUMIF(FLOAT!$D:$D,$B$2:$B$13,FLOAT!$H:$H)</f>
        <v>0</v>
      </c>
      <c r="AC2" s="7">
        <f>SUMIF(FLOAT!$D:$D,$B$2:$B$13,FLOAT!$I:$I)</f>
        <v>0</v>
      </c>
      <c r="AD2" s="7">
        <f>SUMIF(FLOAT!$D:$D,$B$2:$B$13,FLOAT!$J:$J)</f>
        <v>0</v>
      </c>
      <c r="AE2" s="7">
        <f>SUMIF(FLOAT!$D:$D,$B$2:$B$13,FLOAT!$K:$K)</f>
        <v>0</v>
      </c>
      <c r="AF2" s="7">
        <f>SUMIF(FLOAT!$D:$D,$B$2:$B$13,FLOAT!$L:$L)</f>
        <v>0</v>
      </c>
      <c r="AG2" s="7">
        <f>SUMIF(FLOAT!$D:$D,$B$2:$B$6,FLOAT!$M:$M)</f>
        <v>0</v>
      </c>
      <c r="AH2" s="7">
        <f>SUMIF(FLOAT!$D:$D,$B$2:$B$13,FLOAT!$N:$N)</f>
        <v>0</v>
      </c>
      <c r="AI2" s="7">
        <f>SUMIF(FLOAT!$D:$D,$B$2:$B$13,FLOAT!$O:$O)</f>
        <v>0</v>
      </c>
      <c r="AJ2" s="7">
        <f>SUMIF(FLOAT!$D:$D,$B$2:$B$13,FLOAT!$P:$P)</f>
        <v>0</v>
      </c>
      <c r="AK2" s="7">
        <f>SUM(AA2:AF2)+SUM(AH2:AJ2)</f>
        <v>0</v>
      </c>
    </row>
    <row r="3" spans="1:41" ht="18.75" x14ac:dyDescent="0.25">
      <c r="A3" s="107">
        <v>546854620382</v>
      </c>
      <c r="B3" s="3" t="s">
        <v>228</v>
      </c>
      <c r="C3" s="43" t="s">
        <v>88</v>
      </c>
      <c r="D3" s="7">
        <v>0</v>
      </c>
      <c r="E3" s="7">
        <v>0</v>
      </c>
      <c r="F3" s="89">
        <v>5</v>
      </c>
      <c r="G3" s="7">
        <f t="shared" si="0"/>
        <v>0</v>
      </c>
      <c r="H3" s="7">
        <f t="shared" si="0"/>
        <v>0</v>
      </c>
      <c r="I3" s="7">
        <f t="shared" si="1"/>
        <v>0</v>
      </c>
      <c r="J3" s="52">
        <f t="shared" si="2"/>
        <v>5</v>
      </c>
      <c r="K3" s="7">
        <f>SUMIF('3 D P'!$E:$E,Front!$B:$B,'3 D P'!J:J)</f>
        <v>0</v>
      </c>
      <c r="L3" s="7">
        <f>SUMIF('3 D P'!$E:$E,Front!$B:$B,'3 D P'!K:K)</f>
        <v>0</v>
      </c>
      <c r="M3" s="7">
        <f>SUMIF('3 D P'!$E:$E,Front!$B:$B,'3 D P'!L:L)</f>
        <v>0</v>
      </c>
      <c r="N3" s="7">
        <f>IFERROR(VLOOKUP(A3,'Front Dispatch'!A:B,2,0),0)</f>
        <v>0</v>
      </c>
      <c r="O3" s="7">
        <f>SUMIF('Consumption MTD'!$B:$B,$B$2:$B$17,'Consumption MTD'!$C:$C)</f>
        <v>0</v>
      </c>
      <c r="P3" s="7">
        <f>SUMIF('BIW Lifting A Shift'!$B:$B,$B$2:$B$15,'BIW Lifting A Shift'!$C:$C)</f>
        <v>0</v>
      </c>
      <c r="Q3" s="7">
        <f>SUMIF('BIW Lifting B Shift'!$B:$B,$B$2:$B$15,'BIW Lifting B Shift'!$C:$C)</f>
        <v>0</v>
      </c>
      <c r="R3" s="47">
        <f t="shared" si="3"/>
        <v>5</v>
      </c>
      <c r="S3" s="47">
        <f t="shared" si="4"/>
        <v>5</v>
      </c>
      <c r="T3" s="47">
        <f t="shared" ref="T3:T7" si="5">S3-Q3</f>
        <v>5</v>
      </c>
      <c r="U3" s="47">
        <f>SUMIF(FLOAT!$D:$D,$B$2:$B$15,FLOAT!$F:$F)</f>
        <v>0</v>
      </c>
      <c r="V3" s="2">
        <v>6</v>
      </c>
      <c r="W3" s="7"/>
      <c r="X3" s="7"/>
      <c r="Y3" s="7">
        <v>1</v>
      </c>
      <c r="Z3" s="7">
        <f>SUMIF(FLOAT!$D:$D,$B$2:$B$14,FLOAT!$F:$F)</f>
        <v>0</v>
      </c>
      <c r="AA3" s="7">
        <f>SUMIF(FLOAT!$D:$D,$B$2:$B$13,FLOAT!$G:$G)</f>
        <v>0</v>
      </c>
      <c r="AB3" s="7">
        <f>SUMIF(FLOAT!$D:$D,$B$2:$B$13,FLOAT!$H:$H)</f>
        <v>0</v>
      </c>
      <c r="AC3" s="7">
        <f>SUMIF(FLOAT!$D:$D,$B$2:$B$13,FLOAT!$I:$I)</f>
        <v>0</v>
      </c>
      <c r="AD3" s="7">
        <f>SUMIF(FLOAT!$D:$D,$B$2:$B$13,FLOAT!$J:$J)</f>
        <v>0</v>
      </c>
      <c r="AE3" s="7">
        <f>SUMIF(FLOAT!$D:$D,$B$2:$B$13,FLOAT!$K:$K)</f>
        <v>0</v>
      </c>
      <c r="AF3" s="7">
        <f>SUMIF(FLOAT!$D:$D,$B$2:$B$13,FLOAT!$L:$L)</f>
        <v>0</v>
      </c>
      <c r="AG3" s="7">
        <f>SUMIF(FLOAT!$D:$D,$B$2:$B$6,FLOAT!$M:$M)</f>
        <v>0</v>
      </c>
      <c r="AH3" s="7">
        <f>SUMIF(FLOAT!$D:$D,$B$2:$B$13,FLOAT!$N:$N)</f>
        <v>0</v>
      </c>
      <c r="AI3" s="7">
        <f>SUMIF(FLOAT!$D:$D,$B$2:$B$13,FLOAT!$O:$O)</f>
        <v>0</v>
      </c>
      <c r="AJ3" s="7">
        <f>SUMIF(FLOAT!$D:$D,$B$2:$B$13,FLOAT!$P:$P)</f>
        <v>0</v>
      </c>
      <c r="AK3" s="7">
        <f t="shared" ref="AK3:AK7" si="6">SUM(AA3:AF3)+SUM(AH3:AJ3)</f>
        <v>0</v>
      </c>
    </row>
    <row r="4" spans="1:41" ht="18.75" x14ac:dyDescent="0.25">
      <c r="A4" s="107">
        <v>546854620355</v>
      </c>
      <c r="B4" s="3" t="s">
        <v>234</v>
      </c>
      <c r="C4" s="43" t="s">
        <v>236</v>
      </c>
      <c r="D4" s="7">
        <v>750</v>
      </c>
      <c r="E4" s="7">
        <v>294</v>
      </c>
      <c r="F4" s="89">
        <v>44</v>
      </c>
      <c r="G4" s="7">
        <f t="shared" si="0"/>
        <v>289</v>
      </c>
      <c r="H4" s="7">
        <f t="shared" si="0"/>
        <v>300</v>
      </c>
      <c r="I4" s="7">
        <f t="shared" si="1"/>
        <v>-6</v>
      </c>
      <c r="J4" s="52">
        <f t="shared" si="2"/>
        <v>33</v>
      </c>
      <c r="K4" s="7">
        <f>SUMIF('3 D P'!$E:$E,Front!$B:$B,'3 D P'!J:J)</f>
        <v>3</v>
      </c>
      <c r="L4" s="7">
        <f>SUMIF('3 D P'!$E:$E,Front!$B:$B,'3 D P'!K:K)</f>
        <v>51</v>
      </c>
      <c r="M4" s="7">
        <f>SUMIF('3 D P'!$E:$E,Front!$B:$B,'3 D P'!L:L)</f>
        <v>49</v>
      </c>
      <c r="N4" s="7">
        <f>IFERROR(VLOOKUP(A4,'Front Dispatch'!A:B,2,0),0)</f>
        <v>289</v>
      </c>
      <c r="O4" s="7">
        <f>SUMIF('Consumption MTD'!$B:$B,$B$2:$B$17,'Consumption MTD'!$C:$C)</f>
        <v>300</v>
      </c>
      <c r="P4" s="7">
        <f>SUMIF('BIW Lifting A Shift'!$B:$B,$B$2:$B$15,'BIW Lifting A Shift'!$C:$C)</f>
        <v>0</v>
      </c>
      <c r="Q4" s="7">
        <f>SUMIF('BIW Lifting B Shift'!$B:$B,$B$2:$B$15,'BIW Lifting B Shift'!$C:$C)</f>
        <v>0</v>
      </c>
      <c r="R4" s="47">
        <f t="shared" si="3"/>
        <v>23</v>
      </c>
      <c r="S4" s="47">
        <f t="shared" si="4"/>
        <v>23</v>
      </c>
      <c r="T4" s="47">
        <f t="shared" si="5"/>
        <v>23</v>
      </c>
      <c r="U4" s="47">
        <f>SUMIF(FLOAT!$D:$D,$B$2:$B$15,FLOAT!$F:$F)</f>
        <v>10</v>
      </c>
      <c r="V4" s="2">
        <v>23</v>
      </c>
      <c r="W4" s="7"/>
      <c r="X4" s="7"/>
      <c r="Y4" s="7">
        <v>1</v>
      </c>
      <c r="Z4" s="7">
        <f>SUMIF(FLOAT!$D:$D,$B$2:$B$14,FLOAT!$F:$F)</f>
        <v>10</v>
      </c>
      <c r="AA4" s="7">
        <f>SUMIF(FLOAT!$D:$D,$B$2:$B$13,FLOAT!$G:$G)</f>
        <v>3</v>
      </c>
      <c r="AB4" s="7">
        <f>SUMIF(FLOAT!$D:$D,$B$2:$B$13,FLOAT!$H:$H)</f>
        <v>1</v>
      </c>
      <c r="AC4" s="7">
        <f>SUMIF(FLOAT!$D:$D,$B$2:$B$13,FLOAT!$I:$I)</f>
        <v>0</v>
      </c>
      <c r="AD4" s="7">
        <f>SUMIF(FLOAT!$D:$D,$B$2:$B$13,FLOAT!$J:$J)</f>
        <v>0</v>
      </c>
      <c r="AE4" s="7">
        <f>SUMIF(FLOAT!$D:$D,$B$2:$B$13,FLOAT!$K:$K)</f>
        <v>1</v>
      </c>
      <c r="AF4" s="7">
        <f>SUMIF(FLOAT!$D:$D,$B$2:$B$13,FLOAT!$L:$L)</f>
        <v>1</v>
      </c>
      <c r="AG4" s="7">
        <f>SUMIF(FLOAT!$D:$D,$B$2:$B$6,FLOAT!$M:$M)</f>
        <v>6</v>
      </c>
      <c r="AH4" s="7">
        <f>SUMIF(FLOAT!$D:$D,$B$2:$B$13,FLOAT!$N:$N)</f>
        <v>0</v>
      </c>
      <c r="AI4" s="7">
        <f>SUMIF(FLOAT!$D:$D,$B$2:$B$13,FLOAT!$O:$O)</f>
        <v>4</v>
      </c>
      <c r="AJ4" s="7">
        <f>SUMIF(FLOAT!$D:$D,$B$2:$B$13,FLOAT!$P:$P)</f>
        <v>0</v>
      </c>
      <c r="AK4" s="7">
        <f t="shared" si="6"/>
        <v>10</v>
      </c>
      <c r="AO4">
        <v>1</v>
      </c>
    </row>
    <row r="5" spans="1:41" ht="18.75" x14ac:dyDescent="0.25">
      <c r="A5" s="107">
        <v>546854620387</v>
      </c>
      <c r="B5" s="3" t="s">
        <v>212</v>
      </c>
      <c r="C5" s="43" t="s">
        <v>106</v>
      </c>
      <c r="D5" s="7">
        <v>335</v>
      </c>
      <c r="E5" s="7">
        <v>830</v>
      </c>
      <c r="F5" s="89">
        <v>29</v>
      </c>
      <c r="G5" s="7">
        <f t="shared" si="0"/>
        <v>326</v>
      </c>
      <c r="H5" s="7">
        <f t="shared" si="0"/>
        <v>290</v>
      </c>
      <c r="I5" s="7">
        <f t="shared" si="1"/>
        <v>540</v>
      </c>
      <c r="J5" s="52">
        <f t="shared" si="2"/>
        <v>65</v>
      </c>
      <c r="K5" s="7">
        <f>SUMIF('3 D P'!$E:$E,Front!$B:$B,'3 D P'!J:J)</f>
        <v>174</v>
      </c>
      <c r="L5" s="7">
        <f>SUMIF('3 D P'!$E:$E,Front!$B:$B,'3 D P'!K:K)</f>
        <v>158</v>
      </c>
      <c r="M5" s="7">
        <f>SUMIF('3 D P'!$E:$E,Front!$B:$B,'3 D P'!L:L)</f>
        <v>98</v>
      </c>
      <c r="N5" s="7">
        <f>IFERROR(VLOOKUP(A5,'Front Dispatch'!A:B,2,0),0)</f>
        <v>326</v>
      </c>
      <c r="O5" s="7">
        <f>SUMIF('Consumption MTD'!$B:$B,$B$2:$B$17,'Consumption MTD'!$C:$C)</f>
        <v>290</v>
      </c>
      <c r="P5" s="7">
        <f>SUMIF('BIW Lifting A Shift'!$B:$B,$B$2:$B$15,'BIW Lifting A Shift'!$C:$C)</f>
        <v>0</v>
      </c>
      <c r="Q5" s="7">
        <f>SUMIF('BIW Lifting B Shift'!$B:$B,$B$2:$B$15,'BIW Lifting B Shift'!$C:$C)</f>
        <v>0</v>
      </c>
      <c r="R5" s="47">
        <f t="shared" si="3"/>
        <v>13</v>
      </c>
      <c r="S5" s="47">
        <f t="shared" si="4"/>
        <v>13</v>
      </c>
      <c r="T5" s="47">
        <f t="shared" si="5"/>
        <v>13</v>
      </c>
      <c r="U5" s="47">
        <f>SUMIF(FLOAT!$D:$D,$B$2:$B$15,FLOAT!$F:$F)</f>
        <v>52</v>
      </c>
      <c r="V5" s="2">
        <v>16</v>
      </c>
      <c r="W5" s="7"/>
      <c r="X5" s="7"/>
      <c r="Y5" s="7">
        <v>1</v>
      </c>
      <c r="Z5" s="7">
        <f>SUMIF(FLOAT!$D:$D,$B$2:$B$14,FLOAT!$F:$F)</f>
        <v>52</v>
      </c>
      <c r="AA5" s="7">
        <f>SUMIF(FLOAT!$D:$D,$B$2:$B$13,FLOAT!$G:$G)</f>
        <v>2</v>
      </c>
      <c r="AB5" s="7">
        <f>SUMIF(FLOAT!$D:$D,$B$2:$B$13,FLOAT!$H:$H)</f>
        <v>2</v>
      </c>
      <c r="AC5" s="7">
        <f>SUMIF(FLOAT!$D:$D,$B$2:$B$13,FLOAT!$I:$I)</f>
        <v>8</v>
      </c>
      <c r="AD5" s="7">
        <f>SUMIF(FLOAT!$D:$D,$B$2:$B$13,FLOAT!$J:$J)</f>
        <v>0</v>
      </c>
      <c r="AE5" s="7">
        <f>SUMIF(FLOAT!$D:$D,$B$2:$B$13,FLOAT!$K:$K)</f>
        <v>5</v>
      </c>
      <c r="AF5" s="7">
        <f>SUMIF(FLOAT!$D:$D,$B$2:$B$13,FLOAT!$L:$L)</f>
        <v>11</v>
      </c>
      <c r="AG5" s="7">
        <f>SUMIF(FLOAT!$D:$D,$B$2:$B$6,FLOAT!$M:$M)</f>
        <v>28</v>
      </c>
      <c r="AH5" s="7">
        <f>SUMIF(FLOAT!$D:$D,$B$2:$B$13,FLOAT!$N:$N)</f>
        <v>13</v>
      </c>
      <c r="AI5" s="7">
        <f>SUMIF(FLOAT!$D:$D,$B$2:$B$13,FLOAT!$O:$O)</f>
        <v>11</v>
      </c>
      <c r="AJ5" s="7">
        <f>SUMIF(FLOAT!$D:$D,$B$2:$B$13,FLOAT!$P:$P)</f>
        <v>0</v>
      </c>
      <c r="AK5" s="7">
        <f t="shared" si="6"/>
        <v>52</v>
      </c>
      <c r="AO5">
        <v>1</v>
      </c>
    </row>
    <row r="6" spans="1:41" ht="18.75" x14ac:dyDescent="0.25">
      <c r="A6" s="128">
        <v>546854620346</v>
      </c>
      <c r="B6" s="3" t="s">
        <v>235</v>
      </c>
      <c r="C6" s="43" t="s">
        <v>91</v>
      </c>
      <c r="D6" s="7">
        <v>235</v>
      </c>
      <c r="E6" s="7">
        <v>230</v>
      </c>
      <c r="F6" s="89">
        <f>26+3</f>
        <v>29</v>
      </c>
      <c r="G6" s="7">
        <f t="shared" si="0"/>
        <v>178</v>
      </c>
      <c r="H6" s="7">
        <f t="shared" si="0"/>
        <v>132</v>
      </c>
      <c r="I6" s="7">
        <f t="shared" si="1"/>
        <v>98</v>
      </c>
      <c r="J6" s="52">
        <f t="shared" si="2"/>
        <v>75</v>
      </c>
      <c r="K6" s="7">
        <f>SUMIF('3 D P'!$E:$E,Front!$B:$B,'3 D P'!J:J)</f>
        <v>7</v>
      </c>
      <c r="L6" s="7">
        <f>SUMIF('3 D P'!$E:$E,Front!$B:$B,'3 D P'!K:K)</f>
        <v>19</v>
      </c>
      <c r="M6" s="7">
        <f>SUMIF('3 D P'!$E:$E,Front!$B:$B,'3 D P'!L:L)</f>
        <v>3</v>
      </c>
      <c r="N6" s="7">
        <f>IFERROR(VLOOKUP(A6,'Front Dispatch'!A:B,2,0),0)</f>
        <v>178</v>
      </c>
      <c r="O6" s="7">
        <f>SUMIF('Consumption MTD'!$B:$B,$B$2:$B$17,'Consumption MTD'!$C:$C)</f>
        <v>132</v>
      </c>
      <c r="P6" s="7">
        <f>SUMIF('BIW Lifting A Shift'!$B:$B,$B$2:$B$15,'BIW Lifting A Shift'!$C:$C)</f>
        <v>0</v>
      </c>
      <c r="Q6" s="7">
        <f>SUMIF('BIW Lifting B Shift'!$B:$B,$B$2:$B$15,'BIW Lifting B Shift'!$C:$C)</f>
        <v>0</v>
      </c>
      <c r="R6" s="47">
        <f t="shared" si="3"/>
        <v>71</v>
      </c>
      <c r="S6" s="47">
        <f t="shared" si="4"/>
        <v>71</v>
      </c>
      <c r="T6" s="47">
        <f t="shared" si="5"/>
        <v>71</v>
      </c>
      <c r="U6" s="47">
        <f>SUMIF(FLOAT!$D:$D,$B$2:$B$15,FLOAT!$F:$F)</f>
        <v>4</v>
      </c>
      <c r="V6" s="2">
        <v>3</v>
      </c>
      <c r="W6" s="7"/>
      <c r="X6" s="7"/>
      <c r="Y6" s="7">
        <v>1</v>
      </c>
      <c r="Z6" s="7">
        <f>SUMIF(FLOAT!$D:$D,$B$2:$B$14,FLOAT!$F:$F)</f>
        <v>4</v>
      </c>
      <c r="AA6" s="7">
        <f>SUMIF(FLOAT!$D:$D,$B$2:$B$13,FLOAT!$G:$G)</f>
        <v>1</v>
      </c>
      <c r="AB6" s="7">
        <f>SUMIF(FLOAT!$D:$D,$B$2:$B$13,FLOAT!$H:$H)</f>
        <v>1</v>
      </c>
      <c r="AC6" s="7">
        <f>SUMIF(FLOAT!$D:$D,$B$2:$B$13,FLOAT!$I:$I)</f>
        <v>0</v>
      </c>
      <c r="AD6" s="7">
        <f>SUMIF(FLOAT!$D:$D,$B$2:$B$13,FLOAT!$J:$J)</f>
        <v>0</v>
      </c>
      <c r="AE6" s="7">
        <f>SUMIF(FLOAT!$D:$D,$B$2:$B$13,FLOAT!$K:$K)</f>
        <v>0</v>
      </c>
      <c r="AF6" s="7">
        <f>SUMIF(FLOAT!$D:$D,$B$2:$B$13,FLOAT!$L:$L)</f>
        <v>0</v>
      </c>
      <c r="AG6" s="7">
        <f>SUMIF(FLOAT!$D:$D,$B$2:$B$6,FLOAT!$M:$M)</f>
        <v>2</v>
      </c>
      <c r="AH6" s="7">
        <f>SUMIF(FLOAT!$D:$D,$B$2:$B$13,FLOAT!$N:$N)</f>
        <v>1</v>
      </c>
      <c r="AI6" s="7">
        <f>SUMIF(FLOAT!$D:$D,$B$2:$B$13,FLOAT!$O:$O)</f>
        <v>1</v>
      </c>
      <c r="AJ6" s="7">
        <f>SUMIF(FLOAT!$D:$D,$B$2:$B$13,FLOAT!$P:$P)</f>
        <v>0</v>
      </c>
      <c r="AK6" s="7">
        <f t="shared" si="6"/>
        <v>4</v>
      </c>
      <c r="AO6">
        <v>1</v>
      </c>
    </row>
    <row r="7" spans="1:41" ht="18.75" x14ac:dyDescent="0.25">
      <c r="A7" s="107">
        <v>546854620389</v>
      </c>
      <c r="B7" s="3" t="s">
        <v>229</v>
      </c>
      <c r="C7" s="43" t="s">
        <v>137</v>
      </c>
      <c r="D7" s="7">
        <v>2672</v>
      </c>
      <c r="E7" s="7">
        <v>2297</v>
      </c>
      <c r="F7" s="89">
        <v>64</v>
      </c>
      <c r="G7" s="7">
        <f t="shared" si="0"/>
        <v>1407</v>
      </c>
      <c r="H7" s="7">
        <f t="shared" si="0"/>
        <v>1326</v>
      </c>
      <c r="I7" s="7">
        <f t="shared" si="1"/>
        <v>971</v>
      </c>
      <c r="J7" s="52">
        <f t="shared" si="2"/>
        <v>145</v>
      </c>
      <c r="K7" s="7">
        <f>SUMIF('3 D P'!$E:$E,Front!$B:$B,'3 D P'!J:J)</f>
        <v>78</v>
      </c>
      <c r="L7" s="7">
        <f>SUMIF('3 D P'!$E:$E,Front!$B:$B,'3 D P'!K:K)</f>
        <v>37</v>
      </c>
      <c r="M7" s="7">
        <f>SUMIF('3 D P'!$E:$E,Front!$B:$B,'3 D P'!L:L)</f>
        <v>115</v>
      </c>
      <c r="N7" s="7">
        <f>IFERROR(VLOOKUP(A7,'Front Dispatch'!A:B,2,0),0)</f>
        <v>1407</v>
      </c>
      <c r="O7" s="7">
        <f>SUMIF('Consumption MTD'!$B:$B,$B$2:$B$17,'Consumption MTD'!$C:$C)</f>
        <v>1326</v>
      </c>
      <c r="P7" s="7">
        <f>SUMIF('BIW Lifting A Shift'!$B:$B,$B$2:$B$15,'BIW Lifting A Shift'!$C:$C)</f>
        <v>0</v>
      </c>
      <c r="Q7" s="7">
        <f>SUMIF('BIW Lifting B Shift'!$B:$B,$B$2:$B$15,'BIW Lifting B Shift'!$C:$C)</f>
        <v>0</v>
      </c>
      <c r="R7" s="47">
        <f t="shared" si="3"/>
        <v>30</v>
      </c>
      <c r="S7" s="47">
        <f t="shared" si="4"/>
        <v>30</v>
      </c>
      <c r="T7" s="47">
        <f t="shared" si="5"/>
        <v>30</v>
      </c>
      <c r="U7" s="47">
        <f>SUMIF(FLOAT!$D:$D,$B$2:$B$15,FLOAT!$F:$F)</f>
        <v>115</v>
      </c>
      <c r="V7" s="2">
        <v>125</v>
      </c>
      <c r="W7" s="7"/>
      <c r="X7" s="7"/>
      <c r="Y7" s="7">
        <v>1</v>
      </c>
      <c r="Z7" s="7">
        <f>SUMIF(FLOAT!$D:$D,$B$2:$B$14,FLOAT!$F:$F)</f>
        <v>115</v>
      </c>
      <c r="AA7" s="7">
        <f>SUMIF(FLOAT!$D:$D,$B$2:$B$13,FLOAT!$G:$G)</f>
        <v>24</v>
      </c>
      <c r="AB7" s="7">
        <f>SUMIF(FLOAT!$D:$D,$B$2:$B$13,FLOAT!$H:$H)</f>
        <v>5</v>
      </c>
      <c r="AC7" s="146">
        <f>SUMIF(FLOAT!$D:$D,$B$2:$B$13,FLOAT!$I:$I)</f>
        <v>14</v>
      </c>
      <c r="AD7" s="146">
        <f>SUMIF(FLOAT!$D:$D,$B$2:$B$13,FLOAT!$J:$J)</f>
        <v>1</v>
      </c>
      <c r="AE7" s="146">
        <f>SUMIF(FLOAT!$D:$D,$B$2:$B$13,FLOAT!$K:$K)</f>
        <v>5</v>
      </c>
      <c r="AF7" s="146">
        <f>SUMIF(FLOAT!$D:$D,$B$2:$B$13,FLOAT!$L:$L)</f>
        <v>24</v>
      </c>
      <c r="AG7" s="146">
        <f>SUMIF(FLOAT!$D:$D,$B$2:$B$8,FLOAT!$M:$M)</f>
        <v>73</v>
      </c>
      <c r="AH7" s="146">
        <f>SUMIF(FLOAT!$D:$D,$B$2:$B$13,FLOAT!$N:$N)</f>
        <v>16</v>
      </c>
      <c r="AI7" s="146">
        <f>SUMIF(FLOAT!$D:$D,$B$2:$B$13,FLOAT!$O:$O)</f>
        <v>26</v>
      </c>
      <c r="AJ7" s="7">
        <f>SUMIF(FLOAT!$D:$D,$B$2:$B$13,FLOAT!$P:$P)</f>
        <v>0</v>
      </c>
      <c r="AK7" s="7">
        <f t="shared" si="6"/>
        <v>115</v>
      </c>
      <c r="AO7">
        <v>4</v>
      </c>
    </row>
    <row r="8" spans="1:41" x14ac:dyDescent="0.25">
      <c r="A8" s="1"/>
      <c r="B8" s="2"/>
      <c r="C8" s="2"/>
      <c r="D8" s="61">
        <f t="shared" ref="D8:Q8" si="7">SUM(D2:D7)</f>
        <v>3992</v>
      </c>
      <c r="E8" s="61">
        <f t="shared" si="7"/>
        <v>3651</v>
      </c>
      <c r="F8" s="61">
        <f t="shared" si="7"/>
        <v>176</v>
      </c>
      <c r="G8" s="61">
        <f t="shared" si="7"/>
        <v>2200</v>
      </c>
      <c r="H8" s="61">
        <f t="shared" si="7"/>
        <v>2048</v>
      </c>
      <c r="I8" s="61">
        <f t="shared" si="7"/>
        <v>1603</v>
      </c>
      <c r="J8" s="61">
        <f t="shared" si="7"/>
        <v>328</v>
      </c>
      <c r="K8" s="61">
        <f t="shared" si="7"/>
        <v>262</v>
      </c>
      <c r="L8" s="61">
        <f t="shared" si="7"/>
        <v>265</v>
      </c>
      <c r="M8" s="61">
        <f t="shared" si="7"/>
        <v>265</v>
      </c>
      <c r="N8" s="61">
        <f t="shared" si="7"/>
        <v>2200</v>
      </c>
      <c r="O8" s="61">
        <f t="shared" si="7"/>
        <v>2048</v>
      </c>
      <c r="P8" s="61">
        <f t="shared" si="7"/>
        <v>0</v>
      </c>
      <c r="Q8" s="61">
        <f t="shared" si="7"/>
        <v>0</v>
      </c>
      <c r="R8" s="61"/>
      <c r="S8" s="61"/>
      <c r="T8" s="61"/>
      <c r="U8" s="61">
        <f t="shared" ref="U8:AK8" si="8">SUM(U2:U7)</f>
        <v>181</v>
      </c>
      <c r="V8" s="61">
        <f t="shared" si="8"/>
        <v>179</v>
      </c>
      <c r="W8" s="61">
        <f t="shared" si="8"/>
        <v>0</v>
      </c>
      <c r="X8" s="61">
        <f t="shared" si="8"/>
        <v>0</v>
      </c>
      <c r="Y8" s="61">
        <f t="shared" si="8"/>
        <v>6</v>
      </c>
      <c r="Z8" s="61">
        <f t="shared" si="8"/>
        <v>181</v>
      </c>
      <c r="AA8" s="61">
        <f t="shared" si="8"/>
        <v>30</v>
      </c>
      <c r="AB8" s="61">
        <f t="shared" si="8"/>
        <v>9</v>
      </c>
      <c r="AC8" s="61">
        <f t="shared" si="8"/>
        <v>22</v>
      </c>
      <c r="AD8" s="61">
        <f t="shared" si="8"/>
        <v>1</v>
      </c>
      <c r="AE8" s="61">
        <f t="shared" si="8"/>
        <v>11</v>
      </c>
      <c r="AF8" s="61">
        <f t="shared" si="8"/>
        <v>36</v>
      </c>
      <c r="AG8" s="61">
        <f t="shared" si="8"/>
        <v>109</v>
      </c>
      <c r="AH8" s="61">
        <f t="shared" si="8"/>
        <v>30</v>
      </c>
      <c r="AI8" s="61">
        <f t="shared" si="8"/>
        <v>42</v>
      </c>
      <c r="AJ8" s="61">
        <f t="shared" si="8"/>
        <v>0</v>
      </c>
      <c r="AK8" s="61">
        <f t="shared" si="8"/>
        <v>181</v>
      </c>
    </row>
  </sheetData>
  <autoFilter ref="A1:U8" xr:uid="{00000000-0009-0000-0000-000002000000}"/>
  <conditionalFormatting sqref="A2">
    <cfRule type="duplicateValues" dxfId="47" priority="6"/>
  </conditionalFormatting>
  <conditionalFormatting sqref="A3">
    <cfRule type="duplicateValues" dxfId="46" priority="5"/>
  </conditionalFormatting>
  <conditionalFormatting sqref="A4">
    <cfRule type="duplicateValues" dxfId="45" priority="4"/>
  </conditionalFormatting>
  <conditionalFormatting sqref="A5">
    <cfRule type="duplicateValues" dxfId="44" priority="3"/>
  </conditionalFormatting>
  <conditionalFormatting sqref="A6">
    <cfRule type="duplicateValues" dxfId="43" priority="2"/>
  </conditionalFormatting>
  <conditionalFormatting sqref="A7">
    <cfRule type="duplicateValues" dxfId="42" priority="1"/>
  </conditionalFormatting>
  <conditionalFormatting sqref="B1:B7">
    <cfRule type="duplicateValues" dxfId="41" priority="1594"/>
  </conditionalFormatting>
  <conditionalFormatting sqref="B2:B7">
    <cfRule type="duplicateValues" dxfId="40" priority="1595"/>
  </conditionalFormatting>
  <conditionalFormatting sqref="I1:J8">
    <cfRule type="cellIs" dxfId="39" priority="7" operator="lessThan">
      <formula>0</formula>
    </cfRule>
  </conditionalFormatting>
  <conditionalFormatting sqref="R2:T7">
    <cfRule type="cellIs" dxfId="38" priority="1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2:F10"/>
  <sheetViews>
    <sheetView workbookViewId="0">
      <selection activeCell="J7" sqref="J7"/>
    </sheetView>
  </sheetViews>
  <sheetFormatPr defaultColWidth="9.140625" defaultRowHeight="15.75" x14ac:dyDescent="0.25"/>
  <cols>
    <col min="1" max="1" width="9.140625" style="114"/>
    <col min="2" max="2" width="34.28515625" style="114" bestFit="1" customWidth="1"/>
    <col min="3" max="3" width="8.140625" style="114" customWidth="1"/>
    <col min="4" max="4" width="9.140625" style="114"/>
    <col min="5" max="5" width="34.28515625" style="114" bestFit="1" customWidth="1"/>
    <col min="6" max="6" width="8.7109375" style="114" customWidth="1"/>
    <col min="7" max="16384" width="9.140625" style="114"/>
  </cols>
  <sheetData>
    <row r="2" spans="2:6" ht="16.5" thickBot="1" x14ac:dyDescent="0.3"/>
    <row r="3" spans="2:6" ht="16.5" thickBot="1" x14ac:dyDescent="0.3">
      <c r="B3" s="177" t="s">
        <v>240</v>
      </c>
      <c r="C3" s="178"/>
      <c r="E3" s="177" t="s">
        <v>483</v>
      </c>
      <c r="F3" s="178"/>
    </row>
    <row r="4" spans="2:6" x14ac:dyDescent="0.25">
      <c r="B4" s="120" t="s">
        <v>130</v>
      </c>
      <c r="C4" s="121">
        <f>'Cockpit sheet'!U16+'Cockpit sheet'!U7</f>
        <v>181</v>
      </c>
      <c r="E4" s="120" t="s">
        <v>130</v>
      </c>
      <c r="F4" s="121">
        <f>Front!U8</f>
        <v>181</v>
      </c>
    </row>
    <row r="5" spans="2:6" x14ac:dyDescent="0.25">
      <c r="B5" s="115" t="s">
        <v>131</v>
      </c>
      <c r="C5" s="116">
        <f>'Cockpit sheet'!$P$16+'Cockpit sheet'!$Q$16</f>
        <v>0</v>
      </c>
      <c r="E5" s="115" t="s">
        <v>131</v>
      </c>
      <c r="F5" s="116">
        <f>Front!P8+Front!Q8</f>
        <v>0</v>
      </c>
    </row>
    <row r="6" spans="2:6" x14ac:dyDescent="0.25">
      <c r="B6" s="115" t="s">
        <v>132</v>
      </c>
      <c r="C6" s="117">
        <f>C4+C5</f>
        <v>181</v>
      </c>
      <c r="E6" s="115" t="s">
        <v>132</v>
      </c>
      <c r="F6" s="117">
        <f>F4+F5</f>
        <v>181</v>
      </c>
    </row>
    <row r="7" spans="2:6" x14ac:dyDescent="0.25">
      <c r="B7" s="122" t="s">
        <v>133</v>
      </c>
      <c r="C7" s="123">
        <f>C6+C10</f>
        <v>181</v>
      </c>
      <c r="E7" s="122" t="s">
        <v>133</v>
      </c>
      <c r="F7" s="123">
        <f>F6+F10</f>
        <v>181</v>
      </c>
    </row>
    <row r="8" spans="2:6" x14ac:dyDescent="0.25">
      <c r="B8" s="115" t="s">
        <v>134</v>
      </c>
      <c r="C8" s="117">
        <f>SUMIF('Cockpit sheet'!$R:$R,"&lt;0")</f>
        <v>0</v>
      </c>
      <c r="E8" s="115" t="s">
        <v>134</v>
      </c>
      <c r="F8" s="117">
        <f>SUMIF(Front!$R:$R,"&lt;0")</f>
        <v>0</v>
      </c>
    </row>
    <row r="9" spans="2:6" x14ac:dyDescent="0.25">
      <c r="B9" s="115" t="s">
        <v>135</v>
      </c>
      <c r="C9" s="117">
        <f>SUMIF('Cockpit sheet'!$S:$S,"&lt;0")</f>
        <v>0</v>
      </c>
      <c r="E9" s="115" t="s">
        <v>135</v>
      </c>
      <c r="F9" s="117">
        <f>SUMIF(Front!$S:$S,"&lt;0")</f>
        <v>0</v>
      </c>
    </row>
    <row r="10" spans="2:6" ht="16.5" thickBot="1" x14ac:dyDescent="0.3">
      <c r="B10" s="118" t="s">
        <v>136</v>
      </c>
      <c r="C10" s="119">
        <f>SUMIF('Cockpit sheet'!$T:$T,"&lt;0")</f>
        <v>0</v>
      </c>
      <c r="E10" s="118" t="s">
        <v>136</v>
      </c>
      <c r="F10" s="119">
        <f>SUMIF(Front!$T:$T,"&lt;0")</f>
        <v>0</v>
      </c>
    </row>
  </sheetData>
  <mergeCells count="2">
    <mergeCell ref="B3:C3"/>
    <mergeCell ref="E3:F3"/>
  </mergeCells>
  <conditionalFormatting sqref="C8:C10">
    <cfRule type="cellIs" dxfId="37" priority="2" operator="lessThan">
      <formula>0</formula>
    </cfRule>
  </conditionalFormatting>
  <conditionalFormatting sqref="F8:F10">
    <cfRule type="cellIs" dxfId="36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C6"/>
  <sheetViews>
    <sheetView workbookViewId="0">
      <selection activeCell="A2" sqref="A2:C5"/>
    </sheetView>
  </sheetViews>
  <sheetFormatPr defaultRowHeight="15" x14ac:dyDescent="0.25"/>
  <cols>
    <col min="1" max="1" width="7.5703125" bestFit="1" customWidth="1"/>
    <col min="2" max="2" width="14.85546875" bestFit="1" customWidth="1"/>
    <col min="3" max="3" width="6.5703125" bestFit="1" customWidth="1"/>
  </cols>
  <sheetData>
    <row r="1" spans="1:3" ht="18" customHeight="1" x14ac:dyDescent="0.25">
      <c r="A1" s="75" t="s">
        <v>29</v>
      </c>
      <c r="B1" s="75" t="s">
        <v>30</v>
      </c>
      <c r="C1" s="75" t="s">
        <v>15</v>
      </c>
    </row>
    <row r="2" spans="1:3" x14ac:dyDescent="0.25">
      <c r="A2" s="8"/>
      <c r="B2" s="8"/>
      <c r="C2" s="9"/>
    </row>
    <row r="3" spans="1:3" x14ac:dyDescent="0.25">
      <c r="A3" s="10"/>
      <c r="B3" s="10"/>
      <c r="C3" s="11"/>
    </row>
    <row r="4" spans="1:3" x14ac:dyDescent="0.25">
      <c r="A4" s="8"/>
      <c r="B4" s="8"/>
      <c r="C4" s="9"/>
    </row>
    <row r="5" spans="1:3" x14ac:dyDescent="0.25">
      <c r="A5" s="13"/>
      <c r="B5" s="10"/>
      <c r="C5" s="12"/>
    </row>
    <row r="6" spans="1:3" x14ac:dyDescent="0.25">
      <c r="A6" s="79"/>
      <c r="B6" s="8"/>
      <c r="C6" s="8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C20"/>
  <sheetViews>
    <sheetView workbookViewId="0">
      <selection activeCell="A2" sqref="A2:C5"/>
    </sheetView>
  </sheetViews>
  <sheetFormatPr defaultRowHeight="15" x14ac:dyDescent="0.25"/>
  <cols>
    <col min="2" max="2" width="13.5703125" bestFit="1" customWidth="1"/>
  </cols>
  <sheetData>
    <row r="1" spans="1:3" x14ac:dyDescent="0.25">
      <c r="A1" s="75" t="s">
        <v>29</v>
      </c>
      <c r="B1" s="75" t="s">
        <v>30</v>
      </c>
      <c r="C1" s="75" t="s">
        <v>15</v>
      </c>
    </row>
    <row r="2" spans="1:3" x14ac:dyDescent="0.25">
      <c r="A2" s="8"/>
      <c r="B2" s="8"/>
      <c r="C2" s="9"/>
    </row>
    <row r="3" spans="1:3" x14ac:dyDescent="0.25">
      <c r="A3" s="10"/>
      <c r="B3" s="10"/>
      <c r="C3" s="11"/>
    </row>
    <row r="4" spans="1:3" x14ac:dyDescent="0.25">
      <c r="A4" s="79"/>
      <c r="B4" s="8"/>
      <c r="C4" s="80"/>
    </row>
    <row r="16" spans="1:3" x14ac:dyDescent="0.25">
      <c r="A16" s="8"/>
      <c r="B16" s="8"/>
      <c r="C16" s="9"/>
    </row>
    <row r="17" spans="1:3" x14ac:dyDescent="0.25">
      <c r="A17" s="10"/>
      <c r="B17" s="10"/>
      <c r="C17" s="11"/>
    </row>
    <row r="18" spans="1:3" x14ac:dyDescent="0.25">
      <c r="A18" s="8"/>
      <c r="B18" s="8"/>
      <c r="C18" s="9"/>
    </row>
    <row r="19" spans="1:3" x14ac:dyDescent="0.25">
      <c r="A19" s="10"/>
      <c r="B19" s="10"/>
      <c r="C19" s="11"/>
    </row>
    <row r="20" spans="1:3" x14ac:dyDescent="0.25">
      <c r="A20" s="8"/>
      <c r="B20" s="8"/>
      <c r="C20" s="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FC13"/>
  <sheetViews>
    <sheetView zoomScaleNormal="100" workbookViewId="0">
      <pane xSplit="4" ySplit="4" topLeftCell="BW5" activePane="bottomRight" state="frozen"/>
      <selection activeCell="I30" sqref="I30"/>
      <selection pane="topRight" activeCell="I30" sqref="I30"/>
      <selection pane="bottomLeft" activeCell="I30" sqref="I30"/>
      <selection pane="bottomRight" activeCell="CH11" sqref="CH11"/>
    </sheetView>
  </sheetViews>
  <sheetFormatPr defaultRowHeight="15" outlineLevelCol="1" x14ac:dyDescent="0.25"/>
  <cols>
    <col min="1" max="1" width="18.140625" style="78" customWidth="1"/>
    <col min="2" max="2" width="9" customWidth="1"/>
    <col min="3" max="3" width="6.85546875" customWidth="1"/>
    <col min="4" max="4" width="8.5703125" customWidth="1"/>
    <col min="5" max="5" width="3.5703125" hidden="1" customWidth="1" outlineLevel="1"/>
    <col min="6" max="6" width="4.5703125" hidden="1" customWidth="1" outlineLevel="1"/>
    <col min="7" max="9" width="3.5703125" hidden="1" customWidth="1" outlineLevel="1"/>
    <col min="10" max="10" width="3.85546875" hidden="1" customWidth="1" outlineLevel="1"/>
    <col min="11" max="14" width="3.5703125" hidden="1" customWidth="1" outlineLevel="1"/>
    <col min="15" max="15" width="4.28515625" hidden="1" customWidth="1" outlineLevel="1"/>
    <col min="16" max="19" width="3.5703125" hidden="1" customWidth="1" outlineLevel="1"/>
    <col min="20" max="20" width="4.140625" hidden="1" customWidth="1" outlineLevel="1"/>
    <col min="21" max="29" width="3.5703125" hidden="1" customWidth="1" outlineLevel="1"/>
    <col min="30" max="30" width="4.7109375" hidden="1" customWidth="1" outlineLevel="1"/>
    <col min="31" max="34" width="3.5703125" hidden="1" customWidth="1" outlineLevel="1"/>
    <col min="35" max="35" width="3.7109375" hidden="1" customWidth="1" outlineLevel="1"/>
    <col min="36" max="36" width="4.42578125" hidden="1" customWidth="1" outlineLevel="1"/>
    <col min="37" max="39" width="3.5703125" hidden="1" customWidth="1" outlineLevel="1"/>
    <col min="40" max="40" width="4.42578125" hidden="1" customWidth="1" outlineLevel="1"/>
    <col min="41" max="41" width="3.85546875" hidden="1" customWidth="1" outlineLevel="1"/>
    <col min="42" max="44" width="3.5703125" hidden="1" customWidth="1" outlineLevel="1"/>
    <col min="45" max="45" width="4.28515625" hidden="1" customWidth="1" outlineLevel="1"/>
    <col min="46" max="49" width="3.5703125" hidden="1" customWidth="1" outlineLevel="1"/>
    <col min="50" max="50" width="4.28515625" hidden="1" customWidth="1" outlineLevel="1"/>
    <col min="51" max="51" width="4.140625" hidden="1" customWidth="1" outlineLevel="1"/>
    <col min="52" max="53" width="3.5703125" hidden="1" customWidth="1" outlineLevel="1"/>
    <col min="54" max="54" width="3.85546875" hidden="1" customWidth="1" outlineLevel="1"/>
    <col min="55" max="55" width="4.42578125" hidden="1" customWidth="1" outlineLevel="1"/>
    <col min="56" max="58" width="3.5703125" hidden="1" customWidth="1" outlineLevel="1"/>
    <col min="59" max="59" width="2.7109375" hidden="1" customWidth="1" outlineLevel="1"/>
    <col min="60" max="60" width="4.140625" hidden="1" customWidth="1" outlineLevel="1"/>
    <col min="61" max="61" width="4.28515625" hidden="1" customWidth="1" outlineLevel="1"/>
    <col min="62" max="64" width="3.5703125" hidden="1" customWidth="1" outlineLevel="1"/>
    <col min="65" max="65" width="3.85546875" hidden="1" customWidth="1" outlineLevel="1"/>
    <col min="66" max="69" width="3.140625" hidden="1" customWidth="1" outlineLevel="1"/>
    <col min="70" max="71" width="4" hidden="1" customWidth="1" outlineLevel="1"/>
    <col min="72" max="74" width="3.5703125" hidden="1" customWidth="1" outlineLevel="1"/>
    <col min="75" max="75" width="4.28515625" customWidth="1" outlineLevel="1"/>
    <col min="76" max="76" width="4.85546875" customWidth="1" outlineLevel="1"/>
    <col min="77" max="78" width="3.5703125" customWidth="1" outlineLevel="1"/>
    <col min="79" max="79" width="4.28515625" customWidth="1" outlineLevel="1"/>
    <col min="80" max="80" width="4" customWidth="1" outlineLevel="1"/>
    <col min="81" max="84" width="3.5703125" customWidth="1" outlineLevel="1"/>
    <col min="85" max="85" width="4.28515625" customWidth="1" outlineLevel="1"/>
    <col min="86" max="86" width="4.140625" customWidth="1" outlineLevel="1"/>
    <col min="87" max="89" width="3.5703125" customWidth="1" outlineLevel="1"/>
    <col min="90" max="90" width="5" customWidth="1" outlineLevel="1"/>
    <col min="91" max="91" width="3.5703125" customWidth="1" outlineLevel="1"/>
    <col min="92" max="92" width="4.42578125" customWidth="1" outlineLevel="1"/>
    <col min="93" max="94" width="3.5703125" customWidth="1" outlineLevel="1"/>
    <col min="95" max="95" width="3.7109375" customWidth="1" outlineLevel="1"/>
    <col min="96" max="99" width="3.5703125" customWidth="1" outlineLevel="1"/>
    <col min="100" max="100" width="3.85546875" customWidth="1" outlineLevel="1"/>
    <col min="101" max="101" width="4" customWidth="1" outlineLevel="1"/>
    <col min="102" max="109" width="3.5703125" customWidth="1" outlineLevel="1"/>
    <col min="110" max="110" width="3.85546875" customWidth="1" outlineLevel="1"/>
    <col min="111" max="114" width="3.5703125" customWidth="1" outlineLevel="1"/>
    <col min="115" max="115" width="4.7109375" customWidth="1" outlineLevel="1"/>
    <col min="116" max="119" width="3.5703125" customWidth="1" outlineLevel="1"/>
    <col min="120" max="120" width="4.28515625" customWidth="1" outlineLevel="1"/>
    <col min="121" max="124" width="3.5703125" customWidth="1" outlineLevel="1"/>
    <col min="125" max="125" width="4.140625" customWidth="1" outlineLevel="1"/>
    <col min="126" max="126" width="4.28515625" customWidth="1" outlineLevel="1"/>
    <col min="127" max="128" width="3.5703125" customWidth="1" outlineLevel="1"/>
    <col min="129" max="129" width="3.28515625" customWidth="1" outlineLevel="1"/>
    <col min="130" max="130" width="4" customWidth="1" outlineLevel="1"/>
    <col min="131" max="133" width="3.5703125" customWidth="1" outlineLevel="1"/>
    <col min="134" max="134" width="3.85546875" customWidth="1" outlineLevel="1"/>
    <col min="135" max="135" width="4.42578125" customWidth="1" outlineLevel="1"/>
    <col min="136" max="139" width="3.5703125" customWidth="1" outlineLevel="1"/>
    <col min="140" max="140" width="4" customWidth="1" outlineLevel="1"/>
    <col min="141" max="144" width="3.5703125" customWidth="1" outlineLevel="1"/>
    <col min="145" max="145" width="4.42578125" customWidth="1" outlineLevel="1"/>
    <col min="146" max="146" width="4.28515625" customWidth="1" outlineLevel="1"/>
    <col min="147" max="149" width="3.5703125" customWidth="1" outlineLevel="1"/>
    <col min="150" max="150" width="4.5703125" customWidth="1" outlineLevel="1"/>
    <col min="151" max="159" width="3.5703125" customWidth="1" outlineLevel="1"/>
  </cols>
  <sheetData>
    <row r="1" spans="1:159" ht="15.75" customHeight="1" x14ac:dyDescent="0.25">
      <c r="A1" s="179" t="s">
        <v>692</v>
      </c>
      <c r="B1" s="186" t="s">
        <v>8</v>
      </c>
      <c r="C1" s="186" t="s">
        <v>31</v>
      </c>
      <c r="D1" s="187" t="s">
        <v>32</v>
      </c>
      <c r="E1" s="183">
        <v>46204</v>
      </c>
      <c r="F1" s="184"/>
      <c r="G1" s="184"/>
      <c r="H1" s="184"/>
      <c r="I1" s="185"/>
      <c r="J1" s="183">
        <v>46205</v>
      </c>
      <c r="K1" s="184"/>
      <c r="L1" s="184"/>
      <c r="M1" s="184"/>
      <c r="N1" s="185"/>
      <c r="O1" s="183">
        <v>46206</v>
      </c>
      <c r="P1" s="184"/>
      <c r="Q1" s="184"/>
      <c r="R1" s="184"/>
      <c r="S1" s="185"/>
      <c r="T1" s="183">
        <v>46207</v>
      </c>
      <c r="U1" s="184"/>
      <c r="V1" s="184"/>
      <c r="W1" s="184"/>
      <c r="X1" s="185"/>
      <c r="Y1" s="183">
        <v>46208</v>
      </c>
      <c r="Z1" s="184"/>
      <c r="AA1" s="184"/>
      <c r="AB1" s="184"/>
      <c r="AC1" s="185"/>
      <c r="AD1" s="183">
        <v>46209</v>
      </c>
      <c r="AE1" s="184"/>
      <c r="AF1" s="184"/>
      <c r="AG1" s="184"/>
      <c r="AH1" s="185"/>
      <c r="AI1" s="183">
        <v>46210</v>
      </c>
      <c r="AJ1" s="184"/>
      <c r="AK1" s="184"/>
      <c r="AL1" s="184"/>
      <c r="AM1" s="185"/>
      <c r="AN1" s="183">
        <v>46211</v>
      </c>
      <c r="AO1" s="184"/>
      <c r="AP1" s="184"/>
      <c r="AQ1" s="184"/>
      <c r="AR1" s="185"/>
      <c r="AS1" s="183">
        <v>46212</v>
      </c>
      <c r="AT1" s="184"/>
      <c r="AU1" s="184"/>
      <c r="AV1" s="184"/>
      <c r="AW1" s="185"/>
      <c r="AX1" s="183">
        <v>46213</v>
      </c>
      <c r="AY1" s="184"/>
      <c r="AZ1" s="184"/>
      <c r="BA1" s="184"/>
      <c r="BB1" s="185"/>
      <c r="BC1" s="183">
        <v>46214</v>
      </c>
      <c r="BD1" s="184"/>
      <c r="BE1" s="184"/>
      <c r="BF1" s="184"/>
      <c r="BG1" s="185"/>
      <c r="BH1" s="183">
        <v>46215</v>
      </c>
      <c r="BI1" s="184"/>
      <c r="BJ1" s="184"/>
      <c r="BK1" s="184"/>
      <c r="BL1" s="185"/>
      <c r="BM1" s="183">
        <v>46216</v>
      </c>
      <c r="BN1" s="184"/>
      <c r="BO1" s="184"/>
      <c r="BP1" s="184"/>
      <c r="BQ1" s="185"/>
      <c r="BR1" s="183">
        <v>46217</v>
      </c>
      <c r="BS1" s="184"/>
      <c r="BT1" s="184"/>
      <c r="BU1" s="184"/>
      <c r="BV1" s="185"/>
      <c r="BW1" s="183">
        <v>46218</v>
      </c>
      <c r="BX1" s="184"/>
      <c r="BY1" s="184"/>
      <c r="BZ1" s="184"/>
      <c r="CA1" s="185"/>
      <c r="CB1" s="183">
        <v>46219</v>
      </c>
      <c r="CC1" s="184"/>
      <c r="CD1" s="184"/>
      <c r="CE1" s="184"/>
      <c r="CF1" s="185"/>
      <c r="CG1" s="183">
        <v>46220</v>
      </c>
      <c r="CH1" s="184"/>
      <c r="CI1" s="184"/>
      <c r="CJ1" s="184"/>
      <c r="CK1" s="185"/>
      <c r="CL1" s="183">
        <v>46221</v>
      </c>
      <c r="CM1" s="184"/>
      <c r="CN1" s="184"/>
      <c r="CO1" s="184"/>
      <c r="CP1" s="185"/>
      <c r="CQ1" s="183">
        <v>46222</v>
      </c>
      <c r="CR1" s="184"/>
      <c r="CS1" s="184"/>
      <c r="CT1" s="184"/>
      <c r="CU1" s="185"/>
      <c r="CV1" s="183">
        <v>46223</v>
      </c>
      <c r="CW1" s="184"/>
      <c r="CX1" s="184"/>
      <c r="CY1" s="184"/>
      <c r="CZ1" s="185"/>
      <c r="DA1" s="183">
        <v>46224</v>
      </c>
      <c r="DB1" s="184"/>
      <c r="DC1" s="184"/>
      <c r="DD1" s="184"/>
      <c r="DE1" s="185"/>
      <c r="DF1" s="183">
        <v>46225</v>
      </c>
      <c r="DG1" s="184"/>
      <c r="DH1" s="184"/>
      <c r="DI1" s="184"/>
      <c r="DJ1" s="185"/>
      <c r="DK1" s="183">
        <v>46226</v>
      </c>
      <c r="DL1" s="184"/>
      <c r="DM1" s="184"/>
      <c r="DN1" s="184"/>
      <c r="DO1" s="185"/>
      <c r="DP1" s="183">
        <v>46227</v>
      </c>
      <c r="DQ1" s="184"/>
      <c r="DR1" s="184"/>
      <c r="DS1" s="184"/>
      <c r="DT1" s="185"/>
      <c r="DU1" s="183">
        <v>46228</v>
      </c>
      <c r="DV1" s="184"/>
      <c r="DW1" s="184"/>
      <c r="DX1" s="184"/>
      <c r="DY1" s="185"/>
      <c r="DZ1" s="183">
        <v>46229</v>
      </c>
      <c r="EA1" s="184"/>
      <c r="EB1" s="184"/>
      <c r="EC1" s="184"/>
      <c r="ED1" s="185"/>
      <c r="EE1" s="183">
        <v>46230</v>
      </c>
      <c r="EF1" s="184"/>
      <c r="EG1" s="184"/>
      <c r="EH1" s="184"/>
      <c r="EI1" s="185"/>
      <c r="EJ1" s="183">
        <v>46231</v>
      </c>
      <c r="EK1" s="184"/>
      <c r="EL1" s="184"/>
      <c r="EM1" s="184"/>
      <c r="EN1" s="185"/>
      <c r="EO1" s="183">
        <v>46232</v>
      </c>
      <c r="EP1" s="184"/>
      <c r="EQ1" s="184"/>
      <c r="ER1" s="184"/>
      <c r="ES1" s="185"/>
      <c r="ET1" s="183">
        <v>46233</v>
      </c>
      <c r="EU1" s="184"/>
      <c r="EV1" s="184"/>
      <c r="EW1" s="184"/>
      <c r="EX1" s="185"/>
      <c r="EY1" s="183">
        <v>46234</v>
      </c>
      <c r="EZ1" s="184"/>
      <c r="FA1" s="184"/>
      <c r="FB1" s="184"/>
      <c r="FC1" s="185"/>
    </row>
    <row r="2" spans="1:159" ht="30" customHeight="1" x14ac:dyDescent="0.25">
      <c r="A2" s="180"/>
      <c r="B2" s="186"/>
      <c r="C2" s="186"/>
      <c r="D2" s="188"/>
      <c r="E2" s="15"/>
      <c r="F2" s="15"/>
      <c r="G2" s="15"/>
      <c r="H2" s="15"/>
      <c r="I2" s="15"/>
      <c r="J2" s="15">
        <v>1946</v>
      </c>
      <c r="K2" s="15"/>
      <c r="L2" s="15"/>
      <c r="M2" s="15"/>
      <c r="N2" s="15"/>
      <c r="O2" s="15"/>
      <c r="P2" s="15"/>
      <c r="Q2" s="15"/>
      <c r="R2" s="15"/>
      <c r="S2" s="15"/>
      <c r="T2" s="15">
        <v>6033</v>
      </c>
      <c r="U2" s="15">
        <v>9785</v>
      </c>
      <c r="V2" s="15"/>
      <c r="W2" s="15"/>
      <c r="X2" s="15"/>
      <c r="Y2" s="15">
        <v>6033</v>
      </c>
      <c r="Z2" s="15"/>
      <c r="AA2" s="15"/>
      <c r="AB2" s="15"/>
      <c r="AC2" s="15"/>
      <c r="AD2" s="15">
        <v>6033</v>
      </c>
      <c r="AE2" s="15">
        <v>6032</v>
      </c>
      <c r="AF2" s="15"/>
      <c r="AG2" s="15"/>
      <c r="AH2" s="15"/>
      <c r="AI2" s="15">
        <v>6032</v>
      </c>
      <c r="AJ2" s="15">
        <v>9785</v>
      </c>
      <c r="AK2" s="15"/>
      <c r="AL2" s="15"/>
      <c r="AM2" s="15"/>
      <c r="AN2" s="15"/>
      <c r="AO2" s="15"/>
      <c r="AP2" s="15"/>
      <c r="AQ2" s="15"/>
      <c r="AR2" s="15"/>
      <c r="AS2" s="15">
        <v>9785</v>
      </c>
      <c r="AT2" s="15"/>
      <c r="AU2" s="15"/>
      <c r="AV2" s="15"/>
      <c r="AW2" s="15"/>
      <c r="AX2" s="15">
        <v>9785</v>
      </c>
      <c r="AY2" s="15">
        <v>9785</v>
      </c>
      <c r="AZ2" s="15"/>
      <c r="BA2" s="15"/>
      <c r="BB2" s="15"/>
      <c r="BC2" s="15">
        <v>9785</v>
      </c>
      <c r="BD2" s="15">
        <v>9785</v>
      </c>
      <c r="BE2" s="15"/>
      <c r="BF2" s="15"/>
      <c r="BG2" s="15"/>
      <c r="BH2" s="15">
        <v>9785</v>
      </c>
      <c r="BI2" s="15"/>
      <c r="BJ2" s="15"/>
      <c r="BK2" s="15"/>
      <c r="BL2" s="15"/>
      <c r="BM2" s="15">
        <v>9785</v>
      </c>
      <c r="BN2" s="15"/>
      <c r="BO2" s="15"/>
      <c r="BP2" s="15"/>
      <c r="BQ2" s="15"/>
      <c r="BR2" s="15">
        <v>9785</v>
      </c>
      <c r="BS2" s="15"/>
      <c r="BT2" s="15"/>
      <c r="BU2" s="15"/>
      <c r="BV2" s="15"/>
      <c r="BW2" s="15">
        <v>9785</v>
      </c>
      <c r="BX2" s="15">
        <v>9785</v>
      </c>
      <c r="BY2" s="15"/>
      <c r="BZ2" s="15"/>
      <c r="CA2" s="15"/>
      <c r="CB2" s="15">
        <v>9785</v>
      </c>
      <c r="CC2" s="15">
        <v>9785</v>
      </c>
      <c r="CD2" s="15"/>
      <c r="CE2" s="15"/>
      <c r="CF2" s="15"/>
      <c r="CG2" s="15">
        <v>9785</v>
      </c>
      <c r="CH2" s="15">
        <v>6032</v>
      </c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</row>
    <row r="3" spans="1:159" ht="18" customHeight="1" x14ac:dyDescent="0.25">
      <c r="A3" s="181"/>
      <c r="B3" s="186"/>
      <c r="C3" s="186"/>
      <c r="D3" s="188"/>
      <c r="E3" s="16"/>
      <c r="F3" s="16"/>
      <c r="G3" s="16"/>
      <c r="H3" s="16"/>
      <c r="I3" s="16"/>
      <c r="J3" s="16" t="s">
        <v>500</v>
      </c>
      <c r="K3" s="16"/>
      <c r="L3" s="16"/>
      <c r="M3" s="16"/>
      <c r="N3" s="16"/>
      <c r="O3" s="16"/>
      <c r="P3" s="16"/>
      <c r="Q3" s="16"/>
      <c r="R3" s="16"/>
      <c r="S3" s="16"/>
      <c r="T3" s="16" t="s">
        <v>533</v>
      </c>
      <c r="U3" s="16" t="s">
        <v>535</v>
      </c>
      <c r="V3" s="16"/>
      <c r="W3" s="16"/>
      <c r="X3" s="16"/>
      <c r="Y3" s="16" t="s">
        <v>533</v>
      </c>
      <c r="Z3" s="16"/>
      <c r="AA3" s="16"/>
      <c r="AB3" s="16"/>
      <c r="AC3" s="16"/>
      <c r="AD3" s="16" t="s">
        <v>535</v>
      </c>
      <c r="AE3" s="16" t="s">
        <v>500</v>
      </c>
      <c r="AF3" s="16"/>
      <c r="AG3" s="16"/>
      <c r="AH3" s="16"/>
      <c r="AI3" s="16" t="s">
        <v>500</v>
      </c>
      <c r="AJ3" s="16" t="s">
        <v>500</v>
      </c>
      <c r="AK3" s="16"/>
      <c r="AL3" s="16"/>
      <c r="AM3" s="16"/>
      <c r="AN3" s="16"/>
      <c r="AO3" s="16"/>
      <c r="AP3" s="16"/>
      <c r="AQ3" s="16"/>
      <c r="AR3" s="16"/>
      <c r="AS3" s="16" t="s">
        <v>533</v>
      </c>
      <c r="AT3" s="16"/>
      <c r="AU3" s="16"/>
      <c r="AV3" s="16"/>
      <c r="AW3" s="16"/>
      <c r="AX3" s="16" t="s">
        <v>576</v>
      </c>
      <c r="AY3" s="16" t="s">
        <v>500</v>
      </c>
      <c r="AZ3" s="16"/>
      <c r="BA3" s="16"/>
      <c r="BB3" s="16"/>
      <c r="BC3" s="16" t="s">
        <v>500</v>
      </c>
      <c r="BD3" s="16" t="s">
        <v>500</v>
      </c>
      <c r="BE3" s="16"/>
      <c r="BF3" s="16"/>
      <c r="BG3" s="16"/>
      <c r="BH3" s="16" t="s">
        <v>500</v>
      </c>
      <c r="BI3" s="16"/>
      <c r="BJ3" s="16"/>
      <c r="BK3" s="16"/>
      <c r="BL3" s="16"/>
      <c r="BM3" s="16" t="s">
        <v>533</v>
      </c>
      <c r="BN3" s="16"/>
      <c r="BO3" s="16"/>
      <c r="BP3" s="16"/>
      <c r="BQ3" s="16"/>
      <c r="BR3" s="16" t="s">
        <v>533</v>
      </c>
      <c r="BS3" s="16"/>
      <c r="BT3" s="16"/>
      <c r="BU3" s="16"/>
      <c r="BV3" s="16"/>
      <c r="BW3" s="16" t="s">
        <v>565</v>
      </c>
      <c r="BX3" s="16" t="s">
        <v>533</v>
      </c>
      <c r="BY3" s="16"/>
      <c r="BZ3" s="16"/>
      <c r="CA3" s="16"/>
      <c r="CB3" s="16" t="s">
        <v>533</v>
      </c>
      <c r="CC3" s="16" t="s">
        <v>533</v>
      </c>
      <c r="CD3" s="16"/>
      <c r="CE3" s="16"/>
      <c r="CF3" s="16"/>
      <c r="CG3" s="16" t="s">
        <v>565</v>
      </c>
      <c r="CH3" s="16" t="s">
        <v>533</v>
      </c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</row>
    <row r="4" spans="1:159" ht="15.75" customHeight="1" x14ac:dyDescent="0.25">
      <c r="A4" s="76"/>
      <c r="B4" s="19"/>
      <c r="C4" s="19"/>
      <c r="D4" s="19"/>
      <c r="E4" s="74"/>
      <c r="F4" s="74"/>
      <c r="G4" s="74"/>
      <c r="H4" s="74"/>
      <c r="I4" s="74"/>
      <c r="J4" s="74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</row>
    <row r="5" spans="1:159" ht="15.75" x14ac:dyDescent="0.25">
      <c r="A5" s="77">
        <v>546854600231</v>
      </c>
      <c r="B5" s="42">
        <f t="shared" ref="B5:B11" si="0">SUM(E5:FC5)</f>
        <v>0</v>
      </c>
      <c r="C5" s="18">
        <f>IFERROR(VLOOKUP(A5,'Cockpit sheet'!A:E,5,0),0)</f>
        <v>0</v>
      </c>
      <c r="D5" s="42">
        <f t="shared" ref="D5:D11" si="1">C5-B5</f>
        <v>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7"/>
      <c r="BI5" s="17"/>
      <c r="BJ5" s="17"/>
      <c r="BK5" s="17"/>
      <c r="BL5" s="17"/>
      <c r="BM5" s="17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</row>
    <row r="6" spans="1:159" ht="15.75" x14ac:dyDescent="0.25">
      <c r="A6" s="88">
        <v>546854650116</v>
      </c>
      <c r="B6" s="42">
        <f t="shared" si="0"/>
        <v>1282</v>
      </c>
      <c r="C6" s="18">
        <f>IFERROR(VLOOKUP(A6,'Cockpit sheet'!A:E,5,0),0)</f>
        <v>2297</v>
      </c>
      <c r="D6" s="42">
        <f t="shared" si="1"/>
        <v>1015</v>
      </c>
      <c r="E6" s="18"/>
      <c r="F6" s="18"/>
      <c r="G6" s="18"/>
      <c r="H6" s="18"/>
      <c r="I6" s="18"/>
      <c r="J6" s="18">
        <v>42</v>
      </c>
      <c r="K6" s="18"/>
      <c r="L6" s="18"/>
      <c r="M6" s="18"/>
      <c r="N6" s="18"/>
      <c r="O6" s="18"/>
      <c r="P6" s="18"/>
      <c r="Q6" s="18"/>
      <c r="R6" s="18"/>
      <c r="S6" s="18"/>
      <c r="T6" s="18">
        <v>16</v>
      </c>
      <c r="U6" s="18">
        <v>58</v>
      </c>
      <c r="V6" s="18"/>
      <c r="W6" s="18"/>
      <c r="X6" s="18"/>
      <c r="Y6" s="18">
        <v>56</v>
      </c>
      <c r="Z6" s="18"/>
      <c r="AA6" s="18"/>
      <c r="AB6" s="18"/>
      <c r="AC6" s="18"/>
      <c r="AD6" s="18">
        <v>66</v>
      </c>
      <c r="AE6" s="18">
        <v>32</v>
      </c>
      <c r="AF6" s="18"/>
      <c r="AG6" s="18"/>
      <c r="AH6" s="18"/>
      <c r="AI6" s="18">
        <v>105</v>
      </c>
      <c r="AJ6" s="18">
        <v>67</v>
      </c>
      <c r="AK6" s="18"/>
      <c r="AL6" s="18"/>
      <c r="AM6" s="18"/>
      <c r="AN6" s="18"/>
      <c r="AO6" s="18"/>
      <c r="AP6" s="18"/>
      <c r="AQ6" s="18"/>
      <c r="AR6" s="18"/>
      <c r="AS6" s="18">
        <v>102</v>
      </c>
      <c r="AT6" s="18"/>
      <c r="AU6" s="18"/>
      <c r="AV6" s="18"/>
      <c r="AW6" s="18"/>
      <c r="AX6" s="18">
        <v>63</v>
      </c>
      <c r="AY6" s="18">
        <v>68</v>
      </c>
      <c r="AZ6" s="18"/>
      <c r="BA6" s="18"/>
      <c r="BB6" s="18"/>
      <c r="BC6" s="18">
        <v>13</v>
      </c>
      <c r="BD6" s="18">
        <v>61</v>
      </c>
      <c r="BE6" s="18"/>
      <c r="BF6" s="18"/>
      <c r="BG6" s="18"/>
      <c r="BH6" s="17">
        <v>98</v>
      </c>
      <c r="BI6" s="17"/>
      <c r="BJ6" s="17"/>
      <c r="BK6" s="17"/>
      <c r="BL6" s="17"/>
      <c r="BM6" s="17">
        <v>4</v>
      </c>
      <c r="BN6" s="18"/>
      <c r="BO6" s="18"/>
      <c r="BP6" s="18"/>
      <c r="BQ6" s="18"/>
      <c r="BR6" s="18">
        <v>108</v>
      </c>
      <c r="BS6" s="18"/>
      <c r="BT6" s="18"/>
      <c r="BU6" s="18"/>
      <c r="BV6" s="18"/>
      <c r="BW6" s="18">
        <v>28</v>
      </c>
      <c r="BX6" s="18">
        <v>44</v>
      </c>
      <c r="BY6" s="18"/>
      <c r="BZ6" s="18"/>
      <c r="CA6" s="18"/>
      <c r="CB6" s="18">
        <v>50</v>
      </c>
      <c r="CC6" s="18">
        <v>44</v>
      </c>
      <c r="CD6" s="18"/>
      <c r="CE6" s="18"/>
      <c r="CF6" s="18"/>
      <c r="CG6" s="18">
        <v>80</v>
      </c>
      <c r="CH6" s="18">
        <v>77</v>
      </c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</row>
    <row r="7" spans="1:159" ht="15.75" x14ac:dyDescent="0.25">
      <c r="A7" s="88">
        <v>546854650101</v>
      </c>
      <c r="B7" s="42">
        <f t="shared" si="0"/>
        <v>0</v>
      </c>
      <c r="C7" s="18">
        <f>IFERROR(VLOOKUP(A7,'Cockpit sheet'!A:E,5,0),0)</f>
        <v>0</v>
      </c>
      <c r="D7" s="42">
        <f t="shared" si="1"/>
        <v>0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7"/>
      <c r="BI7" s="17"/>
      <c r="BJ7" s="17"/>
      <c r="BK7" s="17"/>
      <c r="BL7" s="17"/>
      <c r="BM7" s="17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</row>
    <row r="8" spans="1:159" ht="15.75" x14ac:dyDescent="0.25">
      <c r="A8" s="88">
        <v>546854650102</v>
      </c>
      <c r="B8" s="42">
        <f t="shared" si="0"/>
        <v>0</v>
      </c>
      <c r="C8" s="18">
        <f>IFERROR(VLOOKUP(A8,'Cockpit sheet'!A:E,5,0),0)</f>
        <v>0</v>
      </c>
      <c r="D8" s="42">
        <f t="shared" si="1"/>
        <v>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7"/>
      <c r="BI8" s="17"/>
      <c r="BJ8" s="17"/>
      <c r="BK8" s="17"/>
      <c r="BL8" s="17"/>
      <c r="BM8" s="17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</row>
    <row r="9" spans="1:159" ht="15.75" x14ac:dyDescent="0.25">
      <c r="A9" s="88">
        <v>546854650110</v>
      </c>
      <c r="B9" s="42">
        <f t="shared" si="0"/>
        <v>385</v>
      </c>
      <c r="C9" s="18">
        <f>IFERROR(VLOOKUP(A9,'Cockpit sheet'!A:E,5,0),0)</f>
        <v>294</v>
      </c>
      <c r="D9" s="42">
        <f t="shared" si="1"/>
        <v>-91</v>
      </c>
      <c r="E9" s="18"/>
      <c r="F9" s="18"/>
      <c r="G9" s="18"/>
      <c r="H9" s="18"/>
      <c r="I9" s="18"/>
      <c r="J9" s="18">
        <v>40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>
        <v>36</v>
      </c>
      <c r="V9" s="18"/>
      <c r="W9" s="18"/>
      <c r="X9" s="18"/>
      <c r="Y9" s="18">
        <v>3</v>
      </c>
      <c r="Z9" s="18"/>
      <c r="AA9" s="18"/>
      <c r="AB9" s="18"/>
      <c r="AC9" s="18"/>
      <c r="AD9" s="18">
        <v>33</v>
      </c>
      <c r="AE9" s="18">
        <v>20</v>
      </c>
      <c r="AF9" s="18"/>
      <c r="AG9" s="18"/>
      <c r="AH9" s="18"/>
      <c r="AI9" s="18">
        <v>8</v>
      </c>
      <c r="AJ9" s="18">
        <v>48</v>
      </c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>
        <v>5</v>
      </c>
      <c r="AY9" s="18">
        <v>31</v>
      </c>
      <c r="AZ9" s="18"/>
      <c r="BA9" s="18"/>
      <c r="BB9" s="18"/>
      <c r="BC9" s="18">
        <v>64</v>
      </c>
      <c r="BD9" s="18">
        <v>1</v>
      </c>
      <c r="BE9" s="18"/>
      <c r="BF9" s="18"/>
      <c r="BG9" s="18"/>
      <c r="BH9" s="17"/>
      <c r="BI9" s="17"/>
      <c r="BJ9" s="17"/>
      <c r="BK9" s="17"/>
      <c r="BL9" s="17"/>
      <c r="BM9" s="17">
        <v>48</v>
      </c>
      <c r="BN9" s="18"/>
      <c r="BO9" s="18"/>
      <c r="BP9" s="18"/>
      <c r="BQ9" s="18"/>
      <c r="BR9" s="18"/>
      <c r="BS9" s="18"/>
      <c r="BT9" s="18"/>
      <c r="BU9" s="18"/>
      <c r="BV9" s="18"/>
      <c r="BW9" s="18">
        <v>36</v>
      </c>
      <c r="BX9" s="18">
        <v>4</v>
      </c>
      <c r="BY9" s="18"/>
      <c r="BZ9" s="18"/>
      <c r="CA9" s="18"/>
      <c r="CB9" s="18">
        <v>8</v>
      </c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</row>
    <row r="10" spans="1:159" ht="15.75" x14ac:dyDescent="0.25">
      <c r="A10" s="88">
        <v>546854650111</v>
      </c>
      <c r="B10" s="42">
        <f t="shared" si="0"/>
        <v>369</v>
      </c>
      <c r="C10" s="18">
        <f>IFERROR(VLOOKUP(A10,'Cockpit sheet'!A:E,5,0),0)</f>
        <v>830</v>
      </c>
      <c r="D10" s="42">
        <f t="shared" si="1"/>
        <v>461</v>
      </c>
      <c r="E10" s="18"/>
      <c r="F10" s="18"/>
      <c r="G10" s="18"/>
      <c r="H10" s="18"/>
      <c r="I10" s="18"/>
      <c r="J10" s="18">
        <v>32</v>
      </c>
      <c r="K10" s="18"/>
      <c r="L10" s="18"/>
      <c r="M10" s="18"/>
      <c r="N10" s="18"/>
      <c r="O10" s="18"/>
      <c r="P10" s="18"/>
      <c r="Q10" s="18"/>
      <c r="R10" s="18"/>
      <c r="S10" s="18"/>
      <c r="T10" s="18">
        <v>21</v>
      </c>
      <c r="U10" s="18"/>
      <c r="V10" s="18"/>
      <c r="W10" s="18"/>
      <c r="X10" s="18"/>
      <c r="Y10" s="18"/>
      <c r="Z10" s="18"/>
      <c r="AA10" s="18"/>
      <c r="AB10" s="18"/>
      <c r="AC10" s="18"/>
      <c r="AD10" s="18">
        <v>15</v>
      </c>
      <c r="AE10" s="18">
        <v>18</v>
      </c>
      <c r="AF10" s="18"/>
      <c r="AG10" s="18"/>
      <c r="AH10" s="18"/>
      <c r="AI10" s="18">
        <v>2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>
        <v>47</v>
      </c>
      <c r="AY10" s="18">
        <v>16</v>
      </c>
      <c r="AZ10" s="18"/>
      <c r="BA10" s="18"/>
      <c r="BB10" s="18"/>
      <c r="BC10" s="18">
        <v>29</v>
      </c>
      <c r="BD10" s="18">
        <v>3</v>
      </c>
      <c r="BE10" s="18"/>
      <c r="BF10" s="18"/>
      <c r="BG10" s="18"/>
      <c r="BH10" s="17">
        <v>2</v>
      </c>
      <c r="BI10" s="17"/>
      <c r="BJ10" s="17"/>
      <c r="BK10" s="17"/>
      <c r="BL10" s="17"/>
      <c r="BM10" s="17">
        <v>18</v>
      </c>
      <c r="BN10" s="18"/>
      <c r="BO10" s="18"/>
      <c r="BP10" s="18"/>
      <c r="BQ10" s="18"/>
      <c r="BR10" s="18">
        <v>5</v>
      </c>
      <c r="BS10" s="18"/>
      <c r="BT10" s="18"/>
      <c r="BU10" s="18"/>
      <c r="BV10" s="18"/>
      <c r="BW10" s="18">
        <v>51</v>
      </c>
      <c r="BX10" s="18">
        <v>25</v>
      </c>
      <c r="BY10" s="18"/>
      <c r="BZ10" s="18"/>
      <c r="CA10" s="18"/>
      <c r="CB10" s="18">
        <v>20</v>
      </c>
      <c r="CC10" s="18">
        <v>25</v>
      </c>
      <c r="CD10" s="18"/>
      <c r="CE10" s="18"/>
      <c r="CF10" s="18"/>
      <c r="CG10" s="18">
        <v>4</v>
      </c>
      <c r="CH10" s="18">
        <v>36</v>
      </c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</row>
    <row r="11" spans="1:159" ht="15.75" x14ac:dyDescent="0.25">
      <c r="A11" s="88">
        <v>546854650115</v>
      </c>
      <c r="B11" s="42">
        <f t="shared" si="0"/>
        <v>99</v>
      </c>
      <c r="C11" s="18">
        <f>IFERROR(VLOOKUP(A11,'Cockpit sheet'!A:E,5,0),0)</f>
        <v>230</v>
      </c>
      <c r="D11" s="42">
        <f t="shared" si="1"/>
        <v>131</v>
      </c>
      <c r="E11" s="18"/>
      <c r="F11" s="18"/>
      <c r="G11" s="18"/>
      <c r="H11" s="18"/>
      <c r="I11" s="18"/>
      <c r="J11" s="18">
        <v>1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7">
        <v>14</v>
      </c>
      <c r="BI11" s="17"/>
      <c r="BJ11" s="17"/>
      <c r="BK11" s="17"/>
      <c r="BL11" s="17"/>
      <c r="BM11" s="17">
        <v>36</v>
      </c>
      <c r="BN11" s="18"/>
      <c r="BO11" s="18"/>
      <c r="BP11" s="18"/>
      <c r="BQ11" s="18"/>
      <c r="BR11" s="18">
        <v>2</v>
      </c>
      <c r="BS11" s="18"/>
      <c r="BT11" s="18"/>
      <c r="BU11" s="18"/>
      <c r="BV11" s="18"/>
      <c r="BW11" s="18"/>
      <c r="BX11" s="18">
        <v>37</v>
      </c>
      <c r="BY11" s="18"/>
      <c r="BZ11" s="18"/>
      <c r="CA11" s="18"/>
      <c r="CB11" s="18"/>
      <c r="CC11" s="18">
        <v>6</v>
      </c>
      <c r="CD11" s="18"/>
      <c r="CE11" s="18"/>
      <c r="CF11" s="18"/>
      <c r="CG11" s="18">
        <v>3</v>
      </c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</row>
    <row r="12" spans="1:159" x14ac:dyDescent="0.25">
      <c r="A12" s="17" t="s">
        <v>113</v>
      </c>
      <c r="B12" s="83">
        <f>SUM(B5:B5)</f>
        <v>0</v>
      </c>
      <c r="C12" s="83">
        <f>SUM(C5:C5)</f>
        <v>0</v>
      </c>
      <c r="D12" s="83">
        <f>SUM(D5:D5)</f>
        <v>0</v>
      </c>
      <c r="E12" s="45">
        <f t="shared" ref="E12:AJ12" si="2">SUM(E5:E11)</f>
        <v>0</v>
      </c>
      <c r="F12" s="45">
        <f t="shared" si="2"/>
        <v>0</v>
      </c>
      <c r="G12" s="45">
        <f t="shared" si="2"/>
        <v>0</v>
      </c>
      <c r="H12" s="45">
        <f t="shared" si="2"/>
        <v>0</v>
      </c>
      <c r="I12" s="45">
        <f t="shared" si="2"/>
        <v>0</v>
      </c>
      <c r="J12" s="45">
        <f t="shared" si="2"/>
        <v>115</v>
      </c>
      <c r="K12" s="45">
        <f t="shared" si="2"/>
        <v>0</v>
      </c>
      <c r="L12" s="45">
        <f t="shared" si="2"/>
        <v>0</v>
      </c>
      <c r="M12" s="45">
        <f t="shared" si="2"/>
        <v>0</v>
      </c>
      <c r="N12" s="45">
        <f t="shared" si="2"/>
        <v>0</v>
      </c>
      <c r="O12" s="45">
        <f t="shared" si="2"/>
        <v>0</v>
      </c>
      <c r="P12" s="45">
        <f t="shared" si="2"/>
        <v>0</v>
      </c>
      <c r="Q12" s="45">
        <f t="shared" si="2"/>
        <v>0</v>
      </c>
      <c r="R12" s="45">
        <f t="shared" si="2"/>
        <v>0</v>
      </c>
      <c r="S12" s="45">
        <f t="shared" si="2"/>
        <v>0</v>
      </c>
      <c r="T12" s="45">
        <f t="shared" si="2"/>
        <v>37</v>
      </c>
      <c r="U12" s="45">
        <f t="shared" si="2"/>
        <v>94</v>
      </c>
      <c r="V12" s="45">
        <f t="shared" si="2"/>
        <v>0</v>
      </c>
      <c r="W12" s="45">
        <f t="shared" si="2"/>
        <v>0</v>
      </c>
      <c r="X12" s="45">
        <f t="shared" si="2"/>
        <v>0</v>
      </c>
      <c r="Y12" s="45">
        <f t="shared" si="2"/>
        <v>59</v>
      </c>
      <c r="Z12" s="45">
        <f t="shared" si="2"/>
        <v>0</v>
      </c>
      <c r="AA12" s="45">
        <f t="shared" si="2"/>
        <v>0</v>
      </c>
      <c r="AB12" s="45">
        <f t="shared" si="2"/>
        <v>0</v>
      </c>
      <c r="AC12" s="45">
        <f t="shared" si="2"/>
        <v>0</v>
      </c>
      <c r="AD12" s="45">
        <f t="shared" si="2"/>
        <v>114</v>
      </c>
      <c r="AE12" s="45">
        <f t="shared" si="2"/>
        <v>70</v>
      </c>
      <c r="AF12" s="45">
        <f t="shared" si="2"/>
        <v>0</v>
      </c>
      <c r="AG12" s="45">
        <f t="shared" si="2"/>
        <v>0</v>
      </c>
      <c r="AH12" s="45">
        <f t="shared" si="2"/>
        <v>0</v>
      </c>
      <c r="AI12" s="45">
        <f t="shared" si="2"/>
        <v>115</v>
      </c>
      <c r="AJ12" s="45">
        <f t="shared" si="2"/>
        <v>115</v>
      </c>
      <c r="AK12" s="45">
        <f t="shared" ref="AK12:BP12" si="3">SUM(AK5:AK11)</f>
        <v>0</v>
      </c>
      <c r="AL12" s="45">
        <f t="shared" si="3"/>
        <v>0</v>
      </c>
      <c r="AM12" s="45">
        <f t="shared" si="3"/>
        <v>0</v>
      </c>
      <c r="AN12" s="45">
        <f t="shared" si="3"/>
        <v>0</v>
      </c>
      <c r="AO12" s="45">
        <f t="shared" si="3"/>
        <v>0</v>
      </c>
      <c r="AP12" s="45">
        <f t="shared" si="3"/>
        <v>0</v>
      </c>
      <c r="AQ12" s="45">
        <f t="shared" si="3"/>
        <v>0</v>
      </c>
      <c r="AR12" s="45">
        <f t="shared" si="3"/>
        <v>0</v>
      </c>
      <c r="AS12" s="45">
        <f t="shared" si="3"/>
        <v>102</v>
      </c>
      <c r="AT12" s="45">
        <f t="shared" si="3"/>
        <v>0</v>
      </c>
      <c r="AU12" s="45">
        <f t="shared" si="3"/>
        <v>0</v>
      </c>
      <c r="AV12" s="45">
        <f t="shared" si="3"/>
        <v>0</v>
      </c>
      <c r="AW12" s="45">
        <f t="shared" si="3"/>
        <v>0</v>
      </c>
      <c r="AX12" s="45">
        <f t="shared" si="3"/>
        <v>115</v>
      </c>
      <c r="AY12" s="45">
        <f t="shared" si="3"/>
        <v>115</v>
      </c>
      <c r="AZ12" s="45">
        <f t="shared" si="3"/>
        <v>0</v>
      </c>
      <c r="BA12" s="45">
        <f t="shared" si="3"/>
        <v>0</v>
      </c>
      <c r="BB12" s="45">
        <f t="shared" si="3"/>
        <v>0</v>
      </c>
      <c r="BC12" s="45">
        <f t="shared" si="3"/>
        <v>106</v>
      </c>
      <c r="BD12" s="45">
        <f t="shared" si="3"/>
        <v>65</v>
      </c>
      <c r="BE12" s="45">
        <f t="shared" si="3"/>
        <v>0</v>
      </c>
      <c r="BF12" s="45">
        <f t="shared" si="3"/>
        <v>0</v>
      </c>
      <c r="BG12" s="45">
        <f t="shared" si="3"/>
        <v>0</v>
      </c>
      <c r="BH12" s="45">
        <f t="shared" si="3"/>
        <v>114</v>
      </c>
      <c r="BI12" s="45">
        <f t="shared" si="3"/>
        <v>0</v>
      </c>
      <c r="BJ12" s="45">
        <f t="shared" si="3"/>
        <v>0</v>
      </c>
      <c r="BK12" s="45">
        <f t="shared" si="3"/>
        <v>0</v>
      </c>
      <c r="BL12" s="45">
        <f t="shared" si="3"/>
        <v>0</v>
      </c>
      <c r="BM12" s="45">
        <f t="shared" si="3"/>
        <v>106</v>
      </c>
      <c r="BN12" s="45">
        <f t="shared" si="3"/>
        <v>0</v>
      </c>
      <c r="BO12" s="45">
        <f t="shared" si="3"/>
        <v>0</v>
      </c>
      <c r="BP12" s="45">
        <f t="shared" si="3"/>
        <v>0</v>
      </c>
      <c r="BQ12" s="45">
        <f t="shared" ref="BQ12:CV12" si="4">SUM(BQ5:BQ11)</f>
        <v>0</v>
      </c>
      <c r="BR12" s="45">
        <f t="shared" si="4"/>
        <v>115</v>
      </c>
      <c r="BS12" s="45">
        <f t="shared" si="4"/>
        <v>0</v>
      </c>
      <c r="BT12" s="45">
        <f t="shared" si="4"/>
        <v>0</v>
      </c>
      <c r="BU12" s="45">
        <f t="shared" si="4"/>
        <v>0</v>
      </c>
      <c r="BV12" s="45">
        <f t="shared" si="4"/>
        <v>0</v>
      </c>
      <c r="BW12" s="45">
        <f t="shared" si="4"/>
        <v>115</v>
      </c>
      <c r="BX12" s="45">
        <f t="shared" si="4"/>
        <v>110</v>
      </c>
      <c r="BY12" s="45">
        <f t="shared" si="4"/>
        <v>0</v>
      </c>
      <c r="BZ12" s="45">
        <f t="shared" si="4"/>
        <v>0</v>
      </c>
      <c r="CA12" s="45">
        <f t="shared" si="4"/>
        <v>0</v>
      </c>
      <c r="CB12" s="45">
        <f t="shared" si="4"/>
        <v>78</v>
      </c>
      <c r="CC12" s="45">
        <f t="shared" si="4"/>
        <v>75</v>
      </c>
      <c r="CD12" s="45">
        <f t="shared" si="4"/>
        <v>0</v>
      </c>
      <c r="CE12" s="45">
        <f t="shared" si="4"/>
        <v>0</v>
      </c>
      <c r="CF12" s="45">
        <f t="shared" si="4"/>
        <v>0</v>
      </c>
      <c r="CG12" s="45">
        <f t="shared" si="4"/>
        <v>87</v>
      </c>
      <c r="CH12" s="45">
        <f t="shared" si="4"/>
        <v>113</v>
      </c>
      <c r="CI12" s="45">
        <f t="shared" si="4"/>
        <v>0</v>
      </c>
      <c r="CJ12" s="45">
        <f t="shared" si="4"/>
        <v>0</v>
      </c>
      <c r="CK12" s="45">
        <f t="shared" si="4"/>
        <v>0</v>
      </c>
      <c r="CL12" s="45">
        <f t="shared" si="4"/>
        <v>0</v>
      </c>
      <c r="CM12" s="45">
        <f t="shared" si="4"/>
        <v>0</v>
      </c>
      <c r="CN12" s="45">
        <f t="shared" si="4"/>
        <v>0</v>
      </c>
      <c r="CO12" s="45">
        <f t="shared" si="4"/>
        <v>0</v>
      </c>
      <c r="CP12" s="45">
        <f t="shared" si="4"/>
        <v>0</v>
      </c>
      <c r="CQ12" s="45">
        <f t="shared" si="4"/>
        <v>0</v>
      </c>
      <c r="CR12" s="45">
        <f t="shared" si="4"/>
        <v>0</v>
      </c>
      <c r="CS12" s="45">
        <f t="shared" si="4"/>
        <v>0</v>
      </c>
      <c r="CT12" s="45">
        <f t="shared" si="4"/>
        <v>0</v>
      </c>
      <c r="CU12" s="45">
        <f t="shared" si="4"/>
        <v>0</v>
      </c>
      <c r="CV12" s="45">
        <f t="shared" si="4"/>
        <v>0</v>
      </c>
      <c r="CW12" s="45">
        <f t="shared" ref="CW12:EB12" si="5">SUM(CW5:CW11)</f>
        <v>0</v>
      </c>
      <c r="CX12" s="45">
        <f t="shared" si="5"/>
        <v>0</v>
      </c>
      <c r="CY12" s="45">
        <f t="shared" si="5"/>
        <v>0</v>
      </c>
      <c r="CZ12" s="45">
        <f t="shared" si="5"/>
        <v>0</v>
      </c>
      <c r="DA12" s="45">
        <f t="shared" si="5"/>
        <v>0</v>
      </c>
      <c r="DB12" s="45">
        <f t="shared" si="5"/>
        <v>0</v>
      </c>
      <c r="DC12" s="45">
        <f t="shared" si="5"/>
        <v>0</v>
      </c>
      <c r="DD12" s="45">
        <f t="shared" si="5"/>
        <v>0</v>
      </c>
      <c r="DE12" s="45">
        <f t="shared" si="5"/>
        <v>0</v>
      </c>
      <c r="DF12" s="45">
        <f t="shared" si="5"/>
        <v>0</v>
      </c>
      <c r="DG12" s="45">
        <f t="shared" si="5"/>
        <v>0</v>
      </c>
      <c r="DH12" s="45">
        <f t="shared" si="5"/>
        <v>0</v>
      </c>
      <c r="DI12" s="45">
        <f t="shared" si="5"/>
        <v>0</v>
      </c>
      <c r="DJ12" s="45">
        <f t="shared" si="5"/>
        <v>0</v>
      </c>
      <c r="DK12" s="45">
        <f t="shared" si="5"/>
        <v>0</v>
      </c>
      <c r="DL12" s="45">
        <f t="shared" si="5"/>
        <v>0</v>
      </c>
      <c r="DM12" s="45">
        <f t="shared" si="5"/>
        <v>0</v>
      </c>
      <c r="DN12" s="45">
        <f t="shared" si="5"/>
        <v>0</v>
      </c>
      <c r="DO12" s="45">
        <f t="shared" si="5"/>
        <v>0</v>
      </c>
      <c r="DP12" s="45">
        <f t="shared" si="5"/>
        <v>0</v>
      </c>
      <c r="DQ12" s="45">
        <f t="shared" si="5"/>
        <v>0</v>
      </c>
      <c r="DR12" s="45">
        <f t="shared" si="5"/>
        <v>0</v>
      </c>
      <c r="DS12" s="45">
        <f t="shared" si="5"/>
        <v>0</v>
      </c>
      <c r="DT12" s="45">
        <f t="shared" si="5"/>
        <v>0</v>
      </c>
      <c r="DU12" s="45">
        <f t="shared" si="5"/>
        <v>0</v>
      </c>
      <c r="DV12" s="45">
        <f t="shared" si="5"/>
        <v>0</v>
      </c>
      <c r="DW12" s="45">
        <f t="shared" si="5"/>
        <v>0</v>
      </c>
      <c r="DX12" s="45">
        <f t="shared" si="5"/>
        <v>0</v>
      </c>
      <c r="DY12" s="45">
        <f t="shared" si="5"/>
        <v>0</v>
      </c>
      <c r="DZ12" s="45">
        <f t="shared" si="5"/>
        <v>0</v>
      </c>
      <c r="EA12" s="45">
        <f t="shared" si="5"/>
        <v>0</v>
      </c>
      <c r="EB12" s="45">
        <f t="shared" si="5"/>
        <v>0</v>
      </c>
      <c r="EC12" s="45">
        <f t="shared" ref="EC12:FC12" si="6">SUM(EC5:EC11)</f>
        <v>0</v>
      </c>
      <c r="ED12" s="45">
        <f t="shared" si="6"/>
        <v>0</v>
      </c>
      <c r="EE12" s="45">
        <f t="shared" si="6"/>
        <v>0</v>
      </c>
      <c r="EF12" s="45">
        <f t="shared" si="6"/>
        <v>0</v>
      </c>
      <c r="EG12" s="45">
        <f t="shared" si="6"/>
        <v>0</v>
      </c>
      <c r="EH12" s="45">
        <f t="shared" si="6"/>
        <v>0</v>
      </c>
      <c r="EI12" s="45">
        <f t="shared" si="6"/>
        <v>0</v>
      </c>
      <c r="EJ12" s="45">
        <f t="shared" si="6"/>
        <v>0</v>
      </c>
      <c r="EK12" s="45">
        <f t="shared" si="6"/>
        <v>0</v>
      </c>
      <c r="EL12" s="45">
        <f t="shared" si="6"/>
        <v>0</v>
      </c>
      <c r="EM12" s="45">
        <f t="shared" si="6"/>
        <v>0</v>
      </c>
      <c r="EN12" s="45">
        <f t="shared" si="6"/>
        <v>0</v>
      </c>
      <c r="EO12" s="45">
        <f t="shared" si="6"/>
        <v>0</v>
      </c>
      <c r="EP12" s="45">
        <f t="shared" si="6"/>
        <v>0</v>
      </c>
      <c r="EQ12" s="45">
        <f t="shared" si="6"/>
        <v>0</v>
      </c>
      <c r="ER12" s="45">
        <f t="shared" si="6"/>
        <v>0</v>
      </c>
      <c r="ES12" s="45">
        <f t="shared" si="6"/>
        <v>0</v>
      </c>
      <c r="ET12" s="45">
        <f t="shared" si="6"/>
        <v>0</v>
      </c>
      <c r="EU12" s="45">
        <f t="shared" si="6"/>
        <v>0</v>
      </c>
      <c r="EV12" s="45">
        <f t="shared" si="6"/>
        <v>0</v>
      </c>
      <c r="EW12" s="45">
        <f t="shared" si="6"/>
        <v>0</v>
      </c>
      <c r="EX12" s="45">
        <f t="shared" si="6"/>
        <v>0</v>
      </c>
      <c r="EY12" s="45">
        <f t="shared" si="6"/>
        <v>0</v>
      </c>
      <c r="EZ12" s="45">
        <f t="shared" si="6"/>
        <v>0</v>
      </c>
      <c r="FA12" s="45">
        <f t="shared" si="6"/>
        <v>0</v>
      </c>
      <c r="FB12" s="45">
        <f t="shared" si="6"/>
        <v>0</v>
      </c>
      <c r="FC12" s="45">
        <f t="shared" si="6"/>
        <v>0</v>
      </c>
    </row>
    <row r="13" spans="1:159" x14ac:dyDescent="0.25">
      <c r="Y13" s="182">
        <f>SUM(Y12:AC12)</f>
        <v>59</v>
      </c>
      <c r="Z13" s="182"/>
      <c r="AA13" s="182"/>
      <c r="AB13" s="182"/>
      <c r="AC13" s="182"/>
      <c r="AD13" s="182">
        <f>SUM(AD12:AH12)</f>
        <v>184</v>
      </c>
      <c r="AE13" s="182"/>
      <c r="AF13" s="182"/>
      <c r="AG13" s="182"/>
      <c r="AH13" s="182"/>
      <c r="AI13" s="182">
        <f>SUM(AI12:AM12)</f>
        <v>230</v>
      </c>
      <c r="AJ13" s="182"/>
      <c r="AK13" s="182"/>
      <c r="AL13" s="182"/>
      <c r="AM13" s="182"/>
      <c r="AN13" s="182">
        <f>SUM(AN12:AR12)</f>
        <v>0</v>
      </c>
      <c r="AO13" s="182"/>
      <c r="AP13" s="182"/>
      <c r="AQ13" s="182"/>
      <c r="AR13" s="182"/>
      <c r="AS13" s="182">
        <f>SUM(AS12:AW12)</f>
        <v>102</v>
      </c>
      <c r="AT13" s="182"/>
      <c r="AU13" s="182"/>
      <c r="AV13" s="182"/>
      <c r="AW13" s="182"/>
      <c r="AX13" s="182">
        <f>SUM(AX12:BB12)</f>
        <v>230</v>
      </c>
      <c r="AY13" s="182"/>
      <c r="AZ13" s="182"/>
      <c r="BA13" s="182"/>
      <c r="BB13" s="182"/>
      <c r="BC13" s="182">
        <f>SUM(BC12:BG12)</f>
        <v>171</v>
      </c>
      <c r="BD13" s="182"/>
      <c r="BE13" s="182"/>
      <c r="BF13" s="182"/>
      <c r="BG13" s="182"/>
      <c r="BH13" s="182">
        <f>SUM(BH12:BL12)</f>
        <v>114</v>
      </c>
      <c r="BI13" s="182"/>
      <c r="BJ13" s="182"/>
      <c r="BK13" s="182"/>
      <c r="BL13" s="182"/>
      <c r="BM13" s="182">
        <f>SUM(BM12:BQ12)</f>
        <v>106</v>
      </c>
      <c r="BN13" s="182"/>
      <c r="BO13" s="182"/>
      <c r="BP13" s="182"/>
      <c r="BQ13" s="182"/>
      <c r="BR13" s="182">
        <f>SUM(BR12:BV12)</f>
        <v>115</v>
      </c>
      <c r="BS13" s="182"/>
      <c r="BT13" s="182"/>
      <c r="BU13" s="182"/>
      <c r="BV13" s="182"/>
      <c r="BW13" s="182">
        <f>SUM(BW12:CA12)</f>
        <v>225</v>
      </c>
      <c r="BX13" s="182"/>
      <c r="BY13" s="182"/>
      <c r="BZ13" s="182"/>
      <c r="CA13" s="182"/>
      <c r="CB13" s="182">
        <f>SUM(CB12:CF12)</f>
        <v>153</v>
      </c>
      <c r="CC13" s="182"/>
      <c r="CD13" s="182"/>
      <c r="CE13" s="182"/>
      <c r="CF13" s="182"/>
      <c r="CG13" s="182">
        <f>SUM(CG12:CK12)</f>
        <v>200</v>
      </c>
      <c r="CH13" s="182"/>
      <c r="CI13" s="182"/>
      <c r="CJ13" s="182"/>
      <c r="CK13" s="182"/>
      <c r="CL13" s="182">
        <f>SUM(CL12:CP12)</f>
        <v>0</v>
      </c>
      <c r="CM13" s="182"/>
      <c r="CN13" s="182"/>
      <c r="CO13" s="182"/>
      <c r="CP13" s="182"/>
      <c r="CQ13" s="182">
        <f>SUM(CQ12:CU12)</f>
        <v>0</v>
      </c>
      <c r="CR13" s="182"/>
      <c r="CS13" s="182"/>
      <c r="CT13" s="182"/>
      <c r="CU13" s="182"/>
      <c r="CV13" s="182">
        <f>SUM(CV12:CZ12)</f>
        <v>0</v>
      </c>
      <c r="CW13" s="182"/>
      <c r="CX13" s="182"/>
      <c r="CY13" s="182"/>
      <c r="CZ13" s="182"/>
      <c r="DA13" s="182">
        <f>SUM(DA12:DE12)</f>
        <v>0</v>
      </c>
      <c r="DB13" s="182"/>
      <c r="DC13" s="182"/>
      <c r="DD13" s="182"/>
      <c r="DE13" s="182"/>
      <c r="DF13" s="182">
        <f>SUM(DF12:DJ12)</f>
        <v>0</v>
      </c>
      <c r="DG13" s="182"/>
      <c r="DH13" s="182"/>
      <c r="DI13" s="182"/>
      <c r="DJ13" s="182"/>
      <c r="DK13" s="182">
        <f>SUM(DK12:DO12)</f>
        <v>0</v>
      </c>
      <c r="DL13" s="182"/>
      <c r="DM13" s="182"/>
      <c r="DN13" s="182"/>
      <c r="DO13" s="182"/>
      <c r="DP13" s="182">
        <f>SUM(DP12:DT12)</f>
        <v>0</v>
      </c>
      <c r="DQ13" s="182"/>
      <c r="DR13" s="182"/>
      <c r="DS13" s="182"/>
      <c r="DT13" s="182"/>
      <c r="DU13" s="182">
        <f>SUM(DU12:DY12)</f>
        <v>0</v>
      </c>
      <c r="DV13" s="182"/>
      <c r="DW13" s="182"/>
      <c r="DX13" s="182"/>
      <c r="DY13" s="182"/>
      <c r="DZ13" s="182">
        <f>SUM(DZ12:ED12)</f>
        <v>0</v>
      </c>
      <c r="EA13" s="182"/>
      <c r="EB13" s="182"/>
      <c r="EC13" s="182"/>
      <c r="ED13" s="182"/>
      <c r="EE13" s="182">
        <f>SUM(EE12:EI12)</f>
        <v>0</v>
      </c>
      <c r="EF13" s="182"/>
      <c r="EG13" s="182"/>
      <c r="EH13" s="182"/>
      <c r="EI13" s="182"/>
      <c r="EJ13" s="182">
        <f>SUM(EJ12:EN12)</f>
        <v>0</v>
      </c>
      <c r="EK13" s="182"/>
      <c r="EL13" s="182"/>
      <c r="EM13" s="182"/>
      <c r="EN13" s="182"/>
      <c r="EO13" s="182">
        <f>SUM(EO12:ES12)</f>
        <v>0</v>
      </c>
      <c r="EP13" s="182"/>
      <c r="EQ13" s="182"/>
      <c r="ER13" s="182"/>
      <c r="ES13" s="182"/>
      <c r="ET13" s="182">
        <f>SUM(ET12:EX12)</f>
        <v>0</v>
      </c>
      <c r="EU13" s="182"/>
      <c r="EV13" s="182"/>
      <c r="EW13" s="182"/>
      <c r="EX13" s="182"/>
      <c r="EY13" s="182">
        <f>SUM(EY12:FC12)</f>
        <v>0</v>
      </c>
      <c r="EZ13" s="182"/>
      <c r="FA13" s="182"/>
      <c r="FB13" s="182"/>
      <c r="FC13" s="182"/>
    </row>
  </sheetData>
  <autoFilter ref="A4:FC13" xr:uid="{00000000-0009-0000-0000-000006000000}">
    <sortState xmlns:xlrd2="http://schemas.microsoft.com/office/spreadsheetml/2017/richdata2" ref="A24:FH24">
      <sortCondition ref="BZ4:BZ30"/>
    </sortState>
  </autoFilter>
  <mergeCells count="62">
    <mergeCell ref="BM13:BQ13"/>
    <mergeCell ref="BR13:BV13"/>
    <mergeCell ref="BW13:CA13"/>
    <mergeCell ref="DZ13:ED13"/>
    <mergeCell ref="EE13:EI13"/>
    <mergeCell ref="DA13:DE13"/>
    <mergeCell ref="CB13:CF13"/>
    <mergeCell ref="CG13:CK13"/>
    <mergeCell ref="CL13:CP13"/>
    <mergeCell ref="CQ13:CU13"/>
    <mergeCell ref="CV13:CZ13"/>
    <mergeCell ref="AN13:AR13"/>
    <mergeCell ref="AS13:AW13"/>
    <mergeCell ref="AX13:BB13"/>
    <mergeCell ref="BC13:BG13"/>
    <mergeCell ref="BH13:BL13"/>
    <mergeCell ref="EY1:FC1"/>
    <mergeCell ref="EE1:EI1"/>
    <mergeCell ref="DF13:DJ13"/>
    <mergeCell ref="DK13:DO13"/>
    <mergeCell ref="DP13:DT13"/>
    <mergeCell ref="DU13:DY13"/>
    <mergeCell ref="EY13:FC13"/>
    <mergeCell ref="EJ13:EN13"/>
    <mergeCell ref="EO13:ES13"/>
    <mergeCell ref="ET13:EX13"/>
    <mergeCell ref="DU1:DY1"/>
    <mergeCell ref="DZ1:ED1"/>
    <mergeCell ref="EJ1:EN1"/>
    <mergeCell ref="EO1:ES1"/>
    <mergeCell ref="ET1:EX1"/>
    <mergeCell ref="B1:B3"/>
    <mergeCell ref="C1:C3"/>
    <mergeCell ref="D1:D3"/>
    <mergeCell ref="E1:I1"/>
    <mergeCell ref="J1:N1"/>
    <mergeCell ref="AS1:AW1"/>
    <mergeCell ref="AX1:BB1"/>
    <mergeCell ref="BC1:BG1"/>
    <mergeCell ref="BH1:BL1"/>
    <mergeCell ref="BM1:BQ1"/>
    <mergeCell ref="CB1:CF1"/>
    <mergeCell ref="CG1:CK1"/>
    <mergeCell ref="CL1:CP1"/>
    <mergeCell ref="CQ1:CU1"/>
    <mergeCell ref="CV1:CZ1"/>
    <mergeCell ref="A1:A3"/>
    <mergeCell ref="AD13:AH13"/>
    <mergeCell ref="AI13:AM13"/>
    <mergeCell ref="Y13:AC13"/>
    <mergeCell ref="DP1:DT1"/>
    <mergeCell ref="O1:S1"/>
    <mergeCell ref="T1:X1"/>
    <mergeCell ref="Y1:AC1"/>
    <mergeCell ref="BR1:BV1"/>
    <mergeCell ref="DA1:DE1"/>
    <mergeCell ref="BW1:CA1"/>
    <mergeCell ref="AN1:AR1"/>
    <mergeCell ref="AD1:AH1"/>
    <mergeCell ref="AI1:AM1"/>
    <mergeCell ref="DF1:DJ1"/>
    <mergeCell ref="DK1:DO1"/>
  </mergeCells>
  <phoneticPr fontId="38" type="noConversion"/>
  <conditionalFormatting sqref="A1">
    <cfRule type="duplicateValues" dxfId="35" priority="1591"/>
  </conditionalFormatting>
  <conditionalFormatting sqref="A4">
    <cfRule type="duplicateValues" dxfId="34" priority="1493"/>
  </conditionalFormatting>
  <conditionalFormatting sqref="A5:A6">
    <cfRule type="duplicateValues" dxfId="33" priority="1496"/>
    <cfRule type="duplicateValues" dxfId="32" priority="1497"/>
  </conditionalFormatting>
  <conditionalFormatting sqref="A7:A11">
    <cfRule type="duplicateValues" dxfId="31" priority="1"/>
    <cfRule type="duplicateValues" dxfId="30" priority="2"/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:T68"/>
  <sheetViews>
    <sheetView workbookViewId="0">
      <selection activeCell="N15" sqref="N15"/>
    </sheetView>
  </sheetViews>
  <sheetFormatPr defaultColWidth="9.140625" defaultRowHeight="15" x14ac:dyDescent="0.25"/>
  <cols>
    <col min="1" max="1" width="7" style="131" bestFit="1" customWidth="1"/>
    <col min="2" max="2" width="5" style="131" bestFit="1" customWidth="1"/>
    <col min="3" max="3" width="14" style="131" bestFit="1" customWidth="1"/>
    <col min="4" max="4" width="15" style="131" bestFit="1" customWidth="1"/>
    <col min="5" max="5" width="19" style="131" bestFit="1" customWidth="1"/>
    <col min="6" max="6" width="14" style="131" bestFit="1" customWidth="1"/>
    <col min="7" max="8" width="10" style="131" bestFit="1" customWidth="1"/>
    <col min="9" max="9" width="14" style="131" bestFit="1" customWidth="1"/>
    <col min="10" max="10" width="6" style="131" bestFit="1" customWidth="1"/>
    <col min="11" max="11" width="8" style="131" bestFit="1" customWidth="1"/>
    <col min="12" max="12" width="14" style="131" bestFit="1" customWidth="1"/>
    <col min="13" max="13" width="34" style="131" bestFit="1" customWidth="1"/>
    <col min="14" max="14" width="12" style="131" bestFit="1" customWidth="1"/>
    <col min="15" max="15" width="13" style="131" bestFit="1" customWidth="1"/>
    <col min="16" max="16" width="12" style="131" bestFit="1" customWidth="1"/>
    <col min="17" max="17" width="13.140625" style="131" bestFit="1" customWidth="1"/>
    <col min="18" max="18" width="15.42578125" style="131" bestFit="1" customWidth="1"/>
    <col min="19" max="19" width="13.140625" style="131" bestFit="1" customWidth="1"/>
    <col min="20" max="16384" width="9.140625" style="131"/>
  </cols>
  <sheetData>
    <row r="1" spans="1:20" ht="75" x14ac:dyDescent="0.25">
      <c r="A1" s="136" t="s">
        <v>464</v>
      </c>
      <c r="B1" s="137" t="s">
        <v>465</v>
      </c>
      <c r="C1" s="136" t="s">
        <v>466</v>
      </c>
      <c r="D1" s="136" t="s">
        <v>467</v>
      </c>
      <c r="E1" s="136" t="s">
        <v>468</v>
      </c>
      <c r="F1" s="136" t="s">
        <v>469</v>
      </c>
      <c r="G1" s="137" t="s">
        <v>470</v>
      </c>
      <c r="H1" s="136" t="s">
        <v>471</v>
      </c>
      <c r="I1" s="136" t="s">
        <v>472</v>
      </c>
      <c r="J1" s="137" t="s">
        <v>473</v>
      </c>
      <c r="K1" s="136" t="s">
        <v>474</v>
      </c>
      <c r="L1" s="136" t="s">
        <v>475</v>
      </c>
      <c r="M1" s="136" t="s">
        <v>476</v>
      </c>
      <c r="N1" s="137" t="s">
        <v>477</v>
      </c>
      <c r="O1" s="136" t="s">
        <v>478</v>
      </c>
      <c r="P1" s="136" t="s">
        <v>479</v>
      </c>
    </row>
    <row r="2" spans="1:20" x14ac:dyDescent="0.25">
      <c r="A2" s="131" t="s">
        <v>244</v>
      </c>
      <c r="B2" s="131" t="s">
        <v>245</v>
      </c>
      <c r="C2" s="132">
        <v>46114</v>
      </c>
      <c r="D2" s="133">
        <v>0.56457175925925995</v>
      </c>
      <c r="E2" s="131" t="s">
        <v>246</v>
      </c>
      <c r="F2" s="131" t="s">
        <v>247</v>
      </c>
      <c r="G2" s="131" t="s">
        <v>248</v>
      </c>
      <c r="H2" s="134">
        <v>4</v>
      </c>
      <c r="I2" s="135">
        <v>36579.68</v>
      </c>
      <c r="J2" s="131" t="s">
        <v>249</v>
      </c>
      <c r="K2" s="131" t="s">
        <v>250</v>
      </c>
      <c r="L2" s="131" t="s">
        <v>251</v>
      </c>
      <c r="M2" s="131" t="s">
        <v>252</v>
      </c>
      <c r="N2" s="131" t="s">
        <v>253</v>
      </c>
      <c r="O2" s="131" t="s">
        <v>254</v>
      </c>
      <c r="P2" s="131" t="s">
        <v>255</v>
      </c>
      <c r="Q2" s="138" t="s">
        <v>480</v>
      </c>
      <c r="R2" t="s">
        <v>481</v>
      </c>
      <c r="S2"/>
    </row>
    <row r="3" spans="1:20" x14ac:dyDescent="0.25">
      <c r="A3" s="131" t="s">
        <v>244</v>
      </c>
      <c r="B3" s="131" t="s">
        <v>245</v>
      </c>
      <c r="C3" s="132">
        <v>46114</v>
      </c>
      <c r="D3" s="133">
        <v>0.56424768518518997</v>
      </c>
      <c r="E3" s="131" t="s">
        <v>256</v>
      </c>
      <c r="F3" s="131" t="s">
        <v>257</v>
      </c>
      <c r="G3" s="131" t="s">
        <v>248</v>
      </c>
      <c r="H3" s="134">
        <v>75</v>
      </c>
      <c r="I3" s="135">
        <v>678325.5</v>
      </c>
      <c r="J3" s="131" t="s">
        <v>249</v>
      </c>
      <c r="K3" s="131" t="s">
        <v>250</v>
      </c>
      <c r="L3" s="131" t="s">
        <v>251</v>
      </c>
      <c r="M3" s="131" t="s">
        <v>258</v>
      </c>
      <c r="N3" s="131" t="s">
        <v>253</v>
      </c>
      <c r="O3" s="131" t="s">
        <v>254</v>
      </c>
      <c r="P3" s="131" t="s">
        <v>259</v>
      </c>
      <c r="Q3" s="113" t="s">
        <v>247</v>
      </c>
      <c r="R3">
        <v>87</v>
      </c>
      <c r="S3" s="140">
        <v>546854620346</v>
      </c>
      <c r="T3">
        <v>87</v>
      </c>
    </row>
    <row r="4" spans="1:20" x14ac:dyDescent="0.25">
      <c r="A4" s="131" t="s">
        <v>244</v>
      </c>
      <c r="B4" s="131" t="s">
        <v>245</v>
      </c>
      <c r="C4" s="132">
        <v>46116</v>
      </c>
      <c r="D4" s="133">
        <v>0.34826388888888998</v>
      </c>
      <c r="E4" s="131" t="s">
        <v>260</v>
      </c>
      <c r="F4" s="131" t="s">
        <v>247</v>
      </c>
      <c r="G4" s="131" t="s">
        <v>248</v>
      </c>
      <c r="H4" s="134">
        <v>11</v>
      </c>
      <c r="I4" s="135">
        <v>100594.12</v>
      </c>
      <c r="J4" s="131" t="s">
        <v>249</v>
      </c>
      <c r="K4" s="131" t="s">
        <v>250</v>
      </c>
      <c r="L4" s="131" t="s">
        <v>261</v>
      </c>
      <c r="M4" s="131" t="s">
        <v>262</v>
      </c>
      <c r="N4" s="131" t="s">
        <v>253</v>
      </c>
      <c r="O4" s="131" t="s">
        <v>254</v>
      </c>
      <c r="P4" s="131" t="s">
        <v>263</v>
      </c>
      <c r="Q4" s="113" t="s">
        <v>265</v>
      </c>
      <c r="R4">
        <v>480</v>
      </c>
      <c r="S4" s="140">
        <v>546854620355</v>
      </c>
      <c r="T4">
        <v>480</v>
      </c>
    </row>
    <row r="5" spans="1:20" x14ac:dyDescent="0.25">
      <c r="A5" s="131" t="s">
        <v>244</v>
      </c>
      <c r="B5" s="131" t="s">
        <v>245</v>
      </c>
      <c r="C5" s="132">
        <v>46116</v>
      </c>
      <c r="D5" s="133">
        <v>0.3471412037037</v>
      </c>
      <c r="E5" s="131" t="s">
        <v>264</v>
      </c>
      <c r="F5" s="131" t="s">
        <v>265</v>
      </c>
      <c r="G5" s="131" t="s">
        <v>248</v>
      </c>
      <c r="H5" s="134">
        <v>10</v>
      </c>
      <c r="I5" s="135">
        <v>88097.7</v>
      </c>
      <c r="J5" s="131" t="s">
        <v>249</v>
      </c>
      <c r="K5" s="131" t="s">
        <v>250</v>
      </c>
      <c r="L5" s="131" t="s">
        <v>261</v>
      </c>
      <c r="M5" s="131" t="s">
        <v>266</v>
      </c>
      <c r="N5" s="131" t="s">
        <v>253</v>
      </c>
      <c r="O5" s="131" t="s">
        <v>254</v>
      </c>
      <c r="P5" s="131" t="s">
        <v>267</v>
      </c>
      <c r="Q5" s="113" t="s">
        <v>286</v>
      </c>
      <c r="R5">
        <v>157</v>
      </c>
      <c r="S5" s="140">
        <v>546854620387</v>
      </c>
      <c r="T5">
        <v>157</v>
      </c>
    </row>
    <row r="6" spans="1:20" x14ac:dyDescent="0.25">
      <c r="A6" s="131" t="s">
        <v>244</v>
      </c>
      <c r="B6" s="131" t="s">
        <v>245</v>
      </c>
      <c r="C6" s="132">
        <v>46116</v>
      </c>
      <c r="D6" s="133">
        <v>0.34697916666667</v>
      </c>
      <c r="E6" s="131" t="s">
        <v>268</v>
      </c>
      <c r="F6" s="131" t="s">
        <v>257</v>
      </c>
      <c r="G6" s="131" t="s">
        <v>248</v>
      </c>
      <c r="H6" s="134">
        <v>70</v>
      </c>
      <c r="I6" s="135">
        <v>633103.80000000005</v>
      </c>
      <c r="J6" s="131" t="s">
        <v>249</v>
      </c>
      <c r="K6" s="131" t="s">
        <v>250</v>
      </c>
      <c r="L6" s="131" t="s">
        <v>261</v>
      </c>
      <c r="M6" s="131" t="s">
        <v>269</v>
      </c>
      <c r="N6" s="131" t="s">
        <v>253</v>
      </c>
      <c r="O6" s="131" t="s">
        <v>254</v>
      </c>
      <c r="P6" s="131" t="s">
        <v>270</v>
      </c>
      <c r="Q6" s="113" t="s">
        <v>257</v>
      </c>
      <c r="R6">
        <v>1085</v>
      </c>
      <c r="S6" s="140">
        <v>546854620389</v>
      </c>
      <c r="T6">
        <v>1085</v>
      </c>
    </row>
    <row r="7" spans="1:20" x14ac:dyDescent="0.25">
      <c r="A7" s="131" t="s">
        <v>244</v>
      </c>
      <c r="B7" s="131" t="s">
        <v>245</v>
      </c>
      <c r="C7" s="132">
        <v>46117</v>
      </c>
      <c r="D7" s="133">
        <v>0.25494212962962998</v>
      </c>
      <c r="E7" s="131" t="s">
        <v>271</v>
      </c>
      <c r="F7" s="131" t="s">
        <v>265</v>
      </c>
      <c r="G7" s="131" t="s">
        <v>248</v>
      </c>
      <c r="H7" s="134">
        <v>15</v>
      </c>
      <c r="I7" s="135">
        <v>132146.54999999999</v>
      </c>
      <c r="J7" s="131" t="s">
        <v>249</v>
      </c>
      <c r="K7" s="131" t="s">
        <v>250</v>
      </c>
      <c r="L7" s="131" t="s">
        <v>272</v>
      </c>
      <c r="M7" s="131" t="s">
        <v>273</v>
      </c>
      <c r="N7" s="131" t="s">
        <v>253</v>
      </c>
      <c r="O7" s="131" t="s">
        <v>254</v>
      </c>
      <c r="P7" s="131" t="s">
        <v>274</v>
      </c>
      <c r="Q7" s="113" t="s">
        <v>107</v>
      </c>
      <c r="R7">
        <v>1809</v>
      </c>
      <c r="S7"/>
    </row>
    <row r="8" spans="1:20" x14ac:dyDescent="0.25">
      <c r="A8" s="131" t="s">
        <v>244</v>
      </c>
      <c r="B8" s="131" t="s">
        <v>245</v>
      </c>
      <c r="C8" s="132">
        <v>46117</v>
      </c>
      <c r="D8" s="133">
        <v>0.25475694444444003</v>
      </c>
      <c r="E8" s="131" t="s">
        <v>275</v>
      </c>
      <c r="F8" s="131" t="s">
        <v>257</v>
      </c>
      <c r="G8" s="131" t="s">
        <v>248</v>
      </c>
      <c r="H8" s="134">
        <v>10</v>
      </c>
      <c r="I8" s="135">
        <v>90443.4</v>
      </c>
      <c r="J8" s="131" t="s">
        <v>249</v>
      </c>
      <c r="K8" s="131" t="s">
        <v>250</v>
      </c>
      <c r="L8" s="131" t="s">
        <v>272</v>
      </c>
      <c r="M8" s="131" t="s">
        <v>276</v>
      </c>
      <c r="N8" s="131" t="s">
        <v>253</v>
      </c>
      <c r="O8" s="131" t="s">
        <v>254</v>
      </c>
      <c r="P8" s="131" t="s">
        <v>277</v>
      </c>
      <c r="Q8"/>
      <c r="R8"/>
      <c r="S8"/>
    </row>
    <row r="9" spans="1:20" x14ac:dyDescent="0.25">
      <c r="A9" s="131" t="s">
        <v>244</v>
      </c>
      <c r="B9" s="131" t="s">
        <v>245</v>
      </c>
      <c r="C9" s="132">
        <v>46118</v>
      </c>
      <c r="D9" s="133">
        <v>0.90114583333332998</v>
      </c>
      <c r="E9" s="131" t="s">
        <v>278</v>
      </c>
      <c r="F9" s="131" t="s">
        <v>265</v>
      </c>
      <c r="G9" s="131" t="s">
        <v>248</v>
      </c>
      <c r="H9" s="134">
        <v>40</v>
      </c>
      <c r="I9" s="135">
        <v>352390.8</v>
      </c>
      <c r="J9" s="131" t="s">
        <v>249</v>
      </c>
      <c r="K9" s="131" t="s">
        <v>250</v>
      </c>
      <c r="L9" s="131" t="s">
        <v>279</v>
      </c>
      <c r="M9" s="131" t="s">
        <v>280</v>
      </c>
      <c r="N9" s="131" t="s">
        <v>253</v>
      </c>
      <c r="O9" s="131" t="s">
        <v>254</v>
      </c>
      <c r="P9" s="131" t="s">
        <v>281</v>
      </c>
      <c r="Q9"/>
      <c r="R9"/>
      <c r="S9"/>
    </row>
    <row r="10" spans="1:20" x14ac:dyDescent="0.25">
      <c r="A10" s="131" t="s">
        <v>244</v>
      </c>
      <c r="B10" s="131" t="s">
        <v>245</v>
      </c>
      <c r="C10" s="132">
        <v>46118</v>
      </c>
      <c r="D10" s="133">
        <v>0.38905092592592999</v>
      </c>
      <c r="E10" s="131" t="s">
        <v>282</v>
      </c>
      <c r="F10" s="131" t="s">
        <v>265</v>
      </c>
      <c r="G10" s="131" t="s">
        <v>248</v>
      </c>
      <c r="H10" s="134">
        <v>10</v>
      </c>
      <c r="I10" s="135">
        <v>88097.7</v>
      </c>
      <c r="J10" s="131" t="s">
        <v>249</v>
      </c>
      <c r="K10" s="131" t="s">
        <v>250</v>
      </c>
      <c r="L10" s="131" t="s">
        <v>261</v>
      </c>
      <c r="M10" s="131" t="s">
        <v>283</v>
      </c>
      <c r="N10" s="131" t="s">
        <v>253</v>
      </c>
      <c r="O10" s="131" t="s">
        <v>254</v>
      </c>
      <c r="P10" s="131" t="s">
        <v>284</v>
      </c>
      <c r="Q10"/>
      <c r="R10"/>
      <c r="S10"/>
    </row>
    <row r="11" spans="1:20" x14ac:dyDescent="0.25">
      <c r="A11" s="131" t="s">
        <v>244</v>
      </c>
      <c r="B11" s="131" t="s">
        <v>245</v>
      </c>
      <c r="C11" s="132">
        <v>46118</v>
      </c>
      <c r="D11" s="133">
        <v>0.90126157407407004</v>
      </c>
      <c r="E11" s="131" t="s">
        <v>285</v>
      </c>
      <c r="F11" s="131" t="s">
        <v>286</v>
      </c>
      <c r="G11" s="131" t="s">
        <v>248</v>
      </c>
      <c r="H11" s="134">
        <v>5</v>
      </c>
      <c r="I11" s="135">
        <v>43729.599999999999</v>
      </c>
      <c r="J11" s="131" t="s">
        <v>249</v>
      </c>
      <c r="K11" s="131" t="s">
        <v>250</v>
      </c>
      <c r="L11" s="131" t="s">
        <v>279</v>
      </c>
      <c r="M11" s="131" t="s">
        <v>287</v>
      </c>
      <c r="N11" s="131" t="s">
        <v>253</v>
      </c>
      <c r="O11" s="131" t="s">
        <v>254</v>
      </c>
      <c r="P11" s="131" t="s">
        <v>288</v>
      </c>
      <c r="Q11"/>
      <c r="R11"/>
      <c r="S11"/>
    </row>
    <row r="12" spans="1:20" x14ac:dyDescent="0.25">
      <c r="A12" s="131" t="s">
        <v>244</v>
      </c>
      <c r="B12" s="131" t="s">
        <v>245</v>
      </c>
      <c r="C12" s="132">
        <v>46118</v>
      </c>
      <c r="D12" s="133">
        <v>0.90101851851852</v>
      </c>
      <c r="E12" s="131" t="s">
        <v>289</v>
      </c>
      <c r="F12" s="131" t="s">
        <v>257</v>
      </c>
      <c r="G12" s="131" t="s">
        <v>248</v>
      </c>
      <c r="H12" s="134">
        <v>5</v>
      </c>
      <c r="I12" s="135">
        <v>45221.7</v>
      </c>
      <c r="J12" s="131" t="s">
        <v>249</v>
      </c>
      <c r="K12" s="131" t="s">
        <v>250</v>
      </c>
      <c r="L12" s="131" t="s">
        <v>279</v>
      </c>
      <c r="M12" s="131" t="s">
        <v>290</v>
      </c>
      <c r="N12" s="131" t="s">
        <v>253</v>
      </c>
      <c r="O12" s="131" t="s">
        <v>254</v>
      </c>
      <c r="P12" s="131" t="s">
        <v>291</v>
      </c>
      <c r="Q12"/>
      <c r="R12"/>
      <c r="S12"/>
    </row>
    <row r="13" spans="1:20" x14ac:dyDescent="0.25">
      <c r="A13" s="131" t="s">
        <v>244</v>
      </c>
      <c r="B13" s="131" t="s">
        <v>245</v>
      </c>
      <c r="C13" s="132">
        <v>46118</v>
      </c>
      <c r="D13" s="133">
        <v>0.38888888888889001</v>
      </c>
      <c r="E13" s="131" t="s">
        <v>292</v>
      </c>
      <c r="F13" s="131" t="s">
        <v>257</v>
      </c>
      <c r="G13" s="131" t="s">
        <v>248</v>
      </c>
      <c r="H13" s="134">
        <v>30</v>
      </c>
      <c r="I13" s="135">
        <v>271330.2</v>
      </c>
      <c r="J13" s="131" t="s">
        <v>249</v>
      </c>
      <c r="K13" s="131" t="s">
        <v>250</v>
      </c>
      <c r="L13" s="131" t="s">
        <v>261</v>
      </c>
      <c r="M13" s="131" t="s">
        <v>293</v>
      </c>
      <c r="N13" s="131" t="s">
        <v>253</v>
      </c>
      <c r="O13" s="131" t="s">
        <v>254</v>
      </c>
      <c r="P13" s="131" t="s">
        <v>294</v>
      </c>
      <c r="Q13"/>
      <c r="R13"/>
      <c r="S13"/>
    </row>
    <row r="14" spans="1:20" x14ac:dyDescent="0.25">
      <c r="A14" s="131" t="s">
        <v>244</v>
      </c>
      <c r="B14" s="131" t="s">
        <v>245</v>
      </c>
      <c r="C14" s="132">
        <v>46119</v>
      </c>
      <c r="D14" s="133">
        <v>0.62832175925926004</v>
      </c>
      <c r="E14" s="131" t="s">
        <v>295</v>
      </c>
      <c r="F14" s="131" t="s">
        <v>265</v>
      </c>
      <c r="G14" s="131" t="s">
        <v>248</v>
      </c>
      <c r="H14" s="134">
        <v>81</v>
      </c>
      <c r="I14" s="135">
        <v>713591.37</v>
      </c>
      <c r="J14" s="131" t="s">
        <v>249</v>
      </c>
      <c r="K14" s="131" t="s">
        <v>250</v>
      </c>
      <c r="L14" s="131" t="s">
        <v>296</v>
      </c>
      <c r="M14" s="131" t="s">
        <v>297</v>
      </c>
      <c r="N14" s="131" t="s">
        <v>253</v>
      </c>
      <c r="O14" s="131" t="s">
        <v>254</v>
      </c>
      <c r="P14" s="131" t="s">
        <v>298</v>
      </c>
      <c r="Q14"/>
      <c r="R14"/>
      <c r="S14"/>
    </row>
    <row r="15" spans="1:20" x14ac:dyDescent="0.25">
      <c r="A15" s="131" t="s">
        <v>244</v>
      </c>
      <c r="B15" s="131" t="s">
        <v>245</v>
      </c>
      <c r="C15" s="132">
        <v>46119</v>
      </c>
      <c r="D15" s="133">
        <v>0.58386574074074005</v>
      </c>
      <c r="E15" s="131" t="s">
        <v>299</v>
      </c>
      <c r="F15" s="131" t="s">
        <v>265</v>
      </c>
      <c r="G15" s="131" t="s">
        <v>248</v>
      </c>
      <c r="H15" s="134">
        <v>20</v>
      </c>
      <c r="I15" s="135">
        <v>176195.4</v>
      </c>
      <c r="J15" s="131" t="s">
        <v>249</v>
      </c>
      <c r="K15" s="131" t="s">
        <v>250</v>
      </c>
      <c r="L15" s="131" t="s">
        <v>261</v>
      </c>
      <c r="M15" s="131" t="s">
        <v>300</v>
      </c>
      <c r="N15" s="131" t="s">
        <v>253</v>
      </c>
      <c r="O15" s="131" t="s">
        <v>254</v>
      </c>
      <c r="P15" s="131" t="s">
        <v>301</v>
      </c>
      <c r="Q15"/>
      <c r="R15"/>
      <c r="S15"/>
    </row>
    <row r="16" spans="1:20" x14ac:dyDescent="0.25">
      <c r="A16" s="131" t="s">
        <v>244</v>
      </c>
      <c r="B16" s="131" t="s">
        <v>245</v>
      </c>
      <c r="C16" s="132">
        <v>46119</v>
      </c>
      <c r="D16" s="133">
        <v>0.5840162037037</v>
      </c>
      <c r="E16" s="131" t="s">
        <v>302</v>
      </c>
      <c r="F16" s="131" t="s">
        <v>286</v>
      </c>
      <c r="G16" s="131" t="s">
        <v>248</v>
      </c>
      <c r="H16" s="134">
        <v>5</v>
      </c>
      <c r="I16" s="135">
        <v>43729.599999999999</v>
      </c>
      <c r="J16" s="131" t="s">
        <v>249</v>
      </c>
      <c r="K16" s="131" t="s">
        <v>250</v>
      </c>
      <c r="L16" s="131" t="s">
        <v>261</v>
      </c>
      <c r="M16" s="131" t="s">
        <v>303</v>
      </c>
      <c r="N16" s="131" t="s">
        <v>253</v>
      </c>
      <c r="O16" s="131" t="s">
        <v>254</v>
      </c>
      <c r="P16" s="131" t="s">
        <v>304</v>
      </c>
      <c r="Q16"/>
      <c r="R16"/>
      <c r="S16"/>
    </row>
    <row r="17" spans="1:19" x14ac:dyDescent="0.25">
      <c r="A17" s="131" t="s">
        <v>244</v>
      </c>
      <c r="B17" s="131" t="s">
        <v>245</v>
      </c>
      <c r="C17" s="132">
        <v>46119</v>
      </c>
      <c r="D17" s="133">
        <v>0.62557870370369995</v>
      </c>
      <c r="E17" s="131" t="s">
        <v>305</v>
      </c>
      <c r="F17" s="131" t="s">
        <v>257</v>
      </c>
      <c r="G17" s="131" t="s">
        <v>248</v>
      </c>
      <c r="H17" s="134">
        <v>44</v>
      </c>
      <c r="I17" s="135">
        <v>397950.96</v>
      </c>
      <c r="J17" s="131" t="s">
        <v>249</v>
      </c>
      <c r="K17" s="131" t="s">
        <v>250</v>
      </c>
      <c r="L17" s="131" t="s">
        <v>296</v>
      </c>
      <c r="M17" s="131" t="s">
        <v>306</v>
      </c>
      <c r="N17" s="131" t="s">
        <v>253</v>
      </c>
      <c r="O17" s="131" t="s">
        <v>254</v>
      </c>
      <c r="P17" s="131" t="s">
        <v>307</v>
      </c>
      <c r="Q17"/>
      <c r="R17"/>
      <c r="S17"/>
    </row>
    <row r="18" spans="1:19" x14ac:dyDescent="0.25">
      <c r="A18" s="131" t="s">
        <v>244</v>
      </c>
      <c r="B18" s="131" t="s">
        <v>245</v>
      </c>
      <c r="C18" s="132">
        <v>46119</v>
      </c>
      <c r="D18" s="133">
        <v>0.58495370370370003</v>
      </c>
      <c r="E18" s="131" t="s">
        <v>308</v>
      </c>
      <c r="F18" s="131" t="s">
        <v>257</v>
      </c>
      <c r="G18" s="131" t="s">
        <v>248</v>
      </c>
      <c r="H18" s="134">
        <v>40</v>
      </c>
      <c r="I18" s="135">
        <v>361773.6</v>
      </c>
      <c r="J18" s="131" t="s">
        <v>249</v>
      </c>
      <c r="K18" s="131" t="s">
        <v>250</v>
      </c>
      <c r="L18" s="131" t="s">
        <v>261</v>
      </c>
      <c r="M18" s="131" t="s">
        <v>309</v>
      </c>
      <c r="N18" s="131" t="s">
        <v>253</v>
      </c>
      <c r="O18" s="131" t="s">
        <v>254</v>
      </c>
      <c r="P18" s="131" t="s">
        <v>310</v>
      </c>
      <c r="Q18"/>
      <c r="R18"/>
      <c r="S18"/>
    </row>
    <row r="19" spans="1:19" x14ac:dyDescent="0.25">
      <c r="A19" s="131" t="s">
        <v>244</v>
      </c>
      <c r="B19" s="131" t="s">
        <v>245</v>
      </c>
      <c r="C19" s="132">
        <v>46120</v>
      </c>
      <c r="D19" s="133">
        <v>0.48337962962962999</v>
      </c>
      <c r="E19" s="131" t="s">
        <v>311</v>
      </c>
      <c r="F19" s="131" t="s">
        <v>265</v>
      </c>
      <c r="G19" s="131" t="s">
        <v>248</v>
      </c>
      <c r="H19" s="134">
        <v>11</v>
      </c>
      <c r="I19" s="135">
        <v>96907.47</v>
      </c>
      <c r="J19" s="131" t="s">
        <v>249</v>
      </c>
      <c r="K19" s="131" t="s">
        <v>250</v>
      </c>
      <c r="L19" s="131" t="s">
        <v>261</v>
      </c>
      <c r="M19" s="131" t="s">
        <v>312</v>
      </c>
      <c r="N19" s="131" t="s">
        <v>253</v>
      </c>
      <c r="O19" s="131" t="s">
        <v>254</v>
      </c>
      <c r="P19" s="131" t="s">
        <v>313</v>
      </c>
      <c r="Q19"/>
      <c r="R19"/>
      <c r="S19"/>
    </row>
    <row r="20" spans="1:19" x14ac:dyDescent="0.25">
      <c r="A20" s="131" t="s">
        <v>244</v>
      </c>
      <c r="B20" s="131" t="s">
        <v>245</v>
      </c>
      <c r="C20" s="132">
        <v>46120</v>
      </c>
      <c r="D20" s="133">
        <v>0.48324074074074003</v>
      </c>
      <c r="E20" s="131" t="s">
        <v>314</v>
      </c>
      <c r="F20" s="131" t="s">
        <v>257</v>
      </c>
      <c r="G20" s="131" t="s">
        <v>248</v>
      </c>
      <c r="H20" s="134">
        <v>45</v>
      </c>
      <c r="I20" s="135">
        <v>406995.3</v>
      </c>
      <c r="J20" s="131" t="s">
        <v>249</v>
      </c>
      <c r="K20" s="131" t="s">
        <v>250</v>
      </c>
      <c r="L20" s="131" t="s">
        <v>261</v>
      </c>
      <c r="M20" s="131" t="s">
        <v>315</v>
      </c>
      <c r="N20" s="131" t="s">
        <v>253</v>
      </c>
      <c r="O20" s="131" t="s">
        <v>254</v>
      </c>
      <c r="P20" s="131" t="s">
        <v>316</v>
      </c>
    </row>
    <row r="21" spans="1:19" x14ac:dyDescent="0.25">
      <c r="A21" s="131" t="s">
        <v>244</v>
      </c>
      <c r="B21" s="131" t="s">
        <v>245</v>
      </c>
      <c r="C21" s="132">
        <v>46121</v>
      </c>
      <c r="D21" s="133">
        <v>0.56138888888889005</v>
      </c>
      <c r="E21" s="131" t="s">
        <v>317</v>
      </c>
      <c r="F21" s="131" t="s">
        <v>265</v>
      </c>
      <c r="G21" s="131" t="s">
        <v>248</v>
      </c>
      <c r="H21" s="134">
        <v>15</v>
      </c>
      <c r="I21" s="135">
        <v>132146.54999999999</v>
      </c>
      <c r="J21" s="131" t="s">
        <v>249</v>
      </c>
      <c r="K21" s="131" t="s">
        <v>250</v>
      </c>
      <c r="L21" s="131" t="s">
        <v>272</v>
      </c>
      <c r="M21" s="131" t="s">
        <v>318</v>
      </c>
      <c r="N21" s="131" t="s">
        <v>253</v>
      </c>
      <c r="O21" s="131" t="s">
        <v>254</v>
      </c>
      <c r="P21" s="131" t="s">
        <v>319</v>
      </c>
    </row>
    <row r="22" spans="1:19" x14ac:dyDescent="0.25">
      <c r="A22" s="131" t="s">
        <v>244</v>
      </c>
      <c r="B22" s="131" t="s">
        <v>245</v>
      </c>
      <c r="C22" s="132">
        <v>46121</v>
      </c>
      <c r="D22" s="133">
        <v>0.56152777777777996</v>
      </c>
      <c r="E22" s="131" t="s">
        <v>320</v>
      </c>
      <c r="F22" s="131" t="s">
        <v>286</v>
      </c>
      <c r="G22" s="131" t="s">
        <v>248</v>
      </c>
      <c r="H22" s="134">
        <v>5</v>
      </c>
      <c r="I22" s="135">
        <v>43729.599999999999</v>
      </c>
      <c r="J22" s="131" t="s">
        <v>249</v>
      </c>
      <c r="K22" s="131" t="s">
        <v>250</v>
      </c>
      <c r="L22" s="131" t="s">
        <v>272</v>
      </c>
      <c r="M22" s="131" t="s">
        <v>321</v>
      </c>
      <c r="N22" s="131" t="s">
        <v>253</v>
      </c>
      <c r="O22" s="131" t="s">
        <v>254</v>
      </c>
      <c r="P22" s="131" t="s">
        <v>322</v>
      </c>
    </row>
    <row r="23" spans="1:19" x14ac:dyDescent="0.25">
      <c r="A23" s="131" t="s">
        <v>244</v>
      </c>
      <c r="B23" s="131" t="s">
        <v>245</v>
      </c>
      <c r="C23" s="132">
        <v>46121</v>
      </c>
      <c r="D23" s="133">
        <v>0.56126157407406996</v>
      </c>
      <c r="E23" s="131" t="s">
        <v>323</v>
      </c>
      <c r="F23" s="131" t="s">
        <v>257</v>
      </c>
      <c r="G23" s="131" t="s">
        <v>248</v>
      </c>
      <c r="H23" s="134">
        <v>55</v>
      </c>
      <c r="I23" s="135">
        <v>497438.7</v>
      </c>
      <c r="J23" s="131" t="s">
        <v>249</v>
      </c>
      <c r="K23" s="131" t="s">
        <v>250</v>
      </c>
      <c r="L23" s="131" t="s">
        <v>272</v>
      </c>
      <c r="M23" s="131" t="s">
        <v>324</v>
      </c>
      <c r="N23" s="131" t="s">
        <v>253</v>
      </c>
      <c r="O23" s="131" t="s">
        <v>254</v>
      </c>
      <c r="P23" s="131" t="s">
        <v>325</v>
      </c>
    </row>
    <row r="24" spans="1:19" x14ac:dyDescent="0.25">
      <c r="A24" s="131" t="s">
        <v>244</v>
      </c>
      <c r="B24" s="131" t="s">
        <v>245</v>
      </c>
      <c r="C24" s="132">
        <v>46122</v>
      </c>
      <c r="D24" s="133">
        <v>0.91709490740740995</v>
      </c>
      <c r="E24" s="131" t="s">
        <v>326</v>
      </c>
      <c r="F24" s="131" t="s">
        <v>265</v>
      </c>
      <c r="G24" s="131" t="s">
        <v>248</v>
      </c>
      <c r="H24" s="134">
        <v>15</v>
      </c>
      <c r="I24" s="135">
        <v>132146.54999999999</v>
      </c>
      <c r="J24" s="131" t="s">
        <v>249</v>
      </c>
      <c r="K24" s="131" t="s">
        <v>250</v>
      </c>
      <c r="L24" s="131" t="s">
        <v>327</v>
      </c>
      <c r="M24" s="131" t="s">
        <v>328</v>
      </c>
      <c r="N24" s="131" t="s">
        <v>253</v>
      </c>
      <c r="O24" s="131" t="s">
        <v>254</v>
      </c>
      <c r="P24" s="131" t="s">
        <v>329</v>
      </c>
    </row>
    <row r="25" spans="1:19" x14ac:dyDescent="0.25">
      <c r="A25" s="131" t="s">
        <v>244</v>
      </c>
      <c r="B25" s="131" t="s">
        <v>245</v>
      </c>
      <c r="C25" s="132">
        <v>46122</v>
      </c>
      <c r="D25" s="133">
        <v>6.9305555555560006E-2</v>
      </c>
      <c r="E25" s="131" t="s">
        <v>330</v>
      </c>
      <c r="F25" s="131" t="s">
        <v>265</v>
      </c>
      <c r="G25" s="131" t="s">
        <v>248</v>
      </c>
      <c r="H25" s="134">
        <v>12</v>
      </c>
      <c r="I25" s="135">
        <v>105717.24</v>
      </c>
      <c r="J25" s="131" t="s">
        <v>249</v>
      </c>
      <c r="K25" s="131" t="s">
        <v>250</v>
      </c>
      <c r="L25" s="131" t="s">
        <v>261</v>
      </c>
      <c r="M25" s="131" t="s">
        <v>331</v>
      </c>
      <c r="N25" s="131" t="s">
        <v>253</v>
      </c>
      <c r="O25" s="131" t="s">
        <v>254</v>
      </c>
      <c r="P25" s="131" t="s">
        <v>332</v>
      </c>
    </row>
    <row r="26" spans="1:19" x14ac:dyDescent="0.25">
      <c r="A26" s="131" t="s">
        <v>244</v>
      </c>
      <c r="B26" s="131" t="s">
        <v>245</v>
      </c>
      <c r="C26" s="132">
        <v>46122</v>
      </c>
      <c r="D26" s="133">
        <v>0.91724537037037002</v>
      </c>
      <c r="E26" s="131" t="s">
        <v>333</v>
      </c>
      <c r="F26" s="131" t="s">
        <v>286</v>
      </c>
      <c r="G26" s="131" t="s">
        <v>248</v>
      </c>
      <c r="H26" s="134">
        <v>10</v>
      </c>
      <c r="I26" s="135">
        <v>87459.199999999997</v>
      </c>
      <c r="J26" s="131" t="s">
        <v>249</v>
      </c>
      <c r="K26" s="131" t="s">
        <v>250</v>
      </c>
      <c r="L26" s="131" t="s">
        <v>327</v>
      </c>
      <c r="M26" s="131" t="s">
        <v>334</v>
      </c>
      <c r="N26" s="131" t="s">
        <v>253</v>
      </c>
      <c r="O26" s="131" t="s">
        <v>254</v>
      </c>
      <c r="P26" s="131" t="s">
        <v>335</v>
      </c>
    </row>
    <row r="27" spans="1:19" x14ac:dyDescent="0.25">
      <c r="A27" s="131" t="s">
        <v>244</v>
      </c>
      <c r="B27" s="131" t="s">
        <v>245</v>
      </c>
      <c r="C27" s="132">
        <v>46122</v>
      </c>
      <c r="D27" s="133">
        <v>6.9513888888889999E-2</v>
      </c>
      <c r="E27" s="131" t="s">
        <v>336</v>
      </c>
      <c r="F27" s="131" t="s">
        <v>286</v>
      </c>
      <c r="G27" s="131" t="s">
        <v>248</v>
      </c>
      <c r="H27" s="134">
        <v>5</v>
      </c>
      <c r="I27" s="135">
        <v>43729.599999999999</v>
      </c>
      <c r="J27" s="131" t="s">
        <v>249</v>
      </c>
      <c r="K27" s="131" t="s">
        <v>250</v>
      </c>
      <c r="L27" s="131" t="s">
        <v>261</v>
      </c>
      <c r="M27" s="131" t="s">
        <v>337</v>
      </c>
      <c r="N27" s="131" t="s">
        <v>253</v>
      </c>
      <c r="O27" s="131" t="s">
        <v>254</v>
      </c>
      <c r="P27" s="131" t="s">
        <v>338</v>
      </c>
    </row>
    <row r="28" spans="1:19" x14ac:dyDescent="0.25">
      <c r="A28" s="131" t="s">
        <v>244</v>
      </c>
      <c r="B28" s="131" t="s">
        <v>245</v>
      </c>
      <c r="C28" s="132">
        <v>46122</v>
      </c>
      <c r="D28" s="133">
        <v>0.91695601851852004</v>
      </c>
      <c r="E28" s="131" t="s">
        <v>339</v>
      </c>
      <c r="F28" s="131" t="s">
        <v>257</v>
      </c>
      <c r="G28" s="131" t="s">
        <v>248</v>
      </c>
      <c r="H28" s="134">
        <v>50</v>
      </c>
      <c r="I28" s="135">
        <v>452217</v>
      </c>
      <c r="J28" s="131" t="s">
        <v>249</v>
      </c>
      <c r="K28" s="131" t="s">
        <v>250</v>
      </c>
      <c r="L28" s="131" t="s">
        <v>327</v>
      </c>
      <c r="M28" s="131" t="s">
        <v>340</v>
      </c>
      <c r="N28" s="131" t="s">
        <v>253</v>
      </c>
      <c r="O28" s="131" t="s">
        <v>254</v>
      </c>
      <c r="P28" s="131" t="s">
        <v>341</v>
      </c>
    </row>
    <row r="29" spans="1:19" x14ac:dyDescent="0.25">
      <c r="A29" s="131" t="s">
        <v>244</v>
      </c>
      <c r="B29" s="131" t="s">
        <v>245</v>
      </c>
      <c r="C29" s="132">
        <v>46122</v>
      </c>
      <c r="D29" s="133">
        <v>6.9166666666669999E-2</v>
      </c>
      <c r="E29" s="131" t="s">
        <v>342</v>
      </c>
      <c r="F29" s="131" t="s">
        <v>257</v>
      </c>
      <c r="G29" s="131" t="s">
        <v>248</v>
      </c>
      <c r="H29" s="134">
        <v>55</v>
      </c>
      <c r="I29" s="135">
        <v>497438.7</v>
      </c>
      <c r="J29" s="131" t="s">
        <v>249</v>
      </c>
      <c r="K29" s="131" t="s">
        <v>250</v>
      </c>
      <c r="L29" s="131" t="s">
        <v>261</v>
      </c>
      <c r="M29" s="131" t="s">
        <v>343</v>
      </c>
      <c r="N29" s="131" t="s">
        <v>253</v>
      </c>
      <c r="O29" s="131" t="s">
        <v>254</v>
      </c>
      <c r="P29" s="131" t="s">
        <v>344</v>
      </c>
    </row>
    <row r="30" spans="1:19" x14ac:dyDescent="0.25">
      <c r="A30" s="131" t="s">
        <v>244</v>
      </c>
      <c r="B30" s="131" t="s">
        <v>245</v>
      </c>
      <c r="C30" s="132">
        <v>46123</v>
      </c>
      <c r="D30" s="133">
        <v>0.56913194444444004</v>
      </c>
      <c r="E30" s="131" t="s">
        <v>345</v>
      </c>
      <c r="F30" s="131" t="s">
        <v>265</v>
      </c>
      <c r="G30" s="131" t="s">
        <v>248</v>
      </c>
      <c r="H30" s="134">
        <v>30</v>
      </c>
      <c r="I30" s="135">
        <v>264293.09999999998</v>
      </c>
      <c r="J30" s="131" t="s">
        <v>249</v>
      </c>
      <c r="K30" s="131" t="s">
        <v>250</v>
      </c>
      <c r="L30" s="131" t="s">
        <v>327</v>
      </c>
      <c r="M30" s="131" t="s">
        <v>346</v>
      </c>
      <c r="N30" s="131" t="s">
        <v>253</v>
      </c>
      <c r="O30" s="131" t="s">
        <v>254</v>
      </c>
      <c r="P30" s="131" t="s">
        <v>347</v>
      </c>
    </row>
    <row r="31" spans="1:19" x14ac:dyDescent="0.25">
      <c r="A31" s="131" t="s">
        <v>244</v>
      </c>
      <c r="B31" s="131" t="s">
        <v>245</v>
      </c>
      <c r="C31" s="132">
        <v>46123</v>
      </c>
      <c r="D31" s="133">
        <v>0.57079861111110997</v>
      </c>
      <c r="E31" s="131" t="s">
        <v>348</v>
      </c>
      <c r="F31" s="131" t="s">
        <v>286</v>
      </c>
      <c r="G31" s="131" t="s">
        <v>248</v>
      </c>
      <c r="H31" s="134">
        <v>21</v>
      </c>
      <c r="I31" s="135">
        <v>183664.32</v>
      </c>
      <c r="J31" s="131" t="s">
        <v>249</v>
      </c>
      <c r="K31" s="131" t="s">
        <v>250</v>
      </c>
      <c r="L31" s="131" t="s">
        <v>327</v>
      </c>
      <c r="M31" s="131" t="s">
        <v>349</v>
      </c>
      <c r="N31" s="131" t="s">
        <v>253</v>
      </c>
      <c r="O31" s="131" t="s">
        <v>254</v>
      </c>
      <c r="P31" s="131" t="s">
        <v>350</v>
      </c>
    </row>
    <row r="32" spans="1:19" x14ac:dyDescent="0.25">
      <c r="A32" s="131" t="s">
        <v>244</v>
      </c>
      <c r="B32" s="131" t="s">
        <v>245</v>
      </c>
      <c r="C32" s="132">
        <v>46123</v>
      </c>
      <c r="D32" s="133">
        <v>0.57064814814815001</v>
      </c>
      <c r="E32" s="131" t="s">
        <v>351</v>
      </c>
      <c r="F32" s="131" t="s">
        <v>257</v>
      </c>
      <c r="G32" s="131" t="s">
        <v>248</v>
      </c>
      <c r="H32" s="134">
        <v>30</v>
      </c>
      <c r="I32" s="135">
        <v>271330.2</v>
      </c>
      <c r="J32" s="131" t="s">
        <v>249</v>
      </c>
      <c r="K32" s="131" t="s">
        <v>250</v>
      </c>
      <c r="L32" s="131" t="s">
        <v>327</v>
      </c>
      <c r="M32" s="131" t="s">
        <v>352</v>
      </c>
      <c r="N32" s="131" t="s">
        <v>253</v>
      </c>
      <c r="O32" s="131" t="s">
        <v>254</v>
      </c>
      <c r="P32" s="131" t="s">
        <v>353</v>
      </c>
    </row>
    <row r="33" spans="1:16" x14ac:dyDescent="0.25">
      <c r="A33" s="131" t="s">
        <v>244</v>
      </c>
      <c r="B33" s="131" t="s">
        <v>245</v>
      </c>
      <c r="C33" s="132">
        <v>46124</v>
      </c>
      <c r="D33" s="133">
        <v>0.15785879629630001</v>
      </c>
      <c r="E33" s="131" t="s">
        <v>354</v>
      </c>
      <c r="F33" s="131" t="s">
        <v>265</v>
      </c>
      <c r="G33" s="131" t="s">
        <v>248</v>
      </c>
      <c r="H33" s="134">
        <v>50</v>
      </c>
      <c r="I33" s="135">
        <v>440488.5</v>
      </c>
      <c r="J33" s="131" t="s">
        <v>249</v>
      </c>
      <c r="K33" s="131" t="s">
        <v>250</v>
      </c>
      <c r="L33" s="131" t="s">
        <v>272</v>
      </c>
      <c r="M33" s="131" t="s">
        <v>355</v>
      </c>
      <c r="N33" s="131" t="s">
        <v>253</v>
      </c>
      <c r="O33" s="131" t="s">
        <v>254</v>
      </c>
      <c r="P33" s="131" t="s">
        <v>356</v>
      </c>
    </row>
    <row r="34" spans="1:16" x14ac:dyDescent="0.25">
      <c r="A34" s="131" t="s">
        <v>244</v>
      </c>
      <c r="B34" s="131" t="s">
        <v>245</v>
      </c>
      <c r="C34" s="132">
        <v>46124</v>
      </c>
      <c r="D34" s="133">
        <v>0.15799768518519</v>
      </c>
      <c r="E34" s="131" t="s">
        <v>357</v>
      </c>
      <c r="F34" s="131" t="s">
        <v>286</v>
      </c>
      <c r="G34" s="131" t="s">
        <v>248</v>
      </c>
      <c r="H34" s="134">
        <v>5</v>
      </c>
      <c r="I34" s="135">
        <v>43729.599999999999</v>
      </c>
      <c r="J34" s="131" t="s">
        <v>249</v>
      </c>
      <c r="K34" s="131" t="s">
        <v>250</v>
      </c>
      <c r="L34" s="131" t="s">
        <v>272</v>
      </c>
      <c r="M34" s="131" t="s">
        <v>358</v>
      </c>
      <c r="N34" s="131" t="s">
        <v>253</v>
      </c>
      <c r="O34" s="131" t="s">
        <v>254</v>
      </c>
      <c r="P34" s="131" t="s">
        <v>359</v>
      </c>
    </row>
    <row r="35" spans="1:16" x14ac:dyDescent="0.25">
      <c r="A35" s="131" t="s">
        <v>244</v>
      </c>
      <c r="B35" s="131" t="s">
        <v>245</v>
      </c>
      <c r="C35" s="132">
        <v>46124</v>
      </c>
      <c r="D35" s="133">
        <v>0.15763888888888999</v>
      </c>
      <c r="E35" s="131" t="s">
        <v>360</v>
      </c>
      <c r="F35" s="131" t="s">
        <v>257</v>
      </c>
      <c r="G35" s="131" t="s">
        <v>248</v>
      </c>
      <c r="H35" s="134">
        <v>65</v>
      </c>
      <c r="I35" s="135">
        <v>587882.1</v>
      </c>
      <c r="J35" s="131" t="s">
        <v>249</v>
      </c>
      <c r="K35" s="131" t="s">
        <v>250</v>
      </c>
      <c r="L35" s="131" t="s">
        <v>272</v>
      </c>
      <c r="M35" s="131" t="s">
        <v>361</v>
      </c>
      <c r="N35" s="131" t="s">
        <v>253</v>
      </c>
      <c r="O35" s="131" t="s">
        <v>254</v>
      </c>
      <c r="P35" s="131" t="s">
        <v>362</v>
      </c>
    </row>
    <row r="36" spans="1:16" x14ac:dyDescent="0.25">
      <c r="A36" s="131" t="s">
        <v>244</v>
      </c>
      <c r="B36" s="131" t="s">
        <v>245</v>
      </c>
      <c r="C36" s="132">
        <v>46125</v>
      </c>
      <c r="D36" s="133">
        <v>0.79163194444443996</v>
      </c>
      <c r="E36" s="131" t="s">
        <v>363</v>
      </c>
      <c r="F36" s="131" t="s">
        <v>247</v>
      </c>
      <c r="G36" s="131" t="s">
        <v>248</v>
      </c>
      <c r="H36" s="134">
        <v>14</v>
      </c>
      <c r="I36" s="135">
        <v>128028.88</v>
      </c>
      <c r="J36" s="131" t="s">
        <v>249</v>
      </c>
      <c r="K36" s="131" t="s">
        <v>250</v>
      </c>
      <c r="L36" s="131" t="s">
        <v>272</v>
      </c>
      <c r="M36" s="131" t="s">
        <v>364</v>
      </c>
      <c r="N36" s="131" t="s">
        <v>253</v>
      </c>
      <c r="O36" s="131" t="s">
        <v>254</v>
      </c>
      <c r="P36" s="131" t="s">
        <v>365</v>
      </c>
    </row>
    <row r="37" spans="1:16" x14ac:dyDescent="0.25">
      <c r="A37" s="131" t="s">
        <v>244</v>
      </c>
      <c r="B37" s="131" t="s">
        <v>245</v>
      </c>
      <c r="C37" s="132">
        <v>46125</v>
      </c>
      <c r="D37" s="133">
        <v>0.79087962962962999</v>
      </c>
      <c r="E37" s="131" t="s">
        <v>366</v>
      </c>
      <c r="F37" s="131" t="s">
        <v>265</v>
      </c>
      <c r="G37" s="131" t="s">
        <v>248</v>
      </c>
      <c r="H37" s="134">
        <v>20</v>
      </c>
      <c r="I37" s="135">
        <v>178579</v>
      </c>
      <c r="J37" s="131" t="s">
        <v>249</v>
      </c>
      <c r="K37" s="131" t="s">
        <v>250</v>
      </c>
      <c r="L37" s="131" t="s">
        <v>272</v>
      </c>
      <c r="M37" s="131" t="s">
        <v>367</v>
      </c>
      <c r="N37" s="131" t="s">
        <v>253</v>
      </c>
      <c r="O37" s="131" t="s">
        <v>254</v>
      </c>
      <c r="P37" s="131" t="s">
        <v>368</v>
      </c>
    </row>
    <row r="38" spans="1:16" x14ac:dyDescent="0.25">
      <c r="A38" s="131" t="s">
        <v>244</v>
      </c>
      <c r="B38" s="131" t="s">
        <v>245</v>
      </c>
      <c r="C38" s="132">
        <v>46125</v>
      </c>
      <c r="D38" s="133">
        <v>0.32869212962963001</v>
      </c>
      <c r="E38" s="131" t="s">
        <v>369</v>
      </c>
      <c r="F38" s="131" t="s">
        <v>265</v>
      </c>
      <c r="G38" s="131" t="s">
        <v>248</v>
      </c>
      <c r="H38" s="134">
        <v>11</v>
      </c>
      <c r="I38" s="135">
        <v>96907.47</v>
      </c>
      <c r="J38" s="131" t="s">
        <v>249</v>
      </c>
      <c r="K38" s="131" t="s">
        <v>250</v>
      </c>
      <c r="L38" s="131" t="s">
        <v>261</v>
      </c>
      <c r="M38" s="131" t="s">
        <v>370</v>
      </c>
      <c r="N38" s="131" t="s">
        <v>253</v>
      </c>
      <c r="O38" s="131" t="s">
        <v>254</v>
      </c>
      <c r="P38" s="131" t="s">
        <v>371</v>
      </c>
    </row>
    <row r="39" spans="1:16" x14ac:dyDescent="0.25">
      <c r="A39" s="131" t="s">
        <v>244</v>
      </c>
      <c r="B39" s="131" t="s">
        <v>245</v>
      </c>
      <c r="C39" s="132">
        <v>46125</v>
      </c>
      <c r="D39" s="133">
        <v>0.79099537037037004</v>
      </c>
      <c r="E39" s="131" t="s">
        <v>372</v>
      </c>
      <c r="F39" s="131" t="s">
        <v>286</v>
      </c>
      <c r="G39" s="131" t="s">
        <v>248</v>
      </c>
      <c r="H39" s="134">
        <v>27</v>
      </c>
      <c r="I39" s="135">
        <v>239357.7</v>
      </c>
      <c r="J39" s="131" t="s">
        <v>249</v>
      </c>
      <c r="K39" s="131" t="s">
        <v>250</v>
      </c>
      <c r="L39" s="131" t="s">
        <v>272</v>
      </c>
      <c r="M39" s="131" t="s">
        <v>373</v>
      </c>
      <c r="N39" s="131" t="s">
        <v>253</v>
      </c>
      <c r="O39" s="131" t="s">
        <v>254</v>
      </c>
      <c r="P39" s="131" t="s">
        <v>374</v>
      </c>
    </row>
    <row r="40" spans="1:16" x14ac:dyDescent="0.25">
      <c r="A40" s="131" t="s">
        <v>244</v>
      </c>
      <c r="B40" s="131" t="s">
        <v>245</v>
      </c>
      <c r="C40" s="132">
        <v>46125</v>
      </c>
      <c r="D40" s="133">
        <v>0.32881944444444</v>
      </c>
      <c r="E40" s="131" t="s">
        <v>375</v>
      </c>
      <c r="F40" s="131" t="s">
        <v>286</v>
      </c>
      <c r="G40" s="131" t="s">
        <v>248</v>
      </c>
      <c r="H40" s="134">
        <v>3</v>
      </c>
      <c r="I40" s="135">
        <v>26237.759999999998</v>
      </c>
      <c r="J40" s="131" t="s">
        <v>249</v>
      </c>
      <c r="K40" s="131" t="s">
        <v>250</v>
      </c>
      <c r="L40" s="131" t="s">
        <v>261</v>
      </c>
      <c r="M40" s="131" t="s">
        <v>376</v>
      </c>
      <c r="N40" s="131" t="s">
        <v>253</v>
      </c>
      <c r="O40" s="131" t="s">
        <v>254</v>
      </c>
      <c r="P40" s="131" t="s">
        <v>377</v>
      </c>
    </row>
    <row r="41" spans="1:16" x14ac:dyDescent="0.25">
      <c r="A41" s="131" t="s">
        <v>244</v>
      </c>
      <c r="B41" s="131" t="s">
        <v>245</v>
      </c>
      <c r="C41" s="132">
        <v>46125</v>
      </c>
      <c r="D41" s="133">
        <v>0.79226851851851998</v>
      </c>
      <c r="E41" s="131" t="s">
        <v>378</v>
      </c>
      <c r="F41" s="131" t="s">
        <v>257</v>
      </c>
      <c r="G41" s="131" t="s">
        <v>248</v>
      </c>
      <c r="H41" s="134">
        <v>50</v>
      </c>
      <c r="I41" s="135">
        <v>458176</v>
      </c>
      <c r="J41" s="131" t="s">
        <v>249</v>
      </c>
      <c r="K41" s="131" t="s">
        <v>250</v>
      </c>
      <c r="L41" s="131" t="s">
        <v>272</v>
      </c>
      <c r="M41" s="131" t="s">
        <v>379</v>
      </c>
      <c r="N41" s="131" t="s">
        <v>253</v>
      </c>
      <c r="O41" s="131" t="s">
        <v>254</v>
      </c>
      <c r="P41" s="131" t="s">
        <v>380</v>
      </c>
    </row>
    <row r="42" spans="1:16" x14ac:dyDescent="0.25">
      <c r="A42" s="131" t="s">
        <v>244</v>
      </c>
      <c r="B42" s="131" t="s">
        <v>245</v>
      </c>
      <c r="C42" s="132">
        <v>46125</v>
      </c>
      <c r="D42" s="133">
        <v>0.32855324074073999</v>
      </c>
      <c r="E42" s="131" t="s">
        <v>381</v>
      </c>
      <c r="F42" s="131" t="s">
        <v>257</v>
      </c>
      <c r="G42" s="131" t="s">
        <v>248</v>
      </c>
      <c r="H42" s="134">
        <v>40</v>
      </c>
      <c r="I42" s="135">
        <v>361773.6</v>
      </c>
      <c r="J42" s="131" t="s">
        <v>249</v>
      </c>
      <c r="K42" s="131" t="s">
        <v>250</v>
      </c>
      <c r="L42" s="131" t="s">
        <v>261</v>
      </c>
      <c r="M42" s="131" t="s">
        <v>382</v>
      </c>
      <c r="N42" s="131" t="s">
        <v>253</v>
      </c>
      <c r="O42" s="131" t="s">
        <v>254</v>
      </c>
      <c r="P42" s="131" t="s">
        <v>383</v>
      </c>
    </row>
    <row r="43" spans="1:16" x14ac:dyDescent="0.25">
      <c r="A43" s="131" t="s">
        <v>244</v>
      </c>
      <c r="B43" s="131" t="s">
        <v>245</v>
      </c>
      <c r="C43" s="132">
        <v>46126</v>
      </c>
      <c r="D43" s="133">
        <v>0.48820601851852002</v>
      </c>
      <c r="E43" s="131" t="s">
        <v>384</v>
      </c>
      <c r="F43" s="131" t="s">
        <v>247</v>
      </c>
      <c r="G43" s="131" t="s">
        <v>248</v>
      </c>
      <c r="H43" s="134">
        <v>16</v>
      </c>
      <c r="I43" s="135">
        <v>146318.72</v>
      </c>
      <c r="J43" s="131" t="s">
        <v>249</v>
      </c>
      <c r="K43" s="131" t="s">
        <v>250</v>
      </c>
      <c r="L43" s="131" t="s">
        <v>385</v>
      </c>
      <c r="M43" s="131" t="s">
        <v>386</v>
      </c>
      <c r="N43" s="131" t="s">
        <v>253</v>
      </c>
      <c r="O43" s="131" t="s">
        <v>254</v>
      </c>
      <c r="P43" s="131" t="s">
        <v>387</v>
      </c>
    </row>
    <row r="44" spans="1:16" x14ac:dyDescent="0.25">
      <c r="A44" s="131" t="s">
        <v>244</v>
      </c>
      <c r="B44" s="131" t="s">
        <v>245</v>
      </c>
      <c r="C44" s="132">
        <v>46126</v>
      </c>
      <c r="D44" s="133">
        <v>9.1898148148150005E-2</v>
      </c>
      <c r="E44" s="131" t="s">
        <v>388</v>
      </c>
      <c r="F44" s="131" t="s">
        <v>247</v>
      </c>
      <c r="G44" s="131" t="s">
        <v>248</v>
      </c>
      <c r="H44" s="134">
        <v>8</v>
      </c>
      <c r="I44" s="135">
        <v>73159.360000000001</v>
      </c>
      <c r="J44" s="131" t="s">
        <v>249</v>
      </c>
      <c r="K44" s="131" t="s">
        <v>250</v>
      </c>
      <c r="L44" s="131" t="s">
        <v>272</v>
      </c>
      <c r="M44" s="131" t="s">
        <v>389</v>
      </c>
      <c r="N44" s="131" t="s">
        <v>253</v>
      </c>
      <c r="O44" s="131" t="s">
        <v>254</v>
      </c>
      <c r="P44" s="131" t="s">
        <v>390</v>
      </c>
    </row>
    <row r="45" spans="1:16" x14ac:dyDescent="0.25">
      <c r="A45" s="131" t="s">
        <v>244</v>
      </c>
      <c r="B45" s="131" t="s">
        <v>245</v>
      </c>
      <c r="C45" s="132">
        <v>46126</v>
      </c>
      <c r="D45" s="133">
        <v>0.48646990740740997</v>
      </c>
      <c r="E45" s="131" t="s">
        <v>391</v>
      </c>
      <c r="F45" s="131" t="s">
        <v>265</v>
      </c>
      <c r="G45" s="131" t="s">
        <v>248</v>
      </c>
      <c r="H45" s="134">
        <v>40</v>
      </c>
      <c r="I45" s="135">
        <v>357158</v>
      </c>
      <c r="J45" s="131" t="s">
        <v>249</v>
      </c>
      <c r="K45" s="131" t="s">
        <v>250</v>
      </c>
      <c r="L45" s="131" t="s">
        <v>385</v>
      </c>
      <c r="M45" s="131" t="s">
        <v>392</v>
      </c>
      <c r="N45" s="131" t="s">
        <v>253</v>
      </c>
      <c r="O45" s="131" t="s">
        <v>254</v>
      </c>
      <c r="P45" s="131" t="s">
        <v>393</v>
      </c>
    </row>
    <row r="46" spans="1:16" x14ac:dyDescent="0.25">
      <c r="A46" s="131" t="s">
        <v>244</v>
      </c>
      <c r="B46" s="131" t="s">
        <v>245</v>
      </c>
      <c r="C46" s="132">
        <v>46126</v>
      </c>
      <c r="D46" s="133">
        <v>0.4862962962963</v>
      </c>
      <c r="E46" s="131" t="s">
        <v>394</v>
      </c>
      <c r="F46" s="131" t="s">
        <v>265</v>
      </c>
      <c r="G46" s="131" t="s">
        <v>248</v>
      </c>
      <c r="H46" s="134">
        <v>20</v>
      </c>
      <c r="I46" s="135">
        <v>178579</v>
      </c>
      <c r="J46" s="131" t="s">
        <v>249</v>
      </c>
      <c r="K46" s="131" t="s">
        <v>250</v>
      </c>
      <c r="L46" s="131" t="s">
        <v>385</v>
      </c>
      <c r="M46" s="131" t="s">
        <v>395</v>
      </c>
      <c r="N46" s="131" t="s">
        <v>253</v>
      </c>
      <c r="O46" s="131" t="s">
        <v>254</v>
      </c>
      <c r="P46" s="131" t="s">
        <v>396</v>
      </c>
    </row>
    <row r="47" spans="1:16" x14ac:dyDescent="0.25">
      <c r="A47" s="131" t="s">
        <v>244</v>
      </c>
      <c r="B47" s="131" t="s">
        <v>245</v>
      </c>
      <c r="C47" s="132">
        <v>46126</v>
      </c>
      <c r="D47" s="133">
        <v>9.1701388888889998E-2</v>
      </c>
      <c r="E47" s="131" t="s">
        <v>397</v>
      </c>
      <c r="F47" s="131" t="s">
        <v>265</v>
      </c>
      <c r="G47" s="131" t="s">
        <v>248</v>
      </c>
      <c r="H47" s="134">
        <v>3</v>
      </c>
      <c r="I47" s="135">
        <v>26786.85</v>
      </c>
      <c r="J47" s="131" t="s">
        <v>249</v>
      </c>
      <c r="K47" s="131" t="s">
        <v>250</v>
      </c>
      <c r="L47" s="131" t="s">
        <v>272</v>
      </c>
      <c r="M47" s="131" t="s">
        <v>398</v>
      </c>
      <c r="N47" s="131" t="s">
        <v>253</v>
      </c>
      <c r="O47" s="131" t="s">
        <v>254</v>
      </c>
      <c r="P47" s="131" t="s">
        <v>399</v>
      </c>
    </row>
    <row r="48" spans="1:16" x14ac:dyDescent="0.25">
      <c r="A48" s="131" t="s">
        <v>244</v>
      </c>
      <c r="B48" s="131" t="s">
        <v>245</v>
      </c>
      <c r="C48" s="132">
        <v>46126</v>
      </c>
      <c r="D48" s="133">
        <v>0.48722222222222</v>
      </c>
      <c r="E48" s="131" t="s">
        <v>400</v>
      </c>
      <c r="F48" s="131" t="s">
        <v>286</v>
      </c>
      <c r="G48" s="131" t="s">
        <v>248</v>
      </c>
      <c r="H48" s="134">
        <v>16</v>
      </c>
      <c r="I48" s="135">
        <v>141841.60000000001</v>
      </c>
      <c r="J48" s="131" t="s">
        <v>249</v>
      </c>
      <c r="K48" s="131" t="s">
        <v>250</v>
      </c>
      <c r="L48" s="131" t="s">
        <v>385</v>
      </c>
      <c r="M48" s="131" t="s">
        <v>401</v>
      </c>
      <c r="N48" s="131" t="s">
        <v>253</v>
      </c>
      <c r="O48" s="131" t="s">
        <v>254</v>
      </c>
      <c r="P48" s="131" t="s">
        <v>402</v>
      </c>
    </row>
    <row r="49" spans="1:16" x14ac:dyDescent="0.25">
      <c r="A49" s="131" t="s">
        <v>244</v>
      </c>
      <c r="B49" s="131" t="s">
        <v>245</v>
      </c>
      <c r="C49" s="132">
        <v>46126</v>
      </c>
      <c r="D49" s="133">
        <v>0.48703703703703999</v>
      </c>
      <c r="E49" s="131" t="s">
        <v>403</v>
      </c>
      <c r="F49" s="131" t="s">
        <v>257</v>
      </c>
      <c r="G49" s="131" t="s">
        <v>248</v>
      </c>
      <c r="H49" s="134">
        <v>46</v>
      </c>
      <c r="I49" s="135">
        <v>421521.91999999998</v>
      </c>
      <c r="J49" s="131" t="s">
        <v>249</v>
      </c>
      <c r="K49" s="131" t="s">
        <v>250</v>
      </c>
      <c r="L49" s="131" t="s">
        <v>385</v>
      </c>
      <c r="M49" s="131" t="s">
        <v>404</v>
      </c>
      <c r="N49" s="131" t="s">
        <v>253</v>
      </c>
      <c r="O49" s="131" t="s">
        <v>254</v>
      </c>
      <c r="P49" s="131" t="s">
        <v>405</v>
      </c>
    </row>
    <row r="50" spans="1:16" x14ac:dyDescent="0.25">
      <c r="A50" s="131" t="s">
        <v>244</v>
      </c>
      <c r="B50" s="131" t="s">
        <v>245</v>
      </c>
      <c r="C50" s="132">
        <v>46126</v>
      </c>
      <c r="D50" s="133">
        <v>9.1527777777779998E-2</v>
      </c>
      <c r="E50" s="131" t="s">
        <v>406</v>
      </c>
      <c r="F50" s="131" t="s">
        <v>257</v>
      </c>
      <c r="G50" s="131" t="s">
        <v>248</v>
      </c>
      <c r="H50" s="134">
        <v>35</v>
      </c>
      <c r="I50" s="135">
        <v>320723.20000000001</v>
      </c>
      <c r="J50" s="131" t="s">
        <v>249</v>
      </c>
      <c r="K50" s="131" t="s">
        <v>250</v>
      </c>
      <c r="L50" s="131" t="s">
        <v>272</v>
      </c>
      <c r="M50" s="131" t="s">
        <v>407</v>
      </c>
      <c r="N50" s="131" t="s">
        <v>253</v>
      </c>
      <c r="O50" s="131" t="s">
        <v>254</v>
      </c>
      <c r="P50" s="131" t="s">
        <v>408</v>
      </c>
    </row>
    <row r="51" spans="1:16" x14ac:dyDescent="0.25">
      <c r="A51" s="131" t="s">
        <v>244</v>
      </c>
      <c r="B51" s="131" t="s">
        <v>245</v>
      </c>
      <c r="C51" s="132">
        <v>46127</v>
      </c>
      <c r="D51" s="133">
        <v>0.90800925925926002</v>
      </c>
      <c r="E51" s="131" t="s">
        <v>409</v>
      </c>
      <c r="F51" s="131" t="s">
        <v>257</v>
      </c>
      <c r="G51" s="131" t="s">
        <v>248</v>
      </c>
      <c r="H51" s="134">
        <v>55</v>
      </c>
      <c r="I51" s="135">
        <v>503993.59999999998</v>
      </c>
      <c r="J51" s="131" t="s">
        <v>249</v>
      </c>
      <c r="K51" s="131" t="s">
        <v>250</v>
      </c>
      <c r="L51" s="131" t="s">
        <v>261</v>
      </c>
      <c r="M51" s="131" t="s">
        <v>410</v>
      </c>
      <c r="N51" s="131" t="s">
        <v>253</v>
      </c>
      <c r="O51" s="131" t="s">
        <v>254</v>
      </c>
      <c r="P51" s="131" t="s">
        <v>411</v>
      </c>
    </row>
    <row r="52" spans="1:16" x14ac:dyDescent="0.25">
      <c r="A52" s="131" t="s">
        <v>244</v>
      </c>
      <c r="B52" s="131" t="s">
        <v>245</v>
      </c>
      <c r="C52" s="132">
        <v>46127</v>
      </c>
      <c r="D52" s="133">
        <v>0.27097222222222</v>
      </c>
      <c r="E52" s="131" t="s">
        <v>412</v>
      </c>
      <c r="F52" s="131" t="s">
        <v>257</v>
      </c>
      <c r="G52" s="131" t="s">
        <v>248</v>
      </c>
      <c r="H52" s="134">
        <v>63</v>
      </c>
      <c r="I52" s="135">
        <v>577301.76000000001</v>
      </c>
      <c r="J52" s="131" t="s">
        <v>249</v>
      </c>
      <c r="K52" s="131" t="s">
        <v>250</v>
      </c>
      <c r="L52" s="131" t="s">
        <v>385</v>
      </c>
      <c r="M52" s="131" t="s">
        <v>413</v>
      </c>
      <c r="N52" s="131" t="s">
        <v>253</v>
      </c>
      <c r="O52" s="131" t="s">
        <v>254</v>
      </c>
      <c r="P52" s="131" t="s">
        <v>414</v>
      </c>
    </row>
    <row r="53" spans="1:16" x14ac:dyDescent="0.25">
      <c r="A53" s="131" t="s">
        <v>244</v>
      </c>
      <c r="B53" s="131" t="s">
        <v>245</v>
      </c>
      <c r="C53" s="132">
        <v>46128</v>
      </c>
      <c r="D53" s="133">
        <v>0.82400462962962995</v>
      </c>
      <c r="E53" s="131" t="s">
        <v>415</v>
      </c>
      <c r="F53" s="131" t="s">
        <v>247</v>
      </c>
      <c r="G53" s="131" t="s">
        <v>248</v>
      </c>
      <c r="H53" s="134">
        <v>20</v>
      </c>
      <c r="I53" s="135">
        <v>182898.4</v>
      </c>
      <c r="J53" s="131" t="s">
        <v>249</v>
      </c>
      <c r="K53" s="131" t="s">
        <v>250</v>
      </c>
      <c r="L53" s="131" t="s">
        <v>261</v>
      </c>
      <c r="M53" s="131" t="s">
        <v>416</v>
      </c>
      <c r="N53" s="131" t="s">
        <v>253</v>
      </c>
      <c r="O53" s="131" t="s">
        <v>254</v>
      </c>
      <c r="P53" s="131" t="s">
        <v>417</v>
      </c>
    </row>
    <row r="54" spans="1:16" x14ac:dyDescent="0.25">
      <c r="A54" s="131" t="s">
        <v>244</v>
      </c>
      <c r="B54" s="131" t="s">
        <v>245</v>
      </c>
      <c r="C54" s="132">
        <v>46128</v>
      </c>
      <c r="D54" s="133">
        <v>0.42821759259259001</v>
      </c>
      <c r="E54" s="131" t="s">
        <v>418</v>
      </c>
      <c r="F54" s="131" t="s">
        <v>247</v>
      </c>
      <c r="G54" s="131" t="s">
        <v>248</v>
      </c>
      <c r="H54" s="134">
        <v>8</v>
      </c>
      <c r="I54" s="135">
        <v>73159.360000000001</v>
      </c>
      <c r="J54" s="131" t="s">
        <v>249</v>
      </c>
      <c r="K54" s="131" t="s">
        <v>250</v>
      </c>
      <c r="L54" s="131" t="s">
        <v>327</v>
      </c>
      <c r="M54" s="131" t="s">
        <v>419</v>
      </c>
      <c r="N54" s="131" t="s">
        <v>253</v>
      </c>
      <c r="O54" s="131" t="s">
        <v>254</v>
      </c>
      <c r="P54" s="131" t="s">
        <v>420</v>
      </c>
    </row>
    <row r="55" spans="1:16" x14ac:dyDescent="0.25">
      <c r="A55" s="131" t="s">
        <v>244</v>
      </c>
      <c r="B55" s="131" t="s">
        <v>245</v>
      </c>
      <c r="C55" s="132">
        <v>46128</v>
      </c>
      <c r="D55" s="133">
        <v>0.23689814814815</v>
      </c>
      <c r="E55" s="131" t="s">
        <v>421</v>
      </c>
      <c r="F55" s="131" t="s">
        <v>247</v>
      </c>
      <c r="G55" s="131" t="s">
        <v>248</v>
      </c>
      <c r="H55" s="134">
        <v>6</v>
      </c>
      <c r="I55" s="135">
        <v>54869.52</v>
      </c>
      <c r="J55" s="131" t="s">
        <v>249</v>
      </c>
      <c r="K55" s="131" t="s">
        <v>250</v>
      </c>
      <c r="L55" s="131" t="s">
        <v>422</v>
      </c>
      <c r="M55" s="131" t="s">
        <v>423</v>
      </c>
      <c r="N55" s="131" t="s">
        <v>253</v>
      </c>
      <c r="O55" s="131" t="s">
        <v>254</v>
      </c>
      <c r="P55" s="131" t="s">
        <v>424</v>
      </c>
    </row>
    <row r="56" spans="1:16" x14ac:dyDescent="0.25">
      <c r="A56" s="131" t="s">
        <v>244</v>
      </c>
      <c r="B56" s="131" t="s">
        <v>245</v>
      </c>
      <c r="C56" s="132">
        <v>46128</v>
      </c>
      <c r="D56" s="133">
        <v>0.82277777777778005</v>
      </c>
      <c r="E56" s="131" t="s">
        <v>425</v>
      </c>
      <c r="F56" s="131" t="s">
        <v>265</v>
      </c>
      <c r="G56" s="131" t="s">
        <v>248</v>
      </c>
      <c r="H56" s="134">
        <v>8</v>
      </c>
      <c r="I56" s="135">
        <v>71431.600000000006</v>
      </c>
      <c r="J56" s="131" t="s">
        <v>249</v>
      </c>
      <c r="K56" s="131" t="s">
        <v>250</v>
      </c>
      <c r="L56" s="131" t="s">
        <v>261</v>
      </c>
      <c r="M56" s="131" t="s">
        <v>426</v>
      </c>
      <c r="N56" s="131" t="s">
        <v>253</v>
      </c>
      <c r="O56" s="131" t="s">
        <v>254</v>
      </c>
      <c r="P56" s="131" t="s">
        <v>427</v>
      </c>
    </row>
    <row r="57" spans="1:16" x14ac:dyDescent="0.25">
      <c r="A57" s="131" t="s">
        <v>244</v>
      </c>
      <c r="B57" s="131" t="s">
        <v>245</v>
      </c>
      <c r="C57" s="132">
        <v>46128</v>
      </c>
      <c r="D57" s="133">
        <v>0.82292824074074</v>
      </c>
      <c r="E57" s="131" t="s">
        <v>428</v>
      </c>
      <c r="F57" s="131" t="s">
        <v>286</v>
      </c>
      <c r="G57" s="131" t="s">
        <v>248</v>
      </c>
      <c r="H57" s="134">
        <v>13</v>
      </c>
      <c r="I57" s="135">
        <v>115246.3</v>
      </c>
      <c r="J57" s="131" t="s">
        <v>249</v>
      </c>
      <c r="K57" s="131" t="s">
        <v>250</v>
      </c>
      <c r="L57" s="131" t="s">
        <v>261</v>
      </c>
      <c r="M57" s="131" t="s">
        <v>429</v>
      </c>
      <c r="N57" s="131" t="s">
        <v>253</v>
      </c>
      <c r="O57" s="131" t="s">
        <v>254</v>
      </c>
      <c r="P57" s="131" t="s">
        <v>430</v>
      </c>
    </row>
    <row r="58" spans="1:16" x14ac:dyDescent="0.25">
      <c r="A58" s="131" t="s">
        <v>244</v>
      </c>
      <c r="B58" s="131" t="s">
        <v>245</v>
      </c>
      <c r="C58" s="132">
        <v>46128</v>
      </c>
      <c r="D58" s="133">
        <v>0.42674768518519002</v>
      </c>
      <c r="E58" s="131" t="s">
        <v>431</v>
      </c>
      <c r="F58" s="131" t="s">
        <v>257</v>
      </c>
      <c r="G58" s="131" t="s">
        <v>248</v>
      </c>
      <c r="H58" s="134">
        <v>16</v>
      </c>
      <c r="I58" s="135">
        <v>146616.32000000001</v>
      </c>
      <c r="J58" s="131" t="s">
        <v>249</v>
      </c>
      <c r="K58" s="131" t="s">
        <v>250</v>
      </c>
      <c r="L58" s="131" t="s">
        <v>327</v>
      </c>
      <c r="M58" s="131" t="s">
        <v>432</v>
      </c>
      <c r="N58" s="131" t="s">
        <v>253</v>
      </c>
      <c r="O58" s="131" t="s">
        <v>254</v>
      </c>
      <c r="P58" s="131" t="s">
        <v>433</v>
      </c>
    </row>
    <row r="59" spans="1:16" x14ac:dyDescent="0.25">
      <c r="A59" s="131" t="s">
        <v>244</v>
      </c>
      <c r="B59" s="131" t="s">
        <v>245</v>
      </c>
      <c r="C59" s="132">
        <v>46128</v>
      </c>
      <c r="D59" s="133">
        <v>0.23574074074074</v>
      </c>
      <c r="E59" s="131" t="s">
        <v>434</v>
      </c>
      <c r="F59" s="131" t="s">
        <v>257</v>
      </c>
      <c r="G59" s="131" t="s">
        <v>248</v>
      </c>
      <c r="H59" s="134">
        <v>53</v>
      </c>
      <c r="I59" s="135">
        <v>485666.56</v>
      </c>
      <c r="J59" s="131" t="s">
        <v>249</v>
      </c>
      <c r="K59" s="131" t="s">
        <v>250</v>
      </c>
      <c r="L59" s="131" t="s">
        <v>422</v>
      </c>
      <c r="M59" s="131" t="s">
        <v>435</v>
      </c>
      <c r="N59" s="131" t="s">
        <v>253</v>
      </c>
      <c r="O59" s="131" t="s">
        <v>254</v>
      </c>
      <c r="P59" s="131" t="s">
        <v>436</v>
      </c>
    </row>
    <row r="60" spans="1:16" x14ac:dyDescent="0.25">
      <c r="A60" s="131" t="s">
        <v>244</v>
      </c>
      <c r="B60" s="131" t="s">
        <v>245</v>
      </c>
      <c r="C60" s="132">
        <v>46129</v>
      </c>
      <c r="D60" s="133">
        <v>0.79460648148148005</v>
      </c>
      <c r="E60" s="131" t="s">
        <v>437</v>
      </c>
      <c r="F60" s="131" t="s">
        <v>265</v>
      </c>
      <c r="G60" s="131" t="s">
        <v>248</v>
      </c>
      <c r="H60" s="134">
        <v>33</v>
      </c>
      <c r="I60" s="135">
        <v>294655.34999999998</v>
      </c>
      <c r="J60" s="131" t="s">
        <v>249</v>
      </c>
      <c r="K60" s="131" t="s">
        <v>250</v>
      </c>
      <c r="L60" s="131" t="s">
        <v>261</v>
      </c>
      <c r="M60" s="131" t="s">
        <v>438</v>
      </c>
      <c r="N60" s="131" t="s">
        <v>253</v>
      </c>
      <c r="O60" s="131" t="s">
        <v>254</v>
      </c>
      <c r="P60" s="131" t="s">
        <v>439</v>
      </c>
    </row>
    <row r="61" spans="1:16" x14ac:dyDescent="0.25">
      <c r="A61" s="131" t="s">
        <v>244</v>
      </c>
      <c r="B61" s="131" t="s">
        <v>245</v>
      </c>
      <c r="C61" s="132">
        <v>46129</v>
      </c>
      <c r="D61" s="133">
        <v>0.21984953703703999</v>
      </c>
      <c r="E61" s="131" t="s">
        <v>440</v>
      </c>
      <c r="F61" s="131" t="s">
        <v>265</v>
      </c>
      <c r="G61" s="131" t="s">
        <v>248</v>
      </c>
      <c r="H61" s="134">
        <v>26</v>
      </c>
      <c r="I61" s="135">
        <v>232152.7</v>
      </c>
      <c r="J61" s="131" t="s">
        <v>249</v>
      </c>
      <c r="K61" s="131" t="s">
        <v>250</v>
      </c>
      <c r="L61" s="131" t="s">
        <v>327</v>
      </c>
      <c r="M61" s="131" t="s">
        <v>441</v>
      </c>
      <c r="N61" s="131" t="s">
        <v>253</v>
      </c>
      <c r="O61" s="131" t="s">
        <v>254</v>
      </c>
      <c r="P61" s="131" t="s">
        <v>442</v>
      </c>
    </row>
    <row r="62" spans="1:16" x14ac:dyDescent="0.25">
      <c r="A62" s="131" t="s">
        <v>244</v>
      </c>
      <c r="B62" s="131" t="s">
        <v>245</v>
      </c>
      <c r="C62" s="132">
        <v>46129</v>
      </c>
      <c r="D62" s="133">
        <v>0.79474537037036996</v>
      </c>
      <c r="E62" s="131" t="s">
        <v>443</v>
      </c>
      <c r="F62" s="131" t="s">
        <v>286</v>
      </c>
      <c r="G62" s="131" t="s">
        <v>248</v>
      </c>
      <c r="H62" s="134">
        <v>4</v>
      </c>
      <c r="I62" s="135">
        <v>35460.400000000001</v>
      </c>
      <c r="J62" s="131" t="s">
        <v>249</v>
      </c>
      <c r="K62" s="131" t="s">
        <v>250</v>
      </c>
      <c r="L62" s="131" t="s">
        <v>261</v>
      </c>
      <c r="M62" s="131" t="s">
        <v>444</v>
      </c>
      <c r="N62" s="131" t="s">
        <v>253</v>
      </c>
      <c r="O62" s="131" t="s">
        <v>254</v>
      </c>
      <c r="P62" s="131" t="s">
        <v>445</v>
      </c>
    </row>
    <row r="63" spans="1:16" x14ac:dyDescent="0.25">
      <c r="A63" s="131" t="s">
        <v>244</v>
      </c>
      <c r="B63" s="131" t="s">
        <v>245</v>
      </c>
      <c r="C63" s="132">
        <v>46129</v>
      </c>
      <c r="D63" s="133">
        <v>0.21994212962963</v>
      </c>
      <c r="E63" s="131" t="s">
        <v>446</v>
      </c>
      <c r="F63" s="131" t="s">
        <v>286</v>
      </c>
      <c r="G63" s="131" t="s">
        <v>248</v>
      </c>
      <c r="H63" s="134">
        <v>8</v>
      </c>
      <c r="I63" s="135">
        <v>70920.800000000003</v>
      </c>
      <c r="J63" s="131" t="s">
        <v>249</v>
      </c>
      <c r="K63" s="131" t="s">
        <v>250</v>
      </c>
      <c r="L63" s="131" t="s">
        <v>272</v>
      </c>
      <c r="M63" s="131" t="s">
        <v>447</v>
      </c>
      <c r="N63" s="131" t="s">
        <v>253</v>
      </c>
      <c r="O63" s="131" t="s">
        <v>254</v>
      </c>
      <c r="P63" s="131" t="s">
        <v>448</v>
      </c>
    </row>
    <row r="64" spans="1:16" x14ac:dyDescent="0.25">
      <c r="A64" s="131" t="s">
        <v>244</v>
      </c>
      <c r="B64" s="131" t="s">
        <v>245</v>
      </c>
      <c r="C64" s="132">
        <v>46129</v>
      </c>
      <c r="D64" s="133">
        <v>0.79447916666666996</v>
      </c>
      <c r="E64" s="131" t="s">
        <v>449</v>
      </c>
      <c r="F64" s="131" t="s">
        <v>257</v>
      </c>
      <c r="G64" s="131" t="s">
        <v>248</v>
      </c>
      <c r="H64" s="134">
        <v>73</v>
      </c>
      <c r="I64" s="135">
        <v>668936.95999999996</v>
      </c>
      <c r="J64" s="131" t="s">
        <v>249</v>
      </c>
      <c r="K64" s="131" t="s">
        <v>250</v>
      </c>
      <c r="L64" s="131" t="s">
        <v>261</v>
      </c>
      <c r="M64" s="131" t="s">
        <v>450</v>
      </c>
      <c r="N64" s="131" t="s">
        <v>253</v>
      </c>
      <c r="O64" s="131" t="s">
        <v>254</v>
      </c>
      <c r="P64" s="131" t="s">
        <v>451</v>
      </c>
    </row>
    <row r="65" spans="1:16" x14ac:dyDescent="0.25">
      <c r="A65" s="131" t="s">
        <v>244</v>
      </c>
      <c r="B65" s="131" t="s">
        <v>245</v>
      </c>
      <c r="C65" s="132">
        <v>46129</v>
      </c>
      <c r="D65" s="133">
        <v>0.21980324074074001</v>
      </c>
      <c r="E65" s="131" t="s">
        <v>452</v>
      </c>
      <c r="F65" s="131" t="s">
        <v>257</v>
      </c>
      <c r="G65" s="131" t="s">
        <v>248</v>
      </c>
      <c r="H65" s="134">
        <v>24</v>
      </c>
      <c r="I65" s="135">
        <v>219924.48000000001</v>
      </c>
      <c r="J65" s="131" t="s">
        <v>249</v>
      </c>
      <c r="K65" s="131" t="s">
        <v>250</v>
      </c>
      <c r="L65" s="131" t="s">
        <v>272</v>
      </c>
      <c r="M65" s="131" t="s">
        <v>453</v>
      </c>
      <c r="N65" s="131" t="s">
        <v>253</v>
      </c>
      <c r="O65" s="131" t="s">
        <v>254</v>
      </c>
      <c r="P65" s="131" t="s">
        <v>454</v>
      </c>
    </row>
    <row r="66" spans="1:16" x14ac:dyDescent="0.25">
      <c r="A66" s="131" t="s">
        <v>244</v>
      </c>
      <c r="B66" s="131" t="s">
        <v>245</v>
      </c>
      <c r="C66" s="132">
        <v>46130</v>
      </c>
      <c r="D66" s="133">
        <v>5.9351851851849997E-2</v>
      </c>
      <c r="E66" s="131" t="s">
        <v>455</v>
      </c>
      <c r="F66" s="131" t="s">
        <v>265</v>
      </c>
      <c r="G66" s="131" t="s">
        <v>248</v>
      </c>
      <c r="H66" s="134">
        <v>10</v>
      </c>
      <c r="I66" s="135">
        <v>89289.5</v>
      </c>
      <c r="J66" s="131" t="s">
        <v>249</v>
      </c>
      <c r="K66" s="131" t="s">
        <v>250</v>
      </c>
      <c r="L66" s="131" t="s">
        <v>261</v>
      </c>
      <c r="M66" s="131" t="s">
        <v>456</v>
      </c>
      <c r="N66" s="131" t="s">
        <v>253</v>
      </c>
      <c r="O66" s="131" t="s">
        <v>254</v>
      </c>
      <c r="P66" s="131" t="s">
        <v>457</v>
      </c>
    </row>
    <row r="67" spans="1:16" x14ac:dyDescent="0.25">
      <c r="A67" s="131" t="s">
        <v>244</v>
      </c>
      <c r="B67" s="131" t="s">
        <v>245</v>
      </c>
      <c r="C67" s="132">
        <v>46130</v>
      </c>
      <c r="D67" s="133">
        <v>5.9548611111109997E-2</v>
      </c>
      <c r="E67" s="131" t="s">
        <v>458</v>
      </c>
      <c r="F67" s="131" t="s">
        <v>286</v>
      </c>
      <c r="G67" s="131" t="s">
        <v>248</v>
      </c>
      <c r="H67" s="134">
        <v>30</v>
      </c>
      <c r="I67" s="135">
        <v>265953</v>
      </c>
      <c r="J67" s="131" t="s">
        <v>249</v>
      </c>
      <c r="K67" s="131" t="s">
        <v>250</v>
      </c>
      <c r="L67" s="131" t="s">
        <v>261</v>
      </c>
      <c r="M67" s="131" t="s">
        <v>459</v>
      </c>
      <c r="N67" s="131" t="s">
        <v>253</v>
      </c>
      <c r="O67" s="131" t="s">
        <v>254</v>
      </c>
      <c r="P67" s="131" t="s">
        <v>460</v>
      </c>
    </row>
    <row r="68" spans="1:16" x14ac:dyDescent="0.25">
      <c r="A68" s="131" t="s">
        <v>244</v>
      </c>
      <c r="B68" s="131" t="s">
        <v>245</v>
      </c>
      <c r="C68" s="132">
        <v>46130</v>
      </c>
      <c r="D68" s="133">
        <v>5.9039351851849997E-2</v>
      </c>
      <c r="E68" s="131" t="s">
        <v>461</v>
      </c>
      <c r="F68" s="131" t="s">
        <v>257</v>
      </c>
      <c r="G68" s="131" t="s">
        <v>248</v>
      </c>
      <c r="H68" s="134">
        <v>56</v>
      </c>
      <c r="I68" s="135">
        <v>513157.12</v>
      </c>
      <c r="J68" s="131" t="s">
        <v>249</v>
      </c>
      <c r="K68" s="131" t="s">
        <v>250</v>
      </c>
      <c r="L68" s="131" t="s">
        <v>261</v>
      </c>
      <c r="M68" s="131" t="s">
        <v>462</v>
      </c>
      <c r="N68" s="131" t="s">
        <v>253</v>
      </c>
      <c r="O68" s="131" t="s">
        <v>254</v>
      </c>
      <c r="P68" s="131" t="s">
        <v>463</v>
      </c>
    </row>
  </sheetData>
  <autoFilter ref="A1:P1" xr:uid="{00000000-0009-0000-0000-000007000000}"/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FC11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I9" sqref="CI9"/>
    </sheetView>
  </sheetViews>
  <sheetFormatPr defaultRowHeight="15" x14ac:dyDescent="0.25"/>
  <cols>
    <col min="1" max="1" width="18.7109375" bestFit="1" customWidth="1"/>
    <col min="2" max="2" width="8.28515625" style="149" customWidth="1"/>
    <col min="3" max="3" width="9.85546875" style="149" customWidth="1"/>
    <col min="5" max="74" width="4" hidden="1" customWidth="1"/>
    <col min="75" max="159" width="4" customWidth="1"/>
  </cols>
  <sheetData>
    <row r="1" spans="1:159" ht="15.75" customHeight="1" x14ac:dyDescent="0.25">
      <c r="A1" s="179" t="s">
        <v>693</v>
      </c>
      <c r="B1" s="189" t="s">
        <v>8</v>
      </c>
      <c r="C1" s="190" t="s">
        <v>672</v>
      </c>
      <c r="D1" s="187" t="s">
        <v>32</v>
      </c>
      <c r="E1" s="183">
        <v>46204</v>
      </c>
      <c r="F1" s="184"/>
      <c r="G1" s="184"/>
      <c r="H1" s="184"/>
      <c r="I1" s="185"/>
      <c r="J1" s="183">
        <v>46205</v>
      </c>
      <c r="K1" s="184"/>
      <c r="L1" s="184"/>
      <c r="M1" s="184"/>
      <c r="N1" s="185"/>
      <c r="O1" s="183">
        <v>46206</v>
      </c>
      <c r="P1" s="184"/>
      <c r="Q1" s="184"/>
      <c r="R1" s="184"/>
      <c r="S1" s="185"/>
      <c r="T1" s="183">
        <v>46207</v>
      </c>
      <c r="U1" s="184"/>
      <c r="V1" s="184"/>
      <c r="W1" s="184"/>
      <c r="X1" s="185"/>
      <c r="Y1" s="183">
        <v>46208</v>
      </c>
      <c r="Z1" s="184"/>
      <c r="AA1" s="184"/>
      <c r="AB1" s="184"/>
      <c r="AC1" s="185"/>
      <c r="AD1" s="183">
        <v>46209</v>
      </c>
      <c r="AE1" s="184"/>
      <c r="AF1" s="184"/>
      <c r="AG1" s="184"/>
      <c r="AH1" s="185"/>
      <c r="AI1" s="183">
        <v>46210</v>
      </c>
      <c r="AJ1" s="184"/>
      <c r="AK1" s="184"/>
      <c r="AL1" s="184"/>
      <c r="AM1" s="185"/>
      <c r="AN1" s="183">
        <v>46211</v>
      </c>
      <c r="AO1" s="184"/>
      <c r="AP1" s="184"/>
      <c r="AQ1" s="184"/>
      <c r="AR1" s="185"/>
      <c r="AS1" s="183">
        <v>46212</v>
      </c>
      <c r="AT1" s="184"/>
      <c r="AU1" s="184"/>
      <c r="AV1" s="184"/>
      <c r="AW1" s="185"/>
      <c r="AX1" s="183">
        <v>46213</v>
      </c>
      <c r="AY1" s="184"/>
      <c r="AZ1" s="184"/>
      <c r="BA1" s="184"/>
      <c r="BB1" s="185"/>
      <c r="BC1" s="183">
        <v>46214</v>
      </c>
      <c r="BD1" s="184"/>
      <c r="BE1" s="184"/>
      <c r="BF1" s="184"/>
      <c r="BG1" s="185"/>
      <c r="BH1" s="183">
        <v>46215</v>
      </c>
      <c r="BI1" s="184"/>
      <c r="BJ1" s="184"/>
      <c r="BK1" s="184"/>
      <c r="BL1" s="185"/>
      <c r="BM1" s="183">
        <v>46216</v>
      </c>
      <c r="BN1" s="184"/>
      <c r="BO1" s="184"/>
      <c r="BP1" s="184"/>
      <c r="BQ1" s="185"/>
      <c r="BR1" s="183">
        <v>46217</v>
      </c>
      <c r="BS1" s="184"/>
      <c r="BT1" s="184"/>
      <c r="BU1" s="184"/>
      <c r="BV1" s="185"/>
      <c r="BW1" s="183">
        <v>46218</v>
      </c>
      <c r="BX1" s="184"/>
      <c r="BY1" s="184"/>
      <c r="BZ1" s="184"/>
      <c r="CA1" s="185"/>
      <c r="CB1" s="183">
        <v>46219</v>
      </c>
      <c r="CC1" s="184"/>
      <c r="CD1" s="184"/>
      <c r="CE1" s="184"/>
      <c r="CF1" s="185"/>
      <c r="CG1" s="183">
        <v>46220</v>
      </c>
      <c r="CH1" s="184"/>
      <c r="CI1" s="184"/>
      <c r="CJ1" s="184"/>
      <c r="CK1" s="185"/>
      <c r="CL1" s="183">
        <v>46221</v>
      </c>
      <c r="CM1" s="184"/>
      <c r="CN1" s="184"/>
      <c r="CO1" s="184"/>
      <c r="CP1" s="185"/>
      <c r="CQ1" s="183">
        <v>46222</v>
      </c>
      <c r="CR1" s="184"/>
      <c r="CS1" s="184"/>
      <c r="CT1" s="184"/>
      <c r="CU1" s="185"/>
      <c r="CV1" s="183">
        <v>46223</v>
      </c>
      <c r="CW1" s="184"/>
      <c r="CX1" s="184"/>
      <c r="CY1" s="184"/>
      <c r="CZ1" s="185"/>
      <c r="DA1" s="183">
        <v>46224</v>
      </c>
      <c r="DB1" s="184"/>
      <c r="DC1" s="184"/>
      <c r="DD1" s="184"/>
      <c r="DE1" s="185"/>
      <c r="DF1" s="183">
        <v>46225</v>
      </c>
      <c r="DG1" s="184"/>
      <c r="DH1" s="184"/>
      <c r="DI1" s="184"/>
      <c r="DJ1" s="185"/>
      <c r="DK1" s="183">
        <v>46226</v>
      </c>
      <c r="DL1" s="184"/>
      <c r="DM1" s="184"/>
      <c r="DN1" s="184"/>
      <c r="DO1" s="185"/>
      <c r="DP1" s="183">
        <v>46227</v>
      </c>
      <c r="DQ1" s="184"/>
      <c r="DR1" s="184"/>
      <c r="DS1" s="184"/>
      <c r="DT1" s="185"/>
      <c r="DU1" s="183">
        <v>46228</v>
      </c>
      <c r="DV1" s="184"/>
      <c r="DW1" s="184"/>
      <c r="DX1" s="184"/>
      <c r="DY1" s="185"/>
      <c r="DZ1" s="183">
        <v>46229</v>
      </c>
      <c r="EA1" s="184"/>
      <c r="EB1" s="184"/>
      <c r="EC1" s="184"/>
      <c r="ED1" s="185"/>
      <c r="EE1" s="183">
        <v>46230</v>
      </c>
      <c r="EF1" s="184"/>
      <c r="EG1" s="184"/>
      <c r="EH1" s="184"/>
      <c r="EI1" s="185"/>
      <c r="EJ1" s="183">
        <v>46231</v>
      </c>
      <c r="EK1" s="184"/>
      <c r="EL1" s="184"/>
      <c r="EM1" s="184"/>
      <c r="EN1" s="185"/>
      <c r="EO1" s="183">
        <v>46232</v>
      </c>
      <c r="EP1" s="184"/>
      <c r="EQ1" s="184"/>
      <c r="ER1" s="184"/>
      <c r="ES1" s="185"/>
      <c r="ET1" s="183">
        <v>46233</v>
      </c>
      <c r="EU1" s="184"/>
      <c r="EV1" s="184"/>
      <c r="EW1" s="184"/>
      <c r="EX1" s="185"/>
      <c r="EY1" s="183">
        <v>46234</v>
      </c>
      <c r="EZ1" s="184"/>
      <c r="FA1" s="184"/>
      <c r="FB1" s="184"/>
      <c r="FC1" s="185"/>
    </row>
    <row r="2" spans="1:159" ht="33" customHeight="1" x14ac:dyDescent="0.25">
      <c r="A2" s="180"/>
      <c r="B2" s="189"/>
      <c r="C2" s="190"/>
      <c r="D2" s="188"/>
      <c r="E2" s="15">
        <v>6032</v>
      </c>
      <c r="F2" s="15"/>
      <c r="G2" s="15"/>
      <c r="H2" s="15"/>
      <c r="I2" s="15"/>
      <c r="J2" s="15"/>
      <c r="K2" s="15"/>
      <c r="L2" s="15"/>
      <c r="M2" s="15"/>
      <c r="N2" s="15"/>
      <c r="O2" s="15">
        <v>6032</v>
      </c>
      <c r="P2" s="15">
        <v>6032</v>
      </c>
      <c r="Q2" s="15">
        <v>6032</v>
      </c>
      <c r="R2" s="15"/>
      <c r="S2" s="15"/>
      <c r="T2" s="15">
        <v>6032</v>
      </c>
      <c r="U2" s="15">
        <v>6032</v>
      </c>
      <c r="V2" s="15"/>
      <c r="W2" s="15"/>
      <c r="X2" s="15"/>
      <c r="Y2" s="15">
        <v>6032</v>
      </c>
      <c r="Z2" s="15">
        <v>6032</v>
      </c>
      <c r="AA2" s="15">
        <v>6032</v>
      </c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>
        <v>6032</v>
      </c>
      <c r="AO2" s="15"/>
      <c r="AP2" s="15"/>
      <c r="AQ2" s="15"/>
      <c r="AR2" s="15"/>
      <c r="AS2" s="15">
        <v>6032</v>
      </c>
      <c r="AT2" s="15">
        <v>6032</v>
      </c>
      <c r="AU2" s="15"/>
      <c r="AV2" s="15"/>
      <c r="AW2" s="15"/>
      <c r="AX2" s="15">
        <v>6032</v>
      </c>
      <c r="AY2" s="15">
        <v>6032</v>
      </c>
      <c r="AZ2" s="15"/>
      <c r="BA2" s="15"/>
      <c r="BB2" s="15"/>
      <c r="BC2" s="15">
        <v>6032</v>
      </c>
      <c r="BD2" s="15">
        <v>6032</v>
      </c>
      <c r="BE2" s="15">
        <v>6032</v>
      </c>
      <c r="BF2" s="15"/>
      <c r="BG2" s="15"/>
      <c r="BH2" s="15">
        <v>6032</v>
      </c>
      <c r="BI2" s="15"/>
      <c r="BJ2" s="15"/>
      <c r="BK2" s="15"/>
      <c r="BL2" s="15"/>
      <c r="BM2" s="15">
        <v>6032</v>
      </c>
      <c r="BN2" s="15"/>
      <c r="BO2" s="15"/>
      <c r="BP2" s="15"/>
      <c r="BQ2" s="15"/>
      <c r="BR2" s="15">
        <v>6032</v>
      </c>
      <c r="BS2" s="15">
        <v>6032</v>
      </c>
      <c r="BT2" s="15"/>
      <c r="BU2" s="15"/>
      <c r="BV2" s="15"/>
      <c r="BW2" s="15">
        <v>6032</v>
      </c>
      <c r="BX2" s="15">
        <v>6032</v>
      </c>
      <c r="BY2" s="15"/>
      <c r="BZ2" s="15"/>
      <c r="CA2" s="15"/>
      <c r="CB2" s="15">
        <v>6032</v>
      </c>
      <c r="CC2" s="15">
        <v>6032</v>
      </c>
      <c r="CD2" s="15"/>
      <c r="CE2" s="15"/>
      <c r="CF2" s="15"/>
      <c r="CG2" s="15">
        <v>6032</v>
      </c>
      <c r="CH2" s="15">
        <v>6032</v>
      </c>
      <c r="CI2" s="15">
        <v>9785</v>
      </c>
      <c r="CJ2" s="15"/>
      <c r="CK2" s="15"/>
      <c r="CL2" s="139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</row>
    <row r="3" spans="1:159" x14ac:dyDescent="0.25">
      <c r="A3" s="180"/>
      <c r="B3" s="189"/>
      <c r="C3" s="190"/>
      <c r="D3" s="188"/>
      <c r="E3" s="16" t="s">
        <v>500</v>
      </c>
      <c r="F3" s="16"/>
      <c r="G3" s="16"/>
      <c r="H3" s="16"/>
      <c r="I3" s="16"/>
      <c r="J3" s="16"/>
      <c r="K3" s="16"/>
      <c r="L3" s="16"/>
      <c r="M3" s="16"/>
      <c r="N3" s="16"/>
      <c r="O3" s="16" t="s">
        <v>533</v>
      </c>
      <c r="P3" s="16" t="s">
        <v>535</v>
      </c>
      <c r="Q3" s="16" t="s">
        <v>500</v>
      </c>
      <c r="R3" s="16"/>
      <c r="S3" s="16"/>
      <c r="T3" s="16" t="s">
        <v>535</v>
      </c>
      <c r="U3" s="16" t="s">
        <v>500</v>
      </c>
      <c r="V3" s="16"/>
      <c r="W3" s="16"/>
      <c r="X3" s="16"/>
      <c r="Y3" s="16" t="s">
        <v>533</v>
      </c>
      <c r="Z3" s="16" t="s">
        <v>551</v>
      </c>
      <c r="AA3" s="16" t="s">
        <v>500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 t="s">
        <v>533</v>
      </c>
      <c r="AO3" s="16"/>
      <c r="AP3" s="16"/>
      <c r="AQ3" s="16"/>
      <c r="AR3" s="16"/>
      <c r="AS3" s="16" t="s">
        <v>565</v>
      </c>
      <c r="AT3" s="16" t="s">
        <v>500</v>
      </c>
      <c r="AU3" s="16"/>
      <c r="AV3" s="16"/>
      <c r="AW3" s="16"/>
      <c r="AX3" s="16" t="s">
        <v>576</v>
      </c>
      <c r="AY3" s="16" t="s">
        <v>500</v>
      </c>
      <c r="AZ3" s="16"/>
      <c r="BA3" s="16"/>
      <c r="BB3" s="16"/>
      <c r="BC3" s="16" t="s">
        <v>676</v>
      </c>
      <c r="BD3" s="16" t="s">
        <v>500</v>
      </c>
      <c r="BE3" s="16" t="s">
        <v>500</v>
      </c>
      <c r="BF3" s="16"/>
      <c r="BG3" s="16"/>
      <c r="BH3" s="16" t="s">
        <v>533</v>
      </c>
      <c r="BI3" s="16"/>
      <c r="BJ3" s="16"/>
      <c r="BK3" s="16"/>
      <c r="BL3" s="16"/>
      <c r="BM3" s="16" t="s">
        <v>533</v>
      </c>
      <c r="BN3" s="16"/>
      <c r="BO3" s="16"/>
      <c r="BP3" s="16"/>
      <c r="BQ3" s="16"/>
      <c r="BR3" s="16" t="s">
        <v>533</v>
      </c>
      <c r="BS3" s="16" t="s">
        <v>533</v>
      </c>
      <c r="BT3" s="16"/>
      <c r="BU3" s="16"/>
      <c r="BV3" s="16"/>
      <c r="BW3" s="16" t="s">
        <v>743</v>
      </c>
      <c r="BX3" s="16" t="s">
        <v>533</v>
      </c>
      <c r="BY3" s="16"/>
      <c r="BZ3" s="16"/>
      <c r="CA3" s="16"/>
      <c r="CB3" s="16" t="s">
        <v>533</v>
      </c>
      <c r="CC3" s="16" t="s">
        <v>533</v>
      </c>
      <c r="CD3" s="16"/>
      <c r="CE3" s="16"/>
      <c r="CF3" s="16"/>
      <c r="CG3" s="16" t="s">
        <v>773</v>
      </c>
      <c r="CH3" s="16" t="s">
        <v>533</v>
      </c>
      <c r="CI3" s="16" t="s">
        <v>533</v>
      </c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</row>
    <row r="4" spans="1:159" x14ac:dyDescent="0.25">
      <c r="A4" s="181"/>
      <c r="B4" s="189"/>
      <c r="C4" s="190"/>
      <c r="D4" s="191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48" t="s">
        <v>254</v>
      </c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</row>
    <row r="5" spans="1:159" ht="15.75" x14ac:dyDescent="0.25">
      <c r="A5" s="129">
        <v>546854620381</v>
      </c>
      <c r="B5" s="42">
        <f t="shared" ref="B5:B10" si="0">SUM(E5:FC5)</f>
        <v>0</v>
      </c>
      <c r="C5" s="42">
        <f>SUMIF(SAP!$F:$F,'Front Dispatch'!$A:$A,SAP!$H:$H)</f>
        <v>0</v>
      </c>
      <c r="D5" s="42">
        <f t="shared" ref="D5:D10" si="1">C5-B5</f>
        <v>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7"/>
      <c r="BI5" s="17"/>
      <c r="BJ5" s="17"/>
      <c r="BK5" s="17"/>
      <c r="BL5" s="17"/>
      <c r="BM5" s="17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</row>
    <row r="6" spans="1:159" ht="15.75" x14ac:dyDescent="0.25">
      <c r="A6" s="129">
        <v>546854620382</v>
      </c>
      <c r="B6" s="42">
        <f t="shared" si="0"/>
        <v>0</v>
      </c>
      <c r="C6" s="42">
        <f>SUMIF(SAP!$F:$F,'Front Dispatch'!$A:$A,SAP!$H:$H)</f>
        <v>0</v>
      </c>
      <c r="D6" s="42">
        <f t="shared" si="1"/>
        <v>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7"/>
      <c r="BI6" s="17"/>
      <c r="BJ6" s="17"/>
      <c r="BK6" s="17"/>
      <c r="BL6" s="17"/>
      <c r="BM6" s="17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</row>
    <row r="7" spans="1:159" ht="15.75" x14ac:dyDescent="0.25">
      <c r="A7" s="130">
        <v>546854620355</v>
      </c>
      <c r="B7" s="42">
        <f t="shared" si="0"/>
        <v>289</v>
      </c>
      <c r="C7" s="42">
        <f>SUMIF(SAP!$F:$F,'Front Dispatch'!$A:$A,SAP!$H:$H)</f>
        <v>192</v>
      </c>
      <c r="D7" s="42">
        <f t="shared" si="1"/>
        <v>-97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>
        <v>40</v>
      </c>
      <c r="Q7" s="18">
        <v>4</v>
      </c>
      <c r="R7" s="18"/>
      <c r="S7" s="18"/>
      <c r="T7" s="18">
        <v>10</v>
      </c>
      <c r="U7" s="18">
        <v>19</v>
      </c>
      <c r="V7" s="18"/>
      <c r="W7" s="18"/>
      <c r="X7" s="18"/>
      <c r="Y7" s="18">
        <v>20</v>
      </c>
      <c r="Z7" s="18">
        <v>7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>
        <v>20</v>
      </c>
      <c r="AT7" s="18"/>
      <c r="AU7" s="18"/>
      <c r="AV7" s="18"/>
      <c r="AW7" s="18"/>
      <c r="AX7" s="18">
        <v>12</v>
      </c>
      <c r="AY7" s="18">
        <v>18</v>
      </c>
      <c r="AZ7" s="18"/>
      <c r="BA7" s="18"/>
      <c r="BB7" s="18"/>
      <c r="BC7" s="18">
        <v>15</v>
      </c>
      <c r="BD7" s="18"/>
      <c r="BE7" s="18">
        <v>22</v>
      </c>
      <c r="BF7" s="18"/>
      <c r="BG7" s="18"/>
      <c r="BH7" s="17">
        <v>5</v>
      </c>
      <c r="BI7" s="17"/>
      <c r="BJ7" s="17"/>
      <c r="BK7" s="17"/>
      <c r="BL7" s="17"/>
      <c r="BM7" s="17">
        <v>5</v>
      </c>
      <c r="BN7" s="18"/>
      <c r="BO7" s="18"/>
      <c r="BP7" s="18"/>
      <c r="BQ7" s="18"/>
      <c r="BR7" s="18">
        <v>10</v>
      </c>
      <c r="BS7" s="18">
        <v>5</v>
      </c>
      <c r="BT7" s="18"/>
      <c r="BU7" s="18"/>
      <c r="BV7" s="18"/>
      <c r="BW7" s="18">
        <v>5</v>
      </c>
      <c r="BX7" s="18">
        <v>5</v>
      </c>
      <c r="BY7" s="18"/>
      <c r="BZ7" s="18"/>
      <c r="CA7" s="18"/>
      <c r="CB7" s="18">
        <v>16</v>
      </c>
      <c r="CC7" s="18">
        <v>26</v>
      </c>
      <c r="CD7" s="18"/>
      <c r="CE7" s="18"/>
      <c r="CF7" s="18"/>
      <c r="CG7" s="18">
        <v>5</v>
      </c>
      <c r="CH7" s="18">
        <v>20</v>
      </c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</row>
    <row r="8" spans="1:159" ht="15.75" x14ac:dyDescent="0.25">
      <c r="A8" s="129">
        <v>546854620387</v>
      </c>
      <c r="B8" s="42">
        <f t="shared" si="0"/>
        <v>326</v>
      </c>
      <c r="C8" s="42">
        <f>SUMIF(SAP!$F:$F,'Front Dispatch'!$A:$A,SAP!$H:$H)</f>
        <v>260</v>
      </c>
      <c r="D8" s="42">
        <f t="shared" si="1"/>
        <v>-66</v>
      </c>
      <c r="E8" s="18">
        <v>13</v>
      </c>
      <c r="F8" s="18"/>
      <c r="G8" s="18"/>
      <c r="H8" s="18"/>
      <c r="I8" s="18"/>
      <c r="J8" s="18"/>
      <c r="K8" s="18"/>
      <c r="L8" s="18"/>
      <c r="M8" s="18"/>
      <c r="N8" s="18"/>
      <c r="O8" s="18">
        <v>30</v>
      </c>
      <c r="P8" s="18">
        <v>22</v>
      </c>
      <c r="Q8" s="18">
        <v>70</v>
      </c>
      <c r="R8" s="18"/>
      <c r="S8" s="18"/>
      <c r="T8" s="18">
        <v>56</v>
      </c>
      <c r="U8" s="18"/>
      <c r="V8" s="18"/>
      <c r="W8" s="18"/>
      <c r="X8" s="18"/>
      <c r="Y8" s="18">
        <v>4</v>
      </c>
      <c r="Z8" s="18">
        <v>5</v>
      </c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>
        <v>16</v>
      </c>
      <c r="AY8" s="18"/>
      <c r="AZ8" s="18"/>
      <c r="BA8" s="18"/>
      <c r="BB8" s="18"/>
      <c r="BC8" s="18">
        <v>20</v>
      </c>
      <c r="BD8" s="18">
        <v>7</v>
      </c>
      <c r="BE8" s="18"/>
      <c r="BF8" s="18"/>
      <c r="BG8" s="18"/>
      <c r="BH8" s="17">
        <v>17</v>
      </c>
      <c r="BI8" s="17"/>
      <c r="BJ8" s="17"/>
      <c r="BK8" s="17"/>
      <c r="BL8" s="17"/>
      <c r="BM8" s="17">
        <v>5</v>
      </c>
      <c r="BN8" s="18"/>
      <c r="BO8" s="18"/>
      <c r="BP8" s="18"/>
      <c r="BQ8" s="18"/>
      <c r="BR8" s="18"/>
      <c r="BS8" s="18">
        <v>5</v>
      </c>
      <c r="BT8" s="18"/>
      <c r="BU8" s="18"/>
      <c r="BV8" s="18"/>
      <c r="BW8" s="18">
        <v>6</v>
      </c>
      <c r="BX8" s="18">
        <v>30</v>
      </c>
      <c r="BY8" s="18"/>
      <c r="BZ8" s="18"/>
      <c r="CA8" s="18"/>
      <c r="CB8" s="18"/>
      <c r="CC8" s="18"/>
      <c r="CD8" s="18"/>
      <c r="CE8" s="18"/>
      <c r="CF8" s="18"/>
      <c r="CG8" s="18"/>
      <c r="CH8" s="18">
        <v>20</v>
      </c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</row>
    <row r="9" spans="1:159" ht="15.75" x14ac:dyDescent="0.25">
      <c r="A9" s="129">
        <v>546854620346</v>
      </c>
      <c r="B9" s="42">
        <f t="shared" si="0"/>
        <v>178</v>
      </c>
      <c r="C9" s="42">
        <f>SUMIF(SAP!$F:$F,'Front Dispatch'!$A:$A,SAP!$H:$H)</f>
        <v>15</v>
      </c>
      <c r="D9" s="42">
        <f t="shared" si="1"/>
        <v>-163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>
        <v>15</v>
      </c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7"/>
      <c r="BI9" s="17"/>
      <c r="BJ9" s="17"/>
      <c r="BK9" s="17"/>
      <c r="BL9" s="17"/>
      <c r="BM9" s="17"/>
      <c r="BN9" s="18"/>
      <c r="BO9" s="18"/>
      <c r="BP9" s="18"/>
      <c r="BQ9" s="18"/>
      <c r="BR9" s="18">
        <v>40</v>
      </c>
      <c r="BS9" s="18">
        <v>30</v>
      </c>
      <c r="BT9" s="18"/>
      <c r="BU9" s="18"/>
      <c r="BV9" s="18"/>
      <c r="BW9" s="18">
        <v>27</v>
      </c>
      <c r="BX9" s="18">
        <v>8</v>
      </c>
      <c r="BY9" s="18"/>
      <c r="BZ9" s="18"/>
      <c r="CA9" s="18"/>
      <c r="CB9" s="18">
        <v>6</v>
      </c>
      <c r="CC9" s="18">
        <v>13</v>
      </c>
      <c r="CD9" s="18"/>
      <c r="CE9" s="18"/>
      <c r="CF9" s="18"/>
      <c r="CG9" s="18">
        <v>19</v>
      </c>
      <c r="CH9" s="18">
        <v>20</v>
      </c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</row>
    <row r="10" spans="1:159" ht="15.75" x14ac:dyDescent="0.25">
      <c r="A10" s="130">
        <v>546854620389</v>
      </c>
      <c r="B10" s="42">
        <f t="shared" si="0"/>
        <v>1407</v>
      </c>
      <c r="C10" s="42">
        <f>SUMIF(SAP!$F:$F,'Front Dispatch'!$A:$A,SAP!$H:$H)</f>
        <v>891</v>
      </c>
      <c r="D10" s="42">
        <f t="shared" si="1"/>
        <v>-516</v>
      </c>
      <c r="E10" s="18">
        <v>54</v>
      </c>
      <c r="F10" s="18"/>
      <c r="G10" s="18"/>
      <c r="H10" s="18"/>
      <c r="I10" s="18"/>
      <c r="J10" s="18"/>
      <c r="K10" s="18"/>
      <c r="L10" s="18"/>
      <c r="M10" s="18"/>
      <c r="N10" s="18"/>
      <c r="O10" s="18">
        <v>60</v>
      </c>
      <c r="P10" s="18">
        <v>32</v>
      </c>
      <c r="Q10" s="18">
        <v>6</v>
      </c>
      <c r="R10" s="18"/>
      <c r="S10" s="18"/>
      <c r="T10" s="18">
        <v>20</v>
      </c>
      <c r="U10" s="18">
        <v>55</v>
      </c>
      <c r="V10" s="18"/>
      <c r="W10" s="18"/>
      <c r="X10" s="18"/>
      <c r="Y10" s="18">
        <v>51</v>
      </c>
      <c r="Z10" s="18">
        <v>61</v>
      </c>
      <c r="AA10" s="18">
        <v>60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>
        <v>57</v>
      </c>
      <c r="AO10" s="18"/>
      <c r="AP10" s="18"/>
      <c r="AQ10" s="18"/>
      <c r="AR10" s="18"/>
      <c r="AS10" s="18">
        <v>50</v>
      </c>
      <c r="AT10" s="18">
        <v>64</v>
      </c>
      <c r="AU10" s="18"/>
      <c r="AV10" s="18"/>
      <c r="AW10" s="18"/>
      <c r="AX10" s="18">
        <v>45</v>
      </c>
      <c r="AY10" s="18">
        <v>51</v>
      </c>
      <c r="AZ10" s="18"/>
      <c r="BA10" s="18"/>
      <c r="BB10" s="18"/>
      <c r="BC10" s="18">
        <v>63</v>
      </c>
      <c r="BD10" s="18">
        <v>70</v>
      </c>
      <c r="BE10" s="18">
        <v>28</v>
      </c>
      <c r="BF10" s="18"/>
      <c r="BG10" s="18"/>
      <c r="BH10" s="17">
        <v>64</v>
      </c>
      <c r="BI10" s="17"/>
      <c r="BJ10" s="17"/>
      <c r="BK10" s="17"/>
      <c r="BL10" s="17"/>
      <c r="BM10" s="17">
        <v>56</v>
      </c>
      <c r="BN10" s="18"/>
      <c r="BO10" s="18"/>
      <c r="BP10" s="18"/>
      <c r="BQ10" s="18"/>
      <c r="BR10" s="18">
        <v>54</v>
      </c>
      <c r="BS10" s="18">
        <v>50</v>
      </c>
      <c r="BT10" s="18"/>
      <c r="BU10" s="18"/>
      <c r="BV10" s="18"/>
      <c r="BW10" s="18">
        <v>40</v>
      </c>
      <c r="BX10" s="18">
        <v>59</v>
      </c>
      <c r="BY10" s="18"/>
      <c r="BZ10" s="18"/>
      <c r="CA10" s="18"/>
      <c r="CB10" s="18">
        <v>44</v>
      </c>
      <c r="CC10" s="18">
        <v>64</v>
      </c>
      <c r="CD10" s="18"/>
      <c r="CE10" s="18"/>
      <c r="CF10" s="18"/>
      <c r="CG10" s="18">
        <v>41</v>
      </c>
      <c r="CH10" s="18">
        <v>59</v>
      </c>
      <c r="CI10" s="18">
        <v>49</v>
      </c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</row>
    <row r="11" spans="1:159" x14ac:dyDescent="0.25">
      <c r="A11" s="17" t="s">
        <v>113</v>
      </c>
      <c r="B11" s="83">
        <f>SUM(B5:B10)</f>
        <v>2200</v>
      </c>
      <c r="C11" s="83">
        <f>SUM(C5:C10)</f>
        <v>1358</v>
      </c>
      <c r="D11" s="83">
        <f>SUM(D5:D10)</f>
        <v>-842</v>
      </c>
      <c r="E11" s="45">
        <f t="shared" ref="E11:AJ11" si="2">SUM(E5:E10)</f>
        <v>67</v>
      </c>
      <c r="F11" s="45">
        <f t="shared" si="2"/>
        <v>0</v>
      </c>
      <c r="G11" s="45">
        <f t="shared" si="2"/>
        <v>0</v>
      </c>
      <c r="H11" s="45">
        <f t="shared" si="2"/>
        <v>0</v>
      </c>
      <c r="I11" s="45">
        <f t="shared" si="2"/>
        <v>0</v>
      </c>
      <c r="J11" s="45">
        <f t="shared" si="2"/>
        <v>0</v>
      </c>
      <c r="K11" s="45">
        <f t="shared" si="2"/>
        <v>0</v>
      </c>
      <c r="L11" s="45">
        <f t="shared" si="2"/>
        <v>0</v>
      </c>
      <c r="M11" s="45">
        <f t="shared" si="2"/>
        <v>0</v>
      </c>
      <c r="N11" s="45">
        <f t="shared" si="2"/>
        <v>0</v>
      </c>
      <c r="O11" s="45">
        <f t="shared" si="2"/>
        <v>90</v>
      </c>
      <c r="P11" s="45">
        <f t="shared" si="2"/>
        <v>94</v>
      </c>
      <c r="Q11" s="45">
        <f t="shared" si="2"/>
        <v>95</v>
      </c>
      <c r="R11" s="45">
        <f t="shared" si="2"/>
        <v>0</v>
      </c>
      <c r="S11" s="45">
        <f t="shared" si="2"/>
        <v>0</v>
      </c>
      <c r="T11" s="45">
        <f t="shared" si="2"/>
        <v>86</v>
      </c>
      <c r="U11" s="45">
        <f t="shared" si="2"/>
        <v>74</v>
      </c>
      <c r="V11" s="45">
        <f t="shared" si="2"/>
        <v>0</v>
      </c>
      <c r="W11" s="45">
        <f t="shared" si="2"/>
        <v>0</v>
      </c>
      <c r="X11" s="45">
        <f t="shared" si="2"/>
        <v>0</v>
      </c>
      <c r="Y11" s="45">
        <f t="shared" si="2"/>
        <v>75</v>
      </c>
      <c r="Z11" s="45">
        <f t="shared" si="2"/>
        <v>73</v>
      </c>
      <c r="AA11" s="45">
        <f t="shared" si="2"/>
        <v>60</v>
      </c>
      <c r="AB11" s="45">
        <f t="shared" si="2"/>
        <v>0</v>
      </c>
      <c r="AC11" s="45">
        <f t="shared" si="2"/>
        <v>0</v>
      </c>
      <c r="AD11" s="45">
        <f t="shared" si="2"/>
        <v>0</v>
      </c>
      <c r="AE11" s="45">
        <f t="shared" si="2"/>
        <v>0</v>
      </c>
      <c r="AF11" s="45">
        <f t="shared" si="2"/>
        <v>0</v>
      </c>
      <c r="AG11" s="45">
        <f t="shared" si="2"/>
        <v>0</v>
      </c>
      <c r="AH11" s="45">
        <f t="shared" si="2"/>
        <v>0</v>
      </c>
      <c r="AI11" s="45">
        <f t="shared" si="2"/>
        <v>0</v>
      </c>
      <c r="AJ11" s="45">
        <f t="shared" si="2"/>
        <v>0</v>
      </c>
      <c r="AK11" s="45">
        <f t="shared" ref="AK11:BP11" si="3">SUM(AK5:AK10)</f>
        <v>0</v>
      </c>
      <c r="AL11" s="45">
        <f t="shared" si="3"/>
        <v>0</v>
      </c>
      <c r="AM11" s="45">
        <f t="shared" si="3"/>
        <v>0</v>
      </c>
      <c r="AN11" s="45">
        <f t="shared" si="3"/>
        <v>57</v>
      </c>
      <c r="AO11" s="45">
        <f t="shared" si="3"/>
        <v>0</v>
      </c>
      <c r="AP11" s="45">
        <f t="shared" si="3"/>
        <v>0</v>
      </c>
      <c r="AQ11" s="45">
        <f t="shared" si="3"/>
        <v>0</v>
      </c>
      <c r="AR11" s="45">
        <f t="shared" si="3"/>
        <v>0</v>
      </c>
      <c r="AS11" s="45">
        <f t="shared" si="3"/>
        <v>70</v>
      </c>
      <c r="AT11" s="45">
        <f t="shared" si="3"/>
        <v>64</v>
      </c>
      <c r="AU11" s="45">
        <f t="shared" si="3"/>
        <v>0</v>
      </c>
      <c r="AV11" s="45">
        <f t="shared" si="3"/>
        <v>0</v>
      </c>
      <c r="AW11" s="45">
        <f t="shared" si="3"/>
        <v>0</v>
      </c>
      <c r="AX11" s="45">
        <f t="shared" si="3"/>
        <v>73</v>
      </c>
      <c r="AY11" s="45">
        <f t="shared" si="3"/>
        <v>69</v>
      </c>
      <c r="AZ11" s="45">
        <f t="shared" si="3"/>
        <v>0</v>
      </c>
      <c r="BA11" s="45">
        <f t="shared" si="3"/>
        <v>0</v>
      </c>
      <c r="BB11" s="45">
        <f t="shared" si="3"/>
        <v>0</v>
      </c>
      <c r="BC11" s="45">
        <f t="shared" si="3"/>
        <v>98</v>
      </c>
      <c r="BD11" s="45">
        <f t="shared" si="3"/>
        <v>77</v>
      </c>
      <c r="BE11" s="45">
        <f t="shared" si="3"/>
        <v>50</v>
      </c>
      <c r="BF11" s="45">
        <f t="shared" si="3"/>
        <v>0</v>
      </c>
      <c r="BG11" s="45">
        <f t="shared" si="3"/>
        <v>0</v>
      </c>
      <c r="BH11" s="45">
        <f t="shared" si="3"/>
        <v>86</v>
      </c>
      <c r="BI11" s="45">
        <f t="shared" si="3"/>
        <v>0</v>
      </c>
      <c r="BJ11" s="45">
        <f t="shared" si="3"/>
        <v>0</v>
      </c>
      <c r="BK11" s="45">
        <f t="shared" si="3"/>
        <v>0</v>
      </c>
      <c r="BL11" s="45">
        <f t="shared" si="3"/>
        <v>0</v>
      </c>
      <c r="BM11" s="45">
        <f t="shared" si="3"/>
        <v>66</v>
      </c>
      <c r="BN11" s="45">
        <f t="shared" si="3"/>
        <v>0</v>
      </c>
      <c r="BO11" s="45">
        <f t="shared" si="3"/>
        <v>0</v>
      </c>
      <c r="BP11" s="45">
        <f t="shared" si="3"/>
        <v>0</v>
      </c>
      <c r="BQ11" s="45">
        <f t="shared" ref="BQ11:CV11" si="4">SUM(BQ5:BQ10)</f>
        <v>0</v>
      </c>
      <c r="BR11" s="45">
        <f t="shared" si="4"/>
        <v>104</v>
      </c>
      <c r="BS11" s="45">
        <f>SUM(BS5:BS10)</f>
        <v>90</v>
      </c>
      <c r="BT11" s="45">
        <f>SUM(BT5:BT10)</f>
        <v>0</v>
      </c>
      <c r="BU11" s="45">
        <f t="shared" si="4"/>
        <v>0</v>
      </c>
      <c r="BV11" s="45">
        <f t="shared" si="4"/>
        <v>0</v>
      </c>
      <c r="BW11" s="45">
        <f t="shared" si="4"/>
        <v>78</v>
      </c>
      <c r="BX11" s="45">
        <f t="shared" si="4"/>
        <v>102</v>
      </c>
      <c r="BY11" s="45">
        <f t="shared" si="4"/>
        <v>0</v>
      </c>
      <c r="BZ11" s="45">
        <f t="shared" si="4"/>
        <v>0</v>
      </c>
      <c r="CA11" s="45">
        <f t="shared" si="4"/>
        <v>0</v>
      </c>
      <c r="CB11" s="45">
        <f t="shared" si="4"/>
        <v>66</v>
      </c>
      <c r="CC11" s="45">
        <f t="shared" si="4"/>
        <v>103</v>
      </c>
      <c r="CD11" s="45">
        <f t="shared" si="4"/>
        <v>0</v>
      </c>
      <c r="CE11" s="45">
        <f t="shared" si="4"/>
        <v>0</v>
      </c>
      <c r="CF11" s="45">
        <f t="shared" si="4"/>
        <v>0</v>
      </c>
      <c r="CG11" s="45">
        <f t="shared" si="4"/>
        <v>65</v>
      </c>
      <c r="CH11" s="45">
        <f t="shared" si="4"/>
        <v>119</v>
      </c>
      <c r="CI11" s="45">
        <f t="shared" si="4"/>
        <v>49</v>
      </c>
      <c r="CJ11" s="45">
        <f t="shared" si="4"/>
        <v>0</v>
      </c>
      <c r="CK11" s="45">
        <f t="shared" si="4"/>
        <v>0</v>
      </c>
      <c r="CL11" s="45">
        <f t="shared" si="4"/>
        <v>0</v>
      </c>
      <c r="CM11" s="45">
        <f t="shared" si="4"/>
        <v>0</v>
      </c>
      <c r="CN11" s="45">
        <f t="shared" si="4"/>
        <v>0</v>
      </c>
      <c r="CO11" s="45">
        <f t="shared" si="4"/>
        <v>0</v>
      </c>
      <c r="CP11" s="45">
        <f t="shared" si="4"/>
        <v>0</v>
      </c>
      <c r="CQ11" s="45">
        <f t="shared" si="4"/>
        <v>0</v>
      </c>
      <c r="CR11" s="45">
        <f t="shared" si="4"/>
        <v>0</v>
      </c>
      <c r="CS11" s="45">
        <f t="shared" si="4"/>
        <v>0</v>
      </c>
      <c r="CT11" s="45">
        <f t="shared" si="4"/>
        <v>0</v>
      </c>
      <c r="CU11" s="45">
        <f t="shared" si="4"/>
        <v>0</v>
      </c>
      <c r="CV11" s="45">
        <f t="shared" si="4"/>
        <v>0</v>
      </c>
      <c r="CW11" s="45">
        <f t="shared" ref="CW11:EB11" si="5">SUM(CW5:CW10)</f>
        <v>0</v>
      </c>
      <c r="CX11" s="45">
        <f t="shared" si="5"/>
        <v>0</v>
      </c>
      <c r="CY11" s="45">
        <f t="shared" si="5"/>
        <v>0</v>
      </c>
      <c r="CZ11" s="45">
        <f t="shared" si="5"/>
        <v>0</v>
      </c>
      <c r="DA11" s="45">
        <f t="shared" si="5"/>
        <v>0</v>
      </c>
      <c r="DB11" s="45">
        <f t="shared" si="5"/>
        <v>0</v>
      </c>
      <c r="DC11" s="45">
        <f t="shared" si="5"/>
        <v>0</v>
      </c>
      <c r="DD11" s="45">
        <f t="shared" si="5"/>
        <v>0</v>
      </c>
      <c r="DE11" s="45">
        <f t="shared" si="5"/>
        <v>0</v>
      </c>
      <c r="DF11" s="45">
        <f t="shared" si="5"/>
        <v>0</v>
      </c>
      <c r="DG11" s="45">
        <f t="shared" si="5"/>
        <v>0</v>
      </c>
      <c r="DH11" s="45">
        <f t="shared" si="5"/>
        <v>0</v>
      </c>
      <c r="DI11" s="45">
        <f t="shared" si="5"/>
        <v>0</v>
      </c>
      <c r="DJ11" s="45">
        <f t="shared" si="5"/>
        <v>0</v>
      </c>
      <c r="DK11" s="45">
        <f t="shared" si="5"/>
        <v>0</v>
      </c>
      <c r="DL11" s="45">
        <f t="shared" si="5"/>
        <v>0</v>
      </c>
      <c r="DM11" s="45">
        <f t="shared" si="5"/>
        <v>0</v>
      </c>
      <c r="DN11" s="45">
        <f t="shared" si="5"/>
        <v>0</v>
      </c>
      <c r="DO11" s="45">
        <f t="shared" si="5"/>
        <v>0</v>
      </c>
      <c r="DP11" s="45">
        <f t="shared" si="5"/>
        <v>0</v>
      </c>
      <c r="DQ11" s="45">
        <f t="shared" si="5"/>
        <v>0</v>
      </c>
      <c r="DR11" s="45">
        <f t="shared" si="5"/>
        <v>0</v>
      </c>
      <c r="DS11" s="45">
        <f t="shared" si="5"/>
        <v>0</v>
      </c>
      <c r="DT11" s="45">
        <f t="shared" si="5"/>
        <v>0</v>
      </c>
      <c r="DU11" s="45">
        <f t="shared" si="5"/>
        <v>0</v>
      </c>
      <c r="DV11" s="45">
        <f t="shared" si="5"/>
        <v>0</v>
      </c>
      <c r="DW11" s="45">
        <f t="shared" si="5"/>
        <v>0</v>
      </c>
      <c r="DX11" s="45">
        <f t="shared" si="5"/>
        <v>0</v>
      </c>
      <c r="DY11" s="45">
        <f t="shared" si="5"/>
        <v>0</v>
      </c>
      <c r="DZ11" s="45">
        <f t="shared" si="5"/>
        <v>0</v>
      </c>
      <c r="EA11" s="45">
        <f t="shared" si="5"/>
        <v>0</v>
      </c>
      <c r="EB11" s="45">
        <f t="shared" si="5"/>
        <v>0</v>
      </c>
      <c r="EC11" s="45">
        <f t="shared" ref="EC11:FC11" si="6">SUM(EC5:EC10)</f>
        <v>0</v>
      </c>
      <c r="ED11" s="45">
        <f t="shared" si="6"/>
        <v>0</v>
      </c>
      <c r="EE11" s="45">
        <f t="shared" si="6"/>
        <v>0</v>
      </c>
      <c r="EF11" s="45">
        <f t="shared" si="6"/>
        <v>0</v>
      </c>
      <c r="EG11" s="45">
        <f t="shared" si="6"/>
        <v>0</v>
      </c>
      <c r="EH11" s="45">
        <f t="shared" si="6"/>
        <v>0</v>
      </c>
      <c r="EI11" s="45">
        <f t="shared" si="6"/>
        <v>0</v>
      </c>
      <c r="EJ11" s="45">
        <f t="shared" si="6"/>
        <v>0</v>
      </c>
      <c r="EK11" s="45">
        <f t="shared" si="6"/>
        <v>0</v>
      </c>
      <c r="EL11" s="45">
        <f t="shared" si="6"/>
        <v>0</v>
      </c>
      <c r="EM11" s="45">
        <f t="shared" si="6"/>
        <v>0</v>
      </c>
      <c r="EN11" s="45">
        <f t="shared" si="6"/>
        <v>0</v>
      </c>
      <c r="EO11" s="45">
        <f t="shared" si="6"/>
        <v>0</v>
      </c>
      <c r="EP11" s="45">
        <f t="shared" si="6"/>
        <v>0</v>
      </c>
      <c r="EQ11" s="45">
        <f t="shared" si="6"/>
        <v>0</v>
      </c>
      <c r="ER11" s="45">
        <f t="shared" si="6"/>
        <v>0</v>
      </c>
      <c r="ES11" s="45">
        <f t="shared" si="6"/>
        <v>0</v>
      </c>
      <c r="ET11" s="45">
        <f t="shared" si="6"/>
        <v>0</v>
      </c>
      <c r="EU11" s="45">
        <f t="shared" si="6"/>
        <v>0</v>
      </c>
      <c r="EV11" s="45">
        <f t="shared" si="6"/>
        <v>0</v>
      </c>
      <c r="EW11" s="45">
        <f t="shared" si="6"/>
        <v>0</v>
      </c>
      <c r="EX11" s="45">
        <f t="shared" si="6"/>
        <v>0</v>
      </c>
      <c r="EY11" s="45">
        <f t="shared" si="6"/>
        <v>0</v>
      </c>
      <c r="EZ11" s="45">
        <f t="shared" si="6"/>
        <v>0</v>
      </c>
      <c r="FA11" s="45">
        <f t="shared" si="6"/>
        <v>0</v>
      </c>
      <c r="FB11" s="45">
        <f t="shared" si="6"/>
        <v>0</v>
      </c>
      <c r="FC11" s="45">
        <f t="shared" si="6"/>
        <v>0</v>
      </c>
    </row>
  </sheetData>
  <autoFilter ref="A4:FC11" xr:uid="{00000000-0009-0000-0000-000008000000}"/>
  <mergeCells count="35">
    <mergeCell ref="EJ1:EN1"/>
    <mergeCell ref="EO1:ES1"/>
    <mergeCell ref="ET1:EX1"/>
    <mergeCell ref="EY1:FC1"/>
    <mergeCell ref="EE1:EI1"/>
    <mergeCell ref="DP1:DT1"/>
    <mergeCell ref="DU1:DY1"/>
    <mergeCell ref="CB1:CF1"/>
    <mergeCell ref="CG1:CK1"/>
    <mergeCell ref="CL1:CP1"/>
    <mergeCell ref="CQ1:CU1"/>
    <mergeCell ref="CV1:CZ1"/>
    <mergeCell ref="DZ1:ED1"/>
    <mergeCell ref="BW1:CA1"/>
    <mergeCell ref="T1:X1"/>
    <mergeCell ref="Y1:AC1"/>
    <mergeCell ref="AD1:AH1"/>
    <mergeCell ref="AI1:AM1"/>
    <mergeCell ref="AN1:AR1"/>
    <mergeCell ref="AS1:AW1"/>
    <mergeCell ref="AX1:BB1"/>
    <mergeCell ref="BC1:BG1"/>
    <mergeCell ref="BH1:BL1"/>
    <mergeCell ref="BM1:BQ1"/>
    <mergeCell ref="BR1:BV1"/>
    <mergeCell ref="DA1:DE1"/>
    <mergeCell ref="DF1:DJ1"/>
    <mergeCell ref="DK1:DO1"/>
    <mergeCell ref="A1:A4"/>
    <mergeCell ref="O1:S1"/>
    <mergeCell ref="B1:B4"/>
    <mergeCell ref="C1:C4"/>
    <mergeCell ref="D1:D4"/>
    <mergeCell ref="E1:I1"/>
    <mergeCell ref="J1:N1"/>
  </mergeCells>
  <conditionalFormatting sqref="C5:C10">
    <cfRule type="expression" dxfId="29" priority="1">
      <formula>$C5&gt;$B5</formula>
    </cfRule>
    <cfRule type="expression" dxfId="28" priority="2">
      <formula>$C5&lt;$B5</formula>
    </cfRule>
    <cfRule type="expression" dxfId="27" priority="3">
      <formula>$C5=$B5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3"/>
  <sheetViews>
    <sheetView workbookViewId="0">
      <selection activeCell="A2" sqref="A2:P43"/>
    </sheetView>
  </sheetViews>
  <sheetFormatPr defaultRowHeight="15" x14ac:dyDescent="0.25"/>
  <cols>
    <col min="1" max="1" width="5.5703125" bestFit="1" customWidth="1"/>
    <col min="2" max="2" width="8.85546875" bestFit="1" customWidth="1"/>
    <col min="3" max="3" width="12.140625" bestFit="1" customWidth="1"/>
    <col min="4" max="4" width="12.7109375" bestFit="1" customWidth="1"/>
    <col min="5" max="5" width="18.28515625" bestFit="1" customWidth="1"/>
    <col min="6" max="6" width="13.140625" bestFit="1" customWidth="1"/>
    <col min="7" max="7" width="10.5703125" bestFit="1" customWidth="1"/>
    <col min="8" max="8" width="8.7109375" bestFit="1" customWidth="1"/>
    <col min="9" max="9" width="12.7109375" bestFit="1" customWidth="1"/>
    <col min="10" max="10" width="8.42578125" bestFit="1" customWidth="1"/>
    <col min="11" max="11" width="7.5703125" bestFit="1" customWidth="1"/>
    <col min="12" max="12" width="14.42578125" bestFit="1" customWidth="1"/>
    <col min="13" max="13" width="35.42578125" bestFit="1" customWidth="1"/>
    <col min="14" max="14" width="8.85546875" bestFit="1" customWidth="1"/>
    <col min="15" max="15" width="11.28515625" bestFit="1" customWidth="1"/>
    <col min="16" max="16" width="11" bestFit="1" customWidth="1"/>
  </cols>
  <sheetData>
    <row r="1" spans="1:16" ht="60" x14ac:dyDescent="0.25">
      <c r="A1" s="136" t="s">
        <v>464</v>
      </c>
      <c r="B1" s="137" t="s">
        <v>465</v>
      </c>
      <c r="C1" s="136" t="s">
        <v>466</v>
      </c>
      <c r="D1" s="136" t="s">
        <v>467</v>
      </c>
      <c r="E1" s="136" t="s">
        <v>468</v>
      </c>
      <c r="F1" s="136" t="s">
        <v>469</v>
      </c>
      <c r="G1" s="137" t="s">
        <v>470</v>
      </c>
      <c r="H1" s="136" t="s">
        <v>471</v>
      </c>
      <c r="I1" s="136" t="s">
        <v>472</v>
      </c>
      <c r="J1" s="137" t="s">
        <v>473</v>
      </c>
      <c r="K1" s="136" t="s">
        <v>474</v>
      </c>
      <c r="L1" s="136" t="s">
        <v>475</v>
      </c>
      <c r="M1" s="136" t="s">
        <v>476</v>
      </c>
      <c r="N1" s="137" t="s">
        <v>477</v>
      </c>
      <c r="O1" s="136" t="s">
        <v>478</v>
      </c>
      <c r="P1" s="136" t="s">
        <v>479</v>
      </c>
    </row>
    <row r="2" spans="1:16" x14ac:dyDescent="0.25">
      <c r="A2" s="131" t="s">
        <v>244</v>
      </c>
      <c r="B2" s="131" t="s">
        <v>245</v>
      </c>
      <c r="C2" s="132">
        <v>46205</v>
      </c>
      <c r="D2" s="133">
        <v>0.70218749999999996</v>
      </c>
      <c r="E2" s="131" t="s">
        <v>577</v>
      </c>
      <c r="F2" s="131" t="s">
        <v>286</v>
      </c>
      <c r="G2" s="131" t="s">
        <v>248</v>
      </c>
      <c r="H2" s="134">
        <v>13</v>
      </c>
      <c r="I2" s="135">
        <v>115246.3</v>
      </c>
      <c r="J2" s="131" t="s">
        <v>249</v>
      </c>
      <c r="K2" s="131" t="s">
        <v>250</v>
      </c>
      <c r="L2" s="131" t="s">
        <v>578</v>
      </c>
      <c r="M2" s="131" t="s">
        <v>579</v>
      </c>
      <c r="N2" s="131" t="s">
        <v>253</v>
      </c>
      <c r="O2" s="131" t="s">
        <v>254</v>
      </c>
      <c r="P2" s="131" t="s">
        <v>580</v>
      </c>
    </row>
    <row r="3" spans="1:16" x14ac:dyDescent="0.25">
      <c r="A3" s="131" t="s">
        <v>244</v>
      </c>
      <c r="B3" s="131" t="s">
        <v>245</v>
      </c>
      <c r="C3" s="132">
        <v>46205</v>
      </c>
      <c r="D3" s="133">
        <v>0.70187500000000003</v>
      </c>
      <c r="E3" s="131" t="s">
        <v>581</v>
      </c>
      <c r="F3" s="131" t="s">
        <v>257</v>
      </c>
      <c r="G3" s="131" t="s">
        <v>248</v>
      </c>
      <c r="H3" s="134">
        <v>54</v>
      </c>
      <c r="I3" s="135">
        <v>494830.08000000002</v>
      </c>
      <c r="J3" s="131" t="s">
        <v>249</v>
      </c>
      <c r="K3" s="131" t="s">
        <v>250</v>
      </c>
      <c r="L3" s="131" t="s">
        <v>578</v>
      </c>
      <c r="M3" s="131" t="s">
        <v>582</v>
      </c>
      <c r="N3" s="131" t="s">
        <v>253</v>
      </c>
      <c r="O3" s="131" t="s">
        <v>254</v>
      </c>
      <c r="P3" s="131" t="s">
        <v>583</v>
      </c>
    </row>
    <row r="4" spans="1:16" x14ac:dyDescent="0.25">
      <c r="A4" s="131" t="s">
        <v>244</v>
      </c>
      <c r="B4" s="131" t="s">
        <v>245</v>
      </c>
      <c r="C4" s="132">
        <v>46206</v>
      </c>
      <c r="D4" s="133">
        <v>0.86707175925926006</v>
      </c>
      <c r="E4" s="131" t="s">
        <v>584</v>
      </c>
      <c r="F4" s="131" t="s">
        <v>265</v>
      </c>
      <c r="G4" s="131" t="s">
        <v>248</v>
      </c>
      <c r="H4" s="134">
        <v>40</v>
      </c>
      <c r="I4" s="135">
        <v>357158</v>
      </c>
      <c r="J4" s="131" t="s">
        <v>249</v>
      </c>
      <c r="K4" s="131" t="s">
        <v>250</v>
      </c>
      <c r="L4" s="131" t="s">
        <v>279</v>
      </c>
      <c r="M4" s="131" t="s">
        <v>585</v>
      </c>
      <c r="N4" s="131" t="s">
        <v>253</v>
      </c>
      <c r="O4" s="131" t="s">
        <v>254</v>
      </c>
      <c r="P4" s="131" t="s">
        <v>586</v>
      </c>
    </row>
    <row r="5" spans="1:16" x14ac:dyDescent="0.25">
      <c r="A5" s="131" t="s">
        <v>244</v>
      </c>
      <c r="B5" s="131" t="s">
        <v>245</v>
      </c>
      <c r="C5" s="132">
        <v>46206</v>
      </c>
      <c r="D5" s="133">
        <v>0.45114583333333003</v>
      </c>
      <c r="E5" s="131" t="s">
        <v>590</v>
      </c>
      <c r="F5" s="131" t="s">
        <v>286</v>
      </c>
      <c r="G5" s="131" t="s">
        <v>248</v>
      </c>
      <c r="H5" s="134">
        <v>30</v>
      </c>
      <c r="I5" s="135">
        <v>265953</v>
      </c>
      <c r="J5" s="131" t="s">
        <v>249</v>
      </c>
      <c r="K5" s="131" t="s">
        <v>250</v>
      </c>
      <c r="L5" s="131" t="s">
        <v>279</v>
      </c>
      <c r="M5" s="131" t="s">
        <v>591</v>
      </c>
      <c r="N5" s="131" t="s">
        <v>253</v>
      </c>
      <c r="O5" s="131" t="s">
        <v>254</v>
      </c>
      <c r="P5" s="131" t="s">
        <v>592</v>
      </c>
    </row>
    <row r="6" spans="1:16" x14ac:dyDescent="0.25">
      <c r="A6" s="131" t="s">
        <v>244</v>
      </c>
      <c r="B6" s="131" t="s">
        <v>245</v>
      </c>
      <c r="C6" s="132">
        <v>46206</v>
      </c>
      <c r="D6" s="133">
        <v>0.86724537037036997</v>
      </c>
      <c r="E6" s="131" t="s">
        <v>587</v>
      </c>
      <c r="F6" s="131" t="s">
        <v>286</v>
      </c>
      <c r="G6" s="131" t="s">
        <v>248</v>
      </c>
      <c r="H6" s="134">
        <v>22</v>
      </c>
      <c r="I6" s="135">
        <v>195032.2</v>
      </c>
      <c r="J6" s="131" t="s">
        <v>249</v>
      </c>
      <c r="K6" s="131" t="s">
        <v>250</v>
      </c>
      <c r="L6" s="131" t="s">
        <v>279</v>
      </c>
      <c r="M6" s="131" t="s">
        <v>588</v>
      </c>
      <c r="N6" s="131" t="s">
        <v>253</v>
      </c>
      <c r="O6" s="131" t="s">
        <v>254</v>
      </c>
      <c r="P6" s="131" t="s">
        <v>589</v>
      </c>
    </row>
    <row r="7" spans="1:16" x14ac:dyDescent="0.25">
      <c r="A7" s="131" t="s">
        <v>244</v>
      </c>
      <c r="B7" s="131" t="s">
        <v>245</v>
      </c>
      <c r="C7" s="132">
        <v>46206</v>
      </c>
      <c r="D7" s="133">
        <v>0.45101851851851998</v>
      </c>
      <c r="E7" s="131" t="s">
        <v>596</v>
      </c>
      <c r="F7" s="131" t="s">
        <v>257</v>
      </c>
      <c r="G7" s="131" t="s">
        <v>248</v>
      </c>
      <c r="H7" s="134">
        <v>60</v>
      </c>
      <c r="I7" s="135">
        <v>549811.19999999995</v>
      </c>
      <c r="J7" s="131" t="s">
        <v>249</v>
      </c>
      <c r="K7" s="131" t="s">
        <v>250</v>
      </c>
      <c r="L7" s="131" t="s">
        <v>279</v>
      </c>
      <c r="M7" s="131" t="s">
        <v>597</v>
      </c>
      <c r="N7" s="131" t="s">
        <v>253</v>
      </c>
      <c r="O7" s="131" t="s">
        <v>254</v>
      </c>
      <c r="P7" s="131" t="s">
        <v>598</v>
      </c>
    </row>
    <row r="8" spans="1:16" x14ac:dyDescent="0.25">
      <c r="A8" s="131" t="s">
        <v>244</v>
      </c>
      <c r="B8" s="131" t="s">
        <v>245</v>
      </c>
      <c r="C8" s="132">
        <v>46206</v>
      </c>
      <c r="D8" s="133">
        <v>0.86693287037037003</v>
      </c>
      <c r="E8" s="131" t="s">
        <v>593</v>
      </c>
      <c r="F8" s="131" t="s">
        <v>257</v>
      </c>
      <c r="G8" s="131" t="s">
        <v>248</v>
      </c>
      <c r="H8" s="134">
        <v>32</v>
      </c>
      <c r="I8" s="135">
        <v>293232.64000000001</v>
      </c>
      <c r="J8" s="131" t="s">
        <v>249</v>
      </c>
      <c r="K8" s="131" t="s">
        <v>250</v>
      </c>
      <c r="L8" s="131" t="s">
        <v>279</v>
      </c>
      <c r="M8" s="131" t="s">
        <v>594</v>
      </c>
      <c r="N8" s="131" t="s">
        <v>253</v>
      </c>
      <c r="O8" s="131" t="s">
        <v>254</v>
      </c>
      <c r="P8" s="131" t="s">
        <v>595</v>
      </c>
    </row>
    <row r="9" spans="1:16" x14ac:dyDescent="0.25">
      <c r="A9" s="131" t="s">
        <v>244</v>
      </c>
      <c r="B9" s="131" t="s">
        <v>245</v>
      </c>
      <c r="C9" s="132">
        <v>46207</v>
      </c>
      <c r="D9" s="133">
        <v>0.24983796296295999</v>
      </c>
      <c r="E9" s="131" t="s">
        <v>599</v>
      </c>
      <c r="F9" s="131" t="s">
        <v>247</v>
      </c>
      <c r="G9" s="131" t="s">
        <v>248</v>
      </c>
      <c r="H9" s="134">
        <v>15</v>
      </c>
      <c r="I9" s="135">
        <v>137173.79999999999</v>
      </c>
      <c r="J9" s="131" t="s">
        <v>249</v>
      </c>
      <c r="K9" s="131" t="s">
        <v>250</v>
      </c>
      <c r="L9" s="131" t="s">
        <v>279</v>
      </c>
      <c r="M9" s="131" t="s">
        <v>600</v>
      </c>
      <c r="N9" s="131" t="s">
        <v>253</v>
      </c>
      <c r="O9" s="131" t="s">
        <v>254</v>
      </c>
      <c r="P9" s="131" t="s">
        <v>601</v>
      </c>
    </row>
    <row r="10" spans="1:16" x14ac:dyDescent="0.25">
      <c r="A10" s="131" t="s">
        <v>244</v>
      </c>
      <c r="B10" s="131" t="s">
        <v>245</v>
      </c>
      <c r="C10" s="132">
        <v>46207</v>
      </c>
      <c r="D10" s="133">
        <v>0.24858796296296001</v>
      </c>
      <c r="E10" s="131" t="s">
        <v>602</v>
      </c>
      <c r="F10" s="131" t="s">
        <v>265</v>
      </c>
      <c r="G10" s="131" t="s">
        <v>248</v>
      </c>
      <c r="H10" s="134">
        <v>4</v>
      </c>
      <c r="I10" s="135">
        <v>35715.800000000003</v>
      </c>
      <c r="J10" s="131" t="s">
        <v>249</v>
      </c>
      <c r="K10" s="131" t="s">
        <v>250</v>
      </c>
      <c r="L10" s="131" t="s">
        <v>279</v>
      </c>
      <c r="M10" s="131" t="s">
        <v>603</v>
      </c>
      <c r="N10" s="131" t="s">
        <v>253</v>
      </c>
      <c r="O10" s="131" t="s">
        <v>254</v>
      </c>
      <c r="P10" s="131" t="s">
        <v>604</v>
      </c>
    </row>
    <row r="11" spans="1:16" x14ac:dyDescent="0.25">
      <c r="A11" s="131" t="s">
        <v>244</v>
      </c>
      <c r="B11" s="131" t="s">
        <v>245</v>
      </c>
      <c r="C11" s="132">
        <v>46207</v>
      </c>
      <c r="D11" s="133">
        <v>0.71952546296296005</v>
      </c>
      <c r="E11" s="131" t="s">
        <v>605</v>
      </c>
      <c r="F11" s="131" t="s">
        <v>265</v>
      </c>
      <c r="G11" s="131" t="s">
        <v>248</v>
      </c>
      <c r="H11" s="134">
        <v>19</v>
      </c>
      <c r="I11" s="135">
        <v>169650.05</v>
      </c>
      <c r="J11" s="131" t="s">
        <v>249</v>
      </c>
      <c r="K11" s="131" t="s">
        <v>250</v>
      </c>
      <c r="L11" s="131" t="s">
        <v>578</v>
      </c>
      <c r="M11" s="131" t="s">
        <v>606</v>
      </c>
      <c r="N11" s="131" t="s">
        <v>253</v>
      </c>
      <c r="O11" s="131" t="s">
        <v>254</v>
      </c>
      <c r="P11" s="131" t="s">
        <v>607</v>
      </c>
    </row>
    <row r="12" spans="1:16" x14ac:dyDescent="0.25">
      <c r="A12" s="131" t="s">
        <v>244</v>
      </c>
      <c r="B12" s="131" t="s">
        <v>245</v>
      </c>
      <c r="C12" s="132">
        <v>46207</v>
      </c>
      <c r="D12" s="133">
        <v>0.69465277777778001</v>
      </c>
      <c r="E12" s="131" t="s">
        <v>608</v>
      </c>
      <c r="F12" s="131" t="s">
        <v>265</v>
      </c>
      <c r="G12" s="131" t="s">
        <v>248</v>
      </c>
      <c r="H12" s="134">
        <v>10</v>
      </c>
      <c r="I12" s="135">
        <v>89289.5</v>
      </c>
      <c r="J12" s="131" t="s">
        <v>249</v>
      </c>
      <c r="K12" s="131" t="s">
        <v>250</v>
      </c>
      <c r="L12" s="131" t="s">
        <v>261</v>
      </c>
      <c r="M12" s="131" t="s">
        <v>609</v>
      </c>
      <c r="N12" s="131" t="s">
        <v>253</v>
      </c>
      <c r="O12" s="131" t="s">
        <v>254</v>
      </c>
      <c r="P12" s="131" t="s">
        <v>610</v>
      </c>
    </row>
    <row r="13" spans="1:16" x14ac:dyDescent="0.25">
      <c r="A13" s="131" t="s">
        <v>244</v>
      </c>
      <c r="B13" s="131" t="s">
        <v>245</v>
      </c>
      <c r="C13" s="132">
        <v>46207</v>
      </c>
      <c r="D13" s="133">
        <v>0.69478009259258999</v>
      </c>
      <c r="E13" s="131" t="s">
        <v>611</v>
      </c>
      <c r="F13" s="131" t="s">
        <v>286</v>
      </c>
      <c r="G13" s="131" t="s">
        <v>248</v>
      </c>
      <c r="H13" s="134">
        <v>56</v>
      </c>
      <c r="I13" s="135">
        <v>496445.6</v>
      </c>
      <c r="J13" s="131" t="s">
        <v>249</v>
      </c>
      <c r="K13" s="131" t="s">
        <v>250</v>
      </c>
      <c r="L13" s="131" t="s">
        <v>261</v>
      </c>
      <c r="M13" s="131" t="s">
        <v>612</v>
      </c>
      <c r="N13" s="131" t="s">
        <v>253</v>
      </c>
      <c r="O13" s="131" t="s">
        <v>254</v>
      </c>
      <c r="P13" s="131" t="s">
        <v>613</v>
      </c>
    </row>
    <row r="14" spans="1:16" x14ac:dyDescent="0.25">
      <c r="A14" s="131" t="s">
        <v>244</v>
      </c>
      <c r="B14" s="131" t="s">
        <v>245</v>
      </c>
      <c r="C14" s="132">
        <v>46207</v>
      </c>
      <c r="D14" s="133">
        <v>0.25855324074073999</v>
      </c>
      <c r="E14" s="131" t="s">
        <v>614</v>
      </c>
      <c r="F14" s="131" t="s">
        <v>286</v>
      </c>
      <c r="G14" s="131" t="s">
        <v>248</v>
      </c>
      <c r="H14" s="134">
        <v>70</v>
      </c>
      <c r="I14" s="135">
        <v>620557</v>
      </c>
      <c r="J14" s="131" t="s">
        <v>249</v>
      </c>
      <c r="K14" s="131" t="s">
        <v>250</v>
      </c>
      <c r="L14" s="131" t="s">
        <v>261</v>
      </c>
      <c r="M14" s="131" t="s">
        <v>615</v>
      </c>
      <c r="N14" s="131" t="s">
        <v>253</v>
      </c>
      <c r="O14" s="131" t="s">
        <v>254</v>
      </c>
      <c r="P14" s="131" t="s">
        <v>616</v>
      </c>
    </row>
    <row r="15" spans="1:16" x14ac:dyDescent="0.25">
      <c r="A15" s="131" t="s">
        <v>244</v>
      </c>
      <c r="B15" s="131" t="s">
        <v>245</v>
      </c>
      <c r="C15" s="132">
        <v>46207</v>
      </c>
      <c r="D15" s="133">
        <v>0.71957175925925998</v>
      </c>
      <c r="E15" s="131" t="s">
        <v>623</v>
      </c>
      <c r="F15" s="131" t="s">
        <v>257</v>
      </c>
      <c r="G15" s="131" t="s">
        <v>248</v>
      </c>
      <c r="H15" s="134">
        <v>55</v>
      </c>
      <c r="I15" s="135">
        <v>503993.59999999998</v>
      </c>
      <c r="J15" s="131" t="s">
        <v>249</v>
      </c>
      <c r="K15" s="131" t="s">
        <v>250</v>
      </c>
      <c r="L15" s="131" t="s">
        <v>578</v>
      </c>
      <c r="M15" s="131" t="s">
        <v>624</v>
      </c>
      <c r="N15" s="131" t="s">
        <v>253</v>
      </c>
      <c r="O15" s="131" t="s">
        <v>254</v>
      </c>
      <c r="P15" s="131" t="s">
        <v>625</v>
      </c>
    </row>
    <row r="16" spans="1:16" x14ac:dyDescent="0.25">
      <c r="A16" s="131" t="s">
        <v>244</v>
      </c>
      <c r="B16" s="131" t="s">
        <v>245</v>
      </c>
      <c r="C16" s="132">
        <v>46207</v>
      </c>
      <c r="D16" s="133">
        <v>0.69453703703703995</v>
      </c>
      <c r="E16" s="131" t="s">
        <v>620</v>
      </c>
      <c r="F16" s="131" t="s">
        <v>257</v>
      </c>
      <c r="G16" s="131" t="s">
        <v>248</v>
      </c>
      <c r="H16" s="134">
        <v>20</v>
      </c>
      <c r="I16" s="135">
        <v>183270.39999999999</v>
      </c>
      <c r="J16" s="131" t="s">
        <v>249</v>
      </c>
      <c r="K16" s="131" t="s">
        <v>250</v>
      </c>
      <c r="L16" s="131" t="s">
        <v>261</v>
      </c>
      <c r="M16" s="131" t="s">
        <v>621</v>
      </c>
      <c r="N16" s="131" t="s">
        <v>253</v>
      </c>
      <c r="O16" s="131" t="s">
        <v>254</v>
      </c>
      <c r="P16" s="131" t="s">
        <v>622</v>
      </c>
    </row>
    <row r="17" spans="1:16" x14ac:dyDescent="0.25">
      <c r="A17" s="131" t="s">
        <v>244</v>
      </c>
      <c r="B17" s="131" t="s">
        <v>245</v>
      </c>
      <c r="C17" s="132">
        <v>46207</v>
      </c>
      <c r="D17" s="133">
        <v>0.24846064814815</v>
      </c>
      <c r="E17" s="131" t="s">
        <v>617</v>
      </c>
      <c r="F17" s="131" t="s">
        <v>257</v>
      </c>
      <c r="G17" s="131" t="s">
        <v>248</v>
      </c>
      <c r="H17" s="134">
        <v>6</v>
      </c>
      <c r="I17" s="135">
        <v>54981.120000000003</v>
      </c>
      <c r="J17" s="131" t="s">
        <v>249</v>
      </c>
      <c r="K17" s="131" t="s">
        <v>250</v>
      </c>
      <c r="L17" s="131" t="s">
        <v>279</v>
      </c>
      <c r="M17" s="131" t="s">
        <v>618</v>
      </c>
      <c r="N17" s="131" t="s">
        <v>253</v>
      </c>
      <c r="O17" s="131" t="s">
        <v>254</v>
      </c>
      <c r="P17" s="131" t="s">
        <v>619</v>
      </c>
    </row>
    <row r="18" spans="1:16" x14ac:dyDescent="0.25">
      <c r="A18" s="131" t="s">
        <v>244</v>
      </c>
      <c r="B18" s="131" t="s">
        <v>245</v>
      </c>
      <c r="C18" s="132">
        <v>46208</v>
      </c>
      <c r="D18" s="133">
        <v>0.31228009259258999</v>
      </c>
      <c r="E18" s="131" t="s">
        <v>626</v>
      </c>
      <c r="F18" s="131" t="s">
        <v>265</v>
      </c>
      <c r="G18" s="131" t="s">
        <v>248</v>
      </c>
      <c r="H18" s="134">
        <v>20</v>
      </c>
      <c r="I18" s="135">
        <v>178579</v>
      </c>
      <c r="J18" s="131" t="s">
        <v>249</v>
      </c>
      <c r="K18" s="131" t="s">
        <v>250</v>
      </c>
      <c r="L18" s="131" t="s">
        <v>422</v>
      </c>
      <c r="M18" s="131" t="s">
        <v>627</v>
      </c>
      <c r="N18" s="131" t="s">
        <v>253</v>
      </c>
      <c r="O18" s="131" t="s">
        <v>254</v>
      </c>
      <c r="P18" s="131" t="s">
        <v>628</v>
      </c>
    </row>
    <row r="19" spans="1:16" x14ac:dyDescent="0.25">
      <c r="A19" s="131" t="s">
        <v>244</v>
      </c>
      <c r="B19" s="131" t="s">
        <v>245</v>
      </c>
      <c r="C19" s="132">
        <v>46208</v>
      </c>
      <c r="D19" s="133">
        <v>0.31246527777777999</v>
      </c>
      <c r="E19" s="131" t="s">
        <v>629</v>
      </c>
      <c r="F19" s="131" t="s">
        <v>286</v>
      </c>
      <c r="G19" s="131" t="s">
        <v>248</v>
      </c>
      <c r="H19" s="134">
        <v>4</v>
      </c>
      <c r="I19" s="135">
        <v>35460.400000000001</v>
      </c>
      <c r="J19" s="131" t="s">
        <v>249</v>
      </c>
      <c r="K19" s="131" t="s">
        <v>250</v>
      </c>
      <c r="L19" s="131" t="s">
        <v>422</v>
      </c>
      <c r="M19" s="131" t="s">
        <v>630</v>
      </c>
      <c r="N19" s="131" t="s">
        <v>253</v>
      </c>
      <c r="O19" s="131" t="s">
        <v>254</v>
      </c>
      <c r="P19" s="131" t="s">
        <v>631</v>
      </c>
    </row>
    <row r="20" spans="1:16" x14ac:dyDescent="0.25">
      <c r="A20" s="131" t="s">
        <v>244</v>
      </c>
      <c r="B20" s="131" t="s">
        <v>245</v>
      </c>
      <c r="C20" s="132">
        <v>46208</v>
      </c>
      <c r="D20" s="133">
        <v>0.31209490740741003</v>
      </c>
      <c r="E20" s="131" t="s">
        <v>632</v>
      </c>
      <c r="F20" s="131" t="s">
        <v>257</v>
      </c>
      <c r="G20" s="131" t="s">
        <v>248</v>
      </c>
      <c r="H20" s="134">
        <v>51</v>
      </c>
      <c r="I20" s="135">
        <v>467339.52000000002</v>
      </c>
      <c r="J20" s="131" t="s">
        <v>249</v>
      </c>
      <c r="K20" s="131" t="s">
        <v>250</v>
      </c>
      <c r="L20" s="131" t="s">
        <v>422</v>
      </c>
      <c r="M20" s="131" t="s">
        <v>633</v>
      </c>
      <c r="N20" s="131" t="s">
        <v>253</v>
      </c>
      <c r="O20" s="131" t="s">
        <v>254</v>
      </c>
      <c r="P20" s="131" t="s">
        <v>634</v>
      </c>
    </row>
    <row r="21" spans="1:16" x14ac:dyDescent="0.25">
      <c r="A21" s="131" t="s">
        <v>244</v>
      </c>
      <c r="B21" s="131" t="s">
        <v>245</v>
      </c>
      <c r="C21" s="132">
        <v>46209</v>
      </c>
      <c r="D21" s="133">
        <v>0.64212962962963005</v>
      </c>
      <c r="E21" s="131" t="s">
        <v>635</v>
      </c>
      <c r="F21" s="131" t="s">
        <v>265</v>
      </c>
      <c r="G21" s="131" t="s">
        <v>248</v>
      </c>
      <c r="H21" s="134">
        <v>7</v>
      </c>
      <c r="I21" s="135">
        <v>62502.65</v>
      </c>
      <c r="J21" s="131" t="s">
        <v>249</v>
      </c>
      <c r="K21" s="131" t="s">
        <v>250</v>
      </c>
      <c r="L21" s="131" t="s">
        <v>422</v>
      </c>
      <c r="M21" s="131" t="s">
        <v>636</v>
      </c>
      <c r="N21" s="131" t="s">
        <v>253</v>
      </c>
      <c r="O21" s="131" t="s">
        <v>254</v>
      </c>
      <c r="P21" s="131" t="s">
        <v>637</v>
      </c>
    </row>
    <row r="22" spans="1:16" x14ac:dyDescent="0.25">
      <c r="A22" s="131" t="s">
        <v>244</v>
      </c>
      <c r="B22" s="131" t="s">
        <v>245</v>
      </c>
      <c r="C22" s="132">
        <v>46209</v>
      </c>
      <c r="D22" s="133">
        <v>0.64232638888889004</v>
      </c>
      <c r="E22" s="131" t="s">
        <v>638</v>
      </c>
      <c r="F22" s="131" t="s">
        <v>286</v>
      </c>
      <c r="G22" s="131" t="s">
        <v>248</v>
      </c>
      <c r="H22" s="134">
        <v>5</v>
      </c>
      <c r="I22" s="135">
        <v>44325.5</v>
      </c>
      <c r="J22" s="131" t="s">
        <v>249</v>
      </c>
      <c r="K22" s="131" t="s">
        <v>250</v>
      </c>
      <c r="L22" s="131" t="s">
        <v>422</v>
      </c>
      <c r="M22" s="131" t="s">
        <v>639</v>
      </c>
      <c r="N22" s="131" t="s">
        <v>253</v>
      </c>
      <c r="O22" s="131" t="s">
        <v>254</v>
      </c>
      <c r="P22" s="131" t="s">
        <v>640</v>
      </c>
    </row>
    <row r="23" spans="1:16" x14ac:dyDescent="0.25">
      <c r="A23" s="131" t="s">
        <v>244</v>
      </c>
      <c r="B23" s="131" t="s">
        <v>245</v>
      </c>
      <c r="C23" s="132">
        <v>46209</v>
      </c>
      <c r="D23" s="133">
        <v>0.64192129629630001</v>
      </c>
      <c r="E23" s="131" t="s">
        <v>641</v>
      </c>
      <c r="F23" s="131" t="s">
        <v>257</v>
      </c>
      <c r="G23" s="131" t="s">
        <v>248</v>
      </c>
      <c r="H23" s="134">
        <v>61</v>
      </c>
      <c r="I23" s="135">
        <v>558974.71999999997</v>
      </c>
      <c r="J23" s="131" t="s">
        <v>249</v>
      </c>
      <c r="K23" s="131" t="s">
        <v>250</v>
      </c>
      <c r="L23" s="131" t="s">
        <v>422</v>
      </c>
      <c r="M23" s="131" t="s">
        <v>642</v>
      </c>
      <c r="N23" s="131" t="s">
        <v>253</v>
      </c>
      <c r="O23" s="131" t="s">
        <v>254</v>
      </c>
      <c r="P23" s="131" t="s">
        <v>643</v>
      </c>
    </row>
    <row r="24" spans="1:16" x14ac:dyDescent="0.25">
      <c r="A24" s="131" t="s">
        <v>244</v>
      </c>
      <c r="B24" s="131" t="s">
        <v>245</v>
      </c>
      <c r="C24" s="132">
        <v>46210</v>
      </c>
      <c r="D24" s="133">
        <v>0.17578703703703999</v>
      </c>
      <c r="E24" s="131" t="s">
        <v>644</v>
      </c>
      <c r="F24" s="131" t="s">
        <v>257</v>
      </c>
      <c r="G24" s="131" t="s">
        <v>248</v>
      </c>
      <c r="H24" s="134">
        <v>60</v>
      </c>
      <c r="I24" s="135">
        <v>549811.19999999995</v>
      </c>
      <c r="J24" s="131" t="s">
        <v>249</v>
      </c>
      <c r="K24" s="131" t="s">
        <v>250</v>
      </c>
      <c r="L24" s="131" t="s">
        <v>422</v>
      </c>
      <c r="M24" s="131" t="s">
        <v>645</v>
      </c>
      <c r="N24" s="131" t="s">
        <v>253</v>
      </c>
      <c r="O24" s="131" t="s">
        <v>254</v>
      </c>
      <c r="P24" s="131" t="s">
        <v>646</v>
      </c>
    </row>
    <row r="25" spans="1:16" x14ac:dyDescent="0.25">
      <c r="A25" s="131" t="s">
        <v>244</v>
      </c>
      <c r="B25" s="131" t="s">
        <v>245</v>
      </c>
      <c r="C25" s="132">
        <v>46211</v>
      </c>
      <c r="D25" s="133">
        <v>0.26166666666666999</v>
      </c>
      <c r="E25" s="131" t="s">
        <v>647</v>
      </c>
      <c r="F25" s="131" t="s">
        <v>257</v>
      </c>
      <c r="G25" s="131" t="s">
        <v>248</v>
      </c>
      <c r="H25" s="134">
        <v>57</v>
      </c>
      <c r="I25" s="135">
        <v>522320.64000000001</v>
      </c>
      <c r="J25" s="131" t="s">
        <v>249</v>
      </c>
      <c r="K25" s="131" t="s">
        <v>250</v>
      </c>
      <c r="L25" s="131" t="s">
        <v>261</v>
      </c>
      <c r="M25" s="131" t="s">
        <v>648</v>
      </c>
      <c r="N25" s="131" t="s">
        <v>253</v>
      </c>
      <c r="O25" s="131" t="s">
        <v>254</v>
      </c>
      <c r="P25" s="131" t="s">
        <v>649</v>
      </c>
    </row>
    <row r="26" spans="1:16" x14ac:dyDescent="0.25">
      <c r="A26" s="131" t="s">
        <v>244</v>
      </c>
      <c r="B26" s="131" t="s">
        <v>245</v>
      </c>
      <c r="C26" s="132">
        <v>46212</v>
      </c>
      <c r="D26" s="133">
        <v>0.2012037037037</v>
      </c>
      <c r="E26" s="131" t="s">
        <v>650</v>
      </c>
      <c r="F26" s="131" t="s">
        <v>265</v>
      </c>
      <c r="G26" s="131" t="s">
        <v>248</v>
      </c>
      <c r="H26" s="134">
        <v>20</v>
      </c>
      <c r="I26" s="135">
        <v>178579</v>
      </c>
      <c r="J26" s="131" t="s">
        <v>249</v>
      </c>
      <c r="K26" s="131" t="s">
        <v>250</v>
      </c>
      <c r="L26" s="131" t="s">
        <v>422</v>
      </c>
      <c r="M26" s="131" t="s">
        <v>651</v>
      </c>
      <c r="N26" s="131" t="s">
        <v>253</v>
      </c>
      <c r="O26" s="131" t="s">
        <v>254</v>
      </c>
      <c r="P26" s="131" t="s">
        <v>652</v>
      </c>
    </row>
    <row r="27" spans="1:16" x14ac:dyDescent="0.25">
      <c r="A27" s="131" t="s">
        <v>244</v>
      </c>
      <c r="B27" s="131" t="s">
        <v>245</v>
      </c>
      <c r="C27" s="132">
        <v>46212</v>
      </c>
      <c r="D27" s="133">
        <v>0.20100694444444001</v>
      </c>
      <c r="E27" s="131" t="s">
        <v>653</v>
      </c>
      <c r="F27" s="131" t="s">
        <v>257</v>
      </c>
      <c r="G27" s="131" t="s">
        <v>248</v>
      </c>
      <c r="H27" s="134">
        <v>50</v>
      </c>
      <c r="I27" s="135">
        <v>458176</v>
      </c>
      <c r="J27" s="131" t="s">
        <v>249</v>
      </c>
      <c r="K27" s="131" t="s">
        <v>250</v>
      </c>
      <c r="L27" s="131" t="s">
        <v>422</v>
      </c>
      <c r="M27" s="131" t="s">
        <v>654</v>
      </c>
      <c r="N27" s="131" t="s">
        <v>253</v>
      </c>
      <c r="O27" s="131" t="s">
        <v>254</v>
      </c>
      <c r="P27" s="131" t="s">
        <v>655</v>
      </c>
    </row>
    <row r="28" spans="1:16" x14ac:dyDescent="0.25">
      <c r="A28" s="131" t="s">
        <v>244</v>
      </c>
      <c r="B28" s="131" t="s">
        <v>245</v>
      </c>
      <c r="C28" s="132">
        <v>46212</v>
      </c>
      <c r="D28" s="133">
        <v>0.80578703703704002</v>
      </c>
      <c r="E28" s="131" t="s">
        <v>656</v>
      </c>
      <c r="F28" s="131" t="s">
        <v>257</v>
      </c>
      <c r="G28" s="131" t="s">
        <v>248</v>
      </c>
      <c r="H28" s="134">
        <v>64</v>
      </c>
      <c r="I28" s="135">
        <v>586465.28000000003</v>
      </c>
      <c r="J28" s="131" t="s">
        <v>249</v>
      </c>
      <c r="K28" s="131" t="s">
        <v>250</v>
      </c>
      <c r="L28" s="131" t="s">
        <v>279</v>
      </c>
      <c r="M28" s="131" t="s">
        <v>657</v>
      </c>
      <c r="N28" s="131" t="s">
        <v>253</v>
      </c>
      <c r="O28" s="131" t="s">
        <v>254</v>
      </c>
      <c r="P28" s="131" t="s">
        <v>658</v>
      </c>
    </row>
    <row r="29" spans="1:16" x14ac:dyDescent="0.25">
      <c r="A29" s="131" t="s">
        <v>244</v>
      </c>
      <c r="B29" s="131" t="s">
        <v>245</v>
      </c>
      <c r="C29" s="132">
        <v>46213</v>
      </c>
      <c r="D29" s="133">
        <v>0.32814814814815002</v>
      </c>
      <c r="E29" s="131" t="s">
        <v>659</v>
      </c>
      <c r="F29" s="131" t="s">
        <v>265</v>
      </c>
      <c r="G29" s="131" t="s">
        <v>248</v>
      </c>
      <c r="H29" s="134">
        <v>12</v>
      </c>
      <c r="I29" s="135">
        <v>107147.4</v>
      </c>
      <c r="J29" s="131" t="s">
        <v>249</v>
      </c>
      <c r="K29" s="131" t="s">
        <v>250</v>
      </c>
      <c r="L29" s="131" t="s">
        <v>272</v>
      </c>
      <c r="M29" s="131" t="s">
        <v>660</v>
      </c>
      <c r="N29" s="131" t="s">
        <v>253</v>
      </c>
      <c r="O29" s="131" t="s">
        <v>254</v>
      </c>
      <c r="P29" s="131" t="s">
        <v>661</v>
      </c>
    </row>
    <row r="30" spans="1:16" x14ac:dyDescent="0.25">
      <c r="A30" s="131" t="s">
        <v>244</v>
      </c>
      <c r="B30" s="131" t="s">
        <v>245</v>
      </c>
      <c r="C30" s="132">
        <v>46213</v>
      </c>
      <c r="D30" s="133">
        <v>0.32849537037037002</v>
      </c>
      <c r="E30" s="131" t="s">
        <v>662</v>
      </c>
      <c r="F30" s="131" t="s">
        <v>286</v>
      </c>
      <c r="G30" s="131" t="s">
        <v>248</v>
      </c>
      <c r="H30" s="134">
        <v>16</v>
      </c>
      <c r="I30" s="135">
        <v>141841.60000000001</v>
      </c>
      <c r="J30" s="131" t="s">
        <v>249</v>
      </c>
      <c r="K30" s="131" t="s">
        <v>250</v>
      </c>
      <c r="L30" s="131" t="s">
        <v>272</v>
      </c>
      <c r="M30" s="131" t="s">
        <v>663</v>
      </c>
      <c r="N30" s="131" t="s">
        <v>253</v>
      </c>
      <c r="O30" s="131" t="s">
        <v>254</v>
      </c>
      <c r="P30" s="131" t="s">
        <v>664</v>
      </c>
    </row>
    <row r="31" spans="1:16" x14ac:dyDescent="0.25">
      <c r="A31" s="131" t="s">
        <v>244</v>
      </c>
      <c r="B31" s="131" t="s">
        <v>245</v>
      </c>
      <c r="C31" s="132">
        <v>46213</v>
      </c>
      <c r="D31" s="133">
        <v>0.32832175925925999</v>
      </c>
      <c r="E31" s="131" t="s">
        <v>665</v>
      </c>
      <c r="F31" s="131" t="s">
        <v>257</v>
      </c>
      <c r="G31" s="131" t="s">
        <v>248</v>
      </c>
      <c r="H31" s="134">
        <v>45</v>
      </c>
      <c r="I31" s="135">
        <v>412358.40000000002</v>
      </c>
      <c r="J31" s="131" t="s">
        <v>249</v>
      </c>
      <c r="K31" s="131" t="s">
        <v>250</v>
      </c>
      <c r="L31" s="131" t="s">
        <v>272</v>
      </c>
      <c r="M31" s="131" t="s">
        <v>666</v>
      </c>
      <c r="N31" s="131" t="s">
        <v>253</v>
      </c>
      <c r="O31" s="131" t="s">
        <v>254</v>
      </c>
      <c r="P31" s="131" t="s">
        <v>667</v>
      </c>
    </row>
    <row r="32" spans="1:16" x14ac:dyDescent="0.25">
      <c r="A32" s="131" t="s">
        <v>244</v>
      </c>
      <c r="B32" s="131" t="s">
        <v>245</v>
      </c>
      <c r="C32" s="132">
        <v>46214</v>
      </c>
      <c r="D32" s="133">
        <v>0.47340277777778</v>
      </c>
      <c r="E32" s="131" t="s">
        <v>678</v>
      </c>
      <c r="F32" s="131" t="s">
        <v>265</v>
      </c>
      <c r="G32" s="131" t="s">
        <v>248</v>
      </c>
      <c r="H32" s="134">
        <v>15</v>
      </c>
      <c r="I32" s="135">
        <v>133934.25</v>
      </c>
      <c r="J32" s="131" t="s">
        <v>249</v>
      </c>
      <c r="K32" s="131" t="s">
        <v>250</v>
      </c>
      <c r="L32" s="131" t="s">
        <v>279</v>
      </c>
      <c r="M32" s="131" t="s">
        <v>679</v>
      </c>
      <c r="N32" s="131" t="s">
        <v>253</v>
      </c>
      <c r="O32" s="131" t="s">
        <v>254</v>
      </c>
      <c r="P32" s="131" t="s">
        <v>680</v>
      </c>
    </row>
    <row r="33" spans="1:16" x14ac:dyDescent="0.25">
      <c r="A33" s="131" t="s">
        <v>244</v>
      </c>
      <c r="B33" s="131" t="s">
        <v>245</v>
      </c>
      <c r="C33" s="132">
        <v>46214</v>
      </c>
      <c r="D33" s="133">
        <v>6.9930555555560006E-2</v>
      </c>
      <c r="E33" s="131" t="s">
        <v>668</v>
      </c>
      <c r="F33" s="131" t="s">
        <v>265</v>
      </c>
      <c r="G33" s="131" t="s">
        <v>248</v>
      </c>
      <c r="H33" s="134">
        <v>18</v>
      </c>
      <c r="I33" s="135">
        <v>160721.1</v>
      </c>
      <c r="J33" s="131" t="s">
        <v>249</v>
      </c>
      <c r="K33" s="131" t="s">
        <v>250</v>
      </c>
      <c r="L33" s="131" t="s">
        <v>422</v>
      </c>
      <c r="M33" s="131" t="s">
        <v>677</v>
      </c>
      <c r="N33" s="131" t="s">
        <v>253</v>
      </c>
      <c r="O33" s="131" t="s">
        <v>254</v>
      </c>
      <c r="P33" s="131" t="s">
        <v>669</v>
      </c>
    </row>
    <row r="34" spans="1:16" x14ac:dyDescent="0.25">
      <c r="A34" s="131" t="s">
        <v>244</v>
      </c>
      <c r="B34" s="131" t="s">
        <v>245</v>
      </c>
      <c r="C34" s="132">
        <v>46214</v>
      </c>
      <c r="D34" s="133">
        <v>0.91127314814814997</v>
      </c>
      <c r="E34" s="131" t="s">
        <v>681</v>
      </c>
      <c r="F34" s="131" t="s">
        <v>286</v>
      </c>
      <c r="G34" s="131" t="s">
        <v>248</v>
      </c>
      <c r="H34" s="134">
        <v>7</v>
      </c>
      <c r="I34" s="135">
        <v>62055.7</v>
      </c>
      <c r="J34" s="131" t="s">
        <v>249</v>
      </c>
      <c r="K34" s="131" t="s">
        <v>250</v>
      </c>
      <c r="L34" s="131" t="s">
        <v>385</v>
      </c>
      <c r="M34" s="131" t="s">
        <v>700</v>
      </c>
      <c r="N34" s="131" t="s">
        <v>253</v>
      </c>
      <c r="O34" s="131" t="s">
        <v>254</v>
      </c>
      <c r="P34" s="131" t="s">
        <v>682</v>
      </c>
    </row>
    <row r="35" spans="1:16" x14ac:dyDescent="0.25">
      <c r="A35" s="131" t="s">
        <v>244</v>
      </c>
      <c r="B35" s="131" t="s">
        <v>245</v>
      </c>
      <c r="C35" s="132">
        <v>46214</v>
      </c>
      <c r="D35" s="133">
        <v>0.47353009259258999</v>
      </c>
      <c r="E35" s="131" t="s">
        <v>683</v>
      </c>
      <c r="F35" s="131" t="s">
        <v>286</v>
      </c>
      <c r="G35" s="131" t="s">
        <v>248</v>
      </c>
      <c r="H35" s="134">
        <v>20</v>
      </c>
      <c r="I35" s="135">
        <v>177302</v>
      </c>
      <c r="J35" s="131" t="s">
        <v>249</v>
      </c>
      <c r="K35" s="131" t="s">
        <v>250</v>
      </c>
      <c r="L35" s="131" t="s">
        <v>279</v>
      </c>
      <c r="M35" s="131" t="s">
        <v>684</v>
      </c>
      <c r="N35" s="131" t="s">
        <v>253</v>
      </c>
      <c r="O35" s="131" t="s">
        <v>254</v>
      </c>
      <c r="P35" s="131" t="s">
        <v>685</v>
      </c>
    </row>
    <row r="36" spans="1:16" x14ac:dyDescent="0.25">
      <c r="A36" s="131" t="s">
        <v>244</v>
      </c>
      <c r="B36" s="131" t="s">
        <v>245</v>
      </c>
      <c r="C36" s="132">
        <v>46214</v>
      </c>
      <c r="D36" s="133">
        <v>0.91115740740741002</v>
      </c>
      <c r="E36" s="131" t="s">
        <v>686</v>
      </c>
      <c r="F36" s="131" t="s">
        <v>257</v>
      </c>
      <c r="G36" s="131" t="s">
        <v>248</v>
      </c>
      <c r="H36" s="134">
        <v>70</v>
      </c>
      <c r="I36" s="135">
        <v>641446.40000000002</v>
      </c>
      <c r="J36" s="131" t="s">
        <v>249</v>
      </c>
      <c r="K36" s="131" t="s">
        <v>250</v>
      </c>
      <c r="L36" s="131" t="s">
        <v>385</v>
      </c>
      <c r="M36" s="131" t="s">
        <v>701</v>
      </c>
      <c r="N36" s="131" t="s">
        <v>253</v>
      </c>
      <c r="O36" s="131" t="s">
        <v>254</v>
      </c>
      <c r="P36" s="131" t="s">
        <v>687</v>
      </c>
    </row>
    <row r="37" spans="1:16" x14ac:dyDescent="0.25">
      <c r="A37" s="131" t="s">
        <v>244</v>
      </c>
      <c r="B37" s="131" t="s">
        <v>245</v>
      </c>
      <c r="C37" s="132">
        <v>46214</v>
      </c>
      <c r="D37" s="133">
        <v>0.47326388888888998</v>
      </c>
      <c r="E37" s="131" t="s">
        <v>688</v>
      </c>
      <c r="F37" s="131" t="s">
        <v>257</v>
      </c>
      <c r="G37" s="131" t="s">
        <v>248</v>
      </c>
      <c r="H37" s="134">
        <v>63</v>
      </c>
      <c r="I37" s="135">
        <v>577301.76000000001</v>
      </c>
      <c r="J37" s="131" t="s">
        <v>249</v>
      </c>
      <c r="K37" s="131" t="s">
        <v>250</v>
      </c>
      <c r="L37" s="131" t="s">
        <v>279</v>
      </c>
      <c r="M37" s="131" t="s">
        <v>689</v>
      </c>
      <c r="N37" s="131" t="s">
        <v>253</v>
      </c>
      <c r="O37" s="131" t="s">
        <v>254</v>
      </c>
      <c r="P37" s="131" t="s">
        <v>690</v>
      </c>
    </row>
    <row r="38" spans="1:16" x14ac:dyDescent="0.25">
      <c r="A38" s="131" t="s">
        <v>244</v>
      </c>
      <c r="B38" s="131" t="s">
        <v>245</v>
      </c>
      <c r="C38" s="132">
        <v>46214</v>
      </c>
      <c r="D38" s="133">
        <v>6.974537037037E-2</v>
      </c>
      <c r="E38" s="131" t="s">
        <v>670</v>
      </c>
      <c r="F38" s="131" t="s">
        <v>257</v>
      </c>
      <c r="G38" s="131" t="s">
        <v>248</v>
      </c>
      <c r="H38" s="134">
        <v>51</v>
      </c>
      <c r="I38" s="135">
        <v>467339.52000000002</v>
      </c>
      <c r="J38" s="131" t="s">
        <v>249</v>
      </c>
      <c r="K38" s="131" t="s">
        <v>250</v>
      </c>
      <c r="L38" s="131" t="s">
        <v>422</v>
      </c>
      <c r="M38" s="131" t="s">
        <v>691</v>
      </c>
      <c r="N38" s="131" t="s">
        <v>253</v>
      </c>
      <c r="O38" s="131" t="s">
        <v>254</v>
      </c>
      <c r="P38" s="131" t="s">
        <v>671</v>
      </c>
    </row>
    <row r="39" spans="1:16" x14ac:dyDescent="0.25">
      <c r="A39" s="131" t="s">
        <v>244</v>
      </c>
      <c r="B39" s="131" t="s">
        <v>245</v>
      </c>
      <c r="C39" s="132">
        <v>46215</v>
      </c>
      <c r="D39" s="133">
        <v>0.26822916666667002</v>
      </c>
      <c r="E39" s="131" t="s">
        <v>702</v>
      </c>
      <c r="F39" s="131" t="s">
        <v>265</v>
      </c>
      <c r="G39" s="131" t="s">
        <v>248</v>
      </c>
      <c r="H39" s="134">
        <v>22</v>
      </c>
      <c r="I39" s="135">
        <v>196436.9</v>
      </c>
      <c r="J39" s="131" t="s">
        <v>249</v>
      </c>
      <c r="K39" s="131" t="s">
        <v>250</v>
      </c>
      <c r="L39" s="131" t="s">
        <v>422</v>
      </c>
      <c r="M39" s="131" t="s">
        <v>706</v>
      </c>
      <c r="N39" s="131" t="s">
        <v>253</v>
      </c>
      <c r="O39" s="131" t="s">
        <v>254</v>
      </c>
      <c r="P39" s="131" t="s">
        <v>703</v>
      </c>
    </row>
    <row r="40" spans="1:16" x14ac:dyDescent="0.25">
      <c r="A40" s="131" t="s">
        <v>244</v>
      </c>
      <c r="B40" s="131" t="s">
        <v>245</v>
      </c>
      <c r="C40" s="132">
        <v>46215</v>
      </c>
      <c r="D40" s="133">
        <v>0.63696759259258995</v>
      </c>
      <c r="E40" s="131" t="s">
        <v>707</v>
      </c>
      <c r="F40" s="131" t="s">
        <v>265</v>
      </c>
      <c r="G40" s="131" t="s">
        <v>248</v>
      </c>
      <c r="H40" s="134">
        <v>5</v>
      </c>
      <c r="I40" s="135">
        <v>44644.75</v>
      </c>
      <c r="J40" s="131" t="s">
        <v>249</v>
      </c>
      <c r="K40" s="131" t="s">
        <v>250</v>
      </c>
      <c r="L40" s="131" t="s">
        <v>279</v>
      </c>
      <c r="M40" s="131" t="s">
        <v>708</v>
      </c>
      <c r="N40" s="131" t="s">
        <v>253</v>
      </c>
      <c r="O40" s="131" t="s">
        <v>254</v>
      </c>
      <c r="P40" s="131" t="s">
        <v>709</v>
      </c>
    </row>
    <row r="41" spans="1:16" x14ac:dyDescent="0.25">
      <c r="A41" s="131" t="s">
        <v>244</v>
      </c>
      <c r="B41" s="131" t="s">
        <v>245</v>
      </c>
      <c r="C41" s="132">
        <v>46215</v>
      </c>
      <c r="D41" s="133">
        <v>0.63709490740741004</v>
      </c>
      <c r="E41" s="131" t="s">
        <v>710</v>
      </c>
      <c r="F41" s="131" t="s">
        <v>286</v>
      </c>
      <c r="G41" s="131" t="s">
        <v>248</v>
      </c>
      <c r="H41" s="134">
        <v>17</v>
      </c>
      <c r="I41" s="135">
        <v>150706.70000000001</v>
      </c>
      <c r="J41" s="131" t="s">
        <v>249</v>
      </c>
      <c r="K41" s="131" t="s">
        <v>250</v>
      </c>
      <c r="L41" s="131" t="s">
        <v>279</v>
      </c>
      <c r="M41" s="131" t="s">
        <v>711</v>
      </c>
      <c r="N41" s="131" t="s">
        <v>253</v>
      </c>
      <c r="O41" s="131" t="s">
        <v>254</v>
      </c>
      <c r="P41" s="131" t="s">
        <v>712</v>
      </c>
    </row>
    <row r="42" spans="1:16" x14ac:dyDescent="0.25">
      <c r="A42" s="131" t="s">
        <v>244</v>
      </c>
      <c r="B42" s="131" t="s">
        <v>245</v>
      </c>
      <c r="C42" s="132">
        <v>46215</v>
      </c>
      <c r="D42" s="133">
        <v>0.26793981481481</v>
      </c>
      <c r="E42" s="131" t="s">
        <v>704</v>
      </c>
      <c r="F42" s="131" t="s">
        <v>257</v>
      </c>
      <c r="G42" s="131" t="s">
        <v>248</v>
      </c>
      <c r="H42" s="134">
        <v>28</v>
      </c>
      <c r="I42" s="135">
        <v>256578.56</v>
      </c>
      <c r="J42" s="131" t="s">
        <v>249</v>
      </c>
      <c r="K42" s="131" t="s">
        <v>250</v>
      </c>
      <c r="L42" s="131" t="s">
        <v>422</v>
      </c>
      <c r="M42" s="131" t="s">
        <v>713</v>
      </c>
      <c r="N42" s="131" t="s">
        <v>253</v>
      </c>
      <c r="O42" s="131" t="s">
        <v>254</v>
      </c>
      <c r="P42" s="131" t="s">
        <v>705</v>
      </c>
    </row>
    <row r="43" spans="1:16" x14ac:dyDescent="0.25">
      <c r="A43" s="131" t="s">
        <v>244</v>
      </c>
      <c r="B43" s="131" t="s">
        <v>245</v>
      </c>
      <c r="C43" s="132">
        <v>46215</v>
      </c>
      <c r="D43" s="133">
        <v>0.63682870370370004</v>
      </c>
      <c r="E43" s="131" t="s">
        <v>714</v>
      </c>
      <c r="F43" s="131" t="s">
        <v>257</v>
      </c>
      <c r="G43" s="131" t="s">
        <v>248</v>
      </c>
      <c r="H43" s="134">
        <v>64</v>
      </c>
      <c r="I43" s="135">
        <v>586465.28000000003</v>
      </c>
      <c r="J43" s="131" t="s">
        <v>249</v>
      </c>
      <c r="K43" s="131" t="s">
        <v>250</v>
      </c>
      <c r="L43" s="131" t="s">
        <v>279</v>
      </c>
      <c r="M43" s="131" t="s">
        <v>715</v>
      </c>
      <c r="N43" s="131" t="s">
        <v>253</v>
      </c>
      <c r="O43" s="131" t="s">
        <v>254</v>
      </c>
      <c r="P43" s="131" t="s">
        <v>716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P113"/>
  <sheetViews>
    <sheetView tabSelected="1" zoomScale="90" zoomScaleNormal="90" workbookViewId="0">
      <selection sqref="A1:XFD1048576"/>
    </sheetView>
  </sheetViews>
  <sheetFormatPr defaultRowHeight="15" x14ac:dyDescent="0.25"/>
  <cols>
    <col min="1" max="1" width="8.85546875" bestFit="1" customWidth="1"/>
    <col min="2" max="2" width="17.7109375" bestFit="1" customWidth="1"/>
    <col min="3" max="3" width="36.28515625" bestFit="1" customWidth="1"/>
    <col min="4" max="4" width="15.7109375" bestFit="1" customWidth="1"/>
    <col min="5" max="5" width="12.140625" bestFit="1" customWidth="1"/>
    <col min="6" max="6" width="18.5703125" bestFit="1" customWidth="1"/>
    <col min="7" max="7" width="11.5703125" bestFit="1" customWidth="1"/>
    <col min="8" max="8" width="19.140625" bestFit="1" customWidth="1"/>
    <col min="9" max="9" width="24.42578125" bestFit="1" customWidth="1"/>
    <col min="10" max="10" width="36.5703125" bestFit="1" customWidth="1"/>
    <col min="11" max="11" width="33.85546875" bestFit="1" customWidth="1"/>
    <col min="12" max="12" width="26.42578125" bestFit="1" customWidth="1"/>
    <col min="13" max="13" width="22.42578125" bestFit="1" customWidth="1"/>
    <col min="14" max="14" width="22.5703125" bestFit="1" customWidth="1"/>
    <col min="15" max="15" width="19" bestFit="1" customWidth="1"/>
    <col min="16" max="16" width="11.5703125" bestFit="1" customWidth="1"/>
  </cols>
  <sheetData>
    <row r="1" spans="1:16" x14ac:dyDescent="0.25">
      <c r="A1" t="s">
        <v>774</v>
      </c>
    </row>
    <row r="3" spans="1:16" ht="17.25" customHeight="1" x14ac:dyDescent="0.25">
      <c r="A3" s="51" t="s">
        <v>170</v>
      </c>
      <c r="B3" s="51" t="s">
        <v>171</v>
      </c>
      <c r="C3" s="51" t="s">
        <v>38</v>
      </c>
      <c r="D3" s="51" t="s">
        <v>94</v>
      </c>
      <c r="E3" s="51" t="s">
        <v>172</v>
      </c>
      <c r="F3" s="51" t="s">
        <v>95</v>
      </c>
      <c r="G3" s="51" t="s">
        <v>96</v>
      </c>
      <c r="H3" s="51" t="s">
        <v>97</v>
      </c>
      <c r="I3" s="51" t="s">
        <v>98</v>
      </c>
      <c r="J3" s="51" t="s">
        <v>99</v>
      </c>
      <c r="K3" s="51" t="s">
        <v>100</v>
      </c>
      <c r="L3" s="51" t="s">
        <v>101</v>
      </c>
      <c r="M3" s="51" t="s">
        <v>102</v>
      </c>
      <c r="N3" s="51" t="s">
        <v>103</v>
      </c>
      <c r="O3" s="51" t="s">
        <v>104</v>
      </c>
      <c r="P3" s="51" t="s">
        <v>105</v>
      </c>
    </row>
    <row r="4" spans="1:16" x14ac:dyDescent="0.25">
      <c r="A4" s="142" t="s">
        <v>173</v>
      </c>
      <c r="B4" s="142" t="s">
        <v>175</v>
      </c>
      <c r="C4" s="142" t="s">
        <v>775</v>
      </c>
      <c r="D4" s="142" t="s">
        <v>776</v>
      </c>
      <c r="E4" s="142" t="s">
        <v>174</v>
      </c>
      <c r="F4" s="162">
        <v>17</v>
      </c>
      <c r="G4" s="162">
        <v>0</v>
      </c>
      <c r="H4" s="162">
        <v>0</v>
      </c>
      <c r="I4" s="162">
        <v>0</v>
      </c>
      <c r="J4" s="162">
        <v>0</v>
      </c>
      <c r="K4" s="162">
        <v>0</v>
      </c>
      <c r="L4" s="162">
        <v>9</v>
      </c>
      <c r="M4" s="162">
        <v>9</v>
      </c>
      <c r="N4" s="162">
        <v>6</v>
      </c>
      <c r="O4" s="162">
        <v>2</v>
      </c>
      <c r="P4" s="162">
        <v>0</v>
      </c>
    </row>
    <row r="5" spans="1:16" x14ac:dyDescent="0.25">
      <c r="A5" s="143"/>
      <c r="B5" s="143"/>
      <c r="C5" s="143" t="s">
        <v>777</v>
      </c>
      <c r="D5" s="143" t="s">
        <v>778</v>
      </c>
      <c r="E5" s="143" t="s">
        <v>174</v>
      </c>
      <c r="F5" s="163">
        <v>6</v>
      </c>
      <c r="G5" s="163">
        <v>0</v>
      </c>
      <c r="H5" s="163">
        <v>0</v>
      </c>
      <c r="I5" s="163">
        <v>0</v>
      </c>
      <c r="J5" s="163">
        <v>0</v>
      </c>
      <c r="K5" s="163">
        <v>0</v>
      </c>
      <c r="L5" s="163">
        <v>0</v>
      </c>
      <c r="M5" s="163">
        <v>0</v>
      </c>
      <c r="N5" s="163">
        <v>5</v>
      </c>
      <c r="O5" s="163">
        <v>1</v>
      </c>
      <c r="P5" s="163">
        <v>0</v>
      </c>
    </row>
    <row r="6" spans="1:16" x14ac:dyDescent="0.25">
      <c r="A6" s="142"/>
      <c r="B6" s="142"/>
      <c r="C6" s="142" t="s">
        <v>544</v>
      </c>
      <c r="D6" s="142" t="s">
        <v>545</v>
      </c>
      <c r="E6" s="142" t="s">
        <v>174</v>
      </c>
      <c r="F6" s="162">
        <v>19</v>
      </c>
      <c r="G6" s="162">
        <v>0</v>
      </c>
      <c r="H6" s="162">
        <v>1</v>
      </c>
      <c r="I6" s="162">
        <v>4</v>
      </c>
      <c r="J6" s="162">
        <v>0</v>
      </c>
      <c r="K6" s="162">
        <v>0</v>
      </c>
      <c r="L6" s="162">
        <v>4</v>
      </c>
      <c r="M6" s="162">
        <v>9</v>
      </c>
      <c r="N6" s="162">
        <v>3</v>
      </c>
      <c r="O6" s="162">
        <v>7</v>
      </c>
      <c r="P6" s="162">
        <v>0</v>
      </c>
    </row>
    <row r="7" spans="1:16" x14ac:dyDescent="0.25">
      <c r="A7" s="143"/>
      <c r="B7" s="143"/>
      <c r="C7" s="143" t="s">
        <v>546</v>
      </c>
      <c r="D7" s="143" t="s">
        <v>547</v>
      </c>
      <c r="E7" s="143" t="s">
        <v>174</v>
      </c>
      <c r="F7" s="163">
        <v>7</v>
      </c>
      <c r="G7" s="163">
        <v>4</v>
      </c>
      <c r="H7" s="163">
        <v>1</v>
      </c>
      <c r="I7" s="163">
        <v>2</v>
      </c>
      <c r="J7" s="163">
        <v>0</v>
      </c>
      <c r="K7" s="163">
        <v>0</v>
      </c>
      <c r="L7" s="163">
        <v>0</v>
      </c>
      <c r="M7" s="163">
        <v>7</v>
      </c>
      <c r="N7" s="163">
        <v>0</v>
      </c>
      <c r="O7" s="163">
        <v>0</v>
      </c>
      <c r="P7" s="163">
        <v>0</v>
      </c>
    </row>
    <row r="8" spans="1:16" x14ac:dyDescent="0.25">
      <c r="A8" s="142"/>
      <c r="B8" s="142"/>
      <c r="C8" s="142" t="s">
        <v>490</v>
      </c>
      <c r="D8" s="142" t="s">
        <v>491</v>
      </c>
      <c r="E8" s="142" t="s">
        <v>174</v>
      </c>
      <c r="F8" s="162">
        <v>16</v>
      </c>
      <c r="G8" s="162">
        <v>0</v>
      </c>
      <c r="H8" s="162">
        <v>0</v>
      </c>
      <c r="I8" s="162">
        <v>5</v>
      </c>
      <c r="J8" s="162">
        <v>0</v>
      </c>
      <c r="K8" s="162">
        <v>4</v>
      </c>
      <c r="L8" s="162">
        <v>7</v>
      </c>
      <c r="M8" s="162">
        <v>16</v>
      </c>
      <c r="N8" s="162">
        <v>0</v>
      </c>
      <c r="O8" s="162">
        <v>0</v>
      </c>
      <c r="P8" s="162">
        <v>0</v>
      </c>
    </row>
    <row r="9" spans="1:16" x14ac:dyDescent="0.25">
      <c r="A9" s="143"/>
      <c r="B9" s="143"/>
      <c r="C9" s="143" t="s">
        <v>536</v>
      </c>
      <c r="D9" s="143" t="s">
        <v>537</v>
      </c>
      <c r="E9" s="143" t="s">
        <v>174</v>
      </c>
      <c r="F9" s="163">
        <v>1</v>
      </c>
      <c r="G9" s="163">
        <v>0</v>
      </c>
      <c r="H9" s="163">
        <v>1</v>
      </c>
      <c r="I9" s="163">
        <v>0</v>
      </c>
      <c r="J9" s="163">
        <v>0</v>
      </c>
      <c r="K9" s="163">
        <v>0</v>
      </c>
      <c r="L9" s="163">
        <v>0</v>
      </c>
      <c r="M9" s="163">
        <v>1</v>
      </c>
      <c r="N9" s="163">
        <v>0</v>
      </c>
      <c r="O9" s="163">
        <v>0</v>
      </c>
      <c r="P9" s="163">
        <v>0</v>
      </c>
    </row>
    <row r="10" spans="1:16" x14ac:dyDescent="0.25">
      <c r="A10" s="142"/>
      <c r="B10" s="142"/>
      <c r="C10" s="142" t="s">
        <v>566</v>
      </c>
      <c r="D10" s="142" t="s">
        <v>567</v>
      </c>
      <c r="E10" s="142" t="s">
        <v>174</v>
      </c>
      <c r="F10" s="162">
        <v>16</v>
      </c>
      <c r="G10" s="162">
        <v>5</v>
      </c>
      <c r="H10" s="162">
        <v>4</v>
      </c>
      <c r="I10" s="162">
        <v>0</v>
      </c>
      <c r="J10" s="162">
        <v>0</v>
      </c>
      <c r="K10" s="162">
        <v>0</v>
      </c>
      <c r="L10" s="162">
        <v>1</v>
      </c>
      <c r="M10" s="162">
        <v>10</v>
      </c>
      <c r="N10" s="162">
        <v>1</v>
      </c>
      <c r="O10" s="162">
        <v>5</v>
      </c>
      <c r="P10" s="162">
        <v>0</v>
      </c>
    </row>
    <row r="11" spans="1:16" x14ac:dyDescent="0.25">
      <c r="A11" s="143"/>
      <c r="B11" s="143"/>
      <c r="C11" s="143" t="s">
        <v>779</v>
      </c>
      <c r="D11" s="143" t="s">
        <v>780</v>
      </c>
      <c r="E11" s="143" t="s">
        <v>174</v>
      </c>
      <c r="F11" s="163">
        <v>2</v>
      </c>
      <c r="G11" s="163">
        <v>1</v>
      </c>
      <c r="H11" s="163">
        <v>0</v>
      </c>
      <c r="I11" s="163">
        <v>1</v>
      </c>
      <c r="J11" s="163">
        <v>0</v>
      </c>
      <c r="K11" s="163">
        <v>0</v>
      </c>
      <c r="L11" s="163">
        <v>0</v>
      </c>
      <c r="M11" s="163">
        <v>2</v>
      </c>
      <c r="N11" s="163">
        <v>0</v>
      </c>
      <c r="O11" s="163">
        <v>0</v>
      </c>
      <c r="P11" s="163">
        <v>0</v>
      </c>
    </row>
    <row r="12" spans="1:16" x14ac:dyDescent="0.25">
      <c r="A12" s="142"/>
      <c r="B12" s="142"/>
      <c r="C12" s="142" t="s">
        <v>755</v>
      </c>
      <c r="D12" s="142" t="s">
        <v>756</v>
      </c>
      <c r="E12" s="142" t="s">
        <v>174</v>
      </c>
      <c r="F12" s="162">
        <v>9</v>
      </c>
      <c r="G12" s="162">
        <v>0</v>
      </c>
      <c r="H12" s="162">
        <v>3</v>
      </c>
      <c r="I12" s="162">
        <v>0</v>
      </c>
      <c r="J12" s="162">
        <v>0</v>
      </c>
      <c r="K12" s="162">
        <v>0</v>
      </c>
      <c r="L12" s="162">
        <v>0</v>
      </c>
      <c r="M12" s="162">
        <v>3</v>
      </c>
      <c r="N12" s="162">
        <v>0</v>
      </c>
      <c r="O12" s="162">
        <v>6</v>
      </c>
      <c r="P12" s="162">
        <v>0</v>
      </c>
    </row>
    <row r="13" spans="1:16" x14ac:dyDescent="0.25">
      <c r="A13" s="143"/>
      <c r="B13" s="143"/>
      <c r="C13" s="143" t="s">
        <v>724</v>
      </c>
      <c r="D13" s="143" t="s">
        <v>725</v>
      </c>
      <c r="E13" s="143" t="s">
        <v>174</v>
      </c>
      <c r="F13" s="163">
        <v>1</v>
      </c>
      <c r="G13" s="163">
        <v>0</v>
      </c>
      <c r="H13" s="163">
        <v>1</v>
      </c>
      <c r="I13" s="163">
        <v>0</v>
      </c>
      <c r="J13" s="163">
        <v>0</v>
      </c>
      <c r="K13" s="163">
        <v>0</v>
      </c>
      <c r="L13" s="163">
        <v>0</v>
      </c>
      <c r="M13" s="163">
        <v>1</v>
      </c>
      <c r="N13" s="163">
        <v>0</v>
      </c>
      <c r="O13" s="163">
        <v>0</v>
      </c>
      <c r="P13" s="163">
        <v>0</v>
      </c>
    </row>
    <row r="14" spans="1:16" x14ac:dyDescent="0.25">
      <c r="A14" s="142"/>
      <c r="B14" s="142"/>
      <c r="C14" s="142" t="s">
        <v>757</v>
      </c>
      <c r="D14" s="142" t="s">
        <v>758</v>
      </c>
      <c r="E14" s="142" t="s">
        <v>174</v>
      </c>
      <c r="F14" s="162">
        <v>1</v>
      </c>
      <c r="G14" s="162">
        <v>1</v>
      </c>
      <c r="H14" s="162">
        <v>0</v>
      </c>
      <c r="I14" s="162">
        <v>0</v>
      </c>
      <c r="J14" s="162">
        <v>0</v>
      </c>
      <c r="K14" s="162">
        <v>0</v>
      </c>
      <c r="L14" s="162">
        <v>0</v>
      </c>
      <c r="M14" s="162">
        <v>1</v>
      </c>
      <c r="N14" s="162">
        <v>0</v>
      </c>
      <c r="O14" s="162">
        <v>0</v>
      </c>
      <c r="P14" s="162">
        <v>0</v>
      </c>
    </row>
    <row r="15" spans="1:16" x14ac:dyDescent="0.25">
      <c r="A15" s="143"/>
      <c r="B15" s="143"/>
      <c r="C15" s="143" t="s">
        <v>554</v>
      </c>
      <c r="D15" s="143" t="s">
        <v>555</v>
      </c>
      <c r="E15" s="143" t="s">
        <v>174</v>
      </c>
      <c r="F15" s="163">
        <v>1</v>
      </c>
      <c r="G15" s="163">
        <v>0</v>
      </c>
      <c r="H15" s="163">
        <v>1</v>
      </c>
      <c r="I15" s="163">
        <v>0</v>
      </c>
      <c r="J15" s="163">
        <v>0</v>
      </c>
      <c r="K15" s="163">
        <v>0</v>
      </c>
      <c r="L15" s="163">
        <v>0</v>
      </c>
      <c r="M15" s="163">
        <v>1</v>
      </c>
      <c r="N15" s="163">
        <v>0</v>
      </c>
      <c r="O15" s="163">
        <v>0</v>
      </c>
      <c r="P15" s="163">
        <v>0</v>
      </c>
    </row>
    <row r="16" spans="1:16" x14ac:dyDescent="0.25">
      <c r="A16" s="142"/>
      <c r="B16" s="142"/>
      <c r="C16" s="142" t="s">
        <v>744</v>
      </c>
      <c r="D16" s="142" t="s">
        <v>745</v>
      </c>
      <c r="E16" s="142" t="s">
        <v>174</v>
      </c>
      <c r="F16" s="162">
        <v>8</v>
      </c>
      <c r="G16" s="162">
        <v>0</v>
      </c>
      <c r="H16" s="162">
        <v>0</v>
      </c>
      <c r="I16" s="162">
        <v>0</v>
      </c>
      <c r="J16" s="162">
        <v>0</v>
      </c>
      <c r="K16" s="162">
        <v>0</v>
      </c>
      <c r="L16" s="162">
        <v>3</v>
      </c>
      <c r="M16" s="162">
        <v>3</v>
      </c>
      <c r="N16" s="162">
        <v>5</v>
      </c>
      <c r="O16" s="162">
        <v>0</v>
      </c>
      <c r="P16" s="162">
        <v>0</v>
      </c>
    </row>
    <row r="17" spans="1:16" x14ac:dyDescent="0.25">
      <c r="A17" s="143"/>
      <c r="B17" s="143"/>
      <c r="C17" s="143" t="s">
        <v>726</v>
      </c>
      <c r="D17" s="143" t="s">
        <v>727</v>
      </c>
      <c r="E17" s="143" t="s">
        <v>174</v>
      </c>
      <c r="F17" s="163">
        <v>6</v>
      </c>
      <c r="G17" s="163">
        <v>2</v>
      </c>
      <c r="H17" s="163">
        <v>1</v>
      </c>
      <c r="I17" s="163">
        <v>2</v>
      </c>
      <c r="J17" s="163">
        <v>0</v>
      </c>
      <c r="K17" s="163">
        <v>0</v>
      </c>
      <c r="L17" s="163">
        <v>1</v>
      </c>
      <c r="M17" s="163">
        <v>6</v>
      </c>
      <c r="N17" s="163">
        <v>0</v>
      </c>
      <c r="O17" s="163">
        <v>0</v>
      </c>
      <c r="P17" s="163">
        <v>0</v>
      </c>
    </row>
    <row r="18" spans="1:16" x14ac:dyDescent="0.25">
      <c r="A18" s="142"/>
      <c r="B18" s="142"/>
      <c r="C18" s="142" t="s">
        <v>484</v>
      </c>
      <c r="D18" s="142" t="s">
        <v>485</v>
      </c>
      <c r="E18" s="142" t="s">
        <v>174</v>
      </c>
      <c r="F18" s="162">
        <v>11</v>
      </c>
      <c r="G18" s="162">
        <v>1</v>
      </c>
      <c r="H18" s="162">
        <v>3</v>
      </c>
      <c r="I18" s="162">
        <v>3</v>
      </c>
      <c r="J18" s="162">
        <v>0</v>
      </c>
      <c r="K18" s="162">
        <v>3</v>
      </c>
      <c r="L18" s="162">
        <v>0</v>
      </c>
      <c r="M18" s="162">
        <v>10</v>
      </c>
      <c r="N18" s="162">
        <v>0</v>
      </c>
      <c r="O18" s="162">
        <v>1</v>
      </c>
      <c r="P18" s="162">
        <v>0</v>
      </c>
    </row>
    <row r="19" spans="1:16" x14ac:dyDescent="0.25">
      <c r="A19" s="143"/>
      <c r="B19" s="143"/>
      <c r="C19" s="143" t="s">
        <v>538</v>
      </c>
      <c r="D19" s="143" t="s">
        <v>539</v>
      </c>
      <c r="E19" s="143" t="s">
        <v>174</v>
      </c>
      <c r="F19" s="163">
        <v>14</v>
      </c>
      <c r="G19" s="163">
        <v>0</v>
      </c>
      <c r="H19" s="163">
        <v>3</v>
      </c>
      <c r="I19" s="163">
        <v>0</v>
      </c>
      <c r="J19" s="163">
        <v>2</v>
      </c>
      <c r="K19" s="163">
        <v>3</v>
      </c>
      <c r="L19" s="163">
        <v>4</v>
      </c>
      <c r="M19" s="163">
        <v>12</v>
      </c>
      <c r="N19" s="163">
        <v>1</v>
      </c>
      <c r="O19" s="163">
        <v>1</v>
      </c>
      <c r="P19" s="163">
        <v>0</v>
      </c>
    </row>
    <row r="20" spans="1:16" x14ac:dyDescent="0.25">
      <c r="A20" s="142"/>
      <c r="B20" s="142"/>
      <c r="C20" s="142" t="s">
        <v>781</v>
      </c>
      <c r="D20" s="142" t="s">
        <v>782</v>
      </c>
      <c r="E20" s="142" t="s">
        <v>783</v>
      </c>
      <c r="F20" s="162">
        <v>1</v>
      </c>
      <c r="G20" s="162">
        <v>0</v>
      </c>
      <c r="H20" s="162">
        <v>0</v>
      </c>
      <c r="I20" s="162">
        <v>0</v>
      </c>
      <c r="J20" s="162">
        <v>0</v>
      </c>
      <c r="K20" s="162">
        <v>0</v>
      </c>
      <c r="L20" s="162">
        <v>0</v>
      </c>
      <c r="M20" s="162">
        <v>0</v>
      </c>
      <c r="N20" s="162">
        <v>0</v>
      </c>
      <c r="O20" s="162">
        <v>1</v>
      </c>
      <c r="P20" s="162">
        <v>0</v>
      </c>
    </row>
    <row r="21" spans="1:16" x14ac:dyDescent="0.25">
      <c r="A21" s="143"/>
      <c r="B21" s="143"/>
      <c r="C21" s="143" t="s">
        <v>784</v>
      </c>
      <c r="D21" s="143" t="s">
        <v>785</v>
      </c>
      <c r="E21" s="143" t="s">
        <v>783</v>
      </c>
      <c r="F21" s="163">
        <v>2</v>
      </c>
      <c r="G21" s="163">
        <v>0</v>
      </c>
      <c r="H21" s="163">
        <v>0</v>
      </c>
      <c r="I21" s="163">
        <v>0</v>
      </c>
      <c r="J21" s="163">
        <v>0</v>
      </c>
      <c r="K21" s="163">
        <v>0</v>
      </c>
      <c r="L21" s="163">
        <v>0</v>
      </c>
      <c r="M21" s="163">
        <v>0</v>
      </c>
      <c r="N21" s="163">
        <v>0</v>
      </c>
      <c r="O21" s="163">
        <v>2</v>
      </c>
      <c r="P21" s="163">
        <v>0</v>
      </c>
    </row>
    <row r="22" spans="1:16" x14ac:dyDescent="0.25">
      <c r="A22" s="144"/>
      <c r="B22" s="144" t="s">
        <v>176</v>
      </c>
      <c r="C22" s="144"/>
      <c r="D22" s="144"/>
      <c r="E22" s="144"/>
      <c r="F22" s="164">
        <v>138</v>
      </c>
      <c r="G22" s="164">
        <v>14</v>
      </c>
      <c r="H22" s="164">
        <v>19</v>
      </c>
      <c r="I22" s="164">
        <v>17</v>
      </c>
      <c r="J22" s="164">
        <v>2</v>
      </c>
      <c r="K22" s="164">
        <v>10</v>
      </c>
      <c r="L22" s="164">
        <v>29</v>
      </c>
      <c r="M22" s="164">
        <v>91</v>
      </c>
      <c r="N22" s="164">
        <v>21</v>
      </c>
      <c r="O22" s="164">
        <v>26</v>
      </c>
      <c r="P22" s="164">
        <v>0</v>
      </c>
    </row>
    <row r="23" spans="1:16" x14ac:dyDescent="0.25">
      <c r="A23" s="143"/>
      <c r="B23" s="143" t="s">
        <v>177</v>
      </c>
      <c r="C23" s="143" t="s">
        <v>717</v>
      </c>
      <c r="D23" s="143" t="s">
        <v>718</v>
      </c>
      <c r="E23" s="143" t="s">
        <v>568</v>
      </c>
      <c r="F23" s="163">
        <v>4</v>
      </c>
      <c r="G23" s="163">
        <v>1</v>
      </c>
      <c r="H23" s="163">
        <v>0</v>
      </c>
      <c r="I23" s="163">
        <v>3</v>
      </c>
      <c r="J23" s="163">
        <v>0</v>
      </c>
      <c r="K23" s="163">
        <v>0</v>
      </c>
      <c r="L23" s="163">
        <v>0</v>
      </c>
      <c r="M23" s="163">
        <v>4</v>
      </c>
      <c r="N23" s="163">
        <v>0</v>
      </c>
      <c r="O23" s="163">
        <v>0</v>
      </c>
      <c r="P23" s="163">
        <v>0</v>
      </c>
    </row>
    <row r="24" spans="1:16" x14ac:dyDescent="0.25">
      <c r="A24" s="142"/>
      <c r="B24" s="142"/>
      <c r="C24" s="142" t="s">
        <v>786</v>
      </c>
      <c r="D24" s="142" t="s">
        <v>787</v>
      </c>
      <c r="E24" s="142" t="s">
        <v>174</v>
      </c>
      <c r="F24" s="162">
        <v>1</v>
      </c>
      <c r="G24" s="162">
        <v>0</v>
      </c>
      <c r="H24" s="162">
        <v>0</v>
      </c>
      <c r="I24" s="162">
        <v>0</v>
      </c>
      <c r="J24" s="162">
        <v>1</v>
      </c>
      <c r="K24" s="162">
        <v>0</v>
      </c>
      <c r="L24" s="162">
        <v>0</v>
      </c>
      <c r="M24" s="162">
        <v>1</v>
      </c>
      <c r="N24" s="162">
        <v>0</v>
      </c>
      <c r="O24" s="162">
        <v>0</v>
      </c>
      <c r="P24" s="162">
        <v>0</v>
      </c>
    </row>
    <row r="25" spans="1:16" x14ac:dyDescent="0.25">
      <c r="A25" s="143"/>
      <c r="B25" s="143"/>
      <c r="C25" s="143" t="s">
        <v>788</v>
      </c>
      <c r="D25" s="143" t="s">
        <v>789</v>
      </c>
      <c r="E25" s="143" t="s">
        <v>174</v>
      </c>
      <c r="F25" s="163">
        <v>1</v>
      </c>
      <c r="G25" s="163">
        <v>0</v>
      </c>
      <c r="H25" s="163">
        <v>0</v>
      </c>
      <c r="I25" s="163">
        <v>0</v>
      </c>
      <c r="J25" s="163">
        <v>0</v>
      </c>
      <c r="K25" s="163">
        <v>0</v>
      </c>
      <c r="L25" s="163">
        <v>0</v>
      </c>
      <c r="M25" s="163">
        <v>0</v>
      </c>
      <c r="N25" s="163">
        <v>0</v>
      </c>
      <c r="O25" s="163">
        <v>1</v>
      </c>
      <c r="P25" s="163">
        <v>0</v>
      </c>
    </row>
    <row r="26" spans="1:16" x14ac:dyDescent="0.25">
      <c r="A26" s="142"/>
      <c r="B26" s="142"/>
      <c r="C26" s="142" t="s">
        <v>790</v>
      </c>
      <c r="D26" s="142" t="s">
        <v>791</v>
      </c>
      <c r="E26" s="142" t="s">
        <v>174</v>
      </c>
      <c r="F26" s="162">
        <v>1</v>
      </c>
      <c r="G26" s="162">
        <v>0</v>
      </c>
      <c r="H26" s="162">
        <v>0</v>
      </c>
      <c r="I26" s="162">
        <v>0</v>
      </c>
      <c r="J26" s="162">
        <v>0</v>
      </c>
      <c r="K26" s="162">
        <v>1</v>
      </c>
      <c r="L26" s="162">
        <v>0</v>
      </c>
      <c r="M26" s="162">
        <v>1</v>
      </c>
      <c r="N26" s="162">
        <v>0</v>
      </c>
      <c r="O26" s="162">
        <v>0</v>
      </c>
      <c r="P26" s="162">
        <v>0</v>
      </c>
    </row>
    <row r="27" spans="1:16" x14ac:dyDescent="0.25">
      <c r="A27" s="143"/>
      <c r="B27" s="143"/>
      <c r="C27" s="143" t="s">
        <v>556</v>
      </c>
      <c r="D27" s="143" t="s">
        <v>557</v>
      </c>
      <c r="E27" s="143" t="s">
        <v>174</v>
      </c>
      <c r="F27" s="163">
        <v>2</v>
      </c>
      <c r="G27" s="163">
        <v>0</v>
      </c>
      <c r="H27" s="163">
        <v>0</v>
      </c>
      <c r="I27" s="163">
        <v>1</v>
      </c>
      <c r="J27" s="163">
        <v>1</v>
      </c>
      <c r="K27" s="163">
        <v>0</v>
      </c>
      <c r="L27" s="163">
        <v>0</v>
      </c>
      <c r="M27" s="163">
        <v>2</v>
      </c>
      <c r="N27" s="163">
        <v>0</v>
      </c>
      <c r="O27" s="163">
        <v>0</v>
      </c>
      <c r="P27" s="163">
        <v>0</v>
      </c>
    </row>
    <row r="28" spans="1:16" x14ac:dyDescent="0.25">
      <c r="A28" s="142"/>
      <c r="B28" s="142"/>
      <c r="C28" s="142" t="s">
        <v>540</v>
      </c>
      <c r="D28" s="142" t="s">
        <v>541</v>
      </c>
      <c r="E28" s="142" t="s">
        <v>174</v>
      </c>
      <c r="F28" s="162">
        <v>2</v>
      </c>
      <c r="G28" s="162">
        <v>1</v>
      </c>
      <c r="H28" s="162">
        <v>1</v>
      </c>
      <c r="I28" s="162">
        <v>0</v>
      </c>
      <c r="J28" s="162">
        <v>0</v>
      </c>
      <c r="K28" s="162">
        <v>0</v>
      </c>
      <c r="L28" s="162">
        <v>0</v>
      </c>
      <c r="M28" s="162">
        <v>2</v>
      </c>
      <c r="N28" s="162">
        <v>0</v>
      </c>
      <c r="O28" s="162">
        <v>0</v>
      </c>
      <c r="P28" s="162">
        <v>0</v>
      </c>
    </row>
    <row r="29" spans="1:16" x14ac:dyDescent="0.25">
      <c r="A29" s="143"/>
      <c r="B29" s="143"/>
      <c r="C29" s="143" t="s">
        <v>792</v>
      </c>
      <c r="D29" s="143" t="s">
        <v>793</v>
      </c>
      <c r="E29" s="143" t="s">
        <v>174</v>
      </c>
      <c r="F29" s="163">
        <v>3</v>
      </c>
      <c r="G29" s="163">
        <v>0</v>
      </c>
      <c r="H29" s="163">
        <v>0</v>
      </c>
      <c r="I29" s="163">
        <v>0</v>
      </c>
      <c r="J29" s="163">
        <v>3</v>
      </c>
      <c r="K29" s="163">
        <v>0</v>
      </c>
      <c r="L29" s="163">
        <v>0</v>
      </c>
      <c r="M29" s="163">
        <v>3</v>
      </c>
      <c r="N29" s="163">
        <v>0</v>
      </c>
      <c r="O29" s="163">
        <v>0</v>
      </c>
      <c r="P29" s="163">
        <v>0</v>
      </c>
    </row>
    <row r="30" spans="1:16" x14ac:dyDescent="0.25">
      <c r="A30" s="142"/>
      <c r="B30" s="142"/>
      <c r="C30" s="142" t="s">
        <v>794</v>
      </c>
      <c r="D30" s="142" t="s">
        <v>795</v>
      </c>
      <c r="E30" s="142" t="s">
        <v>174</v>
      </c>
      <c r="F30" s="162">
        <v>1</v>
      </c>
      <c r="G30" s="162">
        <v>1</v>
      </c>
      <c r="H30" s="162">
        <v>0</v>
      </c>
      <c r="I30" s="162">
        <v>0</v>
      </c>
      <c r="J30" s="162">
        <v>0</v>
      </c>
      <c r="K30" s="162">
        <v>0</v>
      </c>
      <c r="L30" s="162">
        <v>0</v>
      </c>
      <c r="M30" s="162">
        <v>1</v>
      </c>
      <c r="N30" s="162">
        <v>0</v>
      </c>
      <c r="O30" s="162">
        <v>0</v>
      </c>
      <c r="P30" s="162">
        <v>0</v>
      </c>
    </row>
    <row r="31" spans="1:16" x14ac:dyDescent="0.25">
      <c r="A31" s="143"/>
      <c r="B31" s="143"/>
      <c r="C31" s="143" t="s">
        <v>796</v>
      </c>
      <c r="D31" s="143" t="s">
        <v>797</v>
      </c>
      <c r="E31" s="143" t="s">
        <v>174</v>
      </c>
      <c r="F31" s="163">
        <v>2</v>
      </c>
      <c r="G31" s="163">
        <v>0</v>
      </c>
      <c r="H31" s="163">
        <v>0</v>
      </c>
      <c r="I31" s="163">
        <v>2</v>
      </c>
      <c r="J31" s="163">
        <v>0</v>
      </c>
      <c r="K31" s="163">
        <v>0</v>
      </c>
      <c r="L31" s="163">
        <v>0</v>
      </c>
      <c r="M31" s="163">
        <v>2</v>
      </c>
      <c r="N31" s="163">
        <v>0</v>
      </c>
      <c r="O31" s="163">
        <v>0</v>
      </c>
      <c r="P31" s="163">
        <v>0</v>
      </c>
    </row>
    <row r="32" spans="1:16" x14ac:dyDescent="0.25">
      <c r="A32" s="142"/>
      <c r="B32" s="142"/>
      <c r="C32" s="142" t="s">
        <v>798</v>
      </c>
      <c r="D32" s="142" t="s">
        <v>799</v>
      </c>
      <c r="E32" s="142" t="s">
        <v>174</v>
      </c>
      <c r="F32" s="162">
        <v>1</v>
      </c>
      <c r="G32" s="162">
        <v>0</v>
      </c>
      <c r="H32" s="162">
        <v>0</v>
      </c>
      <c r="I32" s="162">
        <v>1</v>
      </c>
      <c r="J32" s="162">
        <v>0</v>
      </c>
      <c r="K32" s="162">
        <v>0</v>
      </c>
      <c r="L32" s="162">
        <v>0</v>
      </c>
      <c r="M32" s="162">
        <v>1</v>
      </c>
      <c r="N32" s="162">
        <v>0</v>
      </c>
      <c r="O32" s="162">
        <v>0</v>
      </c>
      <c r="P32" s="162">
        <v>0</v>
      </c>
    </row>
    <row r="33" spans="1:16" x14ac:dyDescent="0.25">
      <c r="A33" s="143"/>
      <c r="B33" s="143"/>
      <c r="C33" s="143" t="s">
        <v>800</v>
      </c>
      <c r="D33" s="143" t="s">
        <v>801</v>
      </c>
      <c r="E33" s="143" t="s">
        <v>174</v>
      </c>
      <c r="F33" s="163">
        <v>5</v>
      </c>
      <c r="G33" s="163">
        <v>0</v>
      </c>
      <c r="H33" s="163">
        <v>0</v>
      </c>
      <c r="I33" s="163">
        <v>1</v>
      </c>
      <c r="J33" s="163">
        <v>0</v>
      </c>
      <c r="K33" s="163">
        <v>3</v>
      </c>
      <c r="L33" s="163">
        <v>0</v>
      </c>
      <c r="M33" s="163">
        <v>4</v>
      </c>
      <c r="N33" s="163">
        <v>0</v>
      </c>
      <c r="O33" s="163">
        <v>1</v>
      </c>
      <c r="P33" s="163">
        <v>0</v>
      </c>
    </row>
    <row r="34" spans="1:16" x14ac:dyDescent="0.25">
      <c r="A34" s="142"/>
      <c r="B34" s="142"/>
      <c r="C34" s="142" t="s">
        <v>802</v>
      </c>
      <c r="D34" s="142" t="s">
        <v>803</v>
      </c>
      <c r="E34" s="142" t="s">
        <v>174</v>
      </c>
      <c r="F34" s="162">
        <v>2</v>
      </c>
      <c r="G34" s="162">
        <v>1</v>
      </c>
      <c r="H34" s="162">
        <v>0</v>
      </c>
      <c r="I34" s="162">
        <v>0</v>
      </c>
      <c r="J34" s="162">
        <v>0</v>
      </c>
      <c r="K34" s="162">
        <v>0</v>
      </c>
      <c r="L34" s="162">
        <v>0</v>
      </c>
      <c r="M34" s="162">
        <v>1</v>
      </c>
      <c r="N34" s="162">
        <v>0</v>
      </c>
      <c r="O34" s="162">
        <v>1</v>
      </c>
      <c r="P34" s="162">
        <v>0</v>
      </c>
    </row>
    <row r="35" spans="1:16" x14ac:dyDescent="0.25">
      <c r="A35" s="143"/>
      <c r="B35" s="143"/>
      <c r="C35" s="143" t="s">
        <v>719</v>
      </c>
      <c r="D35" s="143" t="s">
        <v>720</v>
      </c>
      <c r="E35" s="143" t="s">
        <v>174</v>
      </c>
      <c r="F35" s="163">
        <v>1</v>
      </c>
      <c r="G35" s="163">
        <v>0</v>
      </c>
      <c r="H35" s="163">
        <v>0</v>
      </c>
      <c r="I35" s="163">
        <v>1</v>
      </c>
      <c r="J35" s="163">
        <v>0</v>
      </c>
      <c r="K35" s="163">
        <v>0</v>
      </c>
      <c r="L35" s="163">
        <v>0</v>
      </c>
      <c r="M35" s="163">
        <v>1</v>
      </c>
      <c r="N35" s="163">
        <v>0</v>
      </c>
      <c r="O35" s="163">
        <v>0</v>
      </c>
      <c r="P35" s="163">
        <v>0</v>
      </c>
    </row>
    <row r="36" spans="1:16" x14ac:dyDescent="0.25">
      <c r="A36" s="142"/>
      <c r="B36" s="142"/>
      <c r="C36" s="142" t="s">
        <v>759</v>
      </c>
      <c r="D36" s="142" t="s">
        <v>760</v>
      </c>
      <c r="E36" s="142" t="s">
        <v>568</v>
      </c>
      <c r="F36" s="162">
        <v>1</v>
      </c>
      <c r="G36" s="162">
        <v>0</v>
      </c>
      <c r="H36" s="162">
        <v>0</v>
      </c>
      <c r="I36" s="162">
        <v>0</v>
      </c>
      <c r="J36" s="162">
        <v>0</v>
      </c>
      <c r="K36" s="162">
        <v>0</v>
      </c>
      <c r="L36" s="162">
        <v>0</v>
      </c>
      <c r="M36" s="162">
        <v>0</v>
      </c>
      <c r="N36" s="162">
        <v>0</v>
      </c>
      <c r="O36" s="162">
        <v>1</v>
      </c>
      <c r="P36" s="162">
        <v>0</v>
      </c>
    </row>
    <row r="37" spans="1:16" x14ac:dyDescent="0.25">
      <c r="A37" s="143"/>
      <c r="B37" s="143"/>
      <c r="C37" s="143" t="s">
        <v>728</v>
      </c>
      <c r="D37" s="143" t="s">
        <v>729</v>
      </c>
      <c r="E37" s="143" t="s">
        <v>730</v>
      </c>
      <c r="F37" s="163">
        <v>1</v>
      </c>
      <c r="G37" s="163">
        <v>0</v>
      </c>
      <c r="H37" s="163">
        <v>0</v>
      </c>
      <c r="I37" s="163">
        <v>0</v>
      </c>
      <c r="J37" s="163">
        <v>0</v>
      </c>
      <c r="K37" s="163">
        <v>0</v>
      </c>
      <c r="L37" s="163">
        <v>0</v>
      </c>
      <c r="M37" s="163">
        <v>0</v>
      </c>
      <c r="N37" s="163">
        <v>0</v>
      </c>
      <c r="O37" s="163">
        <v>1</v>
      </c>
      <c r="P37" s="163">
        <v>0</v>
      </c>
    </row>
    <row r="38" spans="1:16" x14ac:dyDescent="0.25">
      <c r="A38" s="142"/>
      <c r="B38" s="142"/>
      <c r="C38" s="142" t="s">
        <v>569</v>
      </c>
      <c r="D38" s="142" t="s">
        <v>570</v>
      </c>
      <c r="E38" s="142" t="s">
        <v>558</v>
      </c>
      <c r="F38" s="162">
        <v>2</v>
      </c>
      <c r="G38" s="162">
        <v>1</v>
      </c>
      <c r="H38" s="162">
        <v>0</v>
      </c>
      <c r="I38" s="162">
        <v>0</v>
      </c>
      <c r="J38" s="162">
        <v>0</v>
      </c>
      <c r="K38" s="162">
        <v>0</v>
      </c>
      <c r="L38" s="162">
        <v>0</v>
      </c>
      <c r="M38" s="162">
        <v>1</v>
      </c>
      <c r="N38" s="162">
        <v>0</v>
      </c>
      <c r="O38" s="162">
        <v>1</v>
      </c>
      <c r="P38" s="162">
        <v>0</v>
      </c>
    </row>
    <row r="39" spans="1:16" x14ac:dyDescent="0.25">
      <c r="A39" s="143"/>
      <c r="B39" s="143"/>
      <c r="C39" s="143" t="s">
        <v>804</v>
      </c>
      <c r="D39" s="143" t="s">
        <v>805</v>
      </c>
      <c r="E39" s="143" t="s">
        <v>571</v>
      </c>
      <c r="F39" s="163">
        <v>1</v>
      </c>
      <c r="G39" s="163">
        <v>0</v>
      </c>
      <c r="H39" s="163">
        <v>0</v>
      </c>
      <c r="I39" s="163">
        <v>0</v>
      </c>
      <c r="J39" s="163">
        <v>0</v>
      </c>
      <c r="K39" s="163">
        <v>0</v>
      </c>
      <c r="L39" s="163">
        <v>0</v>
      </c>
      <c r="M39" s="163">
        <v>0</v>
      </c>
      <c r="N39" s="163">
        <v>0</v>
      </c>
      <c r="O39" s="163">
        <v>1</v>
      </c>
      <c r="P39" s="163">
        <v>0</v>
      </c>
    </row>
    <row r="40" spans="1:16" x14ac:dyDescent="0.25">
      <c r="A40" s="142"/>
      <c r="B40" s="142"/>
      <c r="C40" s="142" t="s">
        <v>695</v>
      </c>
      <c r="D40" s="142" t="s">
        <v>696</v>
      </c>
      <c r="E40" s="142" t="s">
        <v>174</v>
      </c>
      <c r="F40" s="162">
        <v>1</v>
      </c>
      <c r="G40" s="162">
        <v>0</v>
      </c>
      <c r="H40" s="162">
        <v>0</v>
      </c>
      <c r="I40" s="162">
        <v>0</v>
      </c>
      <c r="J40" s="162">
        <v>0</v>
      </c>
      <c r="K40" s="162">
        <v>0</v>
      </c>
      <c r="L40" s="162">
        <v>1</v>
      </c>
      <c r="M40" s="162">
        <v>1</v>
      </c>
      <c r="N40" s="162">
        <v>0</v>
      </c>
      <c r="O40" s="162">
        <v>0</v>
      </c>
      <c r="P40" s="162">
        <v>0</v>
      </c>
    </row>
    <row r="41" spans="1:16" x14ac:dyDescent="0.25">
      <c r="A41" s="143"/>
      <c r="B41" s="143"/>
      <c r="C41" s="143" t="s">
        <v>746</v>
      </c>
      <c r="D41" s="143" t="s">
        <v>747</v>
      </c>
      <c r="E41" s="143" t="s">
        <v>174</v>
      </c>
      <c r="F41" s="163">
        <v>2</v>
      </c>
      <c r="G41" s="163">
        <v>0</v>
      </c>
      <c r="H41" s="163">
        <v>0</v>
      </c>
      <c r="I41" s="163">
        <v>0</v>
      </c>
      <c r="J41" s="163">
        <v>0</v>
      </c>
      <c r="K41" s="163">
        <v>1</v>
      </c>
      <c r="L41" s="163">
        <v>0</v>
      </c>
      <c r="M41" s="163">
        <v>1</v>
      </c>
      <c r="N41" s="163">
        <v>0</v>
      </c>
      <c r="O41" s="163">
        <v>1</v>
      </c>
      <c r="P41" s="163">
        <v>0</v>
      </c>
    </row>
    <row r="42" spans="1:16" x14ac:dyDescent="0.25">
      <c r="A42" s="142"/>
      <c r="B42" s="142"/>
      <c r="C42" s="142" t="s">
        <v>697</v>
      </c>
      <c r="D42" s="142" t="s">
        <v>698</v>
      </c>
      <c r="E42" s="142" t="s">
        <v>174</v>
      </c>
      <c r="F42" s="162">
        <v>1</v>
      </c>
      <c r="G42" s="162">
        <v>0</v>
      </c>
      <c r="H42" s="162">
        <v>1</v>
      </c>
      <c r="I42" s="162">
        <v>0</v>
      </c>
      <c r="J42" s="162">
        <v>0</v>
      </c>
      <c r="K42" s="162">
        <v>0</v>
      </c>
      <c r="L42" s="162">
        <v>0</v>
      </c>
      <c r="M42" s="162">
        <v>1</v>
      </c>
      <c r="N42" s="162">
        <v>0</v>
      </c>
      <c r="O42" s="162">
        <v>0</v>
      </c>
      <c r="P42" s="162">
        <v>0</v>
      </c>
    </row>
    <row r="43" spans="1:16" x14ac:dyDescent="0.25">
      <c r="A43" s="143"/>
      <c r="B43" s="143"/>
      <c r="C43" s="143" t="s">
        <v>731</v>
      </c>
      <c r="D43" s="143" t="s">
        <v>732</v>
      </c>
      <c r="E43" s="143" t="s">
        <v>571</v>
      </c>
      <c r="F43" s="163">
        <v>1</v>
      </c>
      <c r="G43" s="163">
        <v>1</v>
      </c>
      <c r="H43" s="163">
        <v>0</v>
      </c>
      <c r="I43" s="163">
        <v>0</v>
      </c>
      <c r="J43" s="163">
        <v>0</v>
      </c>
      <c r="K43" s="163">
        <v>0</v>
      </c>
      <c r="L43" s="163">
        <v>0</v>
      </c>
      <c r="M43" s="163">
        <v>1</v>
      </c>
      <c r="N43" s="163">
        <v>0</v>
      </c>
      <c r="O43" s="163">
        <v>0</v>
      </c>
      <c r="P43" s="163">
        <v>0</v>
      </c>
    </row>
    <row r="44" spans="1:16" x14ac:dyDescent="0.25">
      <c r="A44" s="142"/>
      <c r="B44" s="142"/>
      <c r="C44" s="142" t="s">
        <v>761</v>
      </c>
      <c r="D44" s="142" t="s">
        <v>762</v>
      </c>
      <c r="E44" s="142" t="s">
        <v>763</v>
      </c>
      <c r="F44" s="162">
        <v>7</v>
      </c>
      <c r="G44" s="162">
        <v>1</v>
      </c>
      <c r="H44" s="162">
        <v>0</v>
      </c>
      <c r="I44" s="162">
        <v>0</v>
      </c>
      <c r="J44" s="162">
        <v>0</v>
      </c>
      <c r="K44" s="162">
        <v>0</v>
      </c>
      <c r="L44" s="162">
        <v>2</v>
      </c>
      <c r="M44" s="162">
        <v>3</v>
      </c>
      <c r="N44" s="162">
        <v>1</v>
      </c>
      <c r="O44" s="162">
        <v>3</v>
      </c>
      <c r="P44" s="162">
        <v>0</v>
      </c>
    </row>
    <row r="45" spans="1:16" x14ac:dyDescent="0.25">
      <c r="A45" s="144"/>
      <c r="B45" s="144" t="s">
        <v>178</v>
      </c>
      <c r="C45" s="144"/>
      <c r="D45" s="144"/>
      <c r="E45" s="144"/>
      <c r="F45" s="164">
        <v>43</v>
      </c>
      <c r="G45" s="164">
        <v>7</v>
      </c>
      <c r="H45" s="164">
        <v>2</v>
      </c>
      <c r="I45" s="164">
        <v>9</v>
      </c>
      <c r="J45" s="164">
        <v>5</v>
      </c>
      <c r="K45" s="164">
        <v>5</v>
      </c>
      <c r="L45" s="164">
        <v>3</v>
      </c>
      <c r="M45" s="164">
        <v>31</v>
      </c>
      <c r="N45" s="164">
        <v>1</v>
      </c>
      <c r="O45" s="164">
        <v>11</v>
      </c>
      <c r="P45" s="164">
        <v>0</v>
      </c>
    </row>
    <row r="46" spans="1:16" x14ac:dyDescent="0.25">
      <c r="A46" s="142"/>
      <c r="B46" s="142" t="s">
        <v>179</v>
      </c>
      <c r="C46" s="142" t="s">
        <v>673</v>
      </c>
      <c r="D46" s="142" t="s">
        <v>189</v>
      </c>
      <c r="E46" s="142" t="s">
        <v>174</v>
      </c>
      <c r="F46" s="162">
        <v>3</v>
      </c>
      <c r="G46" s="162">
        <v>1</v>
      </c>
      <c r="H46" s="162">
        <v>1</v>
      </c>
      <c r="I46" s="162">
        <v>1</v>
      </c>
      <c r="J46" s="162">
        <v>0</v>
      </c>
      <c r="K46" s="162">
        <v>0</v>
      </c>
      <c r="L46" s="162">
        <v>0</v>
      </c>
      <c r="M46" s="162">
        <v>3</v>
      </c>
      <c r="N46" s="162">
        <v>0</v>
      </c>
      <c r="O46" s="162">
        <v>0</v>
      </c>
      <c r="P46" s="162">
        <v>0</v>
      </c>
    </row>
    <row r="47" spans="1:16" x14ac:dyDescent="0.25">
      <c r="A47" s="143"/>
      <c r="B47" s="143"/>
      <c r="C47" s="143" t="s">
        <v>559</v>
      </c>
      <c r="D47" s="143" t="s">
        <v>193</v>
      </c>
      <c r="E47" s="143" t="s">
        <v>174</v>
      </c>
      <c r="F47" s="163">
        <v>13</v>
      </c>
      <c r="G47" s="163">
        <v>1</v>
      </c>
      <c r="H47" s="163">
        <v>0</v>
      </c>
      <c r="I47" s="163">
        <v>0</v>
      </c>
      <c r="J47" s="163">
        <v>0</v>
      </c>
      <c r="K47" s="163">
        <v>0</v>
      </c>
      <c r="L47" s="163">
        <v>6</v>
      </c>
      <c r="M47" s="163">
        <v>7</v>
      </c>
      <c r="N47" s="163">
        <v>2</v>
      </c>
      <c r="O47" s="163">
        <v>4</v>
      </c>
      <c r="P47" s="163">
        <v>0</v>
      </c>
    </row>
    <row r="48" spans="1:16" x14ac:dyDescent="0.25">
      <c r="A48" s="142"/>
      <c r="B48" s="142"/>
      <c r="C48" s="142" t="s">
        <v>721</v>
      </c>
      <c r="D48" s="142" t="s">
        <v>198</v>
      </c>
      <c r="E48" s="142" t="s">
        <v>174</v>
      </c>
      <c r="F48" s="162">
        <v>5</v>
      </c>
      <c r="G48" s="162">
        <v>0</v>
      </c>
      <c r="H48" s="162">
        <v>0</v>
      </c>
      <c r="I48" s="162">
        <v>0</v>
      </c>
      <c r="J48" s="162">
        <v>0</v>
      </c>
      <c r="K48" s="162">
        <v>0</v>
      </c>
      <c r="L48" s="162">
        <v>2</v>
      </c>
      <c r="M48" s="162">
        <v>2</v>
      </c>
      <c r="N48" s="162">
        <v>1</v>
      </c>
      <c r="O48" s="162">
        <v>2</v>
      </c>
      <c r="P48" s="162">
        <v>0</v>
      </c>
    </row>
    <row r="49" spans="1:16" x14ac:dyDescent="0.25">
      <c r="A49" s="143"/>
      <c r="B49" s="143"/>
      <c r="C49" s="143" t="s">
        <v>733</v>
      </c>
      <c r="D49" s="143" t="s">
        <v>187</v>
      </c>
      <c r="E49" s="143" t="s">
        <v>174</v>
      </c>
      <c r="F49" s="163">
        <v>2</v>
      </c>
      <c r="G49" s="163">
        <v>0</v>
      </c>
      <c r="H49" s="163">
        <v>0</v>
      </c>
      <c r="I49" s="163">
        <v>0</v>
      </c>
      <c r="J49" s="163">
        <v>0</v>
      </c>
      <c r="K49" s="163">
        <v>0</v>
      </c>
      <c r="L49" s="163">
        <v>0</v>
      </c>
      <c r="M49" s="163">
        <v>0</v>
      </c>
      <c r="N49" s="163">
        <v>0</v>
      </c>
      <c r="O49" s="163">
        <v>2</v>
      </c>
      <c r="P49" s="163">
        <v>0</v>
      </c>
    </row>
    <row r="50" spans="1:16" x14ac:dyDescent="0.25">
      <c r="A50" s="142"/>
      <c r="B50" s="142"/>
      <c r="C50" s="142" t="s">
        <v>764</v>
      </c>
      <c r="D50" s="142" t="s">
        <v>190</v>
      </c>
      <c r="E50" s="142" t="s">
        <v>174</v>
      </c>
      <c r="F50" s="162">
        <v>2</v>
      </c>
      <c r="G50" s="162">
        <v>0</v>
      </c>
      <c r="H50" s="162">
        <v>1</v>
      </c>
      <c r="I50" s="162">
        <v>0</v>
      </c>
      <c r="J50" s="162">
        <v>0</v>
      </c>
      <c r="K50" s="162">
        <v>0</v>
      </c>
      <c r="L50" s="162">
        <v>1</v>
      </c>
      <c r="M50" s="162">
        <v>2</v>
      </c>
      <c r="N50" s="162">
        <v>0</v>
      </c>
      <c r="O50" s="162">
        <v>0</v>
      </c>
      <c r="P50" s="162">
        <v>0</v>
      </c>
    </row>
    <row r="51" spans="1:16" x14ac:dyDescent="0.25">
      <c r="A51" s="143"/>
      <c r="B51" s="143"/>
      <c r="C51" s="143" t="s">
        <v>734</v>
      </c>
      <c r="D51" s="143" t="s">
        <v>201</v>
      </c>
      <c r="E51" s="143" t="s">
        <v>174</v>
      </c>
      <c r="F51" s="163">
        <v>4</v>
      </c>
      <c r="G51" s="163">
        <v>1</v>
      </c>
      <c r="H51" s="163">
        <v>0</v>
      </c>
      <c r="I51" s="163">
        <v>0</v>
      </c>
      <c r="J51" s="163">
        <v>0</v>
      </c>
      <c r="K51" s="163">
        <v>0</v>
      </c>
      <c r="L51" s="163">
        <v>0</v>
      </c>
      <c r="M51" s="163">
        <v>1</v>
      </c>
      <c r="N51" s="163">
        <v>0</v>
      </c>
      <c r="O51" s="163">
        <v>3</v>
      </c>
      <c r="P51" s="163">
        <v>0</v>
      </c>
    </row>
    <row r="52" spans="1:16" x14ac:dyDescent="0.25">
      <c r="A52" s="142"/>
      <c r="B52" s="142"/>
      <c r="C52" s="142" t="s">
        <v>735</v>
      </c>
      <c r="D52" s="142" t="s">
        <v>195</v>
      </c>
      <c r="E52" s="142" t="s">
        <v>174</v>
      </c>
      <c r="F52" s="162">
        <v>2</v>
      </c>
      <c r="G52" s="162">
        <v>0</v>
      </c>
      <c r="H52" s="162">
        <v>0</v>
      </c>
      <c r="I52" s="162">
        <v>0</v>
      </c>
      <c r="J52" s="162">
        <v>0</v>
      </c>
      <c r="K52" s="162">
        <v>0</v>
      </c>
      <c r="L52" s="162">
        <v>0</v>
      </c>
      <c r="M52" s="162">
        <v>0</v>
      </c>
      <c r="N52" s="162">
        <v>0</v>
      </c>
      <c r="O52" s="162">
        <v>2</v>
      </c>
      <c r="P52" s="162">
        <v>0</v>
      </c>
    </row>
    <row r="53" spans="1:16" x14ac:dyDescent="0.25">
      <c r="A53" s="143"/>
      <c r="B53" s="143"/>
      <c r="C53" s="143" t="s">
        <v>238</v>
      </c>
      <c r="D53" s="143" t="s">
        <v>204</v>
      </c>
      <c r="E53" s="143" t="s">
        <v>174</v>
      </c>
      <c r="F53" s="163">
        <v>20</v>
      </c>
      <c r="G53" s="163">
        <v>1</v>
      </c>
      <c r="H53" s="163">
        <v>1</v>
      </c>
      <c r="I53" s="163">
        <v>0</v>
      </c>
      <c r="J53" s="163">
        <v>0</v>
      </c>
      <c r="K53" s="163">
        <v>0</v>
      </c>
      <c r="L53" s="163">
        <v>1</v>
      </c>
      <c r="M53" s="163">
        <v>3</v>
      </c>
      <c r="N53" s="163">
        <v>3</v>
      </c>
      <c r="O53" s="163">
        <v>14</v>
      </c>
      <c r="P53" s="163">
        <v>0</v>
      </c>
    </row>
    <row r="54" spans="1:16" x14ac:dyDescent="0.25">
      <c r="A54" s="142"/>
      <c r="B54" s="142"/>
      <c r="C54" s="142" t="s">
        <v>230</v>
      </c>
      <c r="D54" s="142" t="s">
        <v>205</v>
      </c>
      <c r="E54" s="142" t="s">
        <v>174</v>
      </c>
      <c r="F54" s="162">
        <v>4</v>
      </c>
      <c r="G54" s="162">
        <v>0</v>
      </c>
      <c r="H54" s="162">
        <v>1</v>
      </c>
      <c r="I54" s="162">
        <v>0</v>
      </c>
      <c r="J54" s="162">
        <v>0</v>
      </c>
      <c r="K54" s="162">
        <v>0</v>
      </c>
      <c r="L54" s="162">
        <v>0</v>
      </c>
      <c r="M54" s="162">
        <v>1</v>
      </c>
      <c r="N54" s="162">
        <v>0</v>
      </c>
      <c r="O54" s="162">
        <v>3</v>
      </c>
      <c r="P54" s="162">
        <v>0</v>
      </c>
    </row>
    <row r="55" spans="1:16" x14ac:dyDescent="0.25">
      <c r="A55" s="143"/>
      <c r="B55" s="143"/>
      <c r="C55" s="143" t="s">
        <v>515</v>
      </c>
      <c r="D55" s="143" t="s">
        <v>209</v>
      </c>
      <c r="E55" s="143" t="s">
        <v>174</v>
      </c>
      <c r="F55" s="163">
        <v>16</v>
      </c>
      <c r="G55" s="163">
        <v>0</v>
      </c>
      <c r="H55" s="163">
        <v>0</v>
      </c>
      <c r="I55" s="163">
        <v>0</v>
      </c>
      <c r="J55" s="163">
        <v>0</v>
      </c>
      <c r="K55" s="163">
        <v>0</v>
      </c>
      <c r="L55" s="163">
        <v>0</v>
      </c>
      <c r="M55" s="163">
        <v>0</v>
      </c>
      <c r="N55" s="163">
        <v>8</v>
      </c>
      <c r="O55" s="163">
        <v>8</v>
      </c>
      <c r="P55" s="163">
        <v>0</v>
      </c>
    </row>
    <row r="56" spans="1:16" x14ac:dyDescent="0.25">
      <c r="A56" s="142"/>
      <c r="B56" s="142"/>
      <c r="C56" s="142" t="s">
        <v>215</v>
      </c>
      <c r="D56" s="142" t="s">
        <v>196</v>
      </c>
      <c r="E56" s="142" t="s">
        <v>174</v>
      </c>
      <c r="F56" s="162">
        <v>17</v>
      </c>
      <c r="G56" s="162">
        <v>1</v>
      </c>
      <c r="H56" s="162">
        <v>1</v>
      </c>
      <c r="I56" s="162">
        <v>3</v>
      </c>
      <c r="J56" s="162">
        <v>0</v>
      </c>
      <c r="K56" s="162">
        <v>2</v>
      </c>
      <c r="L56" s="162">
        <v>3</v>
      </c>
      <c r="M56" s="162">
        <v>10</v>
      </c>
      <c r="N56" s="162">
        <v>1</v>
      </c>
      <c r="O56" s="162">
        <v>6</v>
      </c>
      <c r="P56" s="162">
        <v>0</v>
      </c>
    </row>
    <row r="57" spans="1:16" x14ac:dyDescent="0.25">
      <c r="A57" s="143"/>
      <c r="B57" s="143"/>
      <c r="C57" s="143" t="s">
        <v>524</v>
      </c>
      <c r="D57" s="143" t="s">
        <v>214</v>
      </c>
      <c r="E57" s="143" t="s">
        <v>174</v>
      </c>
      <c r="F57" s="163">
        <v>13</v>
      </c>
      <c r="G57" s="163">
        <v>1</v>
      </c>
      <c r="H57" s="163">
        <v>1</v>
      </c>
      <c r="I57" s="163">
        <v>0</v>
      </c>
      <c r="J57" s="163">
        <v>0</v>
      </c>
      <c r="K57" s="163">
        <v>1</v>
      </c>
      <c r="L57" s="163">
        <v>2</v>
      </c>
      <c r="M57" s="163">
        <v>5</v>
      </c>
      <c r="N57" s="163">
        <v>2</v>
      </c>
      <c r="O57" s="163">
        <v>6</v>
      </c>
      <c r="P57" s="163">
        <v>0</v>
      </c>
    </row>
    <row r="58" spans="1:16" x14ac:dyDescent="0.25">
      <c r="A58" s="142"/>
      <c r="B58" s="142"/>
      <c r="C58" s="142" t="s">
        <v>548</v>
      </c>
      <c r="D58" s="142" t="s">
        <v>210</v>
      </c>
      <c r="E58" s="142" t="s">
        <v>174</v>
      </c>
      <c r="F58" s="162">
        <v>34</v>
      </c>
      <c r="G58" s="162">
        <v>1</v>
      </c>
      <c r="H58" s="162">
        <v>3</v>
      </c>
      <c r="I58" s="162">
        <v>0</v>
      </c>
      <c r="J58" s="162">
        <v>0</v>
      </c>
      <c r="K58" s="162">
        <v>0</v>
      </c>
      <c r="L58" s="162">
        <v>10</v>
      </c>
      <c r="M58" s="162">
        <v>14</v>
      </c>
      <c r="N58" s="162">
        <v>1</v>
      </c>
      <c r="O58" s="162">
        <v>19</v>
      </c>
      <c r="P58" s="162">
        <v>0</v>
      </c>
    </row>
    <row r="59" spans="1:16" x14ac:dyDescent="0.25">
      <c r="A59" s="143"/>
      <c r="B59" s="143"/>
      <c r="C59" s="143" t="s">
        <v>525</v>
      </c>
      <c r="D59" s="143" t="s">
        <v>188</v>
      </c>
      <c r="E59" s="143" t="s">
        <v>174</v>
      </c>
      <c r="F59" s="163">
        <v>13</v>
      </c>
      <c r="G59" s="163">
        <v>3</v>
      </c>
      <c r="H59" s="163">
        <v>2</v>
      </c>
      <c r="I59" s="163">
        <v>1</v>
      </c>
      <c r="J59" s="163">
        <v>0</v>
      </c>
      <c r="K59" s="163">
        <v>3</v>
      </c>
      <c r="L59" s="163">
        <v>0</v>
      </c>
      <c r="M59" s="163">
        <v>9</v>
      </c>
      <c r="N59" s="163">
        <v>0</v>
      </c>
      <c r="O59" s="163">
        <v>4</v>
      </c>
      <c r="P59" s="163">
        <v>0</v>
      </c>
    </row>
    <row r="60" spans="1:16" x14ac:dyDescent="0.25">
      <c r="A60" s="142"/>
      <c r="B60" s="142"/>
      <c r="C60" s="142" t="s">
        <v>736</v>
      </c>
      <c r="D60" s="142" t="s">
        <v>192</v>
      </c>
      <c r="E60" s="142" t="s">
        <v>174</v>
      </c>
      <c r="F60" s="162">
        <v>1</v>
      </c>
      <c r="G60" s="162">
        <v>0</v>
      </c>
      <c r="H60" s="162">
        <v>0</v>
      </c>
      <c r="I60" s="162">
        <v>0</v>
      </c>
      <c r="J60" s="162">
        <v>0</v>
      </c>
      <c r="K60" s="162">
        <v>0</v>
      </c>
      <c r="L60" s="162">
        <v>0</v>
      </c>
      <c r="M60" s="162">
        <v>0</v>
      </c>
      <c r="N60" s="162">
        <v>0</v>
      </c>
      <c r="O60" s="162">
        <v>1</v>
      </c>
      <c r="P60" s="162">
        <v>0</v>
      </c>
    </row>
    <row r="61" spans="1:16" x14ac:dyDescent="0.25">
      <c r="A61" s="143"/>
      <c r="B61" s="143"/>
      <c r="C61" s="143" t="s">
        <v>496</v>
      </c>
      <c r="D61" s="143" t="s">
        <v>191</v>
      </c>
      <c r="E61" s="143" t="s">
        <v>174</v>
      </c>
      <c r="F61" s="163">
        <v>11</v>
      </c>
      <c r="G61" s="163">
        <v>1</v>
      </c>
      <c r="H61" s="163">
        <v>0</v>
      </c>
      <c r="I61" s="163">
        <v>0</v>
      </c>
      <c r="J61" s="163">
        <v>0</v>
      </c>
      <c r="K61" s="163">
        <v>1</v>
      </c>
      <c r="L61" s="163">
        <v>5</v>
      </c>
      <c r="M61" s="163">
        <v>7</v>
      </c>
      <c r="N61" s="163">
        <v>1</v>
      </c>
      <c r="O61" s="163">
        <v>3</v>
      </c>
      <c r="P61" s="163">
        <v>0</v>
      </c>
    </row>
    <row r="62" spans="1:16" x14ac:dyDescent="0.25">
      <c r="A62" s="142"/>
      <c r="B62" s="142"/>
      <c r="C62" s="142" t="s">
        <v>225</v>
      </c>
      <c r="D62" s="142" t="s">
        <v>202</v>
      </c>
      <c r="E62" s="142" t="s">
        <v>174</v>
      </c>
      <c r="F62" s="162">
        <v>97</v>
      </c>
      <c r="G62" s="162">
        <v>3</v>
      </c>
      <c r="H62" s="162">
        <v>4</v>
      </c>
      <c r="I62" s="162">
        <v>10</v>
      </c>
      <c r="J62" s="162">
        <v>0</v>
      </c>
      <c r="K62" s="162">
        <v>4</v>
      </c>
      <c r="L62" s="162">
        <v>6</v>
      </c>
      <c r="M62" s="162">
        <v>27</v>
      </c>
      <c r="N62" s="162">
        <v>19</v>
      </c>
      <c r="O62" s="162">
        <v>51</v>
      </c>
      <c r="P62" s="162">
        <v>0</v>
      </c>
    </row>
    <row r="63" spans="1:16" x14ac:dyDescent="0.25">
      <c r="A63" s="143"/>
      <c r="B63" s="143"/>
      <c r="C63" s="143" t="s">
        <v>765</v>
      </c>
      <c r="D63" s="143" t="s">
        <v>211</v>
      </c>
      <c r="E63" s="143" t="s">
        <v>174</v>
      </c>
      <c r="F63" s="163">
        <v>23</v>
      </c>
      <c r="G63" s="163">
        <v>2</v>
      </c>
      <c r="H63" s="163">
        <v>0</v>
      </c>
      <c r="I63" s="163">
        <v>4</v>
      </c>
      <c r="J63" s="163">
        <v>0</v>
      </c>
      <c r="K63" s="163">
        <v>2</v>
      </c>
      <c r="L63" s="163">
        <v>4</v>
      </c>
      <c r="M63" s="163">
        <v>12</v>
      </c>
      <c r="N63" s="163">
        <v>3</v>
      </c>
      <c r="O63" s="163">
        <v>8</v>
      </c>
      <c r="P63" s="163">
        <v>0</v>
      </c>
    </row>
    <row r="64" spans="1:16" x14ac:dyDescent="0.25">
      <c r="A64" s="142"/>
      <c r="B64" s="142"/>
      <c r="C64" s="142" t="s">
        <v>224</v>
      </c>
      <c r="D64" s="142" t="s">
        <v>199</v>
      </c>
      <c r="E64" s="142" t="s">
        <v>174</v>
      </c>
      <c r="F64" s="162">
        <v>66</v>
      </c>
      <c r="G64" s="162">
        <v>5</v>
      </c>
      <c r="H64" s="162">
        <v>1</v>
      </c>
      <c r="I64" s="162">
        <v>5</v>
      </c>
      <c r="J64" s="162">
        <v>0</v>
      </c>
      <c r="K64" s="162">
        <v>7</v>
      </c>
      <c r="L64" s="162">
        <v>4</v>
      </c>
      <c r="M64" s="162">
        <v>22</v>
      </c>
      <c r="N64" s="162">
        <v>24</v>
      </c>
      <c r="O64" s="162">
        <v>20</v>
      </c>
      <c r="P64" s="162">
        <v>0</v>
      </c>
    </row>
    <row r="65" spans="1:16" x14ac:dyDescent="0.25">
      <c r="A65" s="143"/>
      <c r="B65" s="143"/>
      <c r="C65" s="143" t="s">
        <v>737</v>
      </c>
      <c r="D65" s="143" t="s">
        <v>206</v>
      </c>
      <c r="E65" s="143" t="s">
        <v>174</v>
      </c>
      <c r="F65" s="163">
        <v>12</v>
      </c>
      <c r="G65" s="163">
        <v>0</v>
      </c>
      <c r="H65" s="163">
        <v>2</v>
      </c>
      <c r="I65" s="163">
        <v>3</v>
      </c>
      <c r="J65" s="163">
        <v>0</v>
      </c>
      <c r="K65" s="163">
        <v>0</v>
      </c>
      <c r="L65" s="163">
        <v>2</v>
      </c>
      <c r="M65" s="163">
        <v>7</v>
      </c>
      <c r="N65" s="163">
        <v>1</v>
      </c>
      <c r="O65" s="163">
        <v>4</v>
      </c>
      <c r="P65" s="163">
        <v>0</v>
      </c>
    </row>
    <row r="66" spans="1:16" x14ac:dyDescent="0.25">
      <c r="A66" s="142"/>
      <c r="B66" s="142"/>
      <c r="C66" s="142" t="s">
        <v>738</v>
      </c>
      <c r="D66" s="142" t="s">
        <v>207</v>
      </c>
      <c r="E66" s="142" t="s">
        <v>174</v>
      </c>
      <c r="F66" s="162">
        <v>7</v>
      </c>
      <c r="G66" s="162">
        <v>0</v>
      </c>
      <c r="H66" s="162">
        <v>0</v>
      </c>
      <c r="I66" s="162">
        <v>0</v>
      </c>
      <c r="J66" s="162">
        <v>0</v>
      </c>
      <c r="K66" s="162">
        <v>0</v>
      </c>
      <c r="L66" s="162">
        <v>0</v>
      </c>
      <c r="M66" s="162">
        <v>0</v>
      </c>
      <c r="N66" s="162">
        <v>3</v>
      </c>
      <c r="O66" s="162">
        <v>4</v>
      </c>
      <c r="P66" s="162">
        <v>0</v>
      </c>
    </row>
    <row r="67" spans="1:16" x14ac:dyDescent="0.25">
      <c r="A67" s="143"/>
      <c r="B67" s="143"/>
      <c r="C67" s="143" t="s">
        <v>242</v>
      </c>
      <c r="D67" s="143" t="s">
        <v>213</v>
      </c>
      <c r="E67" s="143" t="s">
        <v>174</v>
      </c>
      <c r="F67" s="163">
        <v>27</v>
      </c>
      <c r="G67" s="163">
        <v>2</v>
      </c>
      <c r="H67" s="163">
        <v>8</v>
      </c>
      <c r="I67" s="163">
        <v>6</v>
      </c>
      <c r="J67" s="163">
        <v>0</v>
      </c>
      <c r="K67" s="163">
        <v>0</v>
      </c>
      <c r="L67" s="163">
        <v>0</v>
      </c>
      <c r="M67" s="163">
        <v>16</v>
      </c>
      <c r="N67" s="163">
        <v>3</v>
      </c>
      <c r="O67" s="163">
        <v>8</v>
      </c>
      <c r="P67" s="163">
        <v>0</v>
      </c>
    </row>
    <row r="68" spans="1:16" x14ac:dyDescent="0.25">
      <c r="A68" s="142"/>
      <c r="B68" s="142"/>
      <c r="C68" s="142" t="s">
        <v>552</v>
      </c>
      <c r="D68" s="142" t="s">
        <v>203</v>
      </c>
      <c r="E68" s="142" t="s">
        <v>174</v>
      </c>
      <c r="F68" s="162">
        <v>23</v>
      </c>
      <c r="G68" s="162">
        <v>3</v>
      </c>
      <c r="H68" s="162">
        <v>0</v>
      </c>
      <c r="I68" s="162">
        <v>6</v>
      </c>
      <c r="J68" s="162">
        <v>0</v>
      </c>
      <c r="K68" s="162">
        <v>1</v>
      </c>
      <c r="L68" s="162">
        <v>1</v>
      </c>
      <c r="M68" s="162">
        <v>11</v>
      </c>
      <c r="N68" s="162">
        <v>1</v>
      </c>
      <c r="O68" s="162">
        <v>11</v>
      </c>
      <c r="P68" s="162">
        <v>0</v>
      </c>
    </row>
    <row r="69" spans="1:16" x14ac:dyDescent="0.25">
      <c r="A69" s="143"/>
      <c r="B69" s="143"/>
      <c r="C69" s="143" t="s">
        <v>739</v>
      </c>
      <c r="D69" s="143" t="s">
        <v>200</v>
      </c>
      <c r="E69" s="143" t="s">
        <v>174</v>
      </c>
      <c r="F69" s="163">
        <v>13</v>
      </c>
      <c r="G69" s="163">
        <v>0</v>
      </c>
      <c r="H69" s="163">
        <v>0</v>
      </c>
      <c r="I69" s="163">
        <v>0</v>
      </c>
      <c r="J69" s="163">
        <v>0</v>
      </c>
      <c r="K69" s="163">
        <v>0</v>
      </c>
      <c r="L69" s="163">
        <v>3</v>
      </c>
      <c r="M69" s="163">
        <v>3</v>
      </c>
      <c r="N69" s="163">
        <v>0</v>
      </c>
      <c r="O69" s="163">
        <v>10</v>
      </c>
      <c r="P69" s="163">
        <v>0</v>
      </c>
    </row>
    <row r="70" spans="1:16" x14ac:dyDescent="0.25">
      <c r="A70" s="142"/>
      <c r="B70" s="142"/>
      <c r="C70" s="142" t="s">
        <v>495</v>
      </c>
      <c r="D70" s="142" t="s">
        <v>197</v>
      </c>
      <c r="E70" s="142" t="s">
        <v>174</v>
      </c>
      <c r="F70" s="162">
        <v>59</v>
      </c>
      <c r="G70" s="162">
        <v>1</v>
      </c>
      <c r="H70" s="162">
        <v>0</v>
      </c>
      <c r="I70" s="162">
        <v>3</v>
      </c>
      <c r="J70" s="162">
        <v>0</v>
      </c>
      <c r="K70" s="162">
        <v>4</v>
      </c>
      <c r="L70" s="162">
        <v>12</v>
      </c>
      <c r="M70" s="162">
        <v>20</v>
      </c>
      <c r="N70" s="162">
        <v>15</v>
      </c>
      <c r="O70" s="162">
        <v>24</v>
      </c>
      <c r="P70" s="162">
        <v>0</v>
      </c>
    </row>
    <row r="71" spans="1:16" x14ac:dyDescent="0.25">
      <c r="A71" s="143"/>
      <c r="B71" s="143"/>
      <c r="C71" s="143" t="s">
        <v>523</v>
      </c>
      <c r="D71" s="143" t="s">
        <v>194</v>
      </c>
      <c r="E71" s="143" t="s">
        <v>174</v>
      </c>
      <c r="F71" s="163">
        <v>78</v>
      </c>
      <c r="G71" s="163">
        <v>1</v>
      </c>
      <c r="H71" s="163">
        <v>4</v>
      </c>
      <c r="I71" s="163">
        <v>9</v>
      </c>
      <c r="J71" s="163">
        <v>0</v>
      </c>
      <c r="K71" s="163">
        <v>6</v>
      </c>
      <c r="L71" s="163">
        <v>8</v>
      </c>
      <c r="M71" s="163">
        <v>28</v>
      </c>
      <c r="N71" s="163">
        <v>13</v>
      </c>
      <c r="O71" s="163">
        <v>37</v>
      </c>
      <c r="P71" s="163">
        <v>0</v>
      </c>
    </row>
    <row r="72" spans="1:16" x14ac:dyDescent="0.25">
      <c r="A72" s="144"/>
      <c r="B72" s="144" t="s">
        <v>180</v>
      </c>
      <c r="C72" s="144"/>
      <c r="D72" s="144"/>
      <c r="E72" s="144"/>
      <c r="F72" s="164">
        <v>565</v>
      </c>
      <c r="G72" s="164">
        <v>28</v>
      </c>
      <c r="H72" s="164">
        <v>30</v>
      </c>
      <c r="I72" s="164">
        <v>51</v>
      </c>
      <c r="J72" s="164">
        <v>0</v>
      </c>
      <c r="K72" s="164">
        <v>31</v>
      </c>
      <c r="L72" s="164">
        <v>70</v>
      </c>
      <c r="M72" s="164">
        <v>210</v>
      </c>
      <c r="N72" s="164">
        <v>101</v>
      </c>
      <c r="O72" s="164">
        <v>254</v>
      </c>
      <c r="P72" s="164">
        <v>0</v>
      </c>
    </row>
    <row r="73" spans="1:16" x14ac:dyDescent="0.25">
      <c r="A73" s="143"/>
      <c r="B73" s="143" t="s">
        <v>181</v>
      </c>
      <c r="C73" s="143" t="s">
        <v>494</v>
      </c>
      <c r="D73" s="143" t="s">
        <v>212</v>
      </c>
      <c r="E73" s="143" t="s">
        <v>231</v>
      </c>
      <c r="F73" s="163">
        <v>52</v>
      </c>
      <c r="G73" s="163">
        <v>2</v>
      </c>
      <c r="H73" s="163">
        <v>2</v>
      </c>
      <c r="I73" s="163">
        <v>8</v>
      </c>
      <c r="J73" s="163">
        <v>0</v>
      </c>
      <c r="K73" s="163">
        <v>5</v>
      </c>
      <c r="L73" s="163">
        <v>11</v>
      </c>
      <c r="M73" s="163">
        <v>28</v>
      </c>
      <c r="N73" s="163">
        <v>13</v>
      </c>
      <c r="O73" s="163">
        <v>11</v>
      </c>
      <c r="P73" s="163">
        <v>0</v>
      </c>
    </row>
    <row r="74" spans="1:16" x14ac:dyDescent="0.25">
      <c r="A74" s="142"/>
      <c r="B74" s="142"/>
      <c r="C74" s="142" t="s">
        <v>488</v>
      </c>
      <c r="D74" s="142" t="s">
        <v>235</v>
      </c>
      <c r="E74" s="142" t="s">
        <v>231</v>
      </c>
      <c r="F74" s="162">
        <v>4</v>
      </c>
      <c r="G74" s="162">
        <v>1</v>
      </c>
      <c r="H74" s="162">
        <v>1</v>
      </c>
      <c r="I74" s="162">
        <v>0</v>
      </c>
      <c r="J74" s="162">
        <v>0</v>
      </c>
      <c r="K74" s="162">
        <v>0</v>
      </c>
      <c r="L74" s="162">
        <v>0</v>
      </c>
      <c r="M74" s="162">
        <v>2</v>
      </c>
      <c r="N74" s="162">
        <v>1</v>
      </c>
      <c r="O74" s="162">
        <v>1</v>
      </c>
      <c r="P74" s="162">
        <v>0</v>
      </c>
    </row>
    <row r="75" spans="1:16" x14ac:dyDescent="0.25">
      <c r="A75" s="143"/>
      <c r="B75" s="143"/>
      <c r="C75" s="143" t="s">
        <v>237</v>
      </c>
      <c r="D75" s="143" t="s">
        <v>229</v>
      </c>
      <c r="E75" s="143" t="s">
        <v>231</v>
      </c>
      <c r="F75" s="163">
        <v>115</v>
      </c>
      <c r="G75" s="163">
        <v>24</v>
      </c>
      <c r="H75" s="163">
        <v>5</v>
      </c>
      <c r="I75" s="163">
        <v>14</v>
      </c>
      <c r="J75" s="163">
        <v>1</v>
      </c>
      <c r="K75" s="163">
        <v>5</v>
      </c>
      <c r="L75" s="163">
        <v>24</v>
      </c>
      <c r="M75" s="163">
        <v>73</v>
      </c>
      <c r="N75" s="163">
        <v>16</v>
      </c>
      <c r="O75" s="163">
        <v>26</v>
      </c>
      <c r="P75" s="163">
        <v>0</v>
      </c>
    </row>
    <row r="76" spans="1:16" x14ac:dyDescent="0.25">
      <c r="A76" s="142"/>
      <c r="B76" s="142"/>
      <c r="C76" s="142" t="s">
        <v>489</v>
      </c>
      <c r="D76" s="142" t="s">
        <v>234</v>
      </c>
      <c r="E76" s="142" t="s">
        <v>231</v>
      </c>
      <c r="F76" s="162">
        <v>10</v>
      </c>
      <c r="G76" s="162">
        <v>3</v>
      </c>
      <c r="H76" s="162">
        <v>1</v>
      </c>
      <c r="I76" s="162">
        <v>0</v>
      </c>
      <c r="J76" s="162">
        <v>0</v>
      </c>
      <c r="K76" s="162">
        <v>1</v>
      </c>
      <c r="L76" s="162">
        <v>1</v>
      </c>
      <c r="M76" s="162">
        <v>6</v>
      </c>
      <c r="N76" s="162">
        <v>0</v>
      </c>
      <c r="O76" s="162">
        <v>4</v>
      </c>
      <c r="P76" s="162">
        <v>0</v>
      </c>
    </row>
    <row r="77" spans="1:16" x14ac:dyDescent="0.25">
      <c r="A77" s="144"/>
      <c r="B77" s="144" t="s">
        <v>182</v>
      </c>
      <c r="C77" s="144"/>
      <c r="D77" s="144"/>
      <c r="E77" s="144"/>
      <c r="F77" s="164">
        <v>181</v>
      </c>
      <c r="G77" s="164">
        <v>30</v>
      </c>
      <c r="H77" s="164">
        <v>9</v>
      </c>
      <c r="I77" s="164">
        <v>22</v>
      </c>
      <c r="J77" s="164">
        <v>1</v>
      </c>
      <c r="K77" s="164">
        <v>11</v>
      </c>
      <c r="L77" s="164">
        <v>36</v>
      </c>
      <c r="M77" s="164">
        <v>109</v>
      </c>
      <c r="N77" s="164">
        <v>30</v>
      </c>
      <c r="O77" s="164">
        <v>42</v>
      </c>
      <c r="P77" s="164">
        <v>0</v>
      </c>
    </row>
    <row r="78" spans="1:16" x14ac:dyDescent="0.25">
      <c r="A78" s="142"/>
      <c r="B78" s="142" t="s">
        <v>183</v>
      </c>
      <c r="C78" s="142" t="s">
        <v>806</v>
      </c>
      <c r="D78" s="142" t="s">
        <v>807</v>
      </c>
      <c r="E78" s="142" t="s">
        <v>174</v>
      </c>
      <c r="F78" s="162">
        <v>4</v>
      </c>
      <c r="G78" s="162">
        <v>0</v>
      </c>
      <c r="H78" s="162">
        <v>1</v>
      </c>
      <c r="I78" s="162">
        <v>3</v>
      </c>
      <c r="J78" s="162">
        <v>0</v>
      </c>
      <c r="K78" s="162">
        <v>0</v>
      </c>
      <c r="L78" s="162">
        <v>0</v>
      </c>
      <c r="M78" s="162">
        <v>4</v>
      </c>
      <c r="N78" s="162">
        <v>0</v>
      </c>
      <c r="O78" s="162">
        <v>0</v>
      </c>
      <c r="P78" s="162">
        <v>0</v>
      </c>
    </row>
    <row r="79" spans="1:16" x14ac:dyDescent="0.25">
      <c r="A79" s="143"/>
      <c r="B79" s="143"/>
      <c r="C79" s="143" t="s">
        <v>560</v>
      </c>
      <c r="D79" s="143" t="s">
        <v>561</v>
      </c>
      <c r="E79" s="143" t="s">
        <v>174</v>
      </c>
      <c r="F79" s="163">
        <v>1</v>
      </c>
      <c r="G79" s="163">
        <v>1</v>
      </c>
      <c r="H79" s="163">
        <v>0</v>
      </c>
      <c r="I79" s="163">
        <v>0</v>
      </c>
      <c r="J79" s="163">
        <v>0</v>
      </c>
      <c r="K79" s="163">
        <v>0</v>
      </c>
      <c r="L79" s="163">
        <v>0</v>
      </c>
      <c r="M79" s="163">
        <v>1</v>
      </c>
      <c r="N79" s="163">
        <v>0</v>
      </c>
      <c r="O79" s="163">
        <v>0</v>
      </c>
      <c r="P79" s="163">
        <v>0</v>
      </c>
    </row>
    <row r="80" spans="1:16" x14ac:dyDescent="0.25">
      <c r="A80" s="142"/>
      <c r="B80" s="142"/>
      <c r="C80" s="142" t="s">
        <v>562</v>
      </c>
      <c r="D80" s="142" t="s">
        <v>563</v>
      </c>
      <c r="E80" s="142" t="s">
        <v>174</v>
      </c>
      <c r="F80" s="162">
        <v>4</v>
      </c>
      <c r="G80" s="162">
        <v>2</v>
      </c>
      <c r="H80" s="162">
        <v>1</v>
      </c>
      <c r="I80" s="162">
        <v>0</v>
      </c>
      <c r="J80" s="162">
        <v>0</v>
      </c>
      <c r="K80" s="162">
        <v>0</v>
      </c>
      <c r="L80" s="162">
        <v>0</v>
      </c>
      <c r="M80" s="162">
        <v>3</v>
      </c>
      <c r="N80" s="162">
        <v>0</v>
      </c>
      <c r="O80" s="162">
        <v>1</v>
      </c>
      <c r="P80" s="162">
        <v>0</v>
      </c>
    </row>
    <row r="81" spans="1:16" x14ac:dyDescent="0.25">
      <c r="A81" s="143"/>
      <c r="B81" s="143"/>
      <c r="C81" s="143" t="s">
        <v>722</v>
      </c>
      <c r="D81" s="143" t="s">
        <v>723</v>
      </c>
      <c r="E81" s="143" t="s">
        <v>174</v>
      </c>
      <c r="F81" s="163">
        <v>2</v>
      </c>
      <c r="G81" s="163">
        <v>0</v>
      </c>
      <c r="H81" s="163">
        <v>2</v>
      </c>
      <c r="I81" s="163">
        <v>0</v>
      </c>
      <c r="J81" s="163">
        <v>0</v>
      </c>
      <c r="K81" s="163">
        <v>0</v>
      </c>
      <c r="L81" s="163">
        <v>0</v>
      </c>
      <c r="M81" s="163">
        <v>2</v>
      </c>
      <c r="N81" s="163">
        <v>0</v>
      </c>
      <c r="O81" s="163">
        <v>0</v>
      </c>
      <c r="P81" s="163">
        <v>0</v>
      </c>
    </row>
    <row r="82" spans="1:16" x14ac:dyDescent="0.25">
      <c r="A82" s="142"/>
      <c r="B82" s="142"/>
      <c r="C82" s="142" t="s">
        <v>748</v>
      </c>
      <c r="D82" s="142" t="s">
        <v>749</v>
      </c>
      <c r="E82" s="142" t="s">
        <v>174</v>
      </c>
      <c r="F82" s="162">
        <v>1</v>
      </c>
      <c r="G82" s="162">
        <v>1</v>
      </c>
      <c r="H82" s="162">
        <v>0</v>
      </c>
      <c r="I82" s="162">
        <v>0</v>
      </c>
      <c r="J82" s="162">
        <v>0</v>
      </c>
      <c r="K82" s="162">
        <v>0</v>
      </c>
      <c r="L82" s="162">
        <v>0</v>
      </c>
      <c r="M82" s="162">
        <v>1</v>
      </c>
      <c r="N82" s="162">
        <v>0</v>
      </c>
      <c r="O82" s="162">
        <v>0</v>
      </c>
      <c r="P82" s="162">
        <v>0</v>
      </c>
    </row>
    <row r="83" spans="1:16" x14ac:dyDescent="0.25">
      <c r="A83" s="143"/>
      <c r="B83" s="143"/>
      <c r="C83" s="143" t="s">
        <v>674</v>
      </c>
      <c r="D83" s="143" t="s">
        <v>675</v>
      </c>
      <c r="E83" s="143" t="s">
        <v>174</v>
      </c>
      <c r="F83" s="163">
        <v>1</v>
      </c>
      <c r="G83" s="163">
        <v>0</v>
      </c>
      <c r="H83" s="163">
        <v>0</v>
      </c>
      <c r="I83" s="163">
        <v>0</v>
      </c>
      <c r="J83" s="163">
        <v>0</v>
      </c>
      <c r="K83" s="163">
        <v>1</v>
      </c>
      <c r="L83" s="163">
        <v>0</v>
      </c>
      <c r="M83" s="163">
        <v>1</v>
      </c>
      <c r="N83" s="163">
        <v>0</v>
      </c>
      <c r="O83" s="163">
        <v>0</v>
      </c>
      <c r="P83" s="163">
        <v>0</v>
      </c>
    </row>
    <row r="84" spans="1:16" x14ac:dyDescent="0.25">
      <c r="A84" s="142"/>
      <c r="B84" s="142"/>
      <c r="C84" s="142" t="s">
        <v>808</v>
      </c>
      <c r="D84" s="142" t="s">
        <v>809</v>
      </c>
      <c r="E84" s="142" t="s">
        <v>810</v>
      </c>
      <c r="F84" s="162">
        <v>1</v>
      </c>
      <c r="G84" s="162">
        <v>0</v>
      </c>
      <c r="H84" s="162">
        <v>0</v>
      </c>
      <c r="I84" s="162">
        <v>0</v>
      </c>
      <c r="J84" s="162">
        <v>0</v>
      </c>
      <c r="K84" s="162">
        <v>0</v>
      </c>
      <c r="L84" s="162">
        <v>0</v>
      </c>
      <c r="M84" s="162">
        <v>0</v>
      </c>
      <c r="N84" s="162">
        <v>0</v>
      </c>
      <c r="O84" s="162">
        <v>1</v>
      </c>
      <c r="P84" s="162">
        <v>0</v>
      </c>
    </row>
    <row r="85" spans="1:16" x14ac:dyDescent="0.25">
      <c r="A85" s="143"/>
      <c r="B85" s="143"/>
      <c r="C85" s="143" t="s">
        <v>811</v>
      </c>
      <c r="D85" s="143" t="s">
        <v>812</v>
      </c>
      <c r="E85" s="143" t="s">
        <v>771</v>
      </c>
      <c r="F85" s="163">
        <v>1</v>
      </c>
      <c r="G85" s="163">
        <v>0</v>
      </c>
      <c r="H85" s="163">
        <v>0</v>
      </c>
      <c r="I85" s="163">
        <v>0</v>
      </c>
      <c r="J85" s="163">
        <v>0</v>
      </c>
      <c r="K85" s="163">
        <v>0</v>
      </c>
      <c r="L85" s="163">
        <v>0</v>
      </c>
      <c r="M85" s="163">
        <v>0</v>
      </c>
      <c r="N85" s="163">
        <v>0</v>
      </c>
      <c r="O85" s="163">
        <v>1</v>
      </c>
      <c r="P85" s="163">
        <v>0</v>
      </c>
    </row>
    <row r="86" spans="1:16" x14ac:dyDescent="0.25">
      <c r="A86" s="142"/>
      <c r="B86" s="142"/>
      <c r="C86" s="142" t="s">
        <v>766</v>
      </c>
      <c r="D86" s="142" t="s">
        <v>767</v>
      </c>
      <c r="E86" s="142" t="s">
        <v>768</v>
      </c>
      <c r="F86" s="162">
        <v>2</v>
      </c>
      <c r="G86" s="162">
        <v>1</v>
      </c>
      <c r="H86" s="162">
        <v>0</v>
      </c>
      <c r="I86" s="162">
        <v>0</v>
      </c>
      <c r="J86" s="162">
        <v>0</v>
      </c>
      <c r="K86" s="162">
        <v>0</v>
      </c>
      <c r="L86" s="162">
        <v>0</v>
      </c>
      <c r="M86" s="162">
        <v>1</v>
      </c>
      <c r="N86" s="162">
        <v>0</v>
      </c>
      <c r="O86" s="162">
        <v>1</v>
      </c>
      <c r="P86" s="162">
        <v>0</v>
      </c>
    </row>
    <row r="87" spans="1:16" x14ac:dyDescent="0.25">
      <c r="A87" s="143"/>
      <c r="B87" s="143"/>
      <c r="C87" s="143" t="s">
        <v>750</v>
      </c>
      <c r="D87" s="143" t="s">
        <v>751</v>
      </c>
      <c r="E87" s="143" t="s">
        <v>174</v>
      </c>
      <c r="F87" s="163">
        <v>1</v>
      </c>
      <c r="G87" s="163">
        <v>0</v>
      </c>
      <c r="H87" s="163">
        <v>0</v>
      </c>
      <c r="I87" s="163">
        <v>0</v>
      </c>
      <c r="J87" s="163">
        <v>0</v>
      </c>
      <c r="K87" s="163">
        <v>1</v>
      </c>
      <c r="L87" s="163">
        <v>0</v>
      </c>
      <c r="M87" s="163">
        <v>1</v>
      </c>
      <c r="N87" s="163">
        <v>0</v>
      </c>
      <c r="O87" s="163">
        <v>0</v>
      </c>
      <c r="P87" s="163">
        <v>0</v>
      </c>
    </row>
    <row r="88" spans="1:16" x14ac:dyDescent="0.25">
      <c r="A88" s="142"/>
      <c r="B88" s="142"/>
      <c r="C88" s="142" t="s">
        <v>752</v>
      </c>
      <c r="D88" s="142" t="s">
        <v>753</v>
      </c>
      <c r="E88" s="142" t="s">
        <v>174</v>
      </c>
      <c r="F88" s="162">
        <v>1</v>
      </c>
      <c r="G88" s="162">
        <v>0</v>
      </c>
      <c r="H88" s="162">
        <v>0</v>
      </c>
      <c r="I88" s="162">
        <v>1</v>
      </c>
      <c r="J88" s="162">
        <v>0</v>
      </c>
      <c r="K88" s="162">
        <v>0</v>
      </c>
      <c r="L88" s="162">
        <v>0</v>
      </c>
      <c r="M88" s="162">
        <v>1</v>
      </c>
      <c r="N88" s="162">
        <v>0</v>
      </c>
      <c r="O88" s="162">
        <v>0</v>
      </c>
      <c r="P88" s="162">
        <v>0</v>
      </c>
    </row>
    <row r="89" spans="1:16" x14ac:dyDescent="0.25">
      <c r="A89" s="143"/>
      <c r="B89" s="143"/>
      <c r="C89" s="143" t="s">
        <v>549</v>
      </c>
      <c r="D89" s="143" t="s">
        <v>550</v>
      </c>
      <c r="E89" s="143" t="s">
        <v>174</v>
      </c>
      <c r="F89" s="163">
        <v>1</v>
      </c>
      <c r="G89" s="163">
        <v>0</v>
      </c>
      <c r="H89" s="163">
        <v>0</v>
      </c>
      <c r="I89" s="163">
        <v>0</v>
      </c>
      <c r="J89" s="163">
        <v>0</v>
      </c>
      <c r="K89" s="163">
        <v>0</v>
      </c>
      <c r="L89" s="163">
        <v>0</v>
      </c>
      <c r="M89" s="163">
        <v>0</v>
      </c>
      <c r="N89" s="163">
        <v>0</v>
      </c>
      <c r="O89" s="163">
        <v>1</v>
      </c>
      <c r="P89" s="163">
        <v>0</v>
      </c>
    </row>
    <row r="90" spans="1:16" x14ac:dyDescent="0.25">
      <c r="A90" s="142"/>
      <c r="B90" s="142"/>
      <c r="C90" s="142" t="s">
        <v>740</v>
      </c>
      <c r="D90" s="142" t="s">
        <v>741</v>
      </c>
      <c r="E90" s="142" t="s">
        <v>174</v>
      </c>
      <c r="F90" s="162">
        <v>4</v>
      </c>
      <c r="G90" s="162">
        <v>0</v>
      </c>
      <c r="H90" s="162">
        <v>0</v>
      </c>
      <c r="I90" s="162">
        <v>2</v>
      </c>
      <c r="J90" s="162">
        <v>0</v>
      </c>
      <c r="K90" s="162">
        <v>2</v>
      </c>
      <c r="L90" s="162">
        <v>0</v>
      </c>
      <c r="M90" s="162">
        <v>4</v>
      </c>
      <c r="N90" s="162">
        <v>0</v>
      </c>
      <c r="O90" s="162">
        <v>0</v>
      </c>
      <c r="P90" s="162">
        <v>0</v>
      </c>
    </row>
    <row r="91" spans="1:16" x14ac:dyDescent="0.25">
      <c r="A91" s="143"/>
      <c r="B91" s="143"/>
      <c r="C91" s="143" t="s">
        <v>769</v>
      </c>
      <c r="D91" s="143" t="s">
        <v>770</v>
      </c>
      <c r="E91" s="143" t="s">
        <v>771</v>
      </c>
      <c r="F91" s="163">
        <v>1</v>
      </c>
      <c r="G91" s="163">
        <v>1</v>
      </c>
      <c r="H91" s="163">
        <v>0</v>
      </c>
      <c r="I91" s="163">
        <v>0</v>
      </c>
      <c r="J91" s="163">
        <v>0</v>
      </c>
      <c r="K91" s="163">
        <v>0</v>
      </c>
      <c r="L91" s="163">
        <v>0</v>
      </c>
      <c r="M91" s="163">
        <v>1</v>
      </c>
      <c r="N91" s="163">
        <v>0</v>
      </c>
      <c r="O91" s="163">
        <v>0</v>
      </c>
      <c r="P91" s="163">
        <v>0</v>
      </c>
    </row>
    <row r="92" spans="1:16" x14ac:dyDescent="0.25">
      <c r="A92" s="142"/>
      <c r="B92" s="142"/>
      <c r="C92" s="142" t="s">
        <v>572</v>
      </c>
      <c r="D92" s="142" t="s">
        <v>573</v>
      </c>
      <c r="E92" s="142" t="s">
        <v>571</v>
      </c>
      <c r="F92" s="162">
        <v>1</v>
      </c>
      <c r="G92" s="162">
        <v>1</v>
      </c>
      <c r="H92" s="162">
        <v>0</v>
      </c>
      <c r="I92" s="162">
        <v>0</v>
      </c>
      <c r="J92" s="162">
        <v>0</v>
      </c>
      <c r="K92" s="162">
        <v>0</v>
      </c>
      <c r="L92" s="162">
        <v>0</v>
      </c>
      <c r="M92" s="162">
        <v>1</v>
      </c>
      <c r="N92" s="162">
        <v>0</v>
      </c>
      <c r="O92" s="162">
        <v>0</v>
      </c>
      <c r="P92" s="162">
        <v>0</v>
      </c>
    </row>
    <row r="93" spans="1:16" x14ac:dyDescent="0.25">
      <c r="A93" s="143"/>
      <c r="B93" s="143"/>
      <c r="C93" s="143" t="s">
        <v>813</v>
      </c>
      <c r="D93" s="143" t="s">
        <v>814</v>
      </c>
      <c r="E93" s="143" t="s">
        <v>763</v>
      </c>
      <c r="F93" s="163">
        <v>5</v>
      </c>
      <c r="G93" s="163">
        <v>0</v>
      </c>
      <c r="H93" s="163">
        <v>0</v>
      </c>
      <c r="I93" s="163">
        <v>0</v>
      </c>
      <c r="J93" s="163">
        <v>0</v>
      </c>
      <c r="K93" s="163">
        <v>0</v>
      </c>
      <c r="L93" s="163">
        <v>1</v>
      </c>
      <c r="M93" s="163">
        <v>1</v>
      </c>
      <c r="N93" s="163">
        <v>1</v>
      </c>
      <c r="O93" s="163">
        <v>3</v>
      </c>
      <c r="P93" s="163">
        <v>0</v>
      </c>
    </row>
    <row r="94" spans="1:16" x14ac:dyDescent="0.25">
      <c r="A94" s="144"/>
      <c r="B94" s="144" t="s">
        <v>184</v>
      </c>
      <c r="C94" s="144"/>
      <c r="D94" s="144"/>
      <c r="E94" s="144"/>
      <c r="F94" s="164">
        <v>31</v>
      </c>
      <c r="G94" s="164">
        <v>7</v>
      </c>
      <c r="H94" s="164">
        <v>4</v>
      </c>
      <c r="I94" s="164">
        <v>6</v>
      </c>
      <c r="J94" s="164">
        <v>0</v>
      </c>
      <c r="K94" s="164">
        <v>4</v>
      </c>
      <c r="L94" s="164">
        <v>1</v>
      </c>
      <c r="M94" s="164">
        <v>22</v>
      </c>
      <c r="N94" s="164">
        <v>1</v>
      </c>
      <c r="O94" s="164">
        <v>8</v>
      </c>
      <c r="P94" s="164">
        <v>0</v>
      </c>
    </row>
    <row r="95" spans="1:16" x14ac:dyDescent="0.25">
      <c r="A95" s="143"/>
      <c r="B95" s="143" t="s">
        <v>519</v>
      </c>
      <c r="C95" s="143" t="s">
        <v>520</v>
      </c>
      <c r="D95" s="143" t="s">
        <v>521</v>
      </c>
      <c r="E95" s="143" t="s">
        <v>174</v>
      </c>
      <c r="F95" s="163">
        <v>2</v>
      </c>
      <c r="G95" s="163">
        <v>1</v>
      </c>
      <c r="H95" s="163">
        <v>0</v>
      </c>
      <c r="I95" s="163">
        <v>0</v>
      </c>
      <c r="J95" s="163">
        <v>0</v>
      </c>
      <c r="K95" s="163">
        <v>0</v>
      </c>
      <c r="L95" s="163">
        <v>0</v>
      </c>
      <c r="M95" s="163">
        <v>1</v>
      </c>
      <c r="N95" s="163">
        <v>1</v>
      </c>
      <c r="O95" s="163">
        <v>0</v>
      </c>
      <c r="P95" s="163">
        <v>0</v>
      </c>
    </row>
    <row r="96" spans="1:16" x14ac:dyDescent="0.25">
      <c r="A96" s="144"/>
      <c r="B96" s="144" t="s">
        <v>522</v>
      </c>
      <c r="C96" s="144"/>
      <c r="D96" s="144"/>
      <c r="E96" s="144"/>
      <c r="F96" s="164">
        <v>2</v>
      </c>
      <c r="G96" s="164">
        <v>1</v>
      </c>
      <c r="H96" s="164">
        <v>0</v>
      </c>
      <c r="I96" s="164">
        <v>0</v>
      </c>
      <c r="J96" s="164">
        <v>0</v>
      </c>
      <c r="K96" s="164">
        <v>0</v>
      </c>
      <c r="L96" s="164">
        <v>0</v>
      </c>
      <c r="M96" s="164">
        <v>1</v>
      </c>
      <c r="N96" s="164">
        <v>1</v>
      </c>
      <c r="O96" s="164">
        <v>0</v>
      </c>
      <c r="P96" s="164">
        <v>0</v>
      </c>
    </row>
    <row r="97" spans="1:16" x14ac:dyDescent="0.25">
      <c r="A97" s="198"/>
      <c r="B97" s="198"/>
      <c r="C97" s="198" t="s">
        <v>107</v>
      </c>
      <c r="D97" s="198"/>
      <c r="E97" s="198"/>
      <c r="F97" s="199">
        <v>960</v>
      </c>
      <c r="G97" s="199">
        <v>87</v>
      </c>
      <c r="H97" s="199">
        <v>64</v>
      </c>
      <c r="I97" s="199">
        <v>105</v>
      </c>
      <c r="J97" s="199">
        <v>8</v>
      </c>
      <c r="K97" s="199">
        <v>61</v>
      </c>
      <c r="L97" s="199">
        <v>139</v>
      </c>
      <c r="M97" s="199">
        <v>464</v>
      </c>
      <c r="N97" s="199">
        <v>155</v>
      </c>
      <c r="O97" s="199">
        <v>341</v>
      </c>
      <c r="P97" s="199">
        <v>0</v>
      </c>
    </row>
    <row r="98" spans="1:16" ht="26.25" x14ac:dyDescent="0.25">
      <c r="A98" s="145"/>
      <c r="B98" s="145"/>
      <c r="C98" s="145"/>
      <c r="D98" s="145" t="s">
        <v>108</v>
      </c>
      <c r="E98" s="145"/>
      <c r="F98" s="145" t="s">
        <v>95</v>
      </c>
      <c r="G98" s="145" t="s">
        <v>96</v>
      </c>
      <c r="H98" s="145" t="s">
        <v>97</v>
      </c>
      <c r="I98" s="145" t="s">
        <v>98</v>
      </c>
      <c r="J98" s="145" t="s">
        <v>99</v>
      </c>
      <c r="K98" s="145" t="s">
        <v>100</v>
      </c>
      <c r="L98" s="145" t="s">
        <v>101</v>
      </c>
      <c r="M98" s="145" t="s">
        <v>102</v>
      </c>
      <c r="N98" s="145" t="s">
        <v>103</v>
      </c>
      <c r="O98" s="145" t="s">
        <v>104</v>
      </c>
      <c r="P98" s="145"/>
    </row>
    <row r="99" spans="1:16" x14ac:dyDescent="0.25">
      <c r="A99" s="143"/>
      <c r="B99" s="143"/>
      <c r="C99" s="143"/>
      <c r="D99" s="143" t="s">
        <v>174</v>
      </c>
      <c r="E99" s="143"/>
      <c r="F99" s="163">
        <v>2</v>
      </c>
      <c r="G99" s="163">
        <v>1</v>
      </c>
      <c r="H99" s="163">
        <v>0</v>
      </c>
      <c r="I99" s="163">
        <v>0</v>
      </c>
      <c r="J99" s="163">
        <v>0</v>
      </c>
      <c r="K99" s="163">
        <v>0</v>
      </c>
      <c r="L99" s="163">
        <v>0</v>
      </c>
      <c r="M99" s="163">
        <v>1</v>
      </c>
      <c r="N99" s="163">
        <v>1</v>
      </c>
      <c r="O99" s="163">
        <v>0</v>
      </c>
      <c r="P99" s="143"/>
    </row>
    <row r="100" spans="1:16" x14ac:dyDescent="0.25">
      <c r="A100" s="142"/>
      <c r="B100" s="142"/>
      <c r="C100" s="142"/>
      <c r="D100" s="142" t="s">
        <v>109</v>
      </c>
      <c r="E100" s="142"/>
      <c r="F100" s="162">
        <v>238</v>
      </c>
      <c r="G100" s="162">
        <v>14</v>
      </c>
      <c r="H100" s="162">
        <v>16</v>
      </c>
      <c r="I100" s="162">
        <v>24</v>
      </c>
      <c r="J100" s="162">
        <v>0</v>
      </c>
      <c r="K100" s="162">
        <v>18</v>
      </c>
      <c r="L100" s="162">
        <v>26</v>
      </c>
      <c r="M100" s="162">
        <v>98</v>
      </c>
      <c r="N100" s="162">
        <v>44</v>
      </c>
      <c r="O100" s="162">
        <v>96</v>
      </c>
      <c r="P100" s="142"/>
    </row>
    <row r="101" spans="1:16" x14ac:dyDescent="0.25">
      <c r="A101" s="143"/>
      <c r="B101" s="143"/>
      <c r="C101" s="143"/>
      <c r="D101" s="143" t="s">
        <v>208</v>
      </c>
      <c r="E101" s="143"/>
      <c r="F101" s="163">
        <v>46</v>
      </c>
      <c r="G101" s="163">
        <v>2</v>
      </c>
      <c r="H101" s="163">
        <v>0</v>
      </c>
      <c r="I101" s="163">
        <v>4</v>
      </c>
      <c r="J101" s="163">
        <v>0</v>
      </c>
      <c r="K101" s="163">
        <v>2</v>
      </c>
      <c r="L101" s="163">
        <v>4</v>
      </c>
      <c r="M101" s="163">
        <v>12</v>
      </c>
      <c r="N101" s="163">
        <v>14</v>
      </c>
      <c r="O101" s="163">
        <v>20</v>
      </c>
      <c r="P101" s="143"/>
    </row>
    <row r="102" spans="1:16" x14ac:dyDescent="0.25">
      <c r="A102" s="142"/>
      <c r="B102" s="142"/>
      <c r="C102" s="142"/>
      <c r="D102" s="142" t="s">
        <v>118</v>
      </c>
      <c r="E102" s="142"/>
      <c r="F102" s="162">
        <v>278</v>
      </c>
      <c r="G102" s="162">
        <v>12</v>
      </c>
      <c r="H102" s="162">
        <v>14</v>
      </c>
      <c r="I102" s="162">
        <v>23</v>
      </c>
      <c r="J102" s="162">
        <v>0</v>
      </c>
      <c r="K102" s="162">
        <v>11</v>
      </c>
      <c r="L102" s="162">
        <v>40</v>
      </c>
      <c r="M102" s="162">
        <v>100</v>
      </c>
      <c r="N102" s="162">
        <v>43</v>
      </c>
      <c r="O102" s="162">
        <v>135</v>
      </c>
      <c r="P102" s="142"/>
    </row>
    <row r="103" spans="1:16" x14ac:dyDescent="0.25">
      <c r="A103" s="143"/>
      <c r="B103" s="143"/>
      <c r="C103" s="143"/>
      <c r="D103" s="143" t="s">
        <v>742</v>
      </c>
      <c r="E103" s="143"/>
      <c r="F103" s="163">
        <v>3</v>
      </c>
      <c r="G103" s="163">
        <v>0</v>
      </c>
      <c r="H103" s="163">
        <v>0</v>
      </c>
      <c r="I103" s="163">
        <v>0</v>
      </c>
      <c r="J103" s="163">
        <v>0</v>
      </c>
      <c r="K103" s="163">
        <v>0</v>
      </c>
      <c r="L103" s="163">
        <v>0</v>
      </c>
      <c r="M103" s="163">
        <v>0</v>
      </c>
      <c r="N103" s="163">
        <v>0</v>
      </c>
      <c r="O103" s="163">
        <v>3</v>
      </c>
      <c r="P103" s="143"/>
    </row>
    <row r="104" spans="1:16" x14ac:dyDescent="0.25">
      <c r="A104" s="142"/>
      <c r="B104" s="142"/>
      <c r="C104" s="142"/>
      <c r="D104" s="142" t="s">
        <v>241</v>
      </c>
      <c r="E104" s="142"/>
      <c r="F104" s="162">
        <v>107</v>
      </c>
      <c r="G104" s="162">
        <v>8</v>
      </c>
      <c r="H104" s="162">
        <v>11</v>
      </c>
      <c r="I104" s="162">
        <v>16</v>
      </c>
      <c r="J104" s="162">
        <v>2</v>
      </c>
      <c r="K104" s="162">
        <v>10</v>
      </c>
      <c r="L104" s="162">
        <v>28</v>
      </c>
      <c r="M104" s="162">
        <v>75</v>
      </c>
      <c r="N104" s="162">
        <v>20</v>
      </c>
      <c r="O104" s="162">
        <v>12</v>
      </c>
      <c r="P104" s="142"/>
    </row>
    <row r="105" spans="1:16" x14ac:dyDescent="0.25">
      <c r="A105" s="143"/>
      <c r="B105" s="143"/>
      <c r="C105" s="143"/>
      <c r="D105" s="143" t="s">
        <v>574</v>
      </c>
      <c r="E105" s="143"/>
      <c r="F105" s="163">
        <v>31</v>
      </c>
      <c r="G105" s="163">
        <v>6</v>
      </c>
      <c r="H105" s="163">
        <v>8</v>
      </c>
      <c r="I105" s="163">
        <v>1</v>
      </c>
      <c r="J105" s="163">
        <v>0</v>
      </c>
      <c r="K105" s="163">
        <v>0</v>
      </c>
      <c r="L105" s="163">
        <v>1</v>
      </c>
      <c r="M105" s="163">
        <v>16</v>
      </c>
      <c r="N105" s="163">
        <v>1</v>
      </c>
      <c r="O105" s="163">
        <v>14</v>
      </c>
      <c r="P105" s="143"/>
    </row>
    <row r="106" spans="1:16" x14ac:dyDescent="0.25">
      <c r="A106" s="142"/>
      <c r="B106" s="142"/>
      <c r="C106" s="142"/>
      <c r="D106" s="142" t="s">
        <v>116</v>
      </c>
      <c r="E106" s="142"/>
      <c r="F106" s="162">
        <v>37</v>
      </c>
      <c r="G106" s="162">
        <v>8</v>
      </c>
      <c r="H106" s="162">
        <v>5</v>
      </c>
      <c r="I106" s="162">
        <v>12</v>
      </c>
      <c r="J106" s="162">
        <v>5</v>
      </c>
      <c r="K106" s="162">
        <v>4</v>
      </c>
      <c r="L106" s="162">
        <v>0</v>
      </c>
      <c r="M106" s="162">
        <v>34</v>
      </c>
      <c r="N106" s="162">
        <v>0</v>
      </c>
      <c r="O106" s="162">
        <v>3</v>
      </c>
      <c r="P106" s="142"/>
    </row>
    <row r="107" spans="1:16" x14ac:dyDescent="0.25">
      <c r="A107" s="143"/>
      <c r="B107" s="143"/>
      <c r="C107" s="143"/>
      <c r="D107" s="143" t="s">
        <v>117</v>
      </c>
      <c r="E107" s="143"/>
      <c r="F107" s="163">
        <v>11</v>
      </c>
      <c r="G107" s="163">
        <v>0</v>
      </c>
      <c r="H107" s="163">
        <v>1</v>
      </c>
      <c r="I107" s="163">
        <v>3</v>
      </c>
      <c r="J107" s="163">
        <v>0</v>
      </c>
      <c r="K107" s="163">
        <v>4</v>
      </c>
      <c r="L107" s="163">
        <v>1</v>
      </c>
      <c r="M107" s="163">
        <v>9</v>
      </c>
      <c r="N107" s="163">
        <v>0</v>
      </c>
      <c r="O107" s="163">
        <v>2</v>
      </c>
      <c r="P107" s="143"/>
    </row>
    <row r="108" spans="1:16" x14ac:dyDescent="0.25">
      <c r="A108" s="142"/>
      <c r="B108" s="142"/>
      <c r="C108" s="142"/>
      <c r="D108" s="142" t="s">
        <v>232</v>
      </c>
      <c r="E108" s="142"/>
      <c r="F108" s="162">
        <v>181</v>
      </c>
      <c r="G108" s="162">
        <v>30</v>
      </c>
      <c r="H108" s="162">
        <v>9</v>
      </c>
      <c r="I108" s="162">
        <v>22</v>
      </c>
      <c r="J108" s="162">
        <v>1</v>
      </c>
      <c r="K108" s="162">
        <v>11</v>
      </c>
      <c r="L108" s="162">
        <v>36</v>
      </c>
      <c r="M108" s="162">
        <v>109</v>
      </c>
      <c r="N108" s="162">
        <v>30</v>
      </c>
      <c r="O108" s="162">
        <v>42</v>
      </c>
      <c r="P108" s="142"/>
    </row>
    <row r="109" spans="1:16" x14ac:dyDescent="0.25">
      <c r="A109" s="143"/>
      <c r="B109" s="143"/>
      <c r="C109" s="143"/>
      <c r="D109" s="143" t="s">
        <v>575</v>
      </c>
      <c r="E109" s="143"/>
      <c r="F109" s="163">
        <v>10</v>
      </c>
      <c r="G109" s="163">
        <v>2</v>
      </c>
      <c r="H109" s="163">
        <v>0</v>
      </c>
      <c r="I109" s="163">
        <v>0</v>
      </c>
      <c r="J109" s="163">
        <v>0</v>
      </c>
      <c r="K109" s="163">
        <v>0</v>
      </c>
      <c r="L109" s="163">
        <v>0</v>
      </c>
      <c r="M109" s="163">
        <v>2</v>
      </c>
      <c r="N109" s="163">
        <v>0</v>
      </c>
      <c r="O109" s="163">
        <v>8</v>
      </c>
      <c r="P109" s="143"/>
    </row>
    <row r="110" spans="1:16" x14ac:dyDescent="0.25">
      <c r="A110" s="142"/>
      <c r="B110" s="142"/>
      <c r="C110" s="142"/>
      <c r="D110" s="142" t="s">
        <v>772</v>
      </c>
      <c r="E110" s="142"/>
      <c r="F110" s="162">
        <v>16</v>
      </c>
      <c r="G110" s="162">
        <v>4</v>
      </c>
      <c r="H110" s="162">
        <v>0</v>
      </c>
      <c r="I110" s="162">
        <v>0</v>
      </c>
      <c r="J110" s="162">
        <v>0</v>
      </c>
      <c r="K110" s="162">
        <v>1</v>
      </c>
      <c r="L110" s="162">
        <v>3</v>
      </c>
      <c r="M110" s="162">
        <v>8</v>
      </c>
      <c r="N110" s="162">
        <v>2</v>
      </c>
      <c r="O110" s="162">
        <v>6</v>
      </c>
      <c r="P110" s="142"/>
    </row>
    <row r="111" spans="1:16" x14ac:dyDescent="0.25">
      <c r="A111" s="198"/>
      <c r="B111" s="198"/>
      <c r="C111" s="198"/>
      <c r="D111" s="198" t="s">
        <v>15</v>
      </c>
      <c r="E111" s="198"/>
      <c r="F111" s="199">
        <v>960</v>
      </c>
      <c r="G111" s="199">
        <v>87</v>
      </c>
      <c r="H111" s="199">
        <v>64</v>
      </c>
      <c r="I111" s="199">
        <v>105</v>
      </c>
      <c r="J111" s="199">
        <v>8</v>
      </c>
      <c r="K111" s="199">
        <v>61</v>
      </c>
      <c r="L111" s="199">
        <v>139</v>
      </c>
      <c r="M111" s="199">
        <v>464</v>
      </c>
      <c r="N111" s="199">
        <v>155</v>
      </c>
      <c r="O111" s="199">
        <v>341</v>
      </c>
      <c r="P111" s="198"/>
    </row>
    <row r="112" spans="1:16" ht="26.25" x14ac:dyDescent="0.25">
      <c r="A112" s="145"/>
      <c r="B112" s="145"/>
      <c r="C112" s="145"/>
      <c r="D112" s="145" t="s">
        <v>110</v>
      </c>
      <c r="E112" s="145"/>
      <c r="F112" s="145" t="s">
        <v>95</v>
      </c>
      <c r="G112" s="145" t="s">
        <v>96</v>
      </c>
      <c r="H112" s="145" t="s">
        <v>97</v>
      </c>
      <c r="I112" s="145" t="s">
        <v>98</v>
      </c>
      <c r="J112" s="145" t="s">
        <v>99</v>
      </c>
      <c r="K112" s="145" t="s">
        <v>100</v>
      </c>
      <c r="L112" s="145" t="s">
        <v>101</v>
      </c>
      <c r="M112" s="145" t="s">
        <v>102</v>
      </c>
      <c r="N112" s="145" t="s">
        <v>103</v>
      </c>
      <c r="O112" s="145" t="s">
        <v>104</v>
      </c>
      <c r="P112" s="145"/>
    </row>
    <row r="113" spans="1:16" ht="26.25" x14ac:dyDescent="0.25">
      <c r="A113" s="145"/>
      <c r="B113" s="145"/>
      <c r="C113" s="145"/>
      <c r="D113" s="145" t="s">
        <v>111</v>
      </c>
      <c r="E113" s="145"/>
      <c r="F113" s="145" t="s">
        <v>112</v>
      </c>
      <c r="G113" s="145" t="s">
        <v>96</v>
      </c>
      <c r="H113" s="145" t="s">
        <v>97</v>
      </c>
      <c r="I113" s="145" t="s">
        <v>98</v>
      </c>
      <c r="J113" s="145" t="s">
        <v>99</v>
      </c>
      <c r="K113" s="145" t="s">
        <v>100</v>
      </c>
      <c r="L113" s="145" t="s">
        <v>101</v>
      </c>
      <c r="M113" s="145" t="s">
        <v>102</v>
      </c>
      <c r="N113" s="145" t="s">
        <v>103</v>
      </c>
      <c r="O113" s="145" t="s">
        <v>104</v>
      </c>
      <c r="P113" s="145"/>
    </row>
  </sheetData>
  <autoFilter ref="A3:P110" xr:uid="{00000000-0009-0000-0000-00000B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E113"/>
  <sheetViews>
    <sheetView topLeftCell="A21" zoomScaleNormal="100" workbookViewId="0">
      <selection sqref="A1:C32"/>
    </sheetView>
  </sheetViews>
  <sheetFormatPr defaultColWidth="9.140625" defaultRowHeight="15" x14ac:dyDescent="0.25"/>
  <cols>
    <col min="1" max="1" width="7.42578125" bestFit="1" customWidth="1"/>
    <col min="2" max="2" width="13.5703125" bestFit="1" customWidth="1"/>
    <col min="3" max="3" width="6.5703125" bestFit="1" customWidth="1"/>
  </cols>
  <sheetData>
    <row r="1" spans="1:5" s="57" customFormat="1" ht="15.75" customHeight="1" x14ac:dyDescent="0.25">
      <c r="A1" s="75" t="s">
        <v>29</v>
      </c>
      <c r="B1" s="75" t="s">
        <v>30</v>
      </c>
      <c r="C1" s="75" t="s">
        <v>15</v>
      </c>
    </row>
    <row r="2" spans="1:5" x14ac:dyDescent="0.25">
      <c r="A2" s="8" t="s">
        <v>501</v>
      </c>
      <c r="B2" s="8" t="s">
        <v>189</v>
      </c>
      <c r="C2" s="9">
        <v>178</v>
      </c>
      <c r="E2" t="str">
        <f>VLOOKUP($B2,'Cockpit sheet'!$B:$B,1)</f>
        <v>54683124A</v>
      </c>
    </row>
    <row r="3" spans="1:5" x14ac:dyDescent="0.25">
      <c r="A3" s="10" t="s">
        <v>502</v>
      </c>
      <c r="B3" s="10" t="s">
        <v>193</v>
      </c>
      <c r="C3" s="11">
        <v>160</v>
      </c>
      <c r="E3" t="str">
        <f>VLOOKUP($B3,'Cockpit sheet'!$B:$B,1)</f>
        <v>54683124A</v>
      </c>
    </row>
    <row r="4" spans="1:5" x14ac:dyDescent="0.25">
      <c r="A4" s="8" t="s">
        <v>503</v>
      </c>
      <c r="B4" s="8" t="s">
        <v>198</v>
      </c>
      <c r="C4" s="9">
        <v>87</v>
      </c>
      <c r="E4" t="str">
        <f>VLOOKUP($B4,'Cockpit sheet'!$B:$B,1)</f>
        <v>54683124A</v>
      </c>
    </row>
    <row r="5" spans="1:5" x14ac:dyDescent="0.25">
      <c r="A5" s="10" t="s">
        <v>754</v>
      </c>
      <c r="B5" s="10" t="s">
        <v>187</v>
      </c>
      <c r="C5" s="11">
        <v>8</v>
      </c>
      <c r="E5" t="str">
        <f>VLOOKUP($B5,'Cockpit sheet'!$B:$B,1)</f>
        <v>54683124A</v>
      </c>
    </row>
    <row r="6" spans="1:5" x14ac:dyDescent="0.25">
      <c r="A6" s="8" t="s">
        <v>526</v>
      </c>
      <c r="B6" s="8" t="s">
        <v>190</v>
      </c>
      <c r="C6" s="9">
        <v>111</v>
      </c>
      <c r="E6" t="str">
        <f>VLOOKUP($B6,'Cockpit sheet'!$B:$B,1)</f>
        <v>54683124A</v>
      </c>
    </row>
    <row r="7" spans="1:5" x14ac:dyDescent="0.25">
      <c r="A7" s="10" t="s">
        <v>504</v>
      </c>
      <c r="B7" s="10" t="s">
        <v>201</v>
      </c>
      <c r="C7" s="11">
        <v>100</v>
      </c>
      <c r="E7" t="str">
        <f>VLOOKUP($B7,'Cockpit sheet'!$B:$B,1)</f>
        <v>54683124A</v>
      </c>
    </row>
    <row r="8" spans="1:5" x14ac:dyDescent="0.25">
      <c r="A8" s="8" t="s">
        <v>527</v>
      </c>
      <c r="B8" s="8" t="s">
        <v>195</v>
      </c>
      <c r="C8" s="9">
        <v>93</v>
      </c>
      <c r="E8" t="str">
        <f>VLOOKUP($B8,'Cockpit sheet'!$B:$B,1)</f>
        <v>54683124A</v>
      </c>
    </row>
    <row r="9" spans="1:5" x14ac:dyDescent="0.25">
      <c r="A9" s="10" t="s">
        <v>505</v>
      </c>
      <c r="B9" s="10" t="s">
        <v>204</v>
      </c>
      <c r="C9" s="11">
        <v>275</v>
      </c>
      <c r="E9" t="str">
        <f>VLOOKUP($B9,'Cockpit sheet'!$B:$B,1)</f>
        <v>54683124A</v>
      </c>
    </row>
    <row r="10" spans="1:5" x14ac:dyDescent="0.25">
      <c r="A10" s="8" t="s">
        <v>506</v>
      </c>
      <c r="B10" s="8" t="s">
        <v>205</v>
      </c>
      <c r="C10" s="9">
        <v>336</v>
      </c>
      <c r="E10" t="str">
        <f>VLOOKUP($B10,'Cockpit sheet'!$B:$B,1)</f>
        <v>54683124A</v>
      </c>
    </row>
    <row r="11" spans="1:5" x14ac:dyDescent="0.25">
      <c r="A11" s="10" t="s">
        <v>507</v>
      </c>
      <c r="B11" s="10" t="s">
        <v>209</v>
      </c>
      <c r="C11" s="11">
        <v>272</v>
      </c>
      <c r="E11" t="str">
        <f>VLOOKUP($B11,'Cockpit sheet'!$B:$B,1)</f>
        <v>54683124A</v>
      </c>
    </row>
    <row r="12" spans="1:5" x14ac:dyDescent="0.25">
      <c r="A12" s="8" t="s">
        <v>508</v>
      </c>
      <c r="B12" s="8" t="s">
        <v>196</v>
      </c>
      <c r="C12" s="9">
        <v>430</v>
      </c>
      <c r="E12" t="str">
        <f>VLOOKUP($B12,'Cockpit sheet'!$B:$B,1)</f>
        <v>54683124A</v>
      </c>
    </row>
    <row r="13" spans="1:5" x14ac:dyDescent="0.25">
      <c r="A13" s="10" t="s">
        <v>528</v>
      </c>
      <c r="B13" s="10" t="s">
        <v>214</v>
      </c>
      <c r="C13" s="11">
        <v>163</v>
      </c>
      <c r="E13" t="str">
        <f>VLOOKUP($B13,'Cockpit sheet'!$B:$B,1)</f>
        <v>54683124A</v>
      </c>
    </row>
    <row r="14" spans="1:5" x14ac:dyDescent="0.25">
      <c r="A14" s="8" t="s">
        <v>564</v>
      </c>
      <c r="B14" s="8" t="s">
        <v>210</v>
      </c>
      <c r="C14" s="9">
        <v>191</v>
      </c>
      <c r="E14" t="str">
        <f>VLOOKUP($B14,'Cockpit sheet'!$B:$B,1)</f>
        <v>54683124A</v>
      </c>
    </row>
    <row r="15" spans="1:5" x14ac:dyDescent="0.25">
      <c r="A15" s="10" t="s">
        <v>529</v>
      </c>
      <c r="B15" s="10" t="s">
        <v>188</v>
      </c>
      <c r="C15" s="11">
        <v>224</v>
      </c>
      <c r="E15" t="str">
        <f>VLOOKUP($B15,'Cockpit sheet'!$B:$B,1)</f>
        <v>54683124A</v>
      </c>
    </row>
    <row r="16" spans="1:5" x14ac:dyDescent="0.25">
      <c r="A16" s="8" t="s">
        <v>699</v>
      </c>
      <c r="B16" s="8" t="s">
        <v>192</v>
      </c>
      <c r="C16" s="9">
        <v>16</v>
      </c>
      <c r="E16" t="str">
        <f>VLOOKUP($B16,'Cockpit sheet'!$B:$B,1)</f>
        <v>54683124A</v>
      </c>
    </row>
    <row r="17" spans="1:5" x14ac:dyDescent="0.25">
      <c r="A17" s="10" t="s">
        <v>509</v>
      </c>
      <c r="B17" s="10" t="s">
        <v>191</v>
      </c>
      <c r="C17" s="11">
        <v>312</v>
      </c>
      <c r="E17" t="str">
        <f>VLOOKUP($B17,'Cockpit sheet'!$B:$B,1)</f>
        <v>54683124A</v>
      </c>
    </row>
    <row r="18" spans="1:5" x14ac:dyDescent="0.25">
      <c r="A18" s="8" t="s">
        <v>510</v>
      </c>
      <c r="B18" s="8" t="s">
        <v>202</v>
      </c>
      <c r="C18" s="9">
        <v>1393</v>
      </c>
      <c r="E18" t="str">
        <f>VLOOKUP($B18,'Cockpit sheet'!$B:$B,1)</f>
        <v>54683124A</v>
      </c>
    </row>
    <row r="19" spans="1:5" x14ac:dyDescent="0.25">
      <c r="A19" s="10" t="s">
        <v>530</v>
      </c>
      <c r="B19" s="10" t="s">
        <v>211</v>
      </c>
      <c r="C19" s="11">
        <v>271</v>
      </c>
      <c r="E19" t="str">
        <f>VLOOKUP($B19,'Cockpit sheet'!$B:$B,1)</f>
        <v>54683124A</v>
      </c>
    </row>
    <row r="20" spans="1:5" x14ac:dyDescent="0.25">
      <c r="A20" s="8" t="s">
        <v>511</v>
      </c>
      <c r="B20" s="8" t="s">
        <v>199</v>
      </c>
      <c r="C20" s="9">
        <v>1414</v>
      </c>
      <c r="E20" t="str">
        <f>VLOOKUP($B20,'Cockpit sheet'!$B:$B,1)</f>
        <v>54683124A</v>
      </c>
    </row>
    <row r="21" spans="1:5" x14ac:dyDescent="0.25">
      <c r="A21" s="10" t="s">
        <v>531</v>
      </c>
      <c r="B21" s="10" t="s">
        <v>206</v>
      </c>
      <c r="C21" s="11">
        <v>335</v>
      </c>
      <c r="E21" t="str">
        <f>VLOOKUP($B21,'Cockpit sheet'!$B:$B,1)</f>
        <v>54683124A</v>
      </c>
    </row>
    <row r="22" spans="1:5" x14ac:dyDescent="0.25">
      <c r="A22" s="8" t="s">
        <v>542</v>
      </c>
      <c r="B22" s="8" t="s">
        <v>207</v>
      </c>
      <c r="C22" s="9">
        <v>115</v>
      </c>
      <c r="E22" t="str">
        <f>VLOOKUP($B22,'Cockpit sheet'!$B:$B,1)</f>
        <v>54683124A</v>
      </c>
    </row>
    <row r="23" spans="1:5" x14ac:dyDescent="0.25">
      <c r="A23" s="10" t="s">
        <v>512</v>
      </c>
      <c r="B23" s="10" t="s">
        <v>213</v>
      </c>
      <c r="C23" s="11">
        <v>439</v>
      </c>
      <c r="E23" t="str">
        <f>VLOOKUP($B23,'Cockpit sheet'!$B:$B,1)</f>
        <v>54683124A</v>
      </c>
    </row>
    <row r="24" spans="1:5" x14ac:dyDescent="0.25">
      <c r="A24" s="8" t="s">
        <v>553</v>
      </c>
      <c r="B24" s="8" t="s">
        <v>203</v>
      </c>
      <c r="C24" s="9">
        <v>219</v>
      </c>
      <c r="E24" t="str">
        <f>VLOOKUP($B24,'Cockpit sheet'!$B:$B,1)</f>
        <v>54683124A</v>
      </c>
    </row>
    <row r="25" spans="1:5" x14ac:dyDescent="0.25">
      <c r="A25" s="10" t="s">
        <v>543</v>
      </c>
      <c r="B25" s="10" t="s">
        <v>200</v>
      </c>
      <c r="C25" s="11">
        <v>188</v>
      </c>
      <c r="E25" t="str">
        <f>VLOOKUP($B25,'Cockpit sheet'!$B:$B,1)</f>
        <v>54683124A</v>
      </c>
    </row>
    <row r="26" spans="1:5" x14ac:dyDescent="0.25">
      <c r="A26" s="8" t="s">
        <v>532</v>
      </c>
      <c r="B26" s="8" t="s">
        <v>197</v>
      </c>
      <c r="C26" s="9">
        <v>572</v>
      </c>
      <c r="E26" t="str">
        <f>VLOOKUP($B26,'Cockpit sheet'!$B:$B,1)</f>
        <v>54683124A</v>
      </c>
    </row>
    <row r="27" spans="1:5" x14ac:dyDescent="0.25">
      <c r="A27" s="10" t="s">
        <v>513</v>
      </c>
      <c r="B27" s="10" t="s">
        <v>194</v>
      </c>
      <c r="C27" s="11">
        <v>1002</v>
      </c>
      <c r="E27" t="str">
        <f>VLOOKUP($B27,'Cockpit sheet'!$B:$B,1)</f>
        <v>54683124A</v>
      </c>
    </row>
    <row r="28" spans="1:5" x14ac:dyDescent="0.25">
      <c r="A28" s="8" t="s">
        <v>514</v>
      </c>
      <c r="B28" s="8" t="s">
        <v>212</v>
      </c>
      <c r="C28" s="9">
        <v>290</v>
      </c>
      <c r="E28" t="str">
        <f>VLOOKUP($B28,'Cockpit sheet'!$B:$B,1)</f>
        <v>54683124A</v>
      </c>
    </row>
    <row r="29" spans="1:5" x14ac:dyDescent="0.25">
      <c r="A29" s="10" t="s">
        <v>534</v>
      </c>
      <c r="B29" s="10" t="s">
        <v>235</v>
      </c>
      <c r="C29" s="11">
        <v>132</v>
      </c>
      <c r="E29" t="str">
        <f>VLOOKUP($B29,'Cockpit sheet'!$B:$B,1)</f>
        <v>54683124A</v>
      </c>
    </row>
    <row r="30" spans="1:5" x14ac:dyDescent="0.25">
      <c r="A30" s="8" t="s">
        <v>498</v>
      </c>
      <c r="B30" s="8" t="s">
        <v>229</v>
      </c>
      <c r="C30" s="9">
        <v>1326</v>
      </c>
      <c r="E30" t="str">
        <f>VLOOKUP($B30,'Cockpit sheet'!$B:$B,1)</f>
        <v>54683124A</v>
      </c>
    </row>
    <row r="31" spans="1:5" x14ac:dyDescent="0.25">
      <c r="A31" s="10" t="s">
        <v>499</v>
      </c>
      <c r="B31" s="10" t="s">
        <v>234</v>
      </c>
      <c r="C31" s="11">
        <v>300</v>
      </c>
      <c r="E31" t="str">
        <f>VLOOKUP($B31,'Cockpit sheet'!$B:$B,1)</f>
        <v>54683124A</v>
      </c>
    </row>
    <row r="32" spans="1:5" x14ac:dyDescent="0.25">
      <c r="A32" s="8"/>
      <c r="B32" s="8"/>
      <c r="C32" s="9">
        <v>10952</v>
      </c>
      <c r="E32" t="e">
        <f>VLOOKUP($B32,'Cockpit sheet'!$B:$B,1)</f>
        <v>#N/A</v>
      </c>
    </row>
    <row r="33" spans="1:5" x14ac:dyDescent="0.25">
      <c r="A33" s="10"/>
      <c r="B33" s="10"/>
      <c r="C33" s="11"/>
      <c r="E33" t="e">
        <f>VLOOKUP($B33,'Cockpit sheet'!$B:$B,1)</f>
        <v>#N/A</v>
      </c>
    </row>
    <row r="34" spans="1:5" x14ac:dyDescent="0.25">
      <c r="A34" s="8"/>
      <c r="B34" s="8"/>
      <c r="C34" s="9"/>
      <c r="E34" t="e">
        <f>VLOOKUP($B34,'Cockpit sheet'!$B:$B,1)</f>
        <v>#N/A</v>
      </c>
    </row>
    <row r="35" spans="1:5" x14ac:dyDescent="0.25">
      <c r="A35" s="10"/>
      <c r="B35" s="10"/>
      <c r="C35" s="11"/>
      <c r="E35" t="e">
        <f>VLOOKUP($B35,'Cockpit sheet'!$B:$B,1)</f>
        <v>#N/A</v>
      </c>
    </row>
    <row r="36" spans="1:5" x14ac:dyDescent="0.25">
      <c r="A36" s="8"/>
      <c r="B36" s="141"/>
      <c r="C36" s="18"/>
      <c r="E36" t="e">
        <f>VLOOKUP($B36,'Cockpit sheet'!$B:$B,1)</f>
        <v>#N/A</v>
      </c>
    </row>
    <row r="37" spans="1:5" x14ac:dyDescent="0.25">
      <c r="A37" s="10"/>
      <c r="B37" s="141"/>
      <c r="C37" s="18"/>
    </row>
    <row r="38" spans="1:5" x14ac:dyDescent="0.25">
      <c r="A38" s="8"/>
      <c r="B38" s="141"/>
      <c r="C38" s="18"/>
    </row>
    <row r="39" spans="1:5" x14ac:dyDescent="0.25">
      <c r="A39" s="10"/>
      <c r="B39" s="141"/>
      <c r="C39" s="18"/>
    </row>
    <row r="40" spans="1:5" x14ac:dyDescent="0.25">
      <c r="A40" s="8"/>
      <c r="B40" s="141"/>
      <c r="C40" s="18"/>
    </row>
    <row r="41" spans="1:5" x14ac:dyDescent="0.25">
      <c r="A41" s="10"/>
      <c r="B41" s="141"/>
      <c r="C41" s="18"/>
    </row>
    <row r="42" spans="1:5" x14ac:dyDescent="0.25">
      <c r="A42" s="8"/>
      <c r="B42" s="141"/>
      <c r="C42" s="18"/>
    </row>
    <row r="43" spans="1:5" x14ac:dyDescent="0.25">
      <c r="A43" s="10"/>
      <c r="B43" s="141"/>
      <c r="C43" s="18"/>
    </row>
    <row r="44" spans="1:5" x14ac:dyDescent="0.25">
      <c r="A44" s="8"/>
      <c r="B44" s="141"/>
      <c r="C44" s="18"/>
    </row>
    <row r="45" spans="1:5" x14ac:dyDescent="0.25">
      <c r="A45" s="10"/>
      <c r="B45" s="141"/>
      <c r="C45" s="18"/>
    </row>
    <row r="46" spans="1:5" x14ac:dyDescent="0.25">
      <c r="A46" s="8"/>
      <c r="B46" s="141"/>
      <c r="C46" s="18"/>
    </row>
    <row r="47" spans="1:5" x14ac:dyDescent="0.25">
      <c r="A47" s="10"/>
      <c r="B47" s="141"/>
      <c r="C47" s="18"/>
    </row>
    <row r="48" spans="1:5" x14ac:dyDescent="0.25">
      <c r="A48" s="8"/>
      <c r="B48" s="141"/>
      <c r="C48" s="18"/>
    </row>
    <row r="49" spans="1:3" x14ac:dyDescent="0.25">
      <c r="A49" s="10"/>
      <c r="B49" s="141"/>
      <c r="C49" s="18"/>
    </row>
    <row r="50" spans="1:3" x14ac:dyDescent="0.25">
      <c r="A50" s="8"/>
      <c r="B50" s="141"/>
      <c r="C50" s="18"/>
    </row>
    <row r="51" spans="1:3" x14ac:dyDescent="0.25">
      <c r="A51" s="10"/>
      <c r="B51" s="141"/>
      <c r="C51" s="18"/>
    </row>
    <row r="52" spans="1:3" x14ac:dyDescent="0.25">
      <c r="A52" s="8"/>
      <c r="B52" s="141"/>
      <c r="C52" s="18"/>
    </row>
    <row r="53" spans="1:3" x14ac:dyDescent="0.25">
      <c r="A53" s="10"/>
      <c r="B53" s="141"/>
      <c r="C53" s="18"/>
    </row>
    <row r="54" spans="1:3" x14ac:dyDescent="0.25">
      <c r="A54" s="8"/>
      <c r="B54" s="141"/>
      <c r="C54" s="18"/>
    </row>
    <row r="55" spans="1:3" x14ac:dyDescent="0.25">
      <c r="A55" s="10"/>
      <c r="B55" s="141"/>
      <c r="C55" s="18"/>
    </row>
    <row r="56" spans="1:3" x14ac:dyDescent="0.25">
      <c r="A56" s="8"/>
      <c r="B56" s="141"/>
      <c r="C56" s="18"/>
    </row>
    <row r="57" spans="1:3" x14ac:dyDescent="0.25">
      <c r="A57" s="10"/>
      <c r="B57" s="141"/>
      <c r="C57" s="18"/>
    </row>
    <row r="58" spans="1:3" x14ac:dyDescent="0.25">
      <c r="A58" s="8"/>
      <c r="B58" s="141"/>
      <c r="C58" s="18"/>
    </row>
    <row r="59" spans="1:3" x14ac:dyDescent="0.25">
      <c r="A59" s="10"/>
      <c r="B59" s="141"/>
      <c r="C59" s="18"/>
    </row>
    <row r="60" spans="1:3" x14ac:dyDescent="0.25">
      <c r="A60" s="8"/>
      <c r="B60" s="141"/>
      <c r="C60" s="18"/>
    </row>
    <row r="61" spans="1:3" x14ac:dyDescent="0.25">
      <c r="A61" s="10"/>
      <c r="B61" s="141"/>
      <c r="C61" s="18"/>
    </row>
    <row r="62" spans="1:3" x14ac:dyDescent="0.25">
      <c r="A62" s="8"/>
      <c r="B62" s="141"/>
      <c r="C62" s="18"/>
    </row>
    <row r="63" spans="1:3" x14ac:dyDescent="0.25">
      <c r="A63" s="10"/>
      <c r="B63" s="141"/>
      <c r="C63" s="18"/>
    </row>
    <row r="64" spans="1:3" x14ac:dyDescent="0.25">
      <c r="A64" s="8"/>
      <c r="B64" s="141"/>
      <c r="C64" s="18"/>
    </row>
    <row r="65" spans="1:3" x14ac:dyDescent="0.25">
      <c r="A65" s="10"/>
      <c r="B65" s="141"/>
      <c r="C65" s="18"/>
    </row>
    <row r="66" spans="1:3" x14ac:dyDescent="0.25">
      <c r="A66" s="8"/>
      <c r="B66" s="141"/>
      <c r="C66" s="18"/>
    </row>
    <row r="67" spans="1:3" x14ac:dyDescent="0.25">
      <c r="A67" s="10"/>
      <c r="B67" s="141"/>
      <c r="C67" s="18"/>
    </row>
    <row r="68" spans="1:3" x14ac:dyDescent="0.25">
      <c r="A68" s="8"/>
      <c r="B68" s="141"/>
      <c r="C68" s="18"/>
    </row>
    <row r="69" spans="1:3" x14ac:dyDescent="0.25">
      <c r="A69" s="10"/>
      <c r="B69" s="141"/>
      <c r="C69" s="18"/>
    </row>
    <row r="70" spans="1:3" x14ac:dyDescent="0.25">
      <c r="A70" s="8"/>
      <c r="B70" s="141"/>
      <c r="C70" s="18"/>
    </row>
    <row r="71" spans="1:3" x14ac:dyDescent="0.25">
      <c r="A71" s="10"/>
      <c r="B71" s="141"/>
      <c r="C71" s="18"/>
    </row>
    <row r="72" spans="1:3" x14ac:dyDescent="0.25">
      <c r="A72" s="8"/>
      <c r="B72" s="141"/>
      <c r="C72" s="18"/>
    </row>
    <row r="73" spans="1:3" x14ac:dyDescent="0.25">
      <c r="A73" s="10"/>
      <c r="B73" s="141"/>
      <c r="C73" s="18"/>
    </row>
    <row r="74" spans="1:3" x14ac:dyDescent="0.25">
      <c r="A74" s="8"/>
      <c r="B74" s="141"/>
      <c r="C74" s="18"/>
    </row>
    <row r="75" spans="1:3" x14ac:dyDescent="0.25">
      <c r="A75" s="10"/>
      <c r="B75" s="141"/>
      <c r="C75" s="18"/>
    </row>
    <row r="76" spans="1:3" x14ac:dyDescent="0.25">
      <c r="A76" s="8"/>
      <c r="B76" s="141"/>
      <c r="C76" s="18"/>
    </row>
    <row r="77" spans="1:3" x14ac:dyDescent="0.25">
      <c r="A77" s="10"/>
      <c r="B77" s="141"/>
      <c r="C77" s="18"/>
    </row>
    <row r="78" spans="1:3" x14ac:dyDescent="0.25">
      <c r="A78" s="8"/>
      <c r="B78" s="141"/>
      <c r="C78" s="18"/>
    </row>
    <row r="79" spans="1:3" x14ac:dyDescent="0.25">
      <c r="A79" s="10"/>
      <c r="B79" s="141"/>
      <c r="C79" s="18"/>
    </row>
    <row r="80" spans="1:3" x14ac:dyDescent="0.25">
      <c r="A80" s="8"/>
      <c r="B80" s="141"/>
      <c r="C80" s="18"/>
    </row>
    <row r="81" spans="1:3" x14ac:dyDescent="0.25">
      <c r="A81" s="10"/>
      <c r="B81" s="141"/>
      <c r="C81" s="18"/>
    </row>
    <row r="82" spans="1:3" x14ac:dyDescent="0.25">
      <c r="A82" s="8"/>
      <c r="B82" s="141"/>
      <c r="C82" s="18"/>
    </row>
    <row r="83" spans="1:3" x14ac:dyDescent="0.25">
      <c r="A83" s="10"/>
      <c r="B83" s="141"/>
      <c r="C83" s="18"/>
    </row>
    <row r="84" spans="1:3" x14ac:dyDescent="0.25">
      <c r="A84" s="8"/>
      <c r="B84" s="141"/>
      <c r="C84" s="18"/>
    </row>
    <row r="85" spans="1:3" x14ac:dyDescent="0.25">
      <c r="A85" s="10"/>
      <c r="B85" s="141"/>
      <c r="C85" s="18"/>
    </row>
    <row r="86" spans="1:3" x14ac:dyDescent="0.25">
      <c r="A86" s="8"/>
      <c r="B86" s="141"/>
      <c r="C86" s="18"/>
    </row>
    <row r="87" spans="1:3" x14ac:dyDescent="0.25">
      <c r="A87" s="10"/>
      <c r="B87" s="141"/>
      <c r="C87" s="18"/>
    </row>
    <row r="88" spans="1:3" x14ac:dyDescent="0.25">
      <c r="A88" s="8"/>
      <c r="B88" s="141"/>
      <c r="C88" s="18"/>
    </row>
    <row r="89" spans="1:3" x14ac:dyDescent="0.25">
      <c r="A89" s="10"/>
      <c r="B89" s="141"/>
      <c r="C89" s="18"/>
    </row>
    <row r="90" spans="1:3" x14ac:dyDescent="0.25">
      <c r="A90" s="8"/>
      <c r="B90" s="141"/>
      <c r="C90" s="18"/>
    </row>
    <row r="91" spans="1:3" x14ac:dyDescent="0.25">
      <c r="A91" s="10"/>
      <c r="B91" s="141"/>
      <c r="C91" s="18"/>
    </row>
    <row r="92" spans="1:3" x14ac:dyDescent="0.25">
      <c r="A92" s="8"/>
      <c r="B92" s="141"/>
      <c r="C92" s="18"/>
    </row>
    <row r="93" spans="1:3" x14ac:dyDescent="0.25">
      <c r="A93" s="10"/>
      <c r="B93" s="141"/>
      <c r="C93" s="18"/>
    </row>
    <row r="94" spans="1:3" x14ac:dyDescent="0.25">
      <c r="A94" s="8"/>
      <c r="B94" s="141"/>
      <c r="C94" s="18"/>
    </row>
    <row r="95" spans="1:3" x14ac:dyDescent="0.25">
      <c r="B95" s="141"/>
      <c r="C95" s="18"/>
    </row>
    <row r="96" spans="1:3" x14ac:dyDescent="0.25">
      <c r="B96" s="141"/>
      <c r="C96" s="18"/>
    </row>
    <row r="97" spans="2:3" x14ac:dyDescent="0.25">
      <c r="B97" s="141"/>
      <c r="C97" s="18"/>
    </row>
    <row r="98" spans="2:3" x14ac:dyDescent="0.25">
      <c r="B98" s="141"/>
      <c r="C98" s="18"/>
    </row>
    <row r="99" spans="2:3" x14ac:dyDescent="0.25">
      <c r="B99" s="141"/>
      <c r="C99" s="18"/>
    </row>
    <row r="100" spans="2:3" x14ac:dyDescent="0.25">
      <c r="B100" s="141"/>
      <c r="C100" s="18"/>
    </row>
    <row r="101" spans="2:3" x14ac:dyDescent="0.25">
      <c r="B101" s="141"/>
      <c r="C101" s="18"/>
    </row>
    <row r="102" spans="2:3" x14ac:dyDescent="0.25">
      <c r="B102" s="141"/>
      <c r="C102" s="18"/>
    </row>
    <row r="103" spans="2:3" x14ac:dyDescent="0.25">
      <c r="B103" s="141"/>
      <c r="C103" s="18"/>
    </row>
    <row r="104" spans="2:3" x14ac:dyDescent="0.25">
      <c r="B104" s="141"/>
      <c r="C104" s="18"/>
    </row>
    <row r="105" spans="2:3" x14ac:dyDescent="0.25">
      <c r="B105" s="141"/>
      <c r="C105" s="18"/>
    </row>
    <row r="106" spans="2:3" x14ac:dyDescent="0.25">
      <c r="B106" s="141"/>
      <c r="C106" s="18"/>
    </row>
    <row r="107" spans="2:3" x14ac:dyDescent="0.25">
      <c r="B107" s="141"/>
      <c r="C107" s="18"/>
    </row>
    <row r="108" spans="2:3" x14ac:dyDescent="0.25">
      <c r="B108" s="141"/>
      <c r="C108" s="18"/>
    </row>
    <row r="109" spans="2:3" x14ac:dyDescent="0.25">
      <c r="B109" s="141"/>
      <c r="C109" s="18"/>
    </row>
    <row r="110" spans="2:3" x14ac:dyDescent="0.25">
      <c r="B110" s="141"/>
      <c r="C110" s="18"/>
    </row>
    <row r="111" spans="2:3" x14ac:dyDescent="0.25">
      <c r="B111" s="141"/>
      <c r="C111" s="18"/>
    </row>
    <row r="112" spans="2:3" x14ac:dyDescent="0.25">
      <c r="B112" s="141"/>
      <c r="C112" s="18"/>
    </row>
    <row r="113" spans="2:3" x14ac:dyDescent="0.25">
      <c r="B113" s="141"/>
      <c r="C113" s="1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1:AT77"/>
  <sheetViews>
    <sheetView zoomScale="115" zoomScaleNormal="115" workbookViewId="0">
      <selection activeCell="E4" sqref="E4:E47"/>
    </sheetView>
  </sheetViews>
  <sheetFormatPr defaultColWidth="9.140625" defaultRowHeight="15" x14ac:dyDescent="0.25"/>
  <cols>
    <col min="1" max="1" width="6.85546875" style="2" customWidth="1"/>
    <col min="2" max="2" width="38" style="41" bestFit="1" customWidth="1"/>
    <col min="3" max="3" width="11.7109375" style="41" bestFit="1" customWidth="1"/>
    <col min="4" max="4" width="19.140625" style="41" bestFit="1" customWidth="1"/>
    <col min="5" max="5" width="12.5703125" style="2" bestFit="1" customWidth="1"/>
    <col min="6" max="6" width="9.42578125" style="2" hidden="1" customWidth="1"/>
    <col min="7" max="7" width="9" style="2" hidden="1" customWidth="1"/>
    <col min="8" max="8" width="7.7109375" style="2" hidden="1" customWidth="1"/>
    <col min="9" max="9" width="2" style="2" hidden="1" customWidth="1"/>
    <col min="10" max="11" width="9.140625" style="2" customWidth="1"/>
    <col min="12" max="12" width="8.85546875" style="2" customWidth="1"/>
    <col min="13" max="13" width="14.7109375" style="2" bestFit="1" customWidth="1"/>
    <col min="14" max="15" width="8.85546875" style="2" customWidth="1"/>
    <col min="16" max="17" width="9.140625" style="2" hidden="1" customWidth="1"/>
    <col min="18" max="18" width="2" style="2" hidden="1" customWidth="1"/>
    <col min="19" max="22" width="9.140625" style="2" customWidth="1"/>
    <col min="23" max="16384" width="9.140625" style="2"/>
  </cols>
  <sheetData>
    <row r="1" spans="1:46" ht="31.5" customHeight="1" thickBot="1" x14ac:dyDescent="0.3">
      <c r="B1" s="27" t="s">
        <v>39</v>
      </c>
      <c r="C1" s="28"/>
      <c r="D1" s="29"/>
      <c r="E1" s="29"/>
      <c r="F1" s="29"/>
      <c r="G1" s="29"/>
      <c r="H1" s="29"/>
      <c r="I1" s="29"/>
      <c r="J1" s="29"/>
      <c r="K1" s="29"/>
      <c r="L1" s="48"/>
      <c r="M1" s="49"/>
      <c r="N1" s="20"/>
    </row>
    <row r="2" spans="1:46" s="5" customFormat="1" ht="19.5" customHeight="1" x14ac:dyDescent="0.25">
      <c r="A2" s="30"/>
      <c r="B2" s="194" t="s">
        <v>0</v>
      </c>
      <c r="C2" s="196" t="s">
        <v>33</v>
      </c>
      <c r="D2" s="196" t="s">
        <v>40</v>
      </c>
      <c r="E2" s="192" t="s">
        <v>34</v>
      </c>
      <c r="F2" s="31"/>
      <c r="G2" s="32"/>
      <c r="H2" s="32"/>
      <c r="I2" s="33"/>
      <c r="J2" s="55">
        <f ca="1">TODAY()</f>
        <v>46221</v>
      </c>
      <c r="K2" s="55">
        <f ca="1">TODAY()+1</f>
        <v>46222</v>
      </c>
      <c r="L2" s="55">
        <f ca="1">TODAY()+2</f>
        <v>46223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61.5" customHeight="1" thickBot="1" x14ac:dyDescent="0.3">
      <c r="B3" s="195"/>
      <c r="C3" s="197"/>
      <c r="D3" s="197"/>
      <c r="E3" s="193"/>
      <c r="F3" s="34"/>
      <c r="G3" s="35"/>
      <c r="H3" s="35"/>
      <c r="I3" s="5"/>
      <c r="J3" s="53" t="s">
        <v>35</v>
      </c>
      <c r="K3" s="53" t="s">
        <v>36</v>
      </c>
      <c r="L3" s="54" t="s">
        <v>37</v>
      </c>
      <c r="M3" s="5" t="s">
        <v>169</v>
      </c>
    </row>
    <row r="4" spans="1:46" x14ac:dyDescent="0.25">
      <c r="B4" s="69" t="s">
        <v>143</v>
      </c>
      <c r="C4" s="70" t="s">
        <v>144</v>
      </c>
      <c r="D4" s="71" t="s">
        <v>41</v>
      </c>
      <c r="E4" s="30" t="s">
        <v>216</v>
      </c>
      <c r="F4" s="36"/>
      <c r="G4" s="5"/>
      <c r="H4" s="5"/>
      <c r="I4" s="5"/>
      <c r="J4" s="70">
        <v>0</v>
      </c>
      <c r="K4" s="70">
        <v>0</v>
      </c>
      <c r="L4" s="126">
        <v>0</v>
      </c>
      <c r="M4" s="5">
        <f>SUMIF(FLOAT!D:D,'3 D P'!E4:E73,FLOAT!F:F)</f>
        <v>0</v>
      </c>
    </row>
    <row r="5" spans="1:46" x14ac:dyDescent="0.25">
      <c r="B5" s="21" t="s">
        <v>145</v>
      </c>
      <c r="C5" s="5" t="s">
        <v>144</v>
      </c>
      <c r="D5" s="4" t="s">
        <v>41</v>
      </c>
      <c r="E5" s="72" t="s">
        <v>217</v>
      </c>
      <c r="F5" s="36"/>
      <c r="G5" s="5"/>
      <c r="H5" s="5"/>
      <c r="I5" s="5"/>
      <c r="J5" s="70">
        <v>0</v>
      </c>
      <c r="K5" s="70">
        <v>0</v>
      </c>
      <c r="L5" s="126">
        <v>0</v>
      </c>
      <c r="M5" s="5">
        <f>SUMIF(FLOAT!D:D,'3 D P'!E5:E73,FLOAT!F:F)</f>
        <v>0</v>
      </c>
    </row>
    <row r="6" spans="1:46" x14ac:dyDescent="0.25">
      <c r="B6" s="21" t="s">
        <v>42</v>
      </c>
      <c r="C6" s="5" t="s">
        <v>144</v>
      </c>
      <c r="D6" s="4" t="s">
        <v>41</v>
      </c>
      <c r="E6" s="72" t="s">
        <v>195</v>
      </c>
      <c r="F6" s="36"/>
      <c r="G6" s="5"/>
      <c r="H6" s="5"/>
      <c r="I6" s="5"/>
      <c r="J6" s="70">
        <v>5</v>
      </c>
      <c r="K6" s="70">
        <v>0</v>
      </c>
      <c r="L6" s="126">
        <v>1</v>
      </c>
      <c r="M6" s="5">
        <f>SUMIF(FLOAT!D:D,'3 D P'!E6:E73,FLOAT!F:F)</f>
        <v>2</v>
      </c>
    </row>
    <row r="7" spans="1:46" x14ac:dyDescent="0.25">
      <c r="B7" s="21" t="s">
        <v>146</v>
      </c>
      <c r="C7" s="5" t="s">
        <v>144</v>
      </c>
      <c r="D7" s="4" t="s">
        <v>41</v>
      </c>
      <c r="E7" s="72" t="s">
        <v>201</v>
      </c>
      <c r="F7" s="36"/>
      <c r="G7" s="5"/>
      <c r="H7" s="5"/>
      <c r="I7" s="5"/>
      <c r="J7" s="70">
        <v>18</v>
      </c>
      <c r="K7" s="70">
        <v>30</v>
      </c>
      <c r="L7" s="126">
        <v>5</v>
      </c>
      <c r="M7" s="5">
        <f>SUMIF(FLOAT!D:D,'3 D P'!E7:E73,FLOAT!F:F)</f>
        <v>4</v>
      </c>
    </row>
    <row r="8" spans="1:46" x14ac:dyDescent="0.25">
      <c r="B8" s="21" t="s">
        <v>127</v>
      </c>
      <c r="C8" s="5" t="s">
        <v>144</v>
      </c>
      <c r="D8" s="4" t="s">
        <v>41</v>
      </c>
      <c r="E8" s="72" t="s">
        <v>190</v>
      </c>
      <c r="F8" s="36"/>
      <c r="G8" s="5"/>
      <c r="H8" s="5"/>
      <c r="I8" s="5"/>
      <c r="J8" s="70">
        <v>10</v>
      </c>
      <c r="K8" s="70">
        <v>24</v>
      </c>
      <c r="L8" s="126">
        <v>1</v>
      </c>
      <c r="M8" s="5">
        <f>SUMIF(FLOAT!D:D,'3 D P'!E8:E73,FLOAT!F:F)</f>
        <v>2</v>
      </c>
    </row>
    <row r="9" spans="1:46" x14ac:dyDescent="0.25">
      <c r="B9" s="21" t="s">
        <v>126</v>
      </c>
      <c r="C9" s="5" t="s">
        <v>144</v>
      </c>
      <c r="D9" s="4" t="s">
        <v>41</v>
      </c>
      <c r="E9" s="72" t="s">
        <v>218</v>
      </c>
      <c r="F9" s="36"/>
      <c r="G9" s="5"/>
      <c r="H9" s="5"/>
      <c r="I9" s="5"/>
      <c r="J9" s="70">
        <v>0</v>
      </c>
      <c r="K9" s="70">
        <v>0</v>
      </c>
      <c r="L9" s="126">
        <v>0</v>
      </c>
      <c r="M9" s="5">
        <f>SUMIF(FLOAT!D:D,'3 D P'!E9:E73,FLOAT!F:F)</f>
        <v>0</v>
      </c>
    </row>
    <row r="10" spans="1:46" x14ac:dyDescent="0.25">
      <c r="B10" s="21" t="s">
        <v>147</v>
      </c>
      <c r="C10" s="5" t="s">
        <v>144</v>
      </c>
      <c r="D10" s="4" t="s">
        <v>41</v>
      </c>
      <c r="E10" s="72" t="s">
        <v>219</v>
      </c>
      <c r="F10" s="36"/>
      <c r="G10" s="5"/>
      <c r="H10" s="5"/>
      <c r="I10" s="5"/>
      <c r="J10" s="70">
        <v>0</v>
      </c>
      <c r="K10" s="70">
        <v>0</v>
      </c>
      <c r="L10" s="126">
        <v>0</v>
      </c>
      <c r="M10" s="5">
        <f>SUMIF(FLOAT!D:D,'3 D P'!E10:E73,FLOAT!F:F)</f>
        <v>0</v>
      </c>
    </row>
    <row r="11" spans="1:46" x14ac:dyDescent="0.25">
      <c r="B11" s="21" t="s">
        <v>43</v>
      </c>
      <c r="C11" s="5" t="s">
        <v>144</v>
      </c>
      <c r="D11" s="4" t="s">
        <v>41</v>
      </c>
      <c r="E11" s="72" t="s">
        <v>198</v>
      </c>
      <c r="F11" s="36"/>
      <c r="G11" s="5"/>
      <c r="H11" s="5"/>
      <c r="I11" s="5"/>
      <c r="J11" s="70">
        <v>13</v>
      </c>
      <c r="K11" s="70">
        <v>0</v>
      </c>
      <c r="L11" s="126">
        <v>16</v>
      </c>
      <c r="M11" s="5">
        <f>SUMIF(FLOAT!D:D,'3 D P'!E11:E73,FLOAT!F:F)</f>
        <v>5</v>
      </c>
    </row>
    <row r="12" spans="1:46" x14ac:dyDescent="0.25">
      <c r="B12" s="21" t="s">
        <v>44</v>
      </c>
      <c r="C12" s="5" t="s">
        <v>144</v>
      </c>
      <c r="D12" s="4" t="s">
        <v>41</v>
      </c>
      <c r="E12" s="72" t="s">
        <v>193</v>
      </c>
      <c r="F12" s="36"/>
      <c r="G12" s="5"/>
      <c r="H12" s="5"/>
      <c r="I12" s="5"/>
      <c r="J12" s="70">
        <v>36</v>
      </c>
      <c r="K12" s="70">
        <v>15</v>
      </c>
      <c r="L12" s="126">
        <v>21</v>
      </c>
      <c r="M12" s="5">
        <f>SUMIF(FLOAT!D:D,'3 D P'!E12:E73,FLOAT!F:F)</f>
        <v>13</v>
      </c>
    </row>
    <row r="13" spans="1:46" x14ac:dyDescent="0.25">
      <c r="B13" s="21" t="s">
        <v>148</v>
      </c>
      <c r="C13" s="5" t="s">
        <v>144</v>
      </c>
      <c r="D13" s="4" t="s">
        <v>41</v>
      </c>
      <c r="E13" s="72" t="s">
        <v>194</v>
      </c>
      <c r="F13" s="36"/>
      <c r="G13" s="5"/>
      <c r="H13" s="5"/>
      <c r="I13" s="5"/>
      <c r="J13" s="70">
        <v>178</v>
      </c>
      <c r="K13" s="70">
        <v>144</v>
      </c>
      <c r="L13" s="126">
        <v>0</v>
      </c>
      <c r="M13" s="5">
        <f>SUMIF(FLOAT!D:D,'3 D P'!E13:E73,FLOAT!F:F)</f>
        <v>78</v>
      </c>
    </row>
    <row r="14" spans="1:46" s="37" customFormat="1" x14ac:dyDescent="0.25">
      <c r="B14" s="21" t="s">
        <v>149</v>
      </c>
      <c r="C14" s="5" t="s">
        <v>144</v>
      </c>
      <c r="D14" s="4" t="s">
        <v>41</v>
      </c>
      <c r="E14" s="72" t="s">
        <v>197</v>
      </c>
      <c r="F14" s="22"/>
      <c r="G14" s="23"/>
      <c r="H14" s="23"/>
      <c r="I14" s="24"/>
      <c r="J14" s="70">
        <v>1</v>
      </c>
      <c r="K14" s="70">
        <v>0</v>
      </c>
      <c r="L14" s="126">
        <v>0</v>
      </c>
      <c r="M14" s="5">
        <f>SUMIF(FLOAT!D:D,'3 D P'!E14:E73,FLOAT!F:F)</f>
        <v>59</v>
      </c>
      <c r="Q14" s="2"/>
    </row>
    <row r="15" spans="1:46" x14ac:dyDescent="0.25">
      <c r="B15" s="21" t="s">
        <v>45</v>
      </c>
      <c r="C15" s="5" t="s">
        <v>144</v>
      </c>
      <c r="D15" s="4" t="s">
        <v>41</v>
      </c>
      <c r="E15" s="72" t="s">
        <v>200</v>
      </c>
      <c r="F15" s="36"/>
      <c r="G15" s="5"/>
      <c r="H15" s="5"/>
      <c r="I15" s="5"/>
      <c r="J15" s="70">
        <v>3</v>
      </c>
      <c r="K15" s="70">
        <v>0</v>
      </c>
      <c r="L15" s="126">
        <v>0</v>
      </c>
      <c r="M15" s="5">
        <f>SUMIF(FLOAT!D:D,'3 D P'!E15:E73,FLOAT!F:F)</f>
        <v>13</v>
      </c>
    </row>
    <row r="16" spans="1:46" x14ac:dyDescent="0.25">
      <c r="B16" s="21" t="s">
        <v>46</v>
      </c>
      <c r="C16" s="5" t="s">
        <v>144</v>
      </c>
      <c r="D16" s="4" t="s">
        <v>41</v>
      </c>
      <c r="E16" s="72" t="s">
        <v>203</v>
      </c>
      <c r="F16" s="36"/>
      <c r="G16" s="5"/>
      <c r="H16" s="5"/>
      <c r="I16" s="5"/>
      <c r="J16" s="70">
        <v>1</v>
      </c>
      <c r="K16" s="70">
        <v>0</v>
      </c>
      <c r="L16" s="126">
        <v>0</v>
      </c>
      <c r="M16" s="5">
        <f>SUMIF(FLOAT!D:D,'3 D P'!E16:E73,FLOAT!F:F)</f>
        <v>23</v>
      </c>
    </row>
    <row r="17" spans="2:13" x14ac:dyDescent="0.25">
      <c r="B17" s="38" t="s">
        <v>47</v>
      </c>
      <c r="C17" s="56"/>
      <c r="D17" s="56"/>
      <c r="E17" s="72" t="s">
        <v>199</v>
      </c>
      <c r="F17" s="36"/>
      <c r="G17" s="5"/>
      <c r="H17" s="5"/>
      <c r="I17" s="14"/>
      <c r="J17" s="70">
        <v>97</v>
      </c>
      <c r="K17" s="70">
        <v>112</v>
      </c>
      <c r="L17" s="126">
        <v>225</v>
      </c>
      <c r="M17" s="5">
        <f>SUMIF(FLOAT!D:D,'3 D P'!E17:E73,FLOAT!F:F)</f>
        <v>66</v>
      </c>
    </row>
    <row r="18" spans="2:13" x14ac:dyDescent="0.25">
      <c r="B18" s="21" t="s">
        <v>48</v>
      </c>
      <c r="C18" s="5" t="s">
        <v>150</v>
      </c>
      <c r="D18" s="4" t="s">
        <v>50</v>
      </c>
      <c r="E18" s="72" t="s">
        <v>211</v>
      </c>
      <c r="F18" s="36"/>
      <c r="G18" s="5"/>
      <c r="H18" s="5"/>
      <c r="I18" s="5"/>
      <c r="J18" s="70">
        <v>13</v>
      </c>
      <c r="K18" s="70">
        <v>40</v>
      </c>
      <c r="L18" s="126">
        <v>11</v>
      </c>
      <c r="M18" s="5">
        <f>SUMIF(FLOAT!D:D,'3 D P'!E18:E73,FLOAT!F:F)</f>
        <v>23</v>
      </c>
    </row>
    <row r="19" spans="2:13" x14ac:dyDescent="0.25">
      <c r="B19" s="21" t="s">
        <v>151</v>
      </c>
      <c r="C19" s="5" t="s">
        <v>150</v>
      </c>
      <c r="D19" s="4" t="s">
        <v>50</v>
      </c>
      <c r="E19" s="72" t="s">
        <v>202</v>
      </c>
      <c r="F19" s="36"/>
      <c r="G19" s="5"/>
      <c r="H19" s="5"/>
      <c r="I19" s="5"/>
      <c r="J19" s="70">
        <v>132</v>
      </c>
      <c r="K19" s="70">
        <v>234</v>
      </c>
      <c r="L19" s="126">
        <v>277</v>
      </c>
      <c r="M19" s="5">
        <f>SUMIF(FLOAT!D:D,'3 D P'!E19:E73,FLOAT!F:F)</f>
        <v>97</v>
      </c>
    </row>
    <row r="20" spans="2:13" x14ac:dyDescent="0.25">
      <c r="B20" s="21" t="s">
        <v>152</v>
      </c>
      <c r="C20" s="5" t="s">
        <v>150</v>
      </c>
      <c r="D20" s="4" t="s">
        <v>50</v>
      </c>
      <c r="E20" s="72" t="s">
        <v>213</v>
      </c>
      <c r="F20" s="36"/>
      <c r="G20" s="5"/>
      <c r="H20" s="5"/>
      <c r="I20" s="5"/>
      <c r="J20" s="70">
        <v>29</v>
      </c>
      <c r="K20" s="70">
        <v>10</v>
      </c>
      <c r="L20" s="126">
        <v>21</v>
      </c>
      <c r="M20" s="5">
        <f>SUMIF(FLOAT!D:D,'3 D P'!E20:E73,FLOAT!F:F)</f>
        <v>27</v>
      </c>
    </row>
    <row r="21" spans="2:13" x14ac:dyDescent="0.25">
      <c r="B21" s="21" t="s">
        <v>65</v>
      </c>
      <c r="C21" s="5" t="s">
        <v>150</v>
      </c>
      <c r="D21" s="4" t="s">
        <v>51</v>
      </c>
      <c r="E21" s="72" t="s">
        <v>207</v>
      </c>
      <c r="F21" s="36"/>
      <c r="G21" s="5"/>
      <c r="H21" s="5"/>
      <c r="I21" s="5"/>
      <c r="J21" s="70">
        <v>1</v>
      </c>
      <c r="K21" s="70">
        <v>0</v>
      </c>
      <c r="L21" s="126">
        <v>0</v>
      </c>
      <c r="M21" s="5">
        <f>SUMIF(FLOAT!D:D,'3 D P'!E21:E73,FLOAT!F:F)</f>
        <v>7</v>
      </c>
    </row>
    <row r="22" spans="2:13" x14ac:dyDescent="0.25">
      <c r="B22" s="21" t="s">
        <v>153</v>
      </c>
      <c r="C22" s="5" t="s">
        <v>150</v>
      </c>
      <c r="D22" s="4" t="s">
        <v>50</v>
      </c>
      <c r="E22" s="72" t="s">
        <v>206</v>
      </c>
      <c r="F22" s="36"/>
      <c r="G22" s="5"/>
      <c r="H22" s="5"/>
      <c r="I22" s="5"/>
      <c r="J22" s="70">
        <v>28</v>
      </c>
      <c r="K22" s="70">
        <v>5</v>
      </c>
      <c r="L22" s="126">
        <v>36</v>
      </c>
      <c r="M22" s="5">
        <f>SUMIF(FLOAT!D:D,'3 D P'!E22:E73,FLOAT!F:F)</f>
        <v>12</v>
      </c>
    </row>
    <row r="23" spans="2:13" x14ac:dyDescent="0.25">
      <c r="B23" s="21" t="s">
        <v>154</v>
      </c>
      <c r="C23" s="5" t="s">
        <v>150</v>
      </c>
      <c r="D23" s="4" t="s">
        <v>50</v>
      </c>
      <c r="E23" s="72" t="s">
        <v>196</v>
      </c>
      <c r="F23" s="36"/>
      <c r="G23" s="5"/>
      <c r="H23" s="5"/>
      <c r="I23" s="5"/>
      <c r="J23" s="70">
        <v>14</v>
      </c>
      <c r="K23" s="70">
        <v>34</v>
      </c>
      <c r="L23" s="126">
        <v>46</v>
      </c>
      <c r="M23" s="5">
        <f>SUMIF(FLOAT!D:D,'3 D P'!E23:E73,FLOAT!F:F)</f>
        <v>17</v>
      </c>
    </row>
    <row r="24" spans="2:13" x14ac:dyDescent="0.25">
      <c r="B24" s="21" t="s">
        <v>155</v>
      </c>
      <c r="C24" s="5" t="s">
        <v>150</v>
      </c>
      <c r="D24" s="4" t="s">
        <v>50</v>
      </c>
      <c r="E24" s="72" t="s">
        <v>209</v>
      </c>
      <c r="F24" s="36"/>
      <c r="G24" s="5"/>
      <c r="H24" s="5"/>
      <c r="I24" s="5"/>
      <c r="J24" s="70">
        <v>15</v>
      </c>
      <c r="K24" s="70">
        <v>30</v>
      </c>
      <c r="L24" s="126">
        <v>67</v>
      </c>
      <c r="M24" s="5">
        <f>SUMIF(FLOAT!D:D,'3 D P'!E24:E73,FLOAT!F:F)</f>
        <v>16</v>
      </c>
    </row>
    <row r="25" spans="2:13" x14ac:dyDescent="0.25">
      <c r="B25" s="21" t="s">
        <v>156</v>
      </c>
      <c r="C25" s="5" t="s">
        <v>150</v>
      </c>
      <c r="D25" s="4" t="s">
        <v>52</v>
      </c>
      <c r="E25" s="72" t="s">
        <v>205</v>
      </c>
      <c r="F25" s="36"/>
      <c r="G25" s="5"/>
      <c r="H25" s="5"/>
      <c r="I25" s="5"/>
      <c r="J25" s="70">
        <v>32</v>
      </c>
      <c r="K25" s="70">
        <v>19</v>
      </c>
      <c r="L25" s="126">
        <v>6</v>
      </c>
      <c r="M25" s="5">
        <f>SUMIF(FLOAT!D:D,'3 D P'!E25:E73,FLOAT!F:F)</f>
        <v>4</v>
      </c>
    </row>
    <row r="26" spans="2:13" x14ac:dyDescent="0.25">
      <c r="B26" s="21" t="s">
        <v>157</v>
      </c>
      <c r="C26" s="5" t="s">
        <v>150</v>
      </c>
      <c r="D26" s="4" t="s">
        <v>50</v>
      </c>
      <c r="E26" s="72" t="s">
        <v>188</v>
      </c>
      <c r="F26" s="36"/>
      <c r="G26" s="5"/>
      <c r="H26" s="5"/>
      <c r="I26" s="5"/>
      <c r="J26" s="70">
        <v>2</v>
      </c>
      <c r="K26" s="70">
        <v>0</v>
      </c>
      <c r="L26" s="126">
        <v>0</v>
      </c>
      <c r="M26" s="5">
        <f>SUMIF(FLOAT!D:D,'3 D P'!E26:E73,FLOAT!F:F)</f>
        <v>13</v>
      </c>
    </row>
    <row r="27" spans="2:13" x14ac:dyDescent="0.25">
      <c r="B27" s="21" t="s">
        <v>158</v>
      </c>
      <c r="C27" s="5" t="s">
        <v>150</v>
      </c>
      <c r="D27" s="4" t="s">
        <v>50</v>
      </c>
      <c r="E27" s="72" t="s">
        <v>210</v>
      </c>
      <c r="F27" s="36"/>
      <c r="G27" s="5"/>
      <c r="H27" s="5"/>
      <c r="I27" s="5"/>
      <c r="J27" s="70">
        <v>27</v>
      </c>
      <c r="K27" s="70">
        <v>17</v>
      </c>
      <c r="L27" s="126">
        <v>1</v>
      </c>
      <c r="M27" s="5">
        <f>SUMIF(FLOAT!D:D,'3 D P'!E27:E73,FLOAT!F:F)</f>
        <v>34</v>
      </c>
    </row>
    <row r="28" spans="2:13" x14ac:dyDescent="0.25">
      <c r="B28" s="21" t="s">
        <v>159</v>
      </c>
      <c r="C28" s="5" t="s">
        <v>150</v>
      </c>
      <c r="D28" s="4" t="s">
        <v>50</v>
      </c>
      <c r="E28" s="72" t="s">
        <v>191</v>
      </c>
      <c r="F28" s="36"/>
      <c r="G28" s="5"/>
      <c r="H28" s="5"/>
      <c r="I28" s="5"/>
      <c r="J28" s="70">
        <v>28</v>
      </c>
      <c r="K28" s="70">
        <v>0</v>
      </c>
      <c r="L28" s="126">
        <v>0</v>
      </c>
      <c r="M28" s="5">
        <f>SUMIF(FLOAT!D:D,'3 D P'!E28:E73,FLOAT!F:F)</f>
        <v>11</v>
      </c>
    </row>
    <row r="29" spans="2:13" x14ac:dyDescent="0.25">
      <c r="B29" s="21" t="s">
        <v>53</v>
      </c>
      <c r="C29" s="5" t="s">
        <v>150</v>
      </c>
      <c r="D29" s="4" t="s">
        <v>52</v>
      </c>
      <c r="E29" s="72" t="s">
        <v>204</v>
      </c>
      <c r="F29" s="36"/>
      <c r="G29" s="5"/>
      <c r="H29" s="5"/>
      <c r="I29" s="5"/>
      <c r="J29" s="70">
        <v>42</v>
      </c>
      <c r="K29" s="70">
        <v>0</v>
      </c>
      <c r="L29" s="126">
        <v>0</v>
      </c>
      <c r="M29" s="5">
        <f>SUMIF(FLOAT!D:D,'3 D P'!E29:E73,FLOAT!F:F)</f>
        <v>20</v>
      </c>
    </row>
    <row r="30" spans="2:13" x14ac:dyDescent="0.25">
      <c r="B30" s="21" t="s">
        <v>54</v>
      </c>
      <c r="C30" s="5" t="s">
        <v>150</v>
      </c>
      <c r="D30" s="4" t="s">
        <v>52</v>
      </c>
      <c r="E30" s="72" t="s">
        <v>220</v>
      </c>
      <c r="F30" s="36"/>
      <c r="G30" s="5"/>
      <c r="H30" s="5"/>
      <c r="I30" s="5"/>
      <c r="J30" s="70">
        <v>0</v>
      </c>
      <c r="K30" s="70">
        <v>0</v>
      </c>
      <c r="L30" s="126">
        <v>0</v>
      </c>
      <c r="M30" s="5">
        <f>SUMIF(FLOAT!D:D,'3 D P'!E30:E73,FLOAT!F:F)</f>
        <v>0</v>
      </c>
    </row>
    <row r="31" spans="2:13" x14ac:dyDescent="0.25">
      <c r="B31" s="21" t="s">
        <v>160</v>
      </c>
      <c r="C31" s="5" t="s">
        <v>150</v>
      </c>
      <c r="D31" s="4" t="s">
        <v>52</v>
      </c>
      <c r="E31" s="124" t="s">
        <v>214</v>
      </c>
      <c r="F31" s="36"/>
      <c r="G31" s="5"/>
      <c r="H31" s="5"/>
      <c r="I31" s="5"/>
      <c r="J31" s="70">
        <v>3</v>
      </c>
      <c r="K31" s="70">
        <v>0</v>
      </c>
      <c r="L31" s="126">
        <v>0</v>
      </c>
      <c r="M31" s="5">
        <f>SUMIF(FLOAT!D:D,'3 D P'!E31:E73,FLOAT!F:F)</f>
        <v>13</v>
      </c>
    </row>
    <row r="32" spans="2:13" x14ac:dyDescent="0.25">
      <c r="B32" s="21" t="s">
        <v>161</v>
      </c>
      <c r="C32" s="5" t="s">
        <v>150</v>
      </c>
      <c r="D32" s="4" t="s">
        <v>51</v>
      </c>
      <c r="E32" s="124" t="s">
        <v>221</v>
      </c>
      <c r="F32" s="36"/>
      <c r="G32" s="5"/>
      <c r="H32" s="5"/>
      <c r="I32" s="5"/>
      <c r="J32" s="70">
        <v>0</v>
      </c>
      <c r="K32" s="70">
        <v>0</v>
      </c>
      <c r="L32" s="126">
        <v>0</v>
      </c>
      <c r="M32" s="5">
        <f>SUMIF(FLOAT!D:D,'3 D P'!E32:E73,FLOAT!F:F)</f>
        <v>0</v>
      </c>
    </row>
    <row r="33" spans="2:13" x14ac:dyDescent="0.25">
      <c r="B33" s="21" t="s">
        <v>55</v>
      </c>
      <c r="C33" s="5" t="s">
        <v>150</v>
      </c>
      <c r="D33" s="4" t="s">
        <v>52</v>
      </c>
      <c r="E33" s="147" t="s">
        <v>517</v>
      </c>
      <c r="F33" s="36"/>
      <c r="G33" s="5"/>
      <c r="H33" s="5"/>
      <c r="I33" s="5"/>
      <c r="J33" s="70">
        <v>0</v>
      </c>
      <c r="K33" s="70">
        <v>0</v>
      </c>
      <c r="L33" s="126">
        <v>0</v>
      </c>
      <c r="M33" s="5">
        <f>SUMIF(FLOAT!D:D,'3 D P'!E33:E73,FLOAT!F:F)</f>
        <v>0</v>
      </c>
    </row>
    <row r="34" spans="2:13" x14ac:dyDescent="0.25">
      <c r="B34" s="21" t="s">
        <v>123</v>
      </c>
      <c r="C34" s="5" t="s">
        <v>150</v>
      </c>
      <c r="D34" s="4" t="s">
        <v>50</v>
      </c>
      <c r="E34" s="147" t="s">
        <v>516</v>
      </c>
      <c r="F34" s="36"/>
      <c r="G34" s="5"/>
      <c r="H34" s="5"/>
      <c r="I34" s="5"/>
      <c r="J34" s="70">
        <v>0</v>
      </c>
      <c r="K34" s="70">
        <v>0</v>
      </c>
      <c r="L34" s="126">
        <v>0</v>
      </c>
      <c r="M34" s="5">
        <f>SUMIF(FLOAT!D:D,'3 D P'!E34:E73,FLOAT!F:F)</f>
        <v>0</v>
      </c>
    </row>
    <row r="35" spans="2:13" x14ac:dyDescent="0.25">
      <c r="B35" s="21" t="s">
        <v>124</v>
      </c>
      <c r="C35" s="5" t="s">
        <v>150</v>
      </c>
      <c r="D35" s="4" t="s">
        <v>52</v>
      </c>
      <c r="E35" s="147" t="s">
        <v>518</v>
      </c>
      <c r="F35" s="36"/>
      <c r="G35" s="5"/>
      <c r="H35" s="5"/>
      <c r="I35" s="5"/>
      <c r="J35" s="70">
        <v>0</v>
      </c>
      <c r="K35" s="70">
        <v>0</v>
      </c>
      <c r="L35" s="126">
        <v>0</v>
      </c>
      <c r="M35" s="5">
        <f>SUMIF(FLOAT!D:D,'3 D P'!E35:E73,FLOAT!F:F)</f>
        <v>0</v>
      </c>
    </row>
    <row r="36" spans="2:13" x14ac:dyDescent="0.25">
      <c r="B36" s="21" t="s">
        <v>119</v>
      </c>
      <c r="C36" s="5" t="s">
        <v>150</v>
      </c>
      <c r="D36" s="4" t="s">
        <v>52</v>
      </c>
      <c r="E36" s="72" t="s">
        <v>222</v>
      </c>
      <c r="F36" s="36"/>
      <c r="G36" s="5"/>
      <c r="H36" s="5"/>
      <c r="I36" s="5"/>
      <c r="J36" s="70">
        <v>0</v>
      </c>
      <c r="K36" s="70">
        <v>0</v>
      </c>
      <c r="L36" s="126">
        <v>0</v>
      </c>
      <c r="M36" s="5">
        <f>SUMIF(FLOAT!D:D,'3 D P'!E36:E73,FLOAT!F:F)</f>
        <v>0</v>
      </c>
    </row>
    <row r="37" spans="2:13" x14ac:dyDescent="0.25">
      <c r="B37" s="21" t="s">
        <v>128</v>
      </c>
      <c r="C37" s="5" t="s">
        <v>150</v>
      </c>
      <c r="D37" s="4" t="s">
        <v>52</v>
      </c>
      <c r="E37" s="72" t="s">
        <v>223</v>
      </c>
      <c r="F37" s="36"/>
      <c r="G37" s="5"/>
      <c r="H37" s="5"/>
      <c r="I37" s="5"/>
      <c r="J37" s="70">
        <v>0</v>
      </c>
      <c r="K37" s="70">
        <v>0</v>
      </c>
      <c r="L37" s="126">
        <v>0</v>
      </c>
      <c r="M37" s="5">
        <f>SUMIF(FLOAT!D:D,'3 D P'!E37:E73,FLOAT!F:F)</f>
        <v>0</v>
      </c>
    </row>
    <row r="38" spans="2:13" x14ac:dyDescent="0.25">
      <c r="B38" s="21" t="s">
        <v>162</v>
      </c>
      <c r="C38" s="5" t="s">
        <v>150</v>
      </c>
      <c r="D38" s="4" t="s">
        <v>50</v>
      </c>
      <c r="E38" s="72" t="s">
        <v>192</v>
      </c>
      <c r="F38" s="36"/>
      <c r="G38" s="5"/>
      <c r="H38" s="5"/>
      <c r="I38" s="5"/>
      <c r="J38" s="70">
        <v>1</v>
      </c>
      <c r="K38" s="70">
        <v>0</v>
      </c>
      <c r="L38" s="126">
        <v>1</v>
      </c>
      <c r="M38" s="5">
        <f>SUMIF(FLOAT!D:D,'3 D P'!E38:E73,FLOAT!F:F)</f>
        <v>1</v>
      </c>
    </row>
    <row r="39" spans="2:13" x14ac:dyDescent="0.25">
      <c r="B39" s="21" t="s">
        <v>163</v>
      </c>
      <c r="C39" s="5" t="s">
        <v>150</v>
      </c>
      <c r="D39" s="4" t="s">
        <v>52</v>
      </c>
      <c r="E39" s="72" t="s">
        <v>187</v>
      </c>
      <c r="F39" s="36"/>
      <c r="G39" s="5"/>
      <c r="H39" s="5"/>
      <c r="I39" s="5"/>
      <c r="J39" s="127">
        <v>1</v>
      </c>
      <c r="K39" s="127">
        <v>0</v>
      </c>
      <c r="L39" s="127">
        <v>0</v>
      </c>
      <c r="M39" s="5">
        <f>SUMIF(FLOAT!D:D,'3 D P'!E39:E73,FLOAT!F:F)</f>
        <v>2</v>
      </c>
    </row>
    <row r="40" spans="2:13" x14ac:dyDescent="0.25">
      <c r="B40" s="21" t="s">
        <v>56</v>
      </c>
      <c r="C40" s="5" t="s">
        <v>150</v>
      </c>
      <c r="D40" s="4" t="s">
        <v>50</v>
      </c>
      <c r="E40" s="72" t="s">
        <v>189</v>
      </c>
      <c r="F40" s="36"/>
      <c r="G40" s="5"/>
      <c r="H40" s="5"/>
      <c r="I40" s="5"/>
      <c r="J40" s="70">
        <v>10</v>
      </c>
      <c r="K40" s="70">
        <v>21</v>
      </c>
      <c r="L40" s="126">
        <v>0</v>
      </c>
      <c r="M40" s="5">
        <f>SUMIF(FLOAT!D:D,'3 D P'!E40:E73,FLOAT!F:F)</f>
        <v>3</v>
      </c>
    </row>
    <row r="41" spans="2:13" ht="15" customHeight="1" x14ac:dyDescent="0.25">
      <c r="B41" s="21" t="s">
        <v>57</v>
      </c>
      <c r="C41" s="5" t="s">
        <v>150</v>
      </c>
      <c r="D41" s="4" t="s">
        <v>50</v>
      </c>
      <c r="E41" s="125"/>
      <c r="F41" s="36"/>
      <c r="G41" s="5"/>
      <c r="H41" s="5"/>
      <c r="I41" s="5"/>
      <c r="J41" s="70">
        <v>740</v>
      </c>
      <c r="K41" s="70">
        <v>735</v>
      </c>
      <c r="L41" s="126">
        <v>735</v>
      </c>
      <c r="M41" s="5">
        <f>SUMIF(FLOAT!D:D,'3 D P'!E41:E73,FLOAT!F:F)</f>
        <v>0</v>
      </c>
    </row>
    <row r="42" spans="2:13" ht="15" customHeight="1" x14ac:dyDescent="0.25">
      <c r="B42" s="21" t="s">
        <v>58</v>
      </c>
      <c r="C42" s="5" t="s">
        <v>150</v>
      </c>
      <c r="D42" s="4" t="s">
        <v>50</v>
      </c>
      <c r="E42" s="72" t="s">
        <v>229</v>
      </c>
      <c r="F42" s="36"/>
      <c r="G42" s="5"/>
      <c r="H42" s="5"/>
      <c r="I42" s="5"/>
      <c r="J42" s="70">
        <v>78</v>
      </c>
      <c r="K42" s="70">
        <v>37</v>
      </c>
      <c r="L42" s="126">
        <v>115</v>
      </c>
      <c r="M42" s="5">
        <f>SUMIF(FLOAT!D:D,'3 D P'!E42:E73,FLOAT!F:F)</f>
        <v>115</v>
      </c>
    </row>
    <row r="43" spans="2:13" ht="15" customHeight="1" x14ac:dyDescent="0.25">
      <c r="B43" s="21" t="s">
        <v>164</v>
      </c>
      <c r="C43" s="5" t="s">
        <v>150</v>
      </c>
      <c r="D43" s="4" t="s">
        <v>50</v>
      </c>
      <c r="E43" s="72" t="s">
        <v>233</v>
      </c>
      <c r="F43" s="36"/>
      <c r="G43" s="5"/>
      <c r="H43" s="5"/>
      <c r="I43" s="5"/>
      <c r="J43" s="70">
        <v>0</v>
      </c>
      <c r="K43" s="70">
        <v>0</v>
      </c>
      <c r="L43" s="126">
        <v>0</v>
      </c>
      <c r="M43" s="5">
        <f>SUMIF(FLOAT!D:D,'3 D P'!E43:E73,FLOAT!F:F)</f>
        <v>0</v>
      </c>
    </row>
    <row r="44" spans="2:13" ht="15" customHeight="1" x14ac:dyDescent="0.25">
      <c r="B44" s="21" t="s">
        <v>59</v>
      </c>
      <c r="C44" s="5" t="s">
        <v>150</v>
      </c>
      <c r="D44" s="4" t="s">
        <v>50</v>
      </c>
      <c r="E44" s="72" t="s">
        <v>228</v>
      </c>
      <c r="F44" s="36"/>
      <c r="G44" s="5"/>
      <c r="H44" s="5"/>
      <c r="I44" s="5"/>
      <c r="J44" s="70">
        <v>0</v>
      </c>
      <c r="K44" s="70">
        <v>0</v>
      </c>
      <c r="L44" s="126">
        <v>0</v>
      </c>
      <c r="M44" s="5">
        <f>SUMIF(FLOAT!D:D,'3 D P'!E44:E73,FLOAT!F:F)</f>
        <v>0</v>
      </c>
    </row>
    <row r="45" spans="2:13" ht="15" customHeight="1" x14ac:dyDescent="0.25">
      <c r="B45" s="21" t="s">
        <v>60</v>
      </c>
      <c r="C45" s="5" t="s">
        <v>150</v>
      </c>
      <c r="D45" s="4" t="s">
        <v>50</v>
      </c>
      <c r="E45" s="72" t="s">
        <v>234</v>
      </c>
      <c r="F45" s="36"/>
      <c r="G45" s="5"/>
      <c r="H45" s="5"/>
      <c r="I45" s="5"/>
      <c r="J45" s="70">
        <v>1</v>
      </c>
      <c r="K45" s="70">
        <v>51</v>
      </c>
      <c r="L45" s="126">
        <v>49</v>
      </c>
      <c r="M45" s="5">
        <f>SUMIF(FLOAT!D:D,'3 D P'!E45:E73,FLOAT!F:F)</f>
        <v>10</v>
      </c>
    </row>
    <row r="46" spans="2:13" ht="15" customHeight="1" x14ac:dyDescent="0.25">
      <c r="B46" s="21" t="s">
        <v>58</v>
      </c>
      <c r="C46" s="5" t="s">
        <v>150</v>
      </c>
      <c r="D46" s="4" t="s">
        <v>50</v>
      </c>
      <c r="E46" s="72" t="s">
        <v>212</v>
      </c>
      <c r="F46" s="36"/>
      <c r="G46" s="5"/>
      <c r="H46" s="5"/>
      <c r="I46" s="5"/>
      <c r="J46" s="70">
        <v>81</v>
      </c>
      <c r="K46" s="70">
        <v>77</v>
      </c>
      <c r="L46" s="126">
        <v>1</v>
      </c>
      <c r="M46" s="5">
        <f>SUMIF(FLOAT!D:D,'3 D P'!E46:E73,FLOAT!F:F)</f>
        <v>52</v>
      </c>
    </row>
    <row r="47" spans="2:13" ht="15" customHeight="1" x14ac:dyDescent="0.25">
      <c r="B47" s="39" t="s">
        <v>61</v>
      </c>
      <c r="C47" s="5" t="s">
        <v>150</v>
      </c>
      <c r="D47" s="4" t="s">
        <v>52</v>
      </c>
      <c r="E47" s="72" t="s">
        <v>235</v>
      </c>
      <c r="F47" s="36"/>
      <c r="G47" s="5"/>
      <c r="H47" s="5"/>
      <c r="I47" s="5"/>
      <c r="J47" s="70">
        <v>0</v>
      </c>
      <c r="K47" s="70">
        <v>0</v>
      </c>
      <c r="L47" s="126">
        <v>0</v>
      </c>
      <c r="M47" s="5">
        <f>SUMIF(FLOAT!D:D,'3 D P'!E47:E73,FLOAT!F:F)</f>
        <v>4</v>
      </c>
    </row>
    <row r="48" spans="2:13" ht="15" customHeight="1" x14ac:dyDescent="0.25">
      <c r="B48" s="39" t="s">
        <v>62</v>
      </c>
      <c r="C48" s="5" t="s">
        <v>150</v>
      </c>
      <c r="D48" s="4" t="s">
        <v>51</v>
      </c>
      <c r="E48" s="72" t="s">
        <v>228</v>
      </c>
      <c r="F48" s="36"/>
      <c r="G48" s="5"/>
      <c r="H48" s="5"/>
      <c r="I48" s="5"/>
      <c r="J48" s="70">
        <v>0</v>
      </c>
      <c r="K48" s="70">
        <v>0</v>
      </c>
      <c r="L48" s="126">
        <v>0</v>
      </c>
      <c r="M48" s="5">
        <f>SUMIF(FLOAT!D:D,'3 D P'!E48:E73,FLOAT!F:F)</f>
        <v>0</v>
      </c>
    </row>
    <row r="49" spans="2:17" ht="15" customHeight="1" x14ac:dyDescent="0.25">
      <c r="B49" s="21" t="s">
        <v>165</v>
      </c>
      <c r="C49" s="5" t="s">
        <v>150</v>
      </c>
      <c r="D49" s="4" t="s">
        <v>166</v>
      </c>
      <c r="E49" s="72" t="s">
        <v>234</v>
      </c>
      <c r="F49" s="36"/>
      <c r="G49" s="5"/>
      <c r="H49" s="5"/>
      <c r="I49" s="5"/>
      <c r="J49" s="70">
        <v>2</v>
      </c>
      <c r="K49" s="70">
        <v>0</v>
      </c>
      <c r="L49" s="126">
        <v>0</v>
      </c>
      <c r="M49" s="5">
        <f>SUMIF(FLOAT!D:D,'3 D P'!E49:E73,FLOAT!F:F)</f>
        <v>10</v>
      </c>
    </row>
    <row r="50" spans="2:17" s="37" customFormat="1" x14ac:dyDescent="0.25">
      <c r="B50" s="21" t="s">
        <v>125</v>
      </c>
      <c r="C50" s="5" t="s">
        <v>150</v>
      </c>
      <c r="D50" s="4" t="s">
        <v>166</v>
      </c>
      <c r="E50" s="72" t="s">
        <v>24</v>
      </c>
      <c r="F50" s="22"/>
      <c r="G50" s="23"/>
      <c r="H50" s="23"/>
      <c r="I50" s="25"/>
      <c r="J50" s="70">
        <v>0</v>
      </c>
      <c r="K50" s="70">
        <v>0</v>
      </c>
      <c r="L50" s="126">
        <v>0</v>
      </c>
      <c r="M50" s="5">
        <f>SUMIF(FLOAT!D:D,'3 D P'!E50:E73,FLOAT!F:F)</f>
        <v>0</v>
      </c>
      <c r="Q50" s="2"/>
    </row>
    <row r="51" spans="2:17" x14ac:dyDescent="0.25">
      <c r="B51" s="21" t="s">
        <v>129</v>
      </c>
      <c r="C51" s="5" t="s">
        <v>150</v>
      </c>
      <c r="D51" s="4" t="s">
        <v>166</v>
      </c>
      <c r="E51" s="72" t="s">
        <v>26</v>
      </c>
      <c r="F51" s="36"/>
      <c r="G51" s="5"/>
      <c r="H51" s="5"/>
      <c r="I51" s="14"/>
      <c r="J51" s="70">
        <v>0</v>
      </c>
      <c r="K51" s="70">
        <v>0</v>
      </c>
      <c r="L51" s="126">
        <v>0</v>
      </c>
      <c r="M51" s="5">
        <f>SUMIF(FLOAT!D:D,'3 D P'!E51:E73,FLOAT!F:F)</f>
        <v>0</v>
      </c>
    </row>
    <row r="52" spans="2:17" x14ac:dyDescent="0.25">
      <c r="B52" s="39" t="s">
        <v>120</v>
      </c>
      <c r="C52" s="5" t="s">
        <v>150</v>
      </c>
      <c r="D52" s="4" t="s">
        <v>50</v>
      </c>
      <c r="E52" s="72" t="s">
        <v>25</v>
      </c>
      <c r="F52" s="36"/>
      <c r="G52" s="5"/>
      <c r="H52" s="5"/>
      <c r="I52" s="14"/>
      <c r="J52" s="70">
        <v>0</v>
      </c>
      <c r="K52" s="70">
        <v>0</v>
      </c>
      <c r="L52" s="126">
        <v>0</v>
      </c>
      <c r="M52" s="5">
        <f>SUMIF(FLOAT!D:D,'3 D P'!E52:E73,FLOAT!F:F)</f>
        <v>0</v>
      </c>
    </row>
    <row r="53" spans="2:17" x14ac:dyDescent="0.25">
      <c r="B53" s="39" t="s">
        <v>63</v>
      </c>
      <c r="C53" s="5" t="s">
        <v>150</v>
      </c>
      <c r="D53" s="4" t="s">
        <v>52</v>
      </c>
      <c r="E53" s="72" t="s">
        <v>142</v>
      </c>
      <c r="F53" s="36"/>
      <c r="G53" s="5"/>
      <c r="H53" s="5"/>
      <c r="I53" s="5"/>
      <c r="J53" s="70">
        <v>0</v>
      </c>
      <c r="K53" s="70">
        <v>0</v>
      </c>
      <c r="L53" s="126">
        <v>0</v>
      </c>
      <c r="M53" s="5">
        <f>SUMIF(FLOAT!D:D,'3 D P'!E53:E73,FLOAT!F:F)</f>
        <v>0</v>
      </c>
    </row>
    <row r="54" spans="2:17" x14ac:dyDescent="0.25">
      <c r="B54" s="39" t="s">
        <v>64</v>
      </c>
      <c r="C54" s="5" t="s">
        <v>150</v>
      </c>
      <c r="D54" s="4" t="s">
        <v>52</v>
      </c>
      <c r="E54" s="72" t="s">
        <v>141</v>
      </c>
      <c r="F54" s="36"/>
      <c r="G54" s="5"/>
      <c r="H54" s="5"/>
      <c r="I54" s="5"/>
      <c r="J54" s="70">
        <v>0</v>
      </c>
      <c r="K54" s="70">
        <v>0</v>
      </c>
      <c r="L54" s="126">
        <v>0</v>
      </c>
      <c r="M54" s="5">
        <f>SUMIF(FLOAT!D:D,'3 D P'!E54:E73,FLOAT!F:F)</f>
        <v>0</v>
      </c>
    </row>
    <row r="55" spans="2:17" x14ac:dyDescent="0.25">
      <c r="B55" s="39" t="s">
        <v>65</v>
      </c>
      <c r="C55" s="5" t="s">
        <v>150</v>
      </c>
      <c r="D55" s="4" t="s">
        <v>51</v>
      </c>
      <c r="E55" s="72" t="s">
        <v>83</v>
      </c>
      <c r="F55" s="36"/>
      <c r="G55" s="5"/>
      <c r="H55" s="5"/>
      <c r="I55" s="5"/>
      <c r="J55" s="70">
        <v>0</v>
      </c>
      <c r="K55" s="70">
        <v>0</v>
      </c>
      <c r="L55" s="126">
        <v>0</v>
      </c>
      <c r="M55" s="5">
        <f>SUMIF(FLOAT!D:D,'3 D P'!E55:E73,FLOAT!F:F)</f>
        <v>0</v>
      </c>
    </row>
    <row r="56" spans="2:17" x14ac:dyDescent="0.25">
      <c r="B56" s="39" t="s">
        <v>66</v>
      </c>
      <c r="C56" s="5" t="s">
        <v>150</v>
      </c>
      <c r="D56" s="4" t="s">
        <v>52</v>
      </c>
      <c r="E56" s="72" t="s">
        <v>84</v>
      </c>
      <c r="F56" s="36"/>
      <c r="G56" s="5"/>
      <c r="H56" s="5"/>
      <c r="I56" s="5"/>
      <c r="J56" s="70">
        <v>0</v>
      </c>
      <c r="K56" s="70">
        <v>0</v>
      </c>
      <c r="L56" s="126">
        <v>0</v>
      </c>
      <c r="M56" s="5">
        <f>SUMIF(FLOAT!D:D,'3 D P'!E56:E73,FLOAT!F:F)</f>
        <v>0</v>
      </c>
    </row>
    <row r="57" spans="2:17" s="37" customFormat="1" x14ac:dyDescent="0.25">
      <c r="B57" s="39" t="s">
        <v>67</v>
      </c>
      <c r="C57" s="5" t="s">
        <v>150</v>
      </c>
      <c r="D57" s="4" t="s">
        <v>50</v>
      </c>
      <c r="E57" s="72" t="s">
        <v>85</v>
      </c>
      <c r="F57" s="22"/>
      <c r="G57" s="23"/>
      <c r="H57" s="23"/>
      <c r="I57" s="25"/>
      <c r="J57" s="70">
        <v>0</v>
      </c>
      <c r="K57" s="70">
        <v>0</v>
      </c>
      <c r="L57" s="126">
        <v>0</v>
      </c>
      <c r="M57" s="5">
        <f>SUMIF(FLOAT!D:D,'3 D P'!E57:E73,FLOAT!F:F)</f>
        <v>0</v>
      </c>
      <c r="Q57" s="2"/>
    </row>
    <row r="58" spans="2:17" x14ac:dyDescent="0.25">
      <c r="B58" s="39" t="s">
        <v>68</v>
      </c>
      <c r="C58" s="5" t="s">
        <v>150</v>
      </c>
      <c r="D58" s="4" t="s">
        <v>51</v>
      </c>
      <c r="E58" s="72" t="s">
        <v>90</v>
      </c>
      <c r="F58" s="36"/>
      <c r="G58" s="5"/>
      <c r="H58" s="5"/>
      <c r="I58" s="26"/>
      <c r="J58" s="70">
        <v>0</v>
      </c>
      <c r="K58" s="70">
        <v>0</v>
      </c>
      <c r="L58" s="126">
        <v>0</v>
      </c>
      <c r="M58" s="5">
        <f>SUMIF(FLOAT!D:D,'3 D P'!E58:E73,FLOAT!F:F)</f>
        <v>0</v>
      </c>
    </row>
    <row r="59" spans="2:17" x14ac:dyDescent="0.25">
      <c r="B59" s="39" t="s">
        <v>69</v>
      </c>
      <c r="C59" s="5" t="s">
        <v>49</v>
      </c>
      <c r="D59" s="4" t="s">
        <v>51</v>
      </c>
      <c r="E59" s="72" t="s">
        <v>212</v>
      </c>
      <c r="F59" s="36"/>
      <c r="G59" s="5"/>
      <c r="H59" s="5"/>
      <c r="I59" s="26"/>
      <c r="J59" s="70">
        <v>93</v>
      </c>
      <c r="K59" s="70">
        <v>81</v>
      </c>
      <c r="L59" s="126">
        <v>97</v>
      </c>
      <c r="M59" s="5">
        <f>SUMIF(FLOAT!D:D,'3 D P'!E59:E73,FLOAT!F:F)</f>
        <v>52</v>
      </c>
    </row>
    <row r="60" spans="2:17" x14ac:dyDescent="0.25">
      <c r="B60" s="39" t="s">
        <v>70</v>
      </c>
      <c r="C60" s="5" t="s">
        <v>150</v>
      </c>
      <c r="D60" s="4" t="s">
        <v>52</v>
      </c>
      <c r="E60" s="72" t="s">
        <v>235</v>
      </c>
      <c r="F60" s="36"/>
      <c r="G60" s="5"/>
      <c r="H60" s="5"/>
      <c r="I60" s="26"/>
      <c r="J60" s="70">
        <v>7</v>
      </c>
      <c r="K60" s="70">
        <v>19</v>
      </c>
      <c r="L60" s="126">
        <v>3</v>
      </c>
      <c r="M60" s="5">
        <f>SUMIF(FLOAT!D:D,'3 D P'!E60:E73,FLOAT!F:F)</f>
        <v>4</v>
      </c>
    </row>
    <row r="61" spans="2:17" x14ac:dyDescent="0.25">
      <c r="B61" s="39" t="s">
        <v>71</v>
      </c>
      <c r="C61" s="5" t="s">
        <v>150</v>
      </c>
      <c r="D61" s="4" t="s">
        <v>51</v>
      </c>
      <c r="E61" s="72" t="s">
        <v>92</v>
      </c>
      <c r="F61" s="36"/>
      <c r="G61" s="5"/>
      <c r="H61" s="5"/>
      <c r="I61" s="26"/>
      <c r="J61" s="70">
        <v>0</v>
      </c>
      <c r="K61" s="70">
        <v>0</v>
      </c>
      <c r="L61" s="126">
        <v>0</v>
      </c>
      <c r="M61" s="5">
        <f>SUMIF(FLOAT!D:D,'3 D P'!E61:E73,FLOAT!F:F)</f>
        <v>0</v>
      </c>
    </row>
    <row r="62" spans="2:17" x14ac:dyDescent="0.25">
      <c r="B62" s="39" t="s">
        <v>72</v>
      </c>
      <c r="C62" s="5" t="s">
        <v>150</v>
      </c>
      <c r="D62" s="4" t="s">
        <v>51</v>
      </c>
      <c r="E62" s="72" t="s">
        <v>86</v>
      </c>
      <c r="F62" s="36"/>
      <c r="G62" s="5"/>
      <c r="H62" s="5"/>
      <c r="I62" s="26"/>
      <c r="J62" s="70">
        <v>0</v>
      </c>
      <c r="K62" s="70">
        <v>0</v>
      </c>
      <c r="L62" s="126">
        <v>0</v>
      </c>
      <c r="M62" s="5">
        <f>SUMIF(FLOAT!D:D,'3 D P'!E62:E73,FLOAT!F:F)</f>
        <v>0</v>
      </c>
    </row>
    <row r="63" spans="2:17" x14ac:dyDescent="0.25">
      <c r="B63" s="38" t="s">
        <v>73</v>
      </c>
      <c r="C63" s="56">
        <v>0</v>
      </c>
      <c r="D63" s="56">
        <v>0</v>
      </c>
      <c r="E63" s="72" t="s">
        <v>21</v>
      </c>
      <c r="F63" s="36"/>
      <c r="G63" s="5"/>
      <c r="H63" s="5"/>
      <c r="I63" s="26"/>
      <c r="J63" s="70">
        <v>0</v>
      </c>
      <c r="K63" s="70">
        <v>0</v>
      </c>
      <c r="L63" s="126">
        <v>0</v>
      </c>
      <c r="M63" s="5">
        <f>SUMIF(FLOAT!D:D,'3 D P'!E63:E73,FLOAT!F:F)</f>
        <v>0</v>
      </c>
    </row>
    <row r="64" spans="2:17" x14ac:dyDescent="0.25">
      <c r="B64" s="21" t="s">
        <v>167</v>
      </c>
      <c r="C64" s="5" t="s">
        <v>74</v>
      </c>
      <c r="D64" s="4" t="s">
        <v>75</v>
      </c>
      <c r="E64" s="72" t="s">
        <v>87</v>
      </c>
      <c r="F64" s="36"/>
      <c r="G64" s="5"/>
      <c r="H64" s="5"/>
      <c r="I64" s="26"/>
      <c r="J64" s="70">
        <v>0</v>
      </c>
      <c r="K64" s="70">
        <v>0</v>
      </c>
      <c r="L64" s="126">
        <v>0</v>
      </c>
      <c r="M64" s="5">
        <f>SUMIF(FLOAT!D:D,'3 D P'!E64:E73,FLOAT!F:F)</f>
        <v>0</v>
      </c>
    </row>
    <row r="65" spans="2:17" x14ac:dyDescent="0.25">
      <c r="B65" s="21" t="s">
        <v>122</v>
      </c>
      <c r="C65" s="5" t="s">
        <v>74</v>
      </c>
      <c r="D65" s="4" t="s">
        <v>75</v>
      </c>
      <c r="E65" s="72" t="s">
        <v>20</v>
      </c>
      <c r="F65" s="36"/>
      <c r="G65" s="5"/>
      <c r="H65" s="5"/>
      <c r="I65" s="26"/>
      <c r="J65" s="70">
        <v>0</v>
      </c>
      <c r="K65" s="70">
        <v>0</v>
      </c>
      <c r="L65" s="126">
        <v>0</v>
      </c>
      <c r="M65" s="5">
        <f>SUMIF(FLOAT!D:D,'3 D P'!E65:E73,FLOAT!F:F)</f>
        <v>0</v>
      </c>
    </row>
    <row r="66" spans="2:17" x14ac:dyDescent="0.25">
      <c r="B66" s="21" t="s">
        <v>121</v>
      </c>
      <c r="C66" s="5" t="s">
        <v>74</v>
      </c>
      <c r="D66" s="4" t="s">
        <v>75</v>
      </c>
      <c r="E66" s="72" t="s">
        <v>19</v>
      </c>
      <c r="F66" s="36"/>
      <c r="G66" s="5"/>
      <c r="H66" s="5"/>
      <c r="I66" s="26"/>
      <c r="J66" s="70">
        <v>0</v>
      </c>
      <c r="K66" s="70">
        <v>0</v>
      </c>
      <c r="L66" s="126">
        <v>0</v>
      </c>
      <c r="M66" s="5">
        <f>SUMIF(FLOAT!D:D,'3 D P'!E66:E73,FLOAT!F:F)</f>
        <v>0</v>
      </c>
    </row>
    <row r="67" spans="2:17" x14ac:dyDescent="0.25">
      <c r="B67" s="21" t="s">
        <v>168</v>
      </c>
      <c r="C67" s="5" t="s">
        <v>74</v>
      </c>
      <c r="D67" s="4" t="s">
        <v>75</v>
      </c>
      <c r="E67" s="72" t="s">
        <v>18</v>
      </c>
      <c r="F67" s="36"/>
      <c r="G67" s="5"/>
      <c r="H67" s="5"/>
      <c r="I67" s="26"/>
      <c r="J67" s="70">
        <v>0</v>
      </c>
      <c r="K67" s="70">
        <v>0</v>
      </c>
      <c r="L67" s="126">
        <v>0</v>
      </c>
      <c r="M67" s="5">
        <f>SUMIF(FLOAT!D:D,'3 D P'!E67:E73,FLOAT!F:F)</f>
        <v>0</v>
      </c>
    </row>
    <row r="68" spans="2:17" x14ac:dyDescent="0.25">
      <c r="B68" s="21" t="s">
        <v>76</v>
      </c>
      <c r="C68" s="5" t="s">
        <v>74</v>
      </c>
      <c r="D68" s="4" t="s">
        <v>75</v>
      </c>
      <c r="E68" s="72" t="s">
        <v>17</v>
      </c>
      <c r="F68" s="36"/>
      <c r="G68" s="5"/>
      <c r="H68" s="5"/>
      <c r="I68" s="26"/>
      <c r="J68" s="70">
        <v>0</v>
      </c>
      <c r="K68" s="70">
        <v>0</v>
      </c>
      <c r="L68" s="126">
        <v>0</v>
      </c>
      <c r="M68" s="5">
        <f>SUMIF(FLOAT!D:D,'3 D P'!E68:E73,FLOAT!F:F)</f>
        <v>0</v>
      </c>
    </row>
    <row r="69" spans="2:17" x14ac:dyDescent="0.25">
      <c r="B69" s="21" t="s">
        <v>77</v>
      </c>
      <c r="C69" s="5" t="s">
        <v>74</v>
      </c>
      <c r="D69" s="4" t="s">
        <v>75</v>
      </c>
      <c r="E69" s="72" t="s">
        <v>16</v>
      </c>
      <c r="F69" s="36"/>
      <c r="G69" s="5"/>
      <c r="H69" s="5"/>
      <c r="I69" s="26"/>
      <c r="J69" s="70">
        <v>0</v>
      </c>
      <c r="K69" s="70">
        <v>0</v>
      </c>
      <c r="L69" s="126">
        <v>0</v>
      </c>
      <c r="M69" s="5">
        <f>SUMIF(FLOAT!D:D,'3 D P'!E69:E73,FLOAT!F:F)</f>
        <v>0</v>
      </c>
    </row>
    <row r="70" spans="2:17" x14ac:dyDescent="0.25">
      <c r="B70" s="21" t="s">
        <v>78</v>
      </c>
      <c r="C70" s="5" t="s">
        <v>74</v>
      </c>
      <c r="D70" s="4" t="s">
        <v>75</v>
      </c>
      <c r="E70" s="72" t="s">
        <v>23</v>
      </c>
      <c r="F70" s="36"/>
      <c r="G70" s="5"/>
      <c r="H70" s="5"/>
      <c r="I70" s="26"/>
      <c r="J70" s="70">
        <v>0</v>
      </c>
      <c r="K70" s="70">
        <v>0</v>
      </c>
      <c r="L70" s="126">
        <v>0</v>
      </c>
      <c r="M70" s="5">
        <f>SUMIF(FLOAT!D:D,'3 D P'!E70:E73,FLOAT!F:F)</f>
        <v>0</v>
      </c>
    </row>
    <row r="71" spans="2:17" x14ac:dyDescent="0.25">
      <c r="B71" s="21" t="s">
        <v>79</v>
      </c>
      <c r="C71" s="5" t="s">
        <v>74</v>
      </c>
      <c r="D71" s="4" t="s">
        <v>75</v>
      </c>
      <c r="E71" s="72" t="s">
        <v>22</v>
      </c>
      <c r="F71" s="36"/>
      <c r="G71" s="5"/>
      <c r="H71" s="5"/>
      <c r="I71" s="26"/>
      <c r="J71" s="70">
        <v>0</v>
      </c>
      <c r="K71" s="70">
        <v>0</v>
      </c>
      <c r="L71" s="126">
        <v>0</v>
      </c>
      <c r="M71" s="5">
        <f>SUMIF(FLOAT!D:D,'3 D P'!E71:E73,FLOAT!F:F)</f>
        <v>0</v>
      </c>
    </row>
    <row r="72" spans="2:17" s="37" customFormat="1" x14ac:dyDescent="0.25">
      <c r="B72" s="21" t="s">
        <v>80</v>
      </c>
      <c r="C72" s="5" t="s">
        <v>74</v>
      </c>
      <c r="D72" s="4" t="s">
        <v>75</v>
      </c>
      <c r="E72" s="72" t="s">
        <v>139</v>
      </c>
      <c r="F72" s="22"/>
      <c r="G72" s="23"/>
      <c r="H72" s="23"/>
      <c r="I72" s="25"/>
      <c r="J72" s="70">
        <v>0</v>
      </c>
      <c r="K72" s="70">
        <v>0</v>
      </c>
      <c r="L72" s="126">
        <v>0</v>
      </c>
      <c r="M72" s="5">
        <f>SUMIF(FLOAT!D:D,'3 D P'!E72:E73,FLOAT!F:F)</f>
        <v>0</v>
      </c>
      <c r="Q72" s="2"/>
    </row>
    <row r="73" spans="2:17" x14ac:dyDescent="0.25">
      <c r="B73" s="38" t="s">
        <v>81</v>
      </c>
      <c r="C73" s="56"/>
      <c r="D73" s="56">
        <v>0</v>
      </c>
      <c r="E73" s="72" t="s">
        <v>140</v>
      </c>
      <c r="F73" s="36"/>
      <c r="G73" s="5"/>
      <c r="H73" s="5"/>
      <c r="I73" s="26"/>
      <c r="J73" s="70">
        <v>0</v>
      </c>
      <c r="K73" s="70">
        <v>0</v>
      </c>
      <c r="L73" s="126">
        <v>0</v>
      </c>
      <c r="M73" s="5">
        <f>SUMIF(FLOAT!D:D,'3 D P'!E73:E73,FLOAT!F:F)</f>
        <v>0</v>
      </c>
    </row>
    <row r="74" spans="2:17" x14ac:dyDescent="0.25">
      <c r="E74" s="72" t="s">
        <v>138</v>
      </c>
      <c r="J74" s="2">
        <v>0</v>
      </c>
      <c r="K74" s="2">
        <v>0</v>
      </c>
      <c r="L74" s="2">
        <v>0</v>
      </c>
    </row>
    <row r="75" spans="2:17" x14ac:dyDescent="0.25">
      <c r="E75" s="72" t="s">
        <v>185</v>
      </c>
      <c r="J75" s="2">
        <v>0</v>
      </c>
      <c r="K75" s="2">
        <v>0</v>
      </c>
      <c r="L75" s="2">
        <v>0</v>
      </c>
    </row>
    <row r="76" spans="2:17" x14ac:dyDescent="0.25">
      <c r="E76" s="72" t="s">
        <v>487</v>
      </c>
      <c r="J76" s="2">
        <v>0</v>
      </c>
      <c r="K76" s="2">
        <v>0</v>
      </c>
      <c r="L76" s="2">
        <v>0</v>
      </c>
    </row>
    <row r="77" spans="2:17" x14ac:dyDescent="0.25">
      <c r="E77" s="72" t="s">
        <v>186</v>
      </c>
      <c r="J77" s="2">
        <v>0</v>
      </c>
      <c r="K77" s="2">
        <v>0</v>
      </c>
      <c r="L77" s="2">
        <v>0</v>
      </c>
    </row>
  </sheetData>
  <autoFilter ref="A3:AT73" xr:uid="{00000000-0009-0000-0000-00000A000000}"/>
  <mergeCells count="4">
    <mergeCell ref="E2:E3"/>
    <mergeCell ref="B2:B3"/>
    <mergeCell ref="C2:C3"/>
    <mergeCell ref="D2:D3"/>
  </mergeCells>
  <conditionalFormatting sqref="E1">
    <cfRule type="duplicateValues" dxfId="26" priority="1547"/>
    <cfRule type="duplicateValues" dxfId="25" priority="1554"/>
    <cfRule type="duplicateValues" dxfId="24" priority="1555"/>
    <cfRule type="duplicateValues" dxfId="23" priority="1568"/>
    <cfRule type="duplicateValues" dxfId="22" priority="1573"/>
    <cfRule type="duplicateValues" dxfId="21" priority="1580"/>
    <cfRule type="duplicateValues" dxfId="20" priority="1587"/>
    <cfRule type="duplicateValues" dxfId="19" priority="1588"/>
    <cfRule type="duplicateValues" dxfId="18" priority="1589"/>
    <cfRule type="duplicateValues" dxfId="17" priority="1590"/>
  </conditionalFormatting>
  <conditionalFormatting sqref="E2:E3">
    <cfRule type="duplicateValues" dxfId="16" priority="915"/>
    <cfRule type="duplicateValues" dxfId="15" priority="925"/>
    <cfRule type="duplicateValues" dxfId="14" priority="934"/>
    <cfRule type="duplicateValues" dxfId="13" priority="942"/>
    <cfRule type="duplicateValues" dxfId="12" priority="943"/>
    <cfRule type="duplicateValues" dxfId="11" priority="944"/>
    <cfRule type="duplicateValues" dxfId="10" priority="945"/>
    <cfRule type="duplicateValues" dxfId="9" priority="946"/>
    <cfRule type="duplicateValues" dxfId="8" priority="947"/>
    <cfRule type="duplicateValues" dxfId="7" priority="954"/>
    <cfRule type="duplicateValues" dxfId="6" priority="957"/>
  </conditionalFormatting>
  <conditionalFormatting sqref="E4:E47">
    <cfRule type="duplicateValues" dxfId="5" priority="3"/>
  </conditionalFormatting>
  <conditionalFormatting sqref="E41">
    <cfRule type="duplicateValues" dxfId="4" priority="2"/>
  </conditionalFormatting>
  <conditionalFormatting sqref="E42:E45">
    <cfRule type="duplicateValues" dxfId="3" priority="1"/>
  </conditionalFormatting>
  <conditionalFormatting sqref="E46:E47 E4:E40">
    <cfRule type="duplicateValues" dxfId="2" priority="4"/>
  </conditionalFormatting>
  <conditionalFormatting sqref="E48:E54">
    <cfRule type="duplicateValues" dxfId="1" priority="22"/>
  </conditionalFormatting>
  <conditionalFormatting sqref="E55:E77">
    <cfRule type="duplicateValues" dxfId="0" priority="2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0e06d1-726e-4616-8fc4-ad4ccab746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58CBDF3E83A040A1527AAE64F0CD10" ma:contentTypeVersion="5" ma:contentTypeDescription="Create a new document." ma:contentTypeScope="" ma:versionID="2c14e77208bf4e32e348d787f1d3d60d">
  <xsd:schema xmlns:xsd="http://www.w3.org/2001/XMLSchema" xmlns:xs="http://www.w3.org/2001/XMLSchema" xmlns:p="http://schemas.microsoft.com/office/2006/metadata/properties" xmlns:ns3="360e06d1-726e-4616-8fc4-ad4ccab74656" targetNamespace="http://schemas.microsoft.com/office/2006/metadata/properties" ma:root="true" ma:fieldsID="5752d71297ca1c359c4f236d2c06cc08" ns3:_="">
    <xsd:import namespace="360e06d1-726e-4616-8fc4-ad4ccab746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0e06d1-726e-4616-8fc4-ad4ccab746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4B5456-A5EC-455D-9C6F-F32B807844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2AF5B0-616F-4338-A02F-FE33695E384A}">
  <ds:schemaRefs>
    <ds:schemaRef ds:uri="360e06d1-726e-4616-8fc4-ad4ccab74656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F9C7A53-506D-4FD1-8970-276EE2F4A3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0e06d1-726e-4616-8fc4-ad4ccab746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Fresh VIN PPC</vt:lpstr>
      <vt:lpstr>Cockpit sheet</vt:lpstr>
      <vt:lpstr>Front</vt:lpstr>
      <vt:lpstr>Summary</vt:lpstr>
      <vt:lpstr>BIW Lifting A Shift</vt:lpstr>
      <vt:lpstr>BIW Lifting B Shift</vt:lpstr>
      <vt:lpstr>Daywise Dispatch</vt:lpstr>
      <vt:lpstr>Sheet4</vt:lpstr>
      <vt:lpstr>Front Dispatch</vt:lpstr>
      <vt:lpstr>SAP</vt:lpstr>
      <vt:lpstr>FLOAT</vt:lpstr>
      <vt:lpstr>Consumption MTD</vt:lpstr>
      <vt:lpstr>3 D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2026-07-18T01:06:35Z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0x0101000858CBDF3E83A040A1527AAE64F0CD10</vt:lpwstr>
  </property>
</Properties>
</file>